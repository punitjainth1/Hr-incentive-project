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4.xml" ContentType="application/vnd.openxmlformats-officedocument.drawingml.chart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3.xml" ContentType="application/vnd.openxmlformats-officedocument.drawing+xml"/>
  <Override PartName="/xl/charts/chart8.xml" ContentType="application/vnd.openxmlformats-officedocument.drawingml.chart+xml"/>
  <Override PartName="/xl/drawings/drawing4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5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6.xml" ContentType="application/vnd.openxmlformats-officedocument.drawing+xml"/>
  <Override PartName="/xl/ctrlProps/ctrlProp2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Clients dashboard\IDAHO\Feb'24\"/>
    </mc:Choice>
  </mc:AlternateContent>
  <xr:revisionPtr revIDLastSave="0" documentId="13_ncr:1_{A25228B4-4EB7-4860-96E7-50AF399362B5}" xr6:coauthVersionLast="47" xr6:coauthVersionMax="47" xr10:uidLastSave="{00000000-0000-0000-0000-000000000000}"/>
  <bookViews>
    <workbookView xWindow="-110" yWindow="-110" windowWidth="19420" windowHeight="10420" tabRatio="879" activeTab="6" xr2:uid="{00000000-000D-0000-FFFF-FFFF00000000}"/>
  </bookViews>
  <sheets>
    <sheet name="Target Summary Dashboard" sheetId="1" r:id="rId1"/>
    <sheet name="Call Center Summary" sheetId="5" r:id="rId2"/>
    <sheet name="Volume Summary " sheetId="8" r:id="rId3"/>
    <sheet name="DataTransmission" sheetId="18" state="hidden" r:id="rId4"/>
    <sheet name="Call Subject" sheetId="16" state="hidden" r:id="rId5"/>
    <sheet name="Call Center Data" sheetId="9" r:id="rId6"/>
    <sheet name="Cases data" sheetId="10" r:id="rId7"/>
    <sheet name="YTD Call Center Data" sheetId="17" state="hidden" r:id="rId8"/>
  </sheets>
  <externalReferences>
    <externalReference r:id="rId9"/>
  </externalReferences>
  <definedNames>
    <definedName name="_xlnm._FilterDatabase" localSheetId="4" hidden="1">'Call Subject'!$BW$5:$BX$45</definedName>
    <definedName name="_xlnm._FilterDatabase" localSheetId="6" hidden="1">'Cases data'!$BW$5:$BX$41</definedName>
    <definedName name="_xlnm._FilterDatabase" localSheetId="3" hidden="1">DataTransmission!$A$24:$A$46</definedName>
    <definedName name="Month_Case_EngDescription" localSheetId="6">OFFSET('Cases data'!$G$1,0,0,COUNTA('Cases data'!$G:$G),1)</definedName>
    <definedName name="Month_EngDescription_Call_Subject" localSheetId="4">OFFSET('Call Subject'!$G$1,0,0,COUNTA('Call Subject'!$G:$G),1)</definedName>
    <definedName name="YTD_Case_EngDescription" localSheetId="6">OFFSET('Cases data'!$AV$1,0,0,COUNTA('Cases data'!$AV:$AV),1)</definedName>
    <definedName name="YTD_EngDescription_Call_Subject" localSheetId="4">OFFSET('Call Subject'!$AV$1,0,0,COUNTA('Call Subject'!$AV:$AV),1)</definedName>
  </definedNames>
  <calcPr calcId="191028"/>
  <pivotCaches>
    <pivotCache cacheId="0" r:id="rId10"/>
    <pivotCache cacheId="1" r:id="rId11"/>
    <pivotCache cacheId="2" r:id="rId12"/>
    <pivotCache cacheId="3" r:id="rId1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H49" i="10" l="1"/>
  <c r="AI49" i="10"/>
  <c r="AJ49" i="10"/>
  <c r="AG49" i="10"/>
  <c r="BM15" i="9"/>
  <c r="BM14" i="9"/>
  <c r="BM3" i="9"/>
  <c r="BK3" i="9"/>
  <c r="N18" i="18" l="1"/>
  <c r="C18" i="18"/>
  <c r="C7" i="18"/>
  <c r="N13" i="18"/>
  <c r="C13" i="18"/>
  <c r="B13" i="18"/>
  <c r="F45" i="1" l="1"/>
  <c r="B18" i="18"/>
  <c r="N23" i="5" l="1"/>
  <c r="N24" i="5"/>
  <c r="N25" i="5"/>
  <c r="N26" i="5"/>
  <c r="N27" i="5"/>
  <c r="N28" i="5"/>
  <c r="N29" i="5"/>
  <c r="N30" i="5"/>
  <c r="N31" i="5"/>
  <c r="J23" i="5"/>
  <c r="J24" i="5"/>
  <c r="J25" i="5"/>
  <c r="J26" i="5"/>
  <c r="J27" i="5"/>
  <c r="J28" i="5"/>
  <c r="J29" i="5"/>
  <c r="J30" i="5"/>
  <c r="J31" i="5"/>
  <c r="E23" i="5"/>
  <c r="E24" i="5"/>
  <c r="E25" i="5"/>
  <c r="E26" i="5"/>
  <c r="E27" i="5"/>
  <c r="E28" i="5"/>
  <c r="E29" i="5"/>
  <c r="E30" i="5"/>
  <c r="E31" i="5"/>
  <c r="A23" i="5"/>
  <c r="A24" i="5"/>
  <c r="A25" i="5"/>
  <c r="A26" i="5"/>
  <c r="A27" i="5"/>
  <c r="A28" i="5"/>
  <c r="A29" i="5"/>
  <c r="A30" i="5"/>
  <c r="A31" i="5"/>
  <c r="H45" i="1" l="1"/>
  <c r="J45" i="1" s="1"/>
  <c r="H44" i="1"/>
  <c r="J44" i="1" s="1"/>
  <c r="F44" i="1"/>
  <c r="O22" i="18"/>
  <c r="H49" i="1" s="1"/>
  <c r="J49" i="1" s="1"/>
  <c r="O21" i="18"/>
  <c r="F49" i="1" s="1"/>
  <c r="O18" i="18"/>
  <c r="H50" i="1" s="1"/>
  <c r="J50" i="1" s="1"/>
  <c r="O17" i="18"/>
  <c r="O16" i="18"/>
  <c r="F50" i="1" s="1"/>
  <c r="J25" i="1"/>
  <c r="J19" i="1"/>
  <c r="F12" i="5"/>
  <c r="F20" i="1"/>
  <c r="H20" i="1" l="1"/>
  <c r="O12" i="18"/>
  <c r="O11" i="18"/>
  <c r="F26" i="1" s="1"/>
  <c r="BK2" i="9"/>
  <c r="BE5" i="9"/>
  <c r="L9" i="5" s="1"/>
  <c r="BF5" i="9"/>
  <c r="L10" i="5" s="1"/>
  <c r="BD5" i="9"/>
  <c r="L8" i="5" s="1"/>
  <c r="O13" i="18" l="1"/>
  <c r="H26" i="1" s="1"/>
  <c r="J26" i="1" s="1"/>
  <c r="J20" i="1"/>
  <c r="F13" i="1"/>
  <c r="F9" i="1"/>
  <c r="G24" i="1" l="1"/>
  <c r="N8" i="18"/>
  <c r="F15" i="8"/>
  <c r="F16" i="8"/>
  <c r="D15" i="8"/>
  <c r="D16" i="8"/>
  <c r="C15" i="8"/>
  <c r="C16" i="8"/>
  <c r="A15" i="8"/>
  <c r="A16" i="8"/>
  <c r="J10" i="5"/>
  <c r="J9" i="5"/>
  <c r="G18" i="1" s="1"/>
  <c r="J8" i="5"/>
  <c r="M13" i="5" l="1"/>
  <c r="L13" i="5"/>
  <c r="M14" i="5"/>
  <c r="L14" i="5"/>
  <c r="BK14" i="9" l="1"/>
  <c r="BI14" i="9"/>
  <c r="B7" i="18" l="1"/>
  <c r="F7" i="1"/>
  <c r="E22" i="5" l="1"/>
  <c r="A22" i="5"/>
  <c r="F14" i="8" l="1"/>
  <c r="D14" i="8"/>
  <c r="C14" i="8"/>
  <c r="A14" i="8"/>
  <c r="I38" i="1"/>
  <c r="I34" i="1"/>
  <c r="O9" i="8" l="1"/>
  <c r="N3" i="18"/>
  <c r="O10" i="8" s="1"/>
  <c r="N4" i="18"/>
  <c r="O11" i="8" s="1"/>
  <c r="N5" i="18"/>
  <c r="O12" i="8" s="1"/>
  <c r="N6" i="18"/>
  <c r="N7" i="18" s="1"/>
  <c r="Q15" i="8" l="1"/>
  <c r="Q16" i="8"/>
  <c r="L3" i="8"/>
  <c r="CB12" i="16"/>
  <c r="N22" i="5" l="1"/>
  <c r="J22" i="5"/>
  <c r="F13" i="5"/>
  <c r="F9" i="5"/>
  <c r="F27" i="1" s="1"/>
  <c r="H27" i="1" s="1"/>
  <c r="J27" i="1" s="1"/>
  <c r="F8" i="5"/>
  <c r="F11" i="8" l="1"/>
  <c r="E10" i="8"/>
  <c r="E9" i="8"/>
  <c r="F37" i="1" s="1"/>
  <c r="E8" i="8"/>
  <c r="E11" i="8" l="1"/>
  <c r="F38" i="1" s="1"/>
  <c r="N32" i="5" l="1"/>
  <c r="L3" i="5" l="1"/>
  <c r="A17" i="1"/>
  <c r="E7" i="5" l="1"/>
  <c r="E21" i="5" s="1"/>
  <c r="D10" i="8"/>
  <c r="D9" i="8"/>
  <c r="D8" i="8"/>
  <c r="J7" i="5" l="1"/>
  <c r="D7" i="8"/>
  <c r="F33" i="1"/>
  <c r="G33" i="1" s="1"/>
  <c r="G37" i="1"/>
  <c r="D11" i="8"/>
  <c r="I37" i="1" l="1"/>
  <c r="I33" i="1"/>
  <c r="F34" i="1"/>
  <c r="E12" i="5"/>
  <c r="E9" i="5"/>
  <c r="F21" i="1" s="1"/>
  <c r="H21" i="1" s="1"/>
  <c r="J21" i="1" s="1"/>
  <c r="E8" i="5"/>
  <c r="N8" i="8" l="1"/>
  <c r="C13" i="8"/>
  <c r="N21" i="5"/>
  <c r="L12" i="5"/>
  <c r="A32" i="1"/>
  <c r="A42" i="1" s="1"/>
  <c r="P14" i="8" l="1"/>
  <c r="N12" i="8"/>
  <c r="N9" i="8"/>
  <c r="N10" i="8"/>
  <c r="N11" i="8"/>
  <c r="E32" i="5"/>
  <c r="P15" i="8" l="1"/>
  <c r="P16" i="8"/>
  <c r="O13" i="8"/>
  <c r="N13" i="8"/>
  <c r="G48" i="1" l="1"/>
  <c r="F48" i="1"/>
  <c r="G43" i="1"/>
  <c r="F43" i="1"/>
  <c r="J48" i="1" l="1"/>
  <c r="J43" i="1"/>
  <c r="F18" i="1"/>
  <c r="H18" i="1" s="1"/>
  <c r="F24" i="1"/>
  <c r="J18" i="1" l="1"/>
  <c r="I9" i="1" s="1"/>
  <c r="H9" i="1"/>
  <c r="H24" i="1"/>
  <c r="J24" i="1" l="1"/>
  <c r="I13" i="1" s="1"/>
  <c r="K13" i="1" s="1"/>
  <c r="H13" i="1"/>
  <c r="K9" i="1"/>
</calcChain>
</file>

<file path=xl/sharedStrings.xml><?xml version="1.0" encoding="utf-8"?>
<sst xmlns="http://schemas.openxmlformats.org/spreadsheetml/2006/main" count="2333" uniqueCount="248">
  <si>
    <t>Health &amp; Benefit Summary Dashboard</t>
  </si>
  <si>
    <t>DASHBOARD SUMMARY</t>
  </si>
  <si>
    <t>Total # of SLA's</t>
  </si>
  <si>
    <t># of SLA's with Volume</t>
  </si>
  <si>
    <t># of SLA's Met with Volumes</t>
  </si>
  <si>
    <t>% of SLA's Met</t>
  </si>
  <si>
    <t>Year-to-Date</t>
  </si>
  <si>
    <t>CALL CENTER/WEB METRICS</t>
  </si>
  <si>
    <t>Target</t>
  </si>
  <si>
    <t>Volume</t>
  </si>
  <si>
    <t>W/I STD</t>
  </si>
  <si>
    <t>Target Met</t>
  </si>
  <si>
    <t>IVR Availability</t>
  </si>
  <si>
    <t>NA</t>
  </si>
  <si>
    <t>Web Availability</t>
  </si>
  <si>
    <t>YTD</t>
  </si>
  <si>
    <t>CASE MANAGEMENT RESOLVED</t>
  </si>
  <si>
    <t>DATA TRANSMISSION</t>
  </si>
  <si>
    <t>Health &amp; Benefit Call Center Dashboard</t>
  </si>
  <si>
    <t>CALL CENTER ACTIVITY</t>
  </si>
  <si>
    <t>CALLS ANSWERED</t>
  </si>
  <si>
    <t>Call Center</t>
  </si>
  <si>
    <t>Answered within</t>
  </si>
  <si>
    <t>Total Calls</t>
  </si>
  <si>
    <t>0-30 Seconds</t>
  </si>
  <si>
    <t>Calls Abandoned</t>
  </si>
  <si>
    <t>0-60 Seconds</t>
  </si>
  <si>
    <t>Avg Speed to Answer</t>
  </si>
  <si>
    <t>Total</t>
  </si>
  <si>
    <t xml:space="preserve">Avg Talk Time </t>
  </si>
  <si>
    <t>English Calls</t>
  </si>
  <si>
    <t>Target (80%)</t>
  </si>
  <si>
    <t>Spanish Calls</t>
  </si>
  <si>
    <t>% of Calls Answered w/in 30 seconds</t>
  </si>
  <si>
    <t>% of Calls Answered w/in 60 seconds</t>
  </si>
  <si>
    <t>CALL SUBJECTS</t>
  </si>
  <si>
    <t>Call Subjects</t>
  </si>
  <si>
    <t>Health &amp; Benefit Volume Dashboard</t>
  </si>
  <si>
    <t>CASE MANAGEMENT</t>
  </si>
  <si>
    <t>Case Handling Resolved</t>
  </si>
  <si>
    <t>Files</t>
  </si>
  <si>
    <t>Total Cases</t>
  </si>
  <si>
    <t>File sent/received</t>
  </si>
  <si>
    <t>&lt;24  Hours</t>
  </si>
  <si>
    <t>Demographic</t>
  </si>
  <si>
    <t>24 to 48 Hours</t>
  </si>
  <si>
    <t>Active Payroll</t>
  </si>
  <si>
    <t>&gt;48 Hours</t>
  </si>
  <si>
    <t>Active 20 Payroll</t>
  </si>
  <si>
    <t>Carriers</t>
  </si>
  <si>
    <t>Top Issues</t>
  </si>
  <si>
    <t>Statistics</t>
  </si>
  <si>
    <t># of employee logins</t>
  </si>
  <si>
    <t>Avg employee login per day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</si>
  <si>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</si>
  <si>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</si>
  <si>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</si>
  <si>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</si>
  <si>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</si>
  <si>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</si>
  <si>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</si>
  <si>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</si>
  <si>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</si>
  <si>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</si>
  <si>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</si>
  <si>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</si>
  <si>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QTR</t>
  </si>
  <si>
    <t>Location</t>
  </si>
  <si>
    <t>Comments</t>
  </si>
  <si>
    <t>\\msoit.com\fs\PIT\SYS\Clients\IDAHO\Payroll\Actives</t>
  </si>
  <si>
    <t>count the Text file in the folder for that paticular month excluding the 'Original'</t>
  </si>
  <si>
    <t>\\msoit.com\fs\PIT\SYS\Clients\IDAHO\Payroll\Active 20</t>
  </si>
  <si>
    <t>count the Carrier column A excluding yellow bottom going through all the months' sheet</t>
  </si>
  <si>
    <t>MSIT</t>
  </si>
  <si>
    <t>Unique login</t>
  </si>
  <si>
    <t>\\msoit.com\fs\PIT\SYS\  = F</t>
  </si>
  <si>
    <t>\\msoit.com\fs\PIT\SYS\Clients\IDAHO\Interfaces\Carriers\Carrier File Counts</t>
  </si>
  <si>
    <t>StartOfYear</t>
  </si>
  <si>
    <t>Quarter</t>
  </si>
  <si>
    <t>StartOfMonth</t>
  </si>
  <si>
    <t>StartOfWeek</t>
  </si>
  <si>
    <t>Date</t>
  </si>
  <si>
    <t>POD</t>
  </si>
  <si>
    <t>Real Client</t>
  </si>
  <si>
    <t>Sub Client</t>
  </si>
  <si>
    <t>Calls Answered</t>
  </si>
  <si>
    <t>Calls Aban greater Target</t>
  </si>
  <si>
    <t xml:space="preserve"> Calls Aban less Target</t>
  </si>
  <si>
    <t xml:space="preserve"> Calls within 30s</t>
  </si>
  <si>
    <t>Sum of Calls within 60s</t>
  </si>
  <si>
    <t xml:space="preserve"> ANSTIME</t>
  </si>
  <si>
    <t xml:space="preserve"> Avail Time</t>
  </si>
  <si>
    <t xml:space="preserve"> Staffed Time</t>
  </si>
  <si>
    <t xml:space="preserve"> AUX Time</t>
  </si>
  <si>
    <t>Sum of Other</t>
  </si>
  <si>
    <t>Sum of Lunch</t>
  </si>
  <si>
    <t>Sum of Training</t>
  </si>
  <si>
    <t>Sum of MEETING</t>
  </si>
  <si>
    <t>Sum of Scheduled Break</t>
  </si>
  <si>
    <t>Sum of Project</t>
  </si>
  <si>
    <t>Sum of Contact</t>
  </si>
  <si>
    <t>Sum of Plan Admin</t>
  </si>
  <si>
    <t>Sum of Out. Call</t>
  </si>
  <si>
    <t>Sum of MaxAgentOccupancy</t>
  </si>
  <si>
    <t>Sum of FONOLO</t>
  </si>
  <si>
    <t xml:space="preserve"> ACD Time</t>
  </si>
  <si>
    <t xml:space="preserve"> ACW Time</t>
  </si>
  <si>
    <t xml:space="preserve"> Hold Time</t>
  </si>
  <si>
    <t xml:space="preserve"> Agent Ring Time</t>
  </si>
  <si>
    <t xml:space="preserve"> Handle Time1</t>
  </si>
  <si>
    <t>Sum of Handle time</t>
  </si>
  <si>
    <t xml:space="preserve"> OB Calls</t>
  </si>
  <si>
    <t xml:space="preserve"> OB Time</t>
  </si>
  <si>
    <t xml:space="preserve"> AUX 0</t>
  </si>
  <si>
    <t xml:space="preserve"> AUX 1</t>
  </si>
  <si>
    <t xml:space="preserve"> AUX 2</t>
  </si>
  <si>
    <t xml:space="preserve"> AUX 3</t>
  </si>
  <si>
    <t xml:space="preserve"> AUX 4</t>
  </si>
  <si>
    <t xml:space="preserve"> AUX 5</t>
  </si>
  <si>
    <t xml:space="preserve"> AUX 6</t>
  </si>
  <si>
    <t xml:space="preserve"> AUX 7</t>
  </si>
  <si>
    <t xml:space="preserve"> AUX 8</t>
  </si>
  <si>
    <t xml:space="preserve"> AUX 9</t>
  </si>
  <si>
    <t>Exclude SOI</t>
  </si>
  <si>
    <t>FCR count</t>
  </si>
  <si>
    <t>All count</t>
  </si>
  <si>
    <t>SOI FCR All count</t>
  </si>
  <si>
    <t>SOI FCR</t>
  </si>
  <si>
    <t>DECK</t>
  </si>
  <si>
    <t>Call bucket</t>
  </si>
  <si>
    <t>Start of Month</t>
  </si>
  <si>
    <t>Ans 0-30 Sec</t>
  </si>
  <si>
    <t>Ans 0-60 Sec</t>
  </si>
  <si>
    <t>Idaho</t>
  </si>
  <si>
    <t>Month</t>
  </si>
  <si>
    <t>ASA</t>
  </si>
  <si>
    <t>In Sec</t>
  </si>
  <si>
    <t>ATT</t>
  </si>
  <si>
    <t>LogID</t>
  </si>
  <si>
    <t>Code</t>
  </si>
  <si>
    <t>TicketNumber</t>
  </si>
  <si>
    <t>LogTypeID</t>
  </si>
  <si>
    <t>ClientID</t>
  </si>
  <si>
    <t>MemberID</t>
  </si>
  <si>
    <t>EngDescription</t>
  </si>
  <si>
    <t>CreationDate</t>
  </si>
  <si>
    <t>QuestionDate</t>
  </si>
  <si>
    <t>AnswerDate</t>
  </si>
  <si>
    <t>COMPLETED DATE</t>
  </si>
  <si>
    <t>StatusDate</t>
  </si>
  <si>
    <t>Created Code</t>
  </si>
  <si>
    <t>Created Name</t>
  </si>
  <si>
    <t>Assigned Code</t>
  </si>
  <si>
    <t>Assigned Name</t>
  </si>
  <si>
    <t>Completed Days</t>
  </si>
  <si>
    <t>Bucket</t>
  </si>
  <si>
    <t>Role</t>
  </si>
  <si>
    <t>Type</t>
  </si>
  <si>
    <t>ClientCode</t>
  </si>
  <si>
    <t>Application</t>
  </si>
  <si>
    <t>Group</t>
  </si>
  <si>
    <t>Quarter Name</t>
  </si>
  <si>
    <t>Less than 5 count</t>
  </si>
  <si>
    <t>Month Wise</t>
  </si>
  <si>
    <t>For YTD</t>
  </si>
  <si>
    <t>Direct Bill/PPAM  2nd Log</t>
  </si>
  <si>
    <t>comes from competed case report WITHOUT ANY FILTER</t>
  </si>
  <si>
    <t>Enrollment Inquiry</t>
  </si>
  <si>
    <t>Address Update</t>
  </si>
  <si>
    <t>Website Inquiry</t>
  </si>
  <si>
    <t>COBRA Inquiry (Eligibility)</t>
  </si>
  <si>
    <t>Row Labels</t>
  </si>
  <si>
    <t>Count of EngDescription</t>
  </si>
  <si>
    <t>Annual Enrollment</t>
  </si>
  <si>
    <t>HCRA/DCRA</t>
  </si>
  <si>
    <t>Member Benefit Inquiry</t>
  </si>
  <si>
    <t>Dependent Inquiry</t>
  </si>
  <si>
    <t>Death Notification 2nd Log</t>
  </si>
  <si>
    <t>Retiree Billing Question</t>
  </si>
  <si>
    <t>removed</t>
  </si>
  <si>
    <t>Referred to UI</t>
  </si>
  <si>
    <t>Issue undefined removed here.</t>
  </si>
  <si>
    <t>Issue Unclassified</t>
  </si>
  <si>
    <t>Misdirected Call</t>
  </si>
  <si>
    <t>Payroll Inquiry</t>
  </si>
  <si>
    <t>Internal Transfer</t>
  </si>
  <si>
    <t>Appeal</t>
  </si>
  <si>
    <t>Grand Total</t>
  </si>
  <si>
    <t>Physical Address</t>
  </si>
  <si>
    <t>1095 Inquiry</t>
  </si>
  <si>
    <t>comes from competed case report WITH FILTER INCOMING CALL ONLY</t>
  </si>
  <si>
    <t>% of calls answered in 60 seconds</t>
  </si>
  <si>
    <t>Yes</t>
  </si>
  <si>
    <t>Data transmissions 3rd party on time</t>
  </si>
  <si>
    <t>Call Abandonment</t>
  </si>
  <si>
    <t>&lt;3%</t>
  </si>
  <si>
    <t>Responding to Inquiries within 1 day</t>
  </si>
  <si>
    <t>Responding to Inquiries in &gt; 1 day</t>
  </si>
  <si>
    <t>Requests for forms etc</t>
  </si>
  <si>
    <t>For complete forms, call back for verification</t>
  </si>
  <si>
    <t>Sample</t>
  </si>
  <si>
    <t>Error</t>
  </si>
  <si>
    <t>% Available</t>
  </si>
  <si>
    <t>Current</t>
  </si>
  <si>
    <t>Health Exchange Question</t>
  </si>
  <si>
    <t>Life Insurance Inquiry</t>
  </si>
  <si>
    <t>Document Uploaded</t>
  </si>
  <si>
    <t>Participant Email Inquiry</t>
  </si>
  <si>
    <t>Proof of Other Coverage</t>
  </si>
  <si>
    <t>COBRA DB</t>
  </si>
  <si>
    <t>US UI Other Call Back</t>
  </si>
  <si>
    <t>Direct Bill/PPAM</t>
  </si>
  <si>
    <t>New Hire/ Newly Eliible Memo</t>
  </si>
  <si>
    <t>DDS Emailed Document</t>
  </si>
  <si>
    <t>DDS Printed and Mailed Document</t>
  </si>
  <si>
    <t>Health and Welfare Document - Miscellanous</t>
  </si>
  <si>
    <t>Urgent Update 2nd Log</t>
  </si>
  <si>
    <t>Hot Topic 1</t>
  </si>
  <si>
    <t>Job Status Change memo</t>
  </si>
  <si>
    <t>%</t>
  </si>
  <si>
    <t>Requests for forms etc (Total)</t>
  </si>
  <si>
    <t>Incomplete Forms</t>
  </si>
  <si>
    <t>Request for Forms</t>
  </si>
  <si>
    <t>Legal Documentation</t>
  </si>
  <si>
    <t>\\msoit.com\fs\PIT\SYS\Clients\IDAHO\Call Center Mailings</t>
  </si>
  <si>
    <t>Member Contact</t>
  </si>
  <si>
    <t>Jan'24</t>
  </si>
  <si>
    <t>Apply Payments PPAM</t>
  </si>
  <si>
    <t>Feb'24</t>
  </si>
  <si>
    <t>Mar'24</t>
  </si>
  <si>
    <t>Apr'24</t>
  </si>
  <si>
    <t>May'24</t>
  </si>
  <si>
    <t>Jun'24</t>
  </si>
  <si>
    <t>\\msoit.com\fs\PIT\SYS\Clients\IDAHO\Interfaces\Carriers\Carrier File Counts\UOI File Status 2024.xlsx</t>
  </si>
  <si>
    <t>Feb 01, 2024 to Feb 29, 2024</t>
  </si>
  <si>
    <t>feb'24</t>
  </si>
  <si>
    <t>Retiree Waiver Consent Form</t>
  </si>
  <si>
    <t>Birth/Adoption</t>
  </si>
  <si>
    <t>Document uploaded</t>
  </si>
  <si>
    <t>Voice Mail Message</t>
  </si>
  <si>
    <t>Overage Dependent Memo</t>
  </si>
  <si>
    <t>Health and Welfare Document - Verification</t>
  </si>
  <si>
    <t>Turning 65 Birthday Memo</t>
  </si>
  <si>
    <t>\\msoit.com\fs\PIT\SYS\Clients\IDAHO\Repository Report\2024</t>
  </si>
  <si>
    <t>/ total closed</t>
  </si>
  <si>
    <t>/within 1</t>
  </si>
  <si>
    <t>/within 2-1</t>
  </si>
  <si>
    <t>total closed - within 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</si>
</sst>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.5"/>
      <color theme="1"/>
      <name val="Arial"/>
      <family val="2"/>
    </font>
    <font>
      <b/>
      <sz val="9.5"/>
      <name val="Arial"/>
      <family val="2"/>
    </font>
    <font>
      <b/>
      <sz val="12"/>
      <color theme="0"/>
      <name val="Arial"/>
      <family val="2"/>
    </font>
    <font>
      <b/>
      <sz val="14"/>
      <color theme="1"/>
      <name val="Arial"/>
      <family val="2"/>
    </font>
    <font>
      <sz val="11"/>
      <color rgb="FF323232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theme="1"/>
      <name val="Segoe UI"/>
      <family val="2"/>
    </font>
    <font>
      <sz val="8"/>
      <name val="Calibri"/>
      <family val="2"/>
      <scheme val="minor"/>
    </font>
    <font>
      <i/>
      <sz val="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5"/>
      <color theme="1"/>
      <name val="Calibri"/>
      <family val="2"/>
      <scheme val="minor"/>
    </font>
    <font>
      <b/>
      <sz val="10"/>
      <color rgb="FFFFFFFF"/>
      <name val="Helvetica"/>
      <family val="2"/>
    </font>
    <font>
      <b/>
      <sz val="9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b/>
      <sz val="8"/>
      <color theme="1"/>
      <name val="Calibri"/>
      <family val="2"/>
      <scheme val="minor"/>
    </font>
    <font>
      <b/>
      <u/>
      <sz val="18"/>
      <color rgb="FF000080"/>
      <name val="Calibri"/>
      <family val="2"/>
    </font>
    <font>
      <b/>
      <u/>
      <sz val="18"/>
      <color rgb="FF000000"/>
      <name val="Calibri"/>
      <family val="2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9"/>
      <color theme="0"/>
      <name val="Arial"/>
      <family val="2"/>
    </font>
    <font>
      <b/>
      <sz val="8"/>
      <color theme="0"/>
      <name val="Arial"/>
      <family val="2"/>
    </font>
    <font>
      <b/>
      <sz val="11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2A2C2E"/>
      </patternFill>
    </fill>
    <fill>
      <patternFill patternType="solid">
        <fgColor rgb="FF2A2C2E"/>
        <bgColor rgb="FF000000"/>
      </patternFill>
    </fill>
    <fill>
      <patternFill patternType="solid">
        <fgColor rgb="FF4B286D"/>
        <bgColor rgb="FF000000"/>
      </patternFill>
    </fill>
    <fill>
      <patternFill patternType="solid">
        <fgColor rgb="FF4B286D"/>
        <bgColor indexed="64"/>
      </patternFill>
    </fill>
    <fill>
      <patternFill patternType="solid">
        <fgColor rgb="FF2B8000"/>
        <bgColor indexed="64"/>
      </patternFill>
    </fill>
    <fill>
      <patternFill patternType="solid">
        <fgColor rgb="FF71757B"/>
        <bgColor rgb="FF000000"/>
      </patternFill>
    </fill>
    <fill>
      <patternFill patternType="solid">
        <fgColor rgb="FF71757B"/>
        <bgColor indexed="64"/>
      </patternFill>
    </fill>
    <fill>
      <patternFill patternType="solid">
        <fgColor rgb="FFD8D8D8"/>
        <bgColor indexed="64"/>
      </patternFill>
    </fill>
    <fill>
      <patternFill patternType="solid">
        <fgColor rgb="FF2A2C2E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/>
      <bottom style="thick">
        <color auto="1"/>
      </bottom>
      <diagonal/>
    </border>
    <border>
      <left style="thin">
        <color indexed="64"/>
      </left>
      <right/>
      <top/>
      <bottom/>
      <diagonal/>
    </border>
    <border>
      <left style="thin">
        <color theme="1"/>
      </left>
      <right/>
      <top style="thin">
        <color indexed="64"/>
      </top>
      <bottom style="thin">
        <color indexed="64"/>
      </bottom>
      <diagonal/>
    </border>
    <border>
      <left/>
      <right style="thin">
        <color theme="1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13" fillId="0" borderId="0" applyNumberFormat="0" applyFill="0" applyBorder="0" applyAlignment="0" applyProtection="0"/>
    <xf numFmtId="9" fontId="24" fillId="0" borderId="0" applyFont="0" applyFill="0" applyBorder="0" applyAlignment="0" applyProtection="0"/>
  </cellStyleXfs>
  <cellXfs count="192">
    <xf numFmtId="0" fontId="0" fillId="0" borderId="0" xfId="0"/>
    <xf numFmtId="0" fontId="4" fillId="0" borderId="0" xfId="0" applyFont="1" applyAlignment="1">
      <alignment vertical="top" wrapText="1"/>
    </xf>
    <xf numFmtId="0" fontId="4" fillId="2" borderId="0" xfId="0" applyFont="1" applyFill="1" applyAlignment="1">
      <alignment vertical="top" wrapText="1"/>
    </xf>
    <xf numFmtId="0" fontId="0" fillId="0" borderId="9" xfId="0" applyBorder="1"/>
    <xf numFmtId="0" fontId="0" fillId="0" borderId="10" xfId="0" applyBorder="1"/>
    <xf numFmtId="0" fontId="0" fillId="2" borderId="0" xfId="0" applyFill="1"/>
    <xf numFmtId="0" fontId="4" fillId="2" borderId="0" xfId="0" applyFont="1" applyFill="1" applyAlignment="1">
      <alignment horizontal="center" vertical="top" wrapText="1"/>
    </xf>
    <xf numFmtId="0" fontId="3" fillId="2" borderId="0" xfId="0" applyFont="1" applyFill="1" applyAlignment="1">
      <alignment vertical="top" wrapText="1"/>
    </xf>
    <xf numFmtId="0" fontId="0" fillId="2" borderId="0" xfId="0" applyFill="1" applyAlignment="1">
      <alignment horizontal="left" indent="1"/>
    </xf>
    <xf numFmtId="0" fontId="0" fillId="2" borderId="0" xfId="0" applyFill="1" applyAlignment="1">
      <alignment horizontal="center"/>
    </xf>
    <xf numFmtId="0" fontId="4" fillId="2" borderId="2" xfId="0" applyFont="1" applyFill="1" applyBorder="1" applyAlignment="1">
      <alignment horizontal="center" vertical="top" wrapText="1"/>
    </xf>
    <xf numFmtId="0" fontId="0" fillId="2" borderId="11" xfId="0" applyFill="1" applyBorder="1"/>
    <xf numFmtId="0" fontId="0" fillId="2" borderId="12" xfId="0" applyFill="1" applyBorder="1"/>
    <xf numFmtId="0" fontId="3" fillId="2" borderId="15" xfId="0" applyFont="1" applyFill="1" applyBorder="1" applyAlignment="1">
      <alignment vertical="top" wrapText="1"/>
    </xf>
    <xf numFmtId="2" fontId="0" fillId="0" borderId="0" xfId="0" applyNumberFormat="1"/>
    <xf numFmtId="0" fontId="0" fillId="0" borderId="1" xfId="0" applyBorder="1" applyAlignment="1">
      <alignment horizontal="center"/>
    </xf>
    <xf numFmtId="9" fontId="0" fillId="0" borderId="1" xfId="0" applyNumberFormat="1" applyBorder="1" applyAlignment="1">
      <alignment horizontal="center"/>
    </xf>
    <xf numFmtId="9" fontId="0" fillId="2" borderId="1" xfId="0" applyNumberFormat="1" applyFill="1" applyBorder="1" applyAlignment="1">
      <alignment horizontal="center"/>
    </xf>
    <xf numFmtId="0" fontId="6" fillId="2" borderId="1" xfId="0" applyFont="1" applyFill="1" applyBorder="1" applyAlignment="1">
      <alignment horizontal="center"/>
    </xf>
    <xf numFmtId="0" fontId="0" fillId="0" borderId="0" xfId="0" applyAlignment="1">
      <alignment vertical="center"/>
    </xf>
    <xf numFmtId="14" fontId="0" fillId="0" borderId="0" xfId="0" applyNumberFormat="1" applyAlignment="1">
      <alignment vertical="center"/>
    </xf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4" borderId="0" xfId="0" applyFill="1" applyAlignment="1">
      <alignment horizontal="left"/>
    </xf>
    <xf numFmtId="0" fontId="0" fillId="4" borderId="0" xfId="0" applyFill="1"/>
    <xf numFmtId="3" fontId="0" fillId="0" borderId="0" xfId="0" applyNumberFormat="1"/>
    <xf numFmtId="0" fontId="0" fillId="2" borderId="1" xfId="0" applyFill="1" applyBorder="1" applyAlignment="1">
      <alignment horizontal="center"/>
    </xf>
    <xf numFmtId="0" fontId="0" fillId="3" borderId="0" xfId="0" applyFill="1" applyAlignment="1">
      <alignment vertical="center"/>
    </xf>
    <xf numFmtId="0" fontId="1" fillId="0" borderId="0" xfId="0" applyFont="1"/>
    <xf numFmtId="0" fontId="0" fillId="0" borderId="17" xfId="0" applyBorder="1" applyAlignment="1">
      <alignment vertical="center"/>
    </xf>
    <xf numFmtId="0" fontId="0" fillId="0" borderId="18" xfId="0" applyBorder="1" applyAlignment="1">
      <alignment vertical="center"/>
    </xf>
    <xf numFmtId="14" fontId="0" fillId="0" borderId="18" xfId="0" applyNumberFormat="1" applyBorder="1" applyAlignment="1">
      <alignment vertical="center"/>
    </xf>
    <xf numFmtId="0" fontId="0" fillId="0" borderId="19" xfId="0" applyBorder="1" applyAlignment="1">
      <alignment vertical="center"/>
    </xf>
    <xf numFmtId="0" fontId="8" fillId="6" borderId="21" xfId="0" applyFont="1" applyFill="1" applyBorder="1" applyAlignment="1">
      <alignment vertical="center"/>
    </xf>
    <xf numFmtId="0" fontId="8" fillId="6" borderId="20" xfId="0" applyFont="1" applyFill="1" applyBorder="1" applyAlignment="1">
      <alignment vertical="center"/>
    </xf>
    <xf numFmtId="0" fontId="8" fillId="6" borderId="22" xfId="0" applyFont="1" applyFill="1" applyBorder="1" applyAlignment="1">
      <alignment vertical="center"/>
    </xf>
    <xf numFmtId="0" fontId="0" fillId="5" borderId="21" xfId="0" applyFill="1" applyBorder="1" applyAlignment="1">
      <alignment vertical="center"/>
    </xf>
    <xf numFmtId="0" fontId="0" fillId="5" borderId="20" xfId="0" applyFill="1" applyBorder="1" applyAlignment="1">
      <alignment vertical="center"/>
    </xf>
    <xf numFmtId="14" fontId="0" fillId="5" borderId="20" xfId="0" applyNumberFormat="1" applyFill="1" applyBorder="1" applyAlignment="1">
      <alignment vertical="center"/>
    </xf>
    <xf numFmtId="0" fontId="0" fillId="5" borderId="22" xfId="0" applyFill="1" applyBorder="1" applyAlignment="1">
      <alignment vertical="center"/>
    </xf>
    <xf numFmtId="0" fontId="0" fillId="0" borderId="21" xfId="0" applyBorder="1" applyAlignment="1">
      <alignment vertical="center"/>
    </xf>
    <xf numFmtId="0" fontId="0" fillId="0" borderId="20" xfId="0" applyBorder="1" applyAlignment="1">
      <alignment vertical="center"/>
    </xf>
    <xf numFmtId="14" fontId="0" fillId="0" borderId="20" xfId="0" applyNumberFormat="1" applyBorder="1" applyAlignment="1">
      <alignment vertical="center"/>
    </xf>
    <xf numFmtId="0" fontId="0" fillId="0" borderId="22" xfId="0" applyBorder="1" applyAlignment="1">
      <alignment vertical="center"/>
    </xf>
    <xf numFmtId="0" fontId="9" fillId="0" borderId="0" xfId="0" applyFont="1"/>
    <xf numFmtId="14" fontId="8" fillId="6" borderId="20" xfId="0" applyNumberFormat="1" applyFont="1" applyFill="1" applyBorder="1" applyAlignment="1">
      <alignment vertical="center"/>
    </xf>
    <xf numFmtId="0" fontId="10" fillId="5" borderId="17" xfId="0" applyFont="1" applyFill="1" applyBorder="1" applyAlignment="1">
      <alignment vertical="center"/>
    </xf>
    <xf numFmtId="0" fontId="10" fillId="5" borderId="18" xfId="0" applyFont="1" applyFill="1" applyBorder="1" applyAlignment="1">
      <alignment vertical="center"/>
    </xf>
    <xf numFmtId="14" fontId="10" fillId="5" borderId="18" xfId="0" applyNumberFormat="1" applyFont="1" applyFill="1" applyBorder="1" applyAlignment="1">
      <alignment vertical="center"/>
    </xf>
    <xf numFmtId="0" fontId="10" fillId="5" borderId="19" xfId="0" applyFont="1" applyFill="1" applyBorder="1" applyAlignment="1">
      <alignment vertical="center"/>
    </xf>
    <xf numFmtId="0" fontId="10" fillId="0" borderId="17" xfId="0" applyFont="1" applyBorder="1" applyAlignment="1">
      <alignment vertical="center"/>
    </xf>
    <xf numFmtId="0" fontId="10" fillId="0" borderId="18" xfId="0" applyFont="1" applyBorder="1" applyAlignment="1">
      <alignment vertical="center"/>
    </xf>
    <xf numFmtId="14" fontId="10" fillId="0" borderId="18" xfId="0" applyNumberFormat="1" applyFont="1" applyBorder="1" applyAlignment="1">
      <alignment vertical="center"/>
    </xf>
    <xf numFmtId="0" fontId="10" fillId="0" borderId="19" xfId="0" applyFont="1" applyBorder="1" applyAlignment="1">
      <alignment vertical="center"/>
    </xf>
    <xf numFmtId="2" fontId="0" fillId="2" borderId="1" xfId="0" applyNumberFormat="1" applyFill="1" applyBorder="1" applyAlignment="1">
      <alignment horizontal="center"/>
    </xf>
    <xf numFmtId="0" fontId="0" fillId="3" borderId="0" xfId="0" applyFill="1"/>
    <xf numFmtId="0" fontId="9" fillId="0" borderId="0" xfId="0" applyFont="1" applyAlignment="1">
      <alignment horizontal="left"/>
    </xf>
    <xf numFmtId="0" fontId="12" fillId="0" borderId="0" xfId="0" applyFont="1"/>
    <xf numFmtId="0" fontId="13" fillId="0" borderId="0" xfId="1"/>
    <xf numFmtId="14" fontId="10" fillId="5" borderId="17" xfId="0" applyNumberFormat="1" applyFont="1" applyFill="1" applyBorder="1" applyAlignment="1">
      <alignment vertical="center"/>
    </xf>
    <xf numFmtId="14" fontId="10" fillId="0" borderId="17" xfId="0" applyNumberFormat="1" applyFont="1" applyBorder="1" applyAlignment="1">
      <alignment vertical="center"/>
    </xf>
    <xf numFmtId="0" fontId="14" fillId="0" borderId="0" xfId="0" applyFont="1" applyAlignment="1">
      <alignment vertical="center"/>
    </xf>
    <xf numFmtId="0" fontId="2" fillId="0" borderId="0" xfId="0" applyFont="1" applyAlignment="1">
      <alignment horizontal="right"/>
    </xf>
    <xf numFmtId="0" fontId="18" fillId="2" borderId="1" xfId="0" applyFont="1" applyFill="1" applyBorder="1" applyAlignment="1">
      <alignment horizontal="center" wrapText="1"/>
    </xf>
    <xf numFmtId="0" fontId="9" fillId="0" borderId="0" xfId="0" applyFont="1" applyAlignment="1">
      <alignment horizontal="center"/>
    </xf>
    <xf numFmtId="0" fontId="19" fillId="0" borderId="0" xfId="0" applyFont="1" applyAlignment="1">
      <alignment horizontal="center"/>
    </xf>
    <xf numFmtId="0" fontId="0" fillId="5" borderId="18" xfId="0" applyFill="1" applyBorder="1" applyAlignment="1">
      <alignment vertical="center"/>
    </xf>
    <xf numFmtId="14" fontId="0" fillId="5" borderId="18" xfId="0" applyNumberFormat="1" applyFill="1" applyBorder="1" applyAlignment="1">
      <alignment vertical="center"/>
    </xf>
    <xf numFmtId="0" fontId="0" fillId="5" borderId="19" xfId="0" applyFill="1" applyBorder="1" applyAlignment="1">
      <alignment vertical="center"/>
    </xf>
    <xf numFmtId="0" fontId="0" fillId="0" borderId="1" xfId="0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45" fontId="0" fillId="2" borderId="1" xfId="0" applyNumberFormat="1" applyFill="1" applyBorder="1" applyAlignment="1">
      <alignment horizontal="center"/>
    </xf>
    <xf numFmtId="0" fontId="0" fillId="5" borderId="18" xfId="0" applyFill="1" applyBorder="1"/>
    <xf numFmtId="0" fontId="0" fillId="0" borderId="1" xfId="0" applyBorder="1" applyAlignment="1">
      <alignment vertic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vertical="center"/>
    </xf>
    <xf numFmtId="2" fontId="1" fillId="0" borderId="1" xfId="0" applyNumberFormat="1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14" fontId="0" fillId="5" borderId="17" xfId="0" applyNumberFormat="1" applyFill="1" applyBorder="1"/>
    <xf numFmtId="14" fontId="0" fillId="5" borderId="18" xfId="0" applyNumberFormat="1" applyFill="1" applyBorder="1"/>
    <xf numFmtId="2" fontId="19" fillId="0" borderId="0" xfId="0" applyNumberFormat="1" applyFont="1" applyAlignment="1">
      <alignment horizontal="center"/>
    </xf>
    <xf numFmtId="2" fontId="0" fillId="3" borderId="0" xfId="0" applyNumberFormat="1" applyFill="1"/>
    <xf numFmtId="1" fontId="0" fillId="0" borderId="0" xfId="0" applyNumberFormat="1"/>
    <xf numFmtId="10" fontId="0" fillId="0" borderId="1" xfId="0" applyNumberFormat="1" applyBorder="1" applyAlignment="1">
      <alignment horizontal="center"/>
    </xf>
    <xf numFmtId="0" fontId="0" fillId="7" borderId="1" xfId="0" applyFill="1" applyBorder="1" applyAlignment="1">
      <alignment horizontal="center" vertical="center"/>
    </xf>
    <xf numFmtId="0" fontId="9" fillId="0" borderId="7" xfId="0" applyFont="1" applyBorder="1" applyAlignment="1">
      <alignment horizontal="center" vertical="center"/>
    </xf>
    <xf numFmtId="0" fontId="1" fillId="7" borderId="1" xfId="0" applyFont="1" applyFill="1" applyBorder="1"/>
    <xf numFmtId="0" fontId="22" fillId="0" borderId="1" xfId="0" applyFont="1" applyBorder="1" applyAlignment="1">
      <alignment horizontal="center" vertical="center"/>
    </xf>
    <xf numFmtId="0" fontId="23" fillId="0" borderId="1" xfId="0" applyFont="1" applyBorder="1" applyAlignment="1">
      <alignment horizontal="center" vertical="center"/>
    </xf>
    <xf numFmtId="10" fontId="23" fillId="0" borderId="1" xfId="0" applyNumberFormat="1" applyFont="1" applyBorder="1" applyAlignment="1">
      <alignment horizontal="center" vertical="center"/>
    </xf>
    <xf numFmtId="10" fontId="0" fillId="0" borderId="1" xfId="0" applyNumberFormat="1" applyBorder="1" applyAlignment="1">
      <alignment horizontal="center" vertical="center"/>
    </xf>
    <xf numFmtId="0" fontId="0" fillId="5" borderId="17" xfId="0" applyFill="1" applyBorder="1"/>
    <xf numFmtId="0" fontId="0" fillId="0" borderId="17" xfId="0" applyBorder="1"/>
    <xf numFmtId="0" fontId="0" fillId="0" borderId="18" xfId="0" applyBorder="1"/>
    <xf numFmtId="1" fontId="0" fillId="5" borderId="18" xfId="0" applyNumberFormat="1" applyFill="1" applyBorder="1"/>
    <xf numFmtId="1" fontId="0" fillId="0" borderId="18" xfId="0" applyNumberFormat="1" applyBorder="1"/>
    <xf numFmtId="10" fontId="0" fillId="0" borderId="0" xfId="0" applyNumberFormat="1" applyAlignment="1">
      <alignment horizontal="center" vertical="center"/>
    </xf>
    <xf numFmtId="0" fontId="22" fillId="3" borderId="1" xfId="0" applyFont="1" applyFill="1" applyBorder="1" applyAlignment="1">
      <alignment horizontal="center" vertical="center"/>
    </xf>
    <xf numFmtId="0" fontId="22" fillId="8" borderId="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 wrapText="1"/>
    </xf>
    <xf numFmtId="10" fontId="0" fillId="0" borderId="1" xfId="2" applyNumberFormat="1" applyFont="1" applyBorder="1" applyAlignment="1">
      <alignment horizontal="center" vertical="center"/>
    </xf>
    <xf numFmtId="0" fontId="1" fillId="8" borderId="7" xfId="0" applyFont="1" applyFill="1" applyBorder="1" applyAlignment="1">
      <alignment horizontal="center" vertical="center"/>
    </xf>
    <xf numFmtId="10" fontId="0" fillId="0" borderId="0" xfId="2" applyNumberFormat="1" applyFont="1" applyBorder="1" applyAlignment="1">
      <alignment horizontal="center" vertical="center"/>
    </xf>
    <xf numFmtId="0" fontId="0" fillId="16" borderId="1" xfId="0" applyFill="1" applyBorder="1" applyAlignment="1">
      <alignment horizontal="center"/>
    </xf>
    <xf numFmtId="10" fontId="18" fillId="16" borderId="1" xfId="0" applyNumberFormat="1" applyFont="1" applyFill="1" applyBorder="1" applyAlignment="1">
      <alignment horizontal="center" wrapText="1"/>
    </xf>
    <xf numFmtId="0" fontId="1" fillId="16" borderId="1" xfId="0" applyFont="1" applyFill="1" applyBorder="1" applyAlignment="1">
      <alignment horizontal="center"/>
    </xf>
    <xf numFmtId="0" fontId="0" fillId="16" borderId="8" xfId="0" applyFill="1" applyBorder="1" applyAlignment="1">
      <alignment horizontal="center"/>
    </xf>
    <xf numFmtId="16" fontId="8" fillId="12" borderId="1" xfId="0" applyNumberFormat="1" applyFont="1" applyFill="1" applyBorder="1" applyAlignment="1">
      <alignment horizontal="center"/>
    </xf>
    <xf numFmtId="0" fontId="8" fillId="13" borderId="1" xfId="0" applyFont="1" applyFill="1" applyBorder="1" applyAlignment="1">
      <alignment horizontal="center"/>
    </xf>
    <xf numFmtId="0" fontId="8" fillId="15" borderId="1" xfId="0" applyFont="1" applyFill="1" applyBorder="1" applyAlignment="1">
      <alignment horizontal="center"/>
    </xf>
    <xf numFmtId="16" fontId="8" fillId="12" borderId="7" xfId="0" applyNumberFormat="1" applyFont="1" applyFill="1" applyBorder="1" applyAlignment="1">
      <alignment horizontal="center" vertical="center"/>
    </xf>
    <xf numFmtId="0" fontId="27" fillId="15" borderId="1" xfId="0" applyFont="1" applyFill="1" applyBorder="1" applyAlignment="1">
      <alignment horizontal="center" vertical="center" wrapText="1"/>
    </xf>
    <xf numFmtId="0" fontId="0" fillId="18" borderId="0" xfId="0" applyFill="1" applyAlignment="1">
      <alignment vertical="center"/>
    </xf>
    <xf numFmtId="0" fontId="8" fillId="19" borderId="20" xfId="0" applyFont="1" applyFill="1" applyBorder="1" applyAlignment="1">
      <alignment vertical="center"/>
    </xf>
    <xf numFmtId="0" fontId="28" fillId="0" borderId="20" xfId="0" applyFont="1" applyBorder="1" applyAlignment="1">
      <alignment vertical="center"/>
    </xf>
    <xf numFmtId="0" fontId="28" fillId="18" borderId="20" xfId="0" applyFont="1" applyFill="1" applyBorder="1" applyAlignment="1">
      <alignment vertical="center"/>
    </xf>
    <xf numFmtId="0" fontId="0" fillId="16" borderId="1" xfId="0" applyFill="1" applyBorder="1" applyAlignment="1">
      <alignment horizontal="center"/>
    </xf>
    <xf numFmtId="0" fontId="0" fillId="0" borderId="1" xfId="0" applyBorder="1" applyAlignment="1">
      <alignment horizontal="left"/>
    </xf>
    <xf numFmtId="0" fontId="0" fillId="0" borderId="4" xfId="0" applyBorder="1" applyAlignment="1">
      <alignment horizontal="center"/>
    </xf>
    <xf numFmtId="0" fontId="0" fillId="0" borderId="6" xfId="0" applyBorder="1" applyAlignment="1">
      <alignment horizontal="center"/>
    </xf>
    <xf numFmtId="0" fontId="8" fillId="15" borderId="1" xfId="0" applyFont="1" applyFill="1" applyBorder="1" applyAlignment="1">
      <alignment horizontal="center"/>
    </xf>
    <xf numFmtId="0" fontId="8" fillId="12" borderId="1" xfId="0" applyFont="1" applyFill="1" applyBorder="1" applyAlignment="1">
      <alignment horizontal="left"/>
    </xf>
    <xf numFmtId="0" fontId="8" fillId="13" borderId="1" xfId="0" applyFont="1" applyFill="1" applyBorder="1" applyAlignment="1">
      <alignment horizontal="left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0" fillId="0" borderId="6" xfId="0" applyBorder="1" applyAlignment="1">
      <alignment horizontal="left"/>
    </xf>
    <xf numFmtId="10" fontId="0" fillId="0" borderId="1" xfId="0" applyNumberFormat="1" applyBorder="1" applyAlignment="1">
      <alignment horizontal="center"/>
    </xf>
    <xf numFmtId="0" fontId="5" fillId="0" borderId="0" xfId="0" applyFont="1" applyAlignment="1">
      <alignment horizontal="right"/>
    </xf>
    <xf numFmtId="0" fontId="2" fillId="0" borderId="9" xfId="0" applyFont="1" applyBorder="1" applyAlignment="1">
      <alignment horizontal="right"/>
    </xf>
    <xf numFmtId="0" fontId="15" fillId="10" borderId="10" xfId="0" applyFont="1" applyFill="1" applyBorder="1" applyAlignment="1">
      <alignment horizontal="center" vertical="center" wrapText="1"/>
    </xf>
    <xf numFmtId="0" fontId="15" fillId="10" borderId="0" xfId="0" applyFont="1" applyFill="1" applyAlignment="1">
      <alignment horizontal="center" vertical="center" wrapText="1"/>
    </xf>
    <xf numFmtId="0" fontId="16" fillId="14" borderId="10" xfId="0" applyFont="1" applyFill="1" applyBorder="1" applyAlignment="1">
      <alignment horizontal="center" wrapText="1"/>
    </xf>
    <xf numFmtId="0" fontId="16" fillId="14" borderId="0" xfId="0" applyFont="1" applyFill="1" applyAlignment="1">
      <alignment horizontal="center" wrapText="1"/>
    </xf>
    <xf numFmtId="0" fontId="26" fillId="11" borderId="10" xfId="0" applyFont="1" applyFill="1" applyBorder="1" applyAlignment="1">
      <alignment horizontal="center" wrapText="1"/>
    </xf>
    <xf numFmtId="0" fontId="26" fillId="11" borderId="0" xfId="0" applyFont="1" applyFill="1" applyAlignment="1">
      <alignment horizontal="center" wrapText="1"/>
    </xf>
    <xf numFmtId="0" fontId="17" fillId="0" borderId="10" xfId="0" applyFont="1" applyBorder="1" applyAlignment="1">
      <alignment horizontal="left" vertical="center" wrapText="1"/>
    </xf>
    <xf numFmtId="0" fontId="17" fillId="0" borderId="0" xfId="0" applyFont="1" applyAlignment="1">
      <alignment horizontal="left" vertical="center" wrapText="1"/>
    </xf>
    <xf numFmtId="0" fontId="27" fillId="15" borderId="4" xfId="0" applyFont="1" applyFill="1" applyBorder="1" applyAlignment="1">
      <alignment horizontal="center" vertical="center" wrapText="1"/>
    </xf>
    <xf numFmtId="0" fontId="27" fillId="15" borderId="6" xfId="0" applyFont="1" applyFill="1" applyBorder="1" applyAlignment="1">
      <alignment horizontal="center" vertical="center" wrapText="1"/>
    </xf>
    <xf numFmtId="0" fontId="18" fillId="2" borderId="1" xfId="0" applyFont="1" applyFill="1" applyBorder="1" applyAlignment="1">
      <alignment horizontal="center" wrapText="1"/>
    </xf>
    <xf numFmtId="3" fontId="18" fillId="2" borderId="1" xfId="0" applyNumberFormat="1" applyFont="1" applyFill="1" applyBorder="1" applyAlignment="1">
      <alignment horizontal="center" wrapText="1"/>
    </xf>
    <xf numFmtId="0" fontId="26" fillId="13" borderId="1" xfId="0" applyFont="1" applyFill="1" applyBorder="1" applyAlignment="1">
      <alignment horizontal="center" vertical="center" wrapText="1"/>
    </xf>
    <xf numFmtId="0" fontId="27" fillId="15" borderId="1" xfId="0" applyFont="1" applyFill="1" applyBorder="1" applyAlignment="1">
      <alignment horizontal="center" vertical="center" wrapText="1"/>
    </xf>
    <xf numFmtId="10" fontId="0" fillId="0" borderId="4" xfId="0" applyNumberFormat="1" applyBorder="1" applyAlignment="1">
      <alignment horizontal="center"/>
    </xf>
    <xf numFmtId="10" fontId="0" fillId="0" borderId="6" xfId="0" applyNumberFormat="1" applyBorder="1" applyAlignment="1">
      <alignment horizontal="center"/>
    </xf>
    <xf numFmtId="0" fontId="4" fillId="9" borderId="4" xfId="0" applyFont="1" applyFill="1" applyBorder="1" applyAlignment="1">
      <alignment horizontal="center" vertical="top" wrapText="1"/>
    </xf>
    <xf numFmtId="0" fontId="4" fillId="9" borderId="5" xfId="0" applyFont="1" applyFill="1" applyBorder="1" applyAlignment="1">
      <alignment horizontal="center" vertical="top" wrapText="1"/>
    </xf>
    <xf numFmtId="0" fontId="4" fillId="9" borderId="6" xfId="0" applyFont="1" applyFill="1" applyBorder="1" applyAlignment="1">
      <alignment horizontal="center" vertical="top" wrapText="1"/>
    </xf>
    <xf numFmtId="0" fontId="0" fillId="0" borderId="1" xfId="0" applyBorder="1" applyAlignment="1">
      <alignment horizontal="center"/>
    </xf>
    <xf numFmtId="9" fontId="0" fillId="2" borderId="1" xfId="0" applyNumberFormat="1" applyFill="1" applyBorder="1" applyAlignment="1">
      <alignment horizontal="center"/>
    </xf>
    <xf numFmtId="0" fontId="8" fillId="15" borderId="16" xfId="0" applyFont="1" applyFill="1" applyBorder="1" applyAlignment="1">
      <alignment horizontal="center"/>
    </xf>
    <xf numFmtId="0" fontId="1" fillId="16" borderId="1" xfId="0" applyFont="1" applyFill="1" applyBorder="1" applyAlignment="1">
      <alignment horizontal="left"/>
    </xf>
    <xf numFmtId="0" fontId="8" fillId="15" borderId="4" xfId="0" applyFont="1" applyFill="1" applyBorder="1" applyAlignment="1">
      <alignment horizontal="left"/>
    </xf>
    <xf numFmtId="0" fontId="8" fillId="15" borderId="5" xfId="0" applyFont="1" applyFill="1" applyBorder="1" applyAlignment="1">
      <alignment horizontal="left"/>
    </xf>
    <xf numFmtId="0" fontId="8" fillId="15" borderId="6" xfId="0" applyFont="1" applyFill="1" applyBorder="1" applyAlignment="1">
      <alignment horizontal="left"/>
    </xf>
    <xf numFmtId="0" fontId="6" fillId="2" borderId="4" xfId="0" applyFont="1" applyFill="1" applyBorder="1" applyAlignment="1">
      <alignment horizontal="left" vertical="center" wrapText="1"/>
    </xf>
    <xf numFmtId="0" fontId="6" fillId="2" borderId="5" xfId="0" applyFont="1" applyFill="1" applyBorder="1" applyAlignment="1">
      <alignment horizontal="left" vertical="center" wrapText="1"/>
    </xf>
    <xf numFmtId="0" fontId="6" fillId="2" borderId="6" xfId="0" applyFont="1" applyFill="1" applyBorder="1" applyAlignment="1">
      <alignment horizontal="left" vertical="center" wrapText="1"/>
    </xf>
    <xf numFmtId="0" fontId="8" fillId="15" borderId="1" xfId="0" applyFont="1" applyFill="1" applyBorder="1" applyAlignment="1">
      <alignment horizontal="left"/>
    </xf>
    <xf numFmtId="0" fontId="0" fillId="2" borderId="1" xfId="0" applyFill="1" applyBorder="1" applyAlignment="1">
      <alignment horizontal="center"/>
    </xf>
    <xf numFmtId="0" fontId="0" fillId="2" borderId="1" xfId="0" applyFill="1" applyBorder="1" applyAlignment="1">
      <alignment horizontal="left"/>
    </xf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1" fillId="16" borderId="4" xfId="0" applyFont="1" applyFill="1" applyBorder="1" applyAlignment="1">
      <alignment horizontal="center"/>
    </xf>
    <xf numFmtId="0" fontId="0" fillId="16" borderId="6" xfId="0" applyFill="1" applyBorder="1" applyAlignment="1">
      <alignment horizontal="center"/>
    </xf>
    <xf numFmtId="0" fontId="0" fillId="0" borderId="1" xfId="0" applyBorder="1"/>
    <xf numFmtId="0" fontId="4" fillId="17" borderId="0" xfId="0" applyFont="1" applyFill="1" applyAlignment="1">
      <alignment horizontal="center" vertical="top" wrapText="1"/>
    </xf>
    <xf numFmtId="16" fontId="8" fillId="12" borderId="1" xfId="0" applyNumberFormat="1" applyFont="1" applyFill="1" applyBorder="1" applyAlignment="1">
      <alignment horizontal="center"/>
    </xf>
    <xf numFmtId="0" fontId="8" fillId="12" borderId="1" xfId="0" applyFont="1" applyFill="1" applyBorder="1" applyAlignment="1">
      <alignment horizontal="center"/>
    </xf>
    <xf numFmtId="0" fontId="8" fillId="13" borderId="1" xfId="0" applyFont="1" applyFill="1" applyBorder="1" applyAlignment="1">
      <alignment horizontal="center"/>
    </xf>
    <xf numFmtId="0" fontId="1" fillId="16" borderId="1" xfId="0" applyFont="1" applyFill="1" applyBorder="1"/>
    <xf numFmtId="0" fontId="0" fillId="16" borderId="1" xfId="0" applyFill="1" applyBorder="1"/>
    <xf numFmtId="0" fontId="4" fillId="17" borderId="2" xfId="0" applyFont="1" applyFill="1" applyBorder="1" applyAlignment="1">
      <alignment horizontal="center" vertical="top" wrapText="1"/>
    </xf>
    <xf numFmtId="0" fontId="1" fillId="16" borderId="8" xfId="0" applyFont="1" applyFill="1" applyBorder="1" applyAlignment="1">
      <alignment horizontal="left"/>
    </xf>
    <xf numFmtId="0" fontId="0" fillId="0" borderId="7" xfId="0" applyBorder="1" applyAlignment="1">
      <alignment horizontal="left"/>
    </xf>
    <xf numFmtId="0" fontId="4" fillId="17" borderId="3" xfId="0" applyFont="1" applyFill="1" applyBorder="1" applyAlignment="1">
      <alignment horizontal="center" vertical="top" wrapText="1"/>
    </xf>
    <xf numFmtId="0" fontId="4" fillId="17" borderId="13" xfId="0" applyFont="1" applyFill="1" applyBorder="1" applyAlignment="1">
      <alignment horizontal="center" vertical="top" wrapText="1"/>
    </xf>
    <xf numFmtId="0" fontId="4" fillId="17" borderId="14" xfId="0" applyFont="1" applyFill="1" applyBorder="1" applyAlignment="1">
      <alignment horizontal="center" vertical="top" wrapText="1"/>
    </xf>
    <xf numFmtId="0" fontId="0" fillId="0" borderId="0" xfId="0" applyAlignment="1">
      <alignment horizontal="center"/>
    </xf>
    <xf numFmtId="0" fontId="8" fillId="15" borderId="4" xfId="0" applyFont="1" applyFill="1" applyBorder="1" applyAlignment="1">
      <alignment horizontal="center" wrapText="1"/>
    </xf>
    <xf numFmtId="0" fontId="25" fillId="15" borderId="5" xfId="0" applyFont="1" applyFill="1" applyBorder="1" applyAlignment="1">
      <alignment wrapText="1"/>
    </xf>
    <xf numFmtId="0" fontId="25" fillId="15" borderId="6" xfId="0" applyFont="1" applyFill="1" applyBorder="1" applyAlignment="1">
      <alignment wrapText="1"/>
    </xf>
    <xf numFmtId="0" fontId="1" fillId="0" borderId="1" xfId="0" applyFont="1" applyBorder="1" applyAlignment="1">
      <alignment vertical="center" wrapText="1"/>
    </xf>
    <xf numFmtId="0" fontId="7" fillId="3" borderId="0" xfId="0" applyFont="1" applyFill="1" applyAlignment="1">
      <alignment horizontal="center" vertical="center"/>
    </xf>
    <xf numFmtId="0" fontId="1" fillId="16" borderId="4" xfId="0" applyFont="1" applyFill="1" applyBorder="1" applyAlignment="1">
      <alignment horizontal="left"/>
    </xf>
    <xf numFmtId="0" fontId="1" fillId="16" borderId="5" xfId="0" applyFont="1" applyFill="1" applyBorder="1" applyAlignment="1">
      <alignment horizontal="left"/>
    </xf>
    <xf numFmtId="0" fontId="1" fillId="16" borderId="6" xfId="0" applyFont="1" applyFill="1" applyBorder="1" applyAlignment="1">
      <alignment horizontal="left"/>
    </xf>
    <xf numFmtId="0" fontId="1" fillId="2" borderId="1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1" fillId="2" borderId="23" xfId="0" applyFont="1" applyFill="1" applyBorder="1" applyAlignment="1">
      <alignment horizontal="center"/>
    </xf>
  </cellXfs>
  <cellStyles count="3">
    <cellStyle name="Hyperlink" xfId="1" builtinId="8"/>
    <cellStyle name="Normal" xfId="0" builtinId="0"/>
    <cellStyle name="Percent" xfId="2" builtinId="5"/>
  </cellStyles>
  <dxfs count="142"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164" formatCode="yyyy/mm/dd"/>
      <alignment horizontal="general" vertical="center" textRotation="0" wrapText="0" indent="0" justifyLastLine="0" shrinkToFit="0" readingOrder="0"/>
    </dxf>
    <dxf>
      <numFmt numFmtId="164" formatCode="yyyy/mm/dd"/>
      <alignment horizontal="general" vertical="center" textRotation="0" wrapText="0" indent="0" justifyLastLine="0" shrinkToFit="0" readingOrder="0"/>
    </dxf>
    <dxf>
      <numFmt numFmtId="164" formatCode="yyyy/mm/dd"/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164" formatCode="yyyy/mm/dd"/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164" formatCode="yyyy/mm/dd"/>
      <alignment horizontal="general" vertical="center" textRotation="0" wrapText="0" indent="0" justifyLastLine="0" shrinkToFit="0" readingOrder="0"/>
    </dxf>
    <dxf>
      <numFmt numFmtId="164" formatCode="yyyy/mm/dd"/>
      <alignment horizontal="general" vertical="center" textRotation="0" wrapText="0" indent="0" justifyLastLine="0" shrinkToFit="0" readingOrder="0"/>
    </dxf>
    <dxf>
      <numFmt numFmtId="164" formatCode="yyyy/mm/dd"/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19" formatCode="m/d/yyyy"/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164" formatCode="yyyy/mm/dd"/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164" formatCode="yyyy/mm/dd"/>
      <alignment horizontal="general" vertical="center" textRotation="0" wrapText="0" indent="0" justifyLastLine="0" shrinkToFit="0" readingOrder="0"/>
    </dxf>
    <dxf>
      <numFmt numFmtId="164" formatCode="yyyy/mm/dd"/>
      <alignment horizontal="general" vertical="center" textRotation="0" wrapText="0" indent="0" justifyLastLine="0" shrinkToFit="0" readingOrder="0"/>
    </dxf>
    <dxf>
      <numFmt numFmtId="164" formatCode="yyyy/mm/dd"/>
      <alignment horizontal="general" vertical="center" textRotation="0" wrapText="0" indent="0" justifyLastLine="0" shrinkToFit="0" readingOrder="0"/>
    </dxf>
    <dxf>
      <numFmt numFmtId="164" formatCode="yyyy/mm/dd"/>
      <alignment horizontal="general" vertical="center" textRotation="0" wrapText="0" indent="0" justifyLastLine="0" shrinkToFit="0" readingOrder="0"/>
    </dxf>
    <dxf>
      <numFmt numFmtId="164" formatCode="yyyy/mm/dd"/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19" formatCode="m/d/yyyy"/>
    </dxf>
    <dxf>
      <numFmt numFmtId="1" formatCode="0"/>
    </dxf>
    <dxf>
      <numFmt numFmtId="19" formatCode="m/d/yyyy"/>
    </dxf>
    <dxf>
      <numFmt numFmtId="19" formatCode="m/d/yyyy"/>
    </dxf>
    <dxf>
      <numFmt numFmtId="19" formatCode="m/d/yyyy"/>
    </dxf>
    <dxf>
      <numFmt numFmtId="19" formatCode="m/d/yyyy"/>
    </dxf>
    <dxf>
      <numFmt numFmtId="19" formatCode="m/d/yyyy"/>
    </dxf>
  </dxfs>
  <tableStyles count="0" defaultTableStyle="TableStyleMedium2" defaultPivotStyle="PivotStyleLight16"/>
  <colors>
    <mruColors>
      <color rgb="FFFF0000"/>
      <color rgb="FF2B8000"/>
      <color rgb="FF4B286D"/>
      <color rgb="FFD8D8D8"/>
      <color rgb="FF71757B"/>
      <color rgb="FF2A2C2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4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3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pivotCacheDefinition" Target="pivotCache/pivotCacheDefinition1.xml"/><Relationship Id="rId19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theme" Target="theme/them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sng" strike="noStrike" baseline="0">
                <a:solidFill>
                  <a:srgbClr val="000000"/>
                </a:solidFill>
                <a:latin typeface="+mn-lt"/>
                <a:ea typeface="Arial"/>
                <a:cs typeface="Arial"/>
              </a:defRPr>
            </a:pPr>
            <a:r>
              <a:rPr lang="en-US">
                <a:latin typeface="+mn-lt"/>
              </a:rPr>
              <a:t>Call</a:t>
            </a:r>
            <a:r>
              <a:rPr lang="en-US" baseline="0">
                <a:latin typeface="+mn-lt"/>
              </a:rPr>
              <a:t> Center/Web Metrics</a:t>
            </a:r>
            <a:r>
              <a:rPr lang="en-US">
                <a:latin typeface="+mn-lt"/>
              </a:rPr>
              <a:t>  </a:t>
            </a:r>
          </a:p>
        </c:rich>
      </c:tx>
      <c:layout>
        <c:manualLayout>
          <c:xMode val="edge"/>
          <c:yMode val="edge"/>
          <c:x val="0.34597551490096212"/>
          <c:y val="2.588667214144244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358539418026062"/>
          <c:y val="0.18451622118663738"/>
          <c:w val="0.87401830522199608"/>
          <c:h val="0.539381862981413"/>
        </c:manualLayout>
      </c:layout>
      <c:barChart>
        <c:barDir val="col"/>
        <c:grouping val="clustered"/>
        <c:varyColors val="0"/>
        <c:ser>
          <c:idx val="1"/>
          <c:order val="0"/>
          <c:tx>
            <c:v>Target Met</c:v>
          </c:tx>
          <c:spPr>
            <a:solidFill>
              <a:srgbClr val="002060"/>
            </a:solidFill>
          </c:spPr>
          <c:invertIfNegative val="0"/>
          <c:dPt>
            <c:idx val="0"/>
            <c:invertIfNegative val="0"/>
            <c:bubble3D val="0"/>
            <c:spPr>
              <a:solidFill>
                <a:srgbClr val="4B286D"/>
              </a:solidFill>
            </c:spPr>
            <c:extLst>
              <c:ext xmlns:c16="http://schemas.microsoft.com/office/drawing/2014/chart" uri="{C3380CC4-5D6E-409C-BE32-E72D297353CC}">
                <c16:uniqueId val="{00000000-9A61-4790-9B54-214284661651}"/>
              </c:ext>
            </c:extLst>
          </c:dPt>
          <c:dPt>
            <c:idx val="1"/>
            <c:invertIfNegative val="0"/>
            <c:bubble3D val="0"/>
            <c:spPr>
              <a:solidFill>
                <a:srgbClr val="4B286D"/>
              </a:solidFill>
            </c:spPr>
            <c:extLst>
              <c:ext xmlns:c16="http://schemas.microsoft.com/office/drawing/2014/chart" uri="{C3380CC4-5D6E-409C-BE32-E72D297353CC}">
                <c16:uniqueId val="{00000008-C626-4F84-BFE2-52C579CDBAEE}"/>
              </c:ext>
            </c:extLst>
          </c:dPt>
          <c:dPt>
            <c:idx val="2"/>
            <c:invertIfNegative val="0"/>
            <c:bubble3D val="0"/>
            <c:spPr>
              <a:solidFill>
                <a:srgbClr val="4B286D"/>
              </a:solidFill>
            </c:spPr>
            <c:extLst>
              <c:ext xmlns:c16="http://schemas.microsoft.com/office/drawing/2014/chart" uri="{C3380CC4-5D6E-409C-BE32-E72D297353CC}">
                <c16:uniqueId val="{00000001-9A61-4790-9B54-214284661651}"/>
              </c:ext>
            </c:extLst>
          </c:dPt>
          <c:dPt>
            <c:idx val="4"/>
            <c:invertIfNegative val="0"/>
            <c:bubble3D val="0"/>
            <c:spPr>
              <a:solidFill>
                <a:srgbClr val="2B8000"/>
              </a:solidFill>
            </c:spPr>
            <c:extLst>
              <c:ext xmlns:c16="http://schemas.microsoft.com/office/drawing/2014/chart" uri="{C3380CC4-5D6E-409C-BE32-E72D297353CC}">
                <c16:uniqueId val="{00000007-E0DA-49FD-8A87-055DC6B72FE4}"/>
              </c:ext>
            </c:extLst>
          </c:dPt>
          <c:dPt>
            <c:idx val="5"/>
            <c:invertIfNegative val="0"/>
            <c:bubble3D val="0"/>
            <c:spPr>
              <a:solidFill>
                <a:srgbClr val="2B8000"/>
              </a:solidFill>
            </c:spPr>
            <c:extLst>
              <c:ext xmlns:c16="http://schemas.microsoft.com/office/drawing/2014/chart" uri="{C3380CC4-5D6E-409C-BE32-E72D297353CC}">
                <c16:uniqueId val="{00000003-9A61-4790-9B54-214284661651}"/>
              </c:ext>
            </c:extLst>
          </c:dPt>
          <c:dPt>
            <c:idx val="6"/>
            <c:invertIfNegative val="0"/>
            <c:bubble3D val="0"/>
            <c:spPr>
              <a:solidFill>
                <a:srgbClr val="2B8000"/>
              </a:solidFill>
            </c:spPr>
            <c:extLst>
              <c:ext xmlns:c16="http://schemas.microsoft.com/office/drawing/2014/chart" uri="{C3380CC4-5D6E-409C-BE32-E72D297353CC}">
                <c16:uniqueId val="{0000000B-E0DA-49FD-8A87-055DC6B72FE4}"/>
              </c:ext>
            </c:extLst>
          </c:dPt>
          <c:cat>
            <c:strLit>
              <c:ptCount val="8"/>
              <c:pt idx="0">
                <c:v>% call W/I 30sec</c:v>
              </c:pt>
              <c:pt idx="1">
                <c:v>IVR Avl</c:v>
              </c:pt>
              <c:pt idx="2">
                <c:v>Web Avl</c:v>
              </c:pt>
              <c:pt idx="3">
                <c:v>Call Aban</c:v>
              </c:pt>
              <c:pt idx="4">
                <c:v>YTD % call w/I 30 sec</c:v>
              </c:pt>
              <c:pt idx="5">
                <c:v>YTD IVR Avl</c:v>
              </c:pt>
              <c:pt idx="6">
                <c:v>YTD Web Avl</c:v>
              </c:pt>
              <c:pt idx="7">
                <c:v>YTD Call Aban</c:v>
              </c:pt>
            </c:strLit>
          </c:cat>
          <c:val>
            <c:numRef>
              <c:f>('Target Summary Dashboard'!$H$18:$H$21,'Target Summary Dashboard'!$H$24:$H$27)</c:f>
              <c:numCache>
                <c:formatCode>0.00%</c:formatCode>
                <c:ptCount val="8"/>
                <c:pt idx="0">
                  <c:v>0.99193548387096775</c:v>
                </c:pt>
                <c:pt idx="1">
                  <c:v>1</c:v>
                </c:pt>
                <c:pt idx="2">
                  <c:v>0.93546544831524847</c:v>
                </c:pt>
                <c:pt idx="3">
                  <c:v>0</c:v>
                </c:pt>
                <c:pt idx="4">
                  <c:v>0.98913043478260865</c:v>
                </c:pt>
                <c:pt idx="5">
                  <c:v>1</c:v>
                </c:pt>
                <c:pt idx="6">
                  <c:v>0.9651703281509687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8A9-4200-929C-B27E8F9C3C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4701312"/>
        <c:axId val="144732160"/>
      </c:barChart>
      <c:lineChart>
        <c:grouping val="standard"/>
        <c:varyColors val="0"/>
        <c:ser>
          <c:idx val="0"/>
          <c:order val="1"/>
          <c:tx>
            <c:v>Target</c:v>
          </c:tx>
          <c:marker>
            <c:symbol val="diamond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cat>
            <c:strLit>
              <c:ptCount val="7"/>
              <c:pt idx="0">
                <c:v>% call w/I 30sec</c:v>
              </c:pt>
              <c:pt idx="1">
                <c:v>IVR Avl</c:v>
              </c:pt>
              <c:pt idx="2">
                <c:v>Web Avl</c:v>
              </c:pt>
              <c:pt idx="3">
                <c:v>YTD % call w/I 30sec </c:v>
              </c:pt>
              <c:pt idx="4">
                <c:v>Call Aban</c:v>
              </c:pt>
              <c:pt idx="5">
                <c:v>YTD IVR Avl</c:v>
              </c:pt>
              <c:pt idx="6">
                <c:v>YTD Web Avl</c:v>
              </c:pt>
            </c:strLit>
          </c:cat>
          <c:val>
            <c:numRef>
              <c:f>('Target Summary Dashboard'!$H$18:$H$21,'Target Summary Dashboard'!$H$24:$H$27)</c:f>
              <c:numCache>
                <c:formatCode>0.00%</c:formatCode>
                <c:ptCount val="8"/>
                <c:pt idx="0">
                  <c:v>0.99193548387096775</c:v>
                </c:pt>
                <c:pt idx="1">
                  <c:v>1</c:v>
                </c:pt>
                <c:pt idx="2">
                  <c:v>0.93546544831524847</c:v>
                </c:pt>
                <c:pt idx="3">
                  <c:v>0</c:v>
                </c:pt>
                <c:pt idx="4">
                  <c:v>0.98913043478260865</c:v>
                </c:pt>
                <c:pt idx="5">
                  <c:v>1</c:v>
                </c:pt>
                <c:pt idx="6">
                  <c:v>0.9651703281509687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48A9-4200-929C-B27E8F9C3C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4733696"/>
        <c:axId val="144735232"/>
      </c:lineChart>
      <c:catAx>
        <c:axId val="144701312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4732160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44732160"/>
        <c:scaling>
          <c:orientation val="minMax"/>
          <c:max val="1"/>
          <c:min val="0.5"/>
        </c:scaling>
        <c:delete val="0"/>
        <c:axPos val="l"/>
        <c:numFmt formatCode="0%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4701312"/>
        <c:crosses val="autoZero"/>
        <c:crossBetween val="between"/>
        <c:majorUnit val="0.1"/>
      </c:valAx>
      <c:catAx>
        <c:axId val="14473369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44735232"/>
        <c:crosses val="autoZero"/>
        <c:auto val="0"/>
        <c:lblAlgn val="ctr"/>
        <c:lblOffset val="100"/>
        <c:noMultiLvlLbl val="0"/>
      </c:catAx>
      <c:valAx>
        <c:axId val="144735232"/>
        <c:scaling>
          <c:orientation val="minMax"/>
        </c:scaling>
        <c:delete val="1"/>
        <c:axPos val="l"/>
        <c:numFmt formatCode="0.00%" sourceLinked="1"/>
        <c:majorTickMark val="out"/>
        <c:minorTickMark val="none"/>
        <c:tickLblPos val="nextTo"/>
        <c:crossAx val="144733696"/>
        <c:crosses val="autoZero"/>
        <c:crossBetween val="between"/>
      </c:valAx>
      <c:spPr>
        <a:solidFill>
          <a:srgbClr val="C0C0C0"/>
        </a:solidFill>
        <a:ln w="12700">
          <a:solidFill>
            <a:srgbClr val="7FABD2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10365763481188668"/>
          <c:y val="0.8812823857140557"/>
          <c:w val="0.87200707489371676"/>
          <c:h val="0.1119198750462940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sng" strike="noStrike" baseline="0">
                <a:solidFill>
                  <a:srgbClr val="000000"/>
                </a:solidFill>
                <a:latin typeface="+mn-lt"/>
                <a:ea typeface="Arial"/>
                <a:cs typeface="Arial"/>
              </a:defRPr>
            </a:pPr>
            <a:r>
              <a:rPr lang="en-US">
                <a:latin typeface="+mn-lt"/>
              </a:rPr>
              <a:t>Case</a:t>
            </a:r>
            <a:r>
              <a:rPr lang="en-US" baseline="0">
                <a:latin typeface="+mn-lt"/>
              </a:rPr>
              <a:t> Mangement Resolved</a:t>
            </a:r>
            <a:r>
              <a:rPr lang="en-US">
                <a:latin typeface="+mn-lt"/>
              </a:rPr>
              <a:t> </a:t>
            </a:r>
          </a:p>
        </c:rich>
      </c:tx>
      <c:layout>
        <c:manualLayout>
          <c:xMode val="edge"/>
          <c:yMode val="edge"/>
          <c:x val="0.34173617946194224"/>
          <c:y val="1.552364244624862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358539418026062"/>
          <c:y val="0.18451622118663738"/>
          <c:w val="0.87401830522199608"/>
          <c:h val="0.539381862981413"/>
        </c:manualLayout>
      </c:layout>
      <c:barChart>
        <c:barDir val="col"/>
        <c:grouping val="clustered"/>
        <c:varyColors val="0"/>
        <c:ser>
          <c:idx val="1"/>
          <c:order val="0"/>
          <c:tx>
            <c:v>Target Met</c:v>
          </c:tx>
          <c:spPr>
            <a:solidFill>
              <a:srgbClr val="002060"/>
            </a:solidFill>
          </c:spPr>
          <c:invertIfNegative val="0"/>
          <c:dPt>
            <c:idx val="0"/>
            <c:invertIfNegative val="0"/>
            <c:bubble3D val="0"/>
            <c:spPr>
              <a:solidFill>
                <a:srgbClr val="4B286D"/>
              </a:solidFill>
            </c:spPr>
            <c:extLst>
              <c:ext xmlns:c16="http://schemas.microsoft.com/office/drawing/2014/chart" uri="{C3380CC4-5D6E-409C-BE32-E72D297353CC}">
                <c16:uniqueId val="{00000000-8BF1-431D-9859-7DD9016FC391}"/>
              </c:ext>
            </c:extLst>
          </c:dPt>
          <c:dPt>
            <c:idx val="1"/>
            <c:invertIfNegative val="0"/>
            <c:bubble3D val="0"/>
            <c:spPr>
              <a:solidFill>
                <a:srgbClr val="4B286D"/>
              </a:solidFill>
            </c:spPr>
            <c:extLst>
              <c:ext xmlns:c16="http://schemas.microsoft.com/office/drawing/2014/chart" uri="{C3380CC4-5D6E-409C-BE32-E72D297353CC}">
                <c16:uniqueId val="{00000001-8BF1-431D-9859-7DD9016FC391}"/>
              </c:ext>
            </c:extLst>
          </c:dPt>
          <c:dPt>
            <c:idx val="2"/>
            <c:invertIfNegative val="0"/>
            <c:bubble3D val="0"/>
            <c:spPr>
              <a:solidFill>
                <a:srgbClr val="2B8000"/>
              </a:solidFill>
            </c:spPr>
            <c:extLst>
              <c:ext xmlns:c16="http://schemas.microsoft.com/office/drawing/2014/chart" uri="{C3380CC4-5D6E-409C-BE32-E72D297353CC}">
                <c16:uniqueId val="{00000002-8BF1-431D-9859-7DD9016FC391}"/>
              </c:ext>
            </c:extLst>
          </c:dPt>
          <c:dPt>
            <c:idx val="3"/>
            <c:invertIfNegative val="0"/>
            <c:bubble3D val="0"/>
            <c:spPr>
              <a:solidFill>
                <a:srgbClr val="2B8000"/>
              </a:solidFill>
            </c:spPr>
            <c:extLst>
              <c:ext xmlns:c16="http://schemas.microsoft.com/office/drawing/2014/chart" uri="{C3380CC4-5D6E-409C-BE32-E72D297353CC}">
                <c16:uniqueId val="{00000003-8BF1-431D-9859-7DD9016FC391}"/>
              </c:ext>
            </c:extLst>
          </c:dPt>
          <c:cat>
            <c:strLit>
              <c:ptCount val="4"/>
              <c:pt idx="0">
                <c:v>SR in 1D</c:v>
              </c:pt>
              <c:pt idx="1">
                <c:v>SR in &gt;1D</c:v>
              </c:pt>
              <c:pt idx="2">
                <c:v>YTD SR in 1D</c:v>
              </c:pt>
              <c:pt idx="3">
                <c:v>YTD SR in &gt;1D</c:v>
              </c:pt>
            </c:strLit>
          </c:cat>
          <c:val>
            <c:numRef>
              <c:f>('Target Summary Dashboard'!$G$33:$G$34,'Target Summary Dashboard'!$G$37:$G$38)</c:f>
              <c:numCache>
                <c:formatCode>0.00%</c:formatCode>
                <c:ptCount val="4"/>
                <c:pt idx="0">
                  <c:v>0.92638036809815949</c:v>
                </c:pt>
                <c:pt idx="1">
                  <c:v>1</c:v>
                </c:pt>
                <c:pt idx="2">
                  <c:v>0.8571428571428571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E8A-41B1-8CA3-1948C9DAD4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4701312"/>
        <c:axId val="144732160"/>
      </c:barChart>
      <c:lineChart>
        <c:grouping val="standard"/>
        <c:varyColors val="0"/>
        <c:ser>
          <c:idx val="0"/>
          <c:order val="1"/>
          <c:tx>
            <c:v>Target</c:v>
          </c:tx>
          <c:marker>
            <c:symbol val="diamond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cat>
            <c:strLit>
              <c:ptCount val="4"/>
              <c:pt idx="0">
                <c:v>SR in 1D</c:v>
              </c:pt>
              <c:pt idx="1">
                <c:v>SR in &gt;1D</c:v>
              </c:pt>
              <c:pt idx="2">
                <c:v>YTD SR in 1D</c:v>
              </c:pt>
              <c:pt idx="3">
                <c:v>YTD SR in &gt;1D</c:v>
              </c:pt>
            </c:strLit>
          </c:cat>
          <c:val>
            <c:numRef>
              <c:f>('Target Summary Dashboard'!$G$33:$G$34,'Target Summary Dashboard'!$G$37:$G$38)</c:f>
              <c:numCache>
                <c:formatCode>0.00%</c:formatCode>
                <c:ptCount val="4"/>
                <c:pt idx="0">
                  <c:v>0.92638036809815949</c:v>
                </c:pt>
                <c:pt idx="1">
                  <c:v>1</c:v>
                </c:pt>
                <c:pt idx="2">
                  <c:v>0.8571428571428571</c:v>
                </c:pt>
                <c:pt idx="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E8A-41B1-8CA3-1948C9DAD4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4733696"/>
        <c:axId val="144735232"/>
      </c:lineChart>
      <c:catAx>
        <c:axId val="144701312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4732160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44732160"/>
        <c:scaling>
          <c:orientation val="minMax"/>
          <c:max val="1"/>
          <c:min val="0.5"/>
        </c:scaling>
        <c:delete val="0"/>
        <c:axPos val="l"/>
        <c:numFmt formatCode="0%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4701312"/>
        <c:crosses val="autoZero"/>
        <c:crossBetween val="between"/>
        <c:majorUnit val="0.1"/>
      </c:valAx>
      <c:catAx>
        <c:axId val="14473369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44735232"/>
        <c:crosses val="autoZero"/>
        <c:auto val="0"/>
        <c:lblAlgn val="ctr"/>
        <c:lblOffset val="100"/>
        <c:noMultiLvlLbl val="0"/>
      </c:catAx>
      <c:valAx>
        <c:axId val="144735232"/>
        <c:scaling>
          <c:orientation val="minMax"/>
        </c:scaling>
        <c:delete val="1"/>
        <c:axPos val="l"/>
        <c:numFmt formatCode="0.00%" sourceLinked="1"/>
        <c:majorTickMark val="out"/>
        <c:minorTickMark val="none"/>
        <c:tickLblPos val="nextTo"/>
        <c:crossAx val="144733696"/>
        <c:crosses val="autoZero"/>
        <c:crossBetween val="between"/>
      </c:valAx>
      <c:spPr>
        <a:solidFill>
          <a:srgbClr val="C0C0C0"/>
        </a:solidFill>
        <a:ln w="12700">
          <a:solidFill>
            <a:srgbClr val="7FABD2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10365763481188668"/>
          <c:y val="0.86329076741055033"/>
          <c:w val="0.87200707489371676"/>
          <c:h val="0.1299114683203459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sng" strike="noStrike" kern="1200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CA"/>
              <a:t>Overall SLAs</a:t>
            </a:r>
          </a:p>
        </c:rich>
      </c:tx>
      <c:layout>
        <c:manualLayout>
          <c:xMode val="edge"/>
          <c:yMode val="edge"/>
          <c:x val="0.33070866141732286"/>
          <c:y val="5.5172413793103448E-2"/>
        </c:manualLayout>
      </c:layout>
      <c:overlay val="0"/>
      <c:spPr>
        <a:noFill/>
        <a:ln w="25400"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sng" strike="noStrike" kern="1200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204724409448819"/>
          <c:y val="0.24138012318198809"/>
          <c:w val="0.86220472440944884"/>
          <c:h val="0.48965682131203297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'Target Summary Dashboard'!$I$8</c:f>
              <c:strCache>
                <c:ptCount val="1"/>
                <c:pt idx="0">
                  <c:v># of SLA's Met with Volumes</c:v>
                </c:pt>
              </c:strCache>
            </c:strRef>
          </c:tx>
          <c:spPr>
            <a:solidFill>
              <a:srgbClr val="00008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4B286D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3F37-4179-B989-903215397522}"/>
              </c:ext>
            </c:extLst>
          </c:dPt>
          <c:dPt>
            <c:idx val="1"/>
            <c:invertIfNegative val="0"/>
            <c:bubble3D val="0"/>
            <c:spPr>
              <a:solidFill>
                <a:srgbClr val="2B8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2B4-4011-9216-E9478C70F33B}"/>
              </c:ext>
            </c:extLst>
          </c:dPt>
          <c:cat>
            <c:strLit>
              <c:ptCount val="2"/>
              <c:pt idx="0">
                <c:v>Curr SLA Met</c:v>
              </c:pt>
              <c:pt idx="1">
                <c:v>YTD SLA Met</c:v>
              </c:pt>
            </c:strLit>
          </c:cat>
          <c:val>
            <c:numRef>
              <c:f>('Target Summary Dashboard'!$K$9,'Target Summary Dashboard'!$K$13)</c:f>
              <c:numCache>
                <c:formatCode>0.00%</c:formatCode>
                <c:ptCount val="2"/>
                <c:pt idx="0">
                  <c:v>0.88888888888888884</c:v>
                </c:pt>
                <c:pt idx="1">
                  <c:v>0.77777777777777779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2B4-4011-9216-E9478C70F3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14564168"/>
        <c:axId val="1"/>
      </c:barChart>
      <c:lineChart>
        <c:grouping val="standard"/>
        <c:varyColors val="0"/>
        <c:ser>
          <c:idx val="0"/>
          <c:order val="1"/>
          <c:tx>
            <c:v>STD</c:v>
          </c:tx>
          <c:spPr>
            <a:ln w="19050" cap="rnd" cmpd="sng" algn="ctr">
              <a:solidFill>
                <a:schemeClr val="accent1"/>
              </a:solidFill>
              <a:prstDash val="solid"/>
              <a:round/>
            </a:ln>
            <a:effectLst/>
          </c:spPr>
          <c:marker>
            <c:symbol val="diamond"/>
            <c:size val="5"/>
            <c:spPr>
              <a:solidFill>
                <a:schemeClr val="accent1"/>
              </a:solidFill>
              <a:ln w="6350" cap="flat" cmpd="sng" algn="ctr">
                <a:solidFill>
                  <a:schemeClr val="accent1"/>
                </a:solidFill>
                <a:prstDash val="solid"/>
                <a:round/>
              </a:ln>
              <a:effectLst/>
            </c:spPr>
          </c:marker>
          <c:cat>
            <c:strLit>
              <c:ptCount val="2"/>
              <c:pt idx="0">
                <c:v>Curr SLA Met</c:v>
              </c:pt>
              <c:pt idx="1">
                <c:v>YTD SLA Met</c:v>
              </c:pt>
            </c:strLit>
          </c:cat>
          <c:val>
            <c:numRef>
              <c:f>('Target Summary Dashboard'!$K$9,'Target Summary Dashboard'!$K$13)</c:f>
              <c:numCache>
                <c:formatCode>0.00%</c:formatCode>
                <c:ptCount val="2"/>
                <c:pt idx="0">
                  <c:v>0.88888888888888884</c:v>
                </c:pt>
                <c:pt idx="1">
                  <c:v>0.77777777777777779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2B4-4011-9216-E9478C70F3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"/>
        <c:axId val="4"/>
      </c:lineChart>
      <c:catAx>
        <c:axId val="2114564168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noFill/>
          <a:ln w="3175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600" b="0" i="0" u="none" strike="noStrike" kern="1200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ax val="1"/>
          <c:min val="0"/>
        </c:scaling>
        <c:delete val="0"/>
        <c:axPos val="l"/>
        <c:numFmt formatCode="0.00%" sourceLinked="1"/>
        <c:majorTickMark val="cross"/>
        <c:minorTickMark val="none"/>
        <c:tickLblPos val="nextTo"/>
        <c:spPr>
          <a:noFill/>
          <a:ln w="3175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600" b="0" i="0" u="none" strike="noStrike" kern="1200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14564168"/>
        <c:crosses val="autoZero"/>
        <c:crossBetween val="between"/>
        <c:majorUnit val="0.2"/>
      </c:valAx>
      <c:catAx>
        <c:axId val="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"/>
        <c:crosses val="autoZero"/>
        <c:auto val="0"/>
        <c:lblAlgn val="ctr"/>
        <c:lblOffset val="100"/>
        <c:noMultiLvlLbl val="0"/>
      </c:catAx>
      <c:valAx>
        <c:axId val="4"/>
        <c:scaling>
          <c:orientation val="minMax"/>
        </c:scaling>
        <c:delete val="1"/>
        <c:axPos val="l"/>
        <c:numFmt formatCode="0.00%" sourceLinked="1"/>
        <c:majorTickMark val="out"/>
        <c:minorTickMark val="none"/>
        <c:tickLblPos val="nextTo"/>
        <c:crossAx val="3"/>
        <c:crosses val="autoZero"/>
        <c:crossBetween val="between"/>
      </c:valAx>
      <c:spPr>
        <a:solidFill>
          <a:srgbClr val="C0C0C0"/>
        </a:solidFill>
        <a:ln w="12700">
          <a:solidFill>
            <a:srgbClr val="7FABD2"/>
          </a:solidFill>
          <a:prstDash val="solid"/>
        </a:ln>
        <a:effectLst/>
      </c:spPr>
    </c:plotArea>
    <c:legend>
      <c:legendPos val="r"/>
      <c:layout>
        <c:manualLayout>
          <c:xMode val="edge"/>
          <c:yMode val="edge"/>
          <c:x val="0.20500062561226079"/>
          <c:y val="0.86111208440945597"/>
          <c:w val="0.70000213623698804"/>
          <c:h val="0.1064816018355778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50" b="0" i="0" u="none" strike="noStrike" kern="1200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 cap="flat" cmpd="sng" algn="ctr">
      <a:solidFill>
        <a:srgbClr val="000000"/>
      </a:solidFill>
      <a:prstDash val="solid"/>
      <a:round/>
    </a:ln>
    <a:effectLst/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sng" strike="noStrike" baseline="0">
                <a:solidFill>
                  <a:srgbClr val="000000"/>
                </a:solidFill>
                <a:latin typeface="+mn-lt"/>
                <a:ea typeface="Arial"/>
                <a:cs typeface="Arial"/>
              </a:defRPr>
            </a:pPr>
            <a:r>
              <a:rPr lang="en-US">
                <a:latin typeface="+mn-lt"/>
              </a:rPr>
              <a:t>Data</a:t>
            </a:r>
            <a:r>
              <a:rPr lang="en-US" baseline="0">
                <a:latin typeface="+mn-lt"/>
              </a:rPr>
              <a:t> Transmission</a:t>
            </a:r>
            <a:endParaRPr lang="en-US">
              <a:latin typeface="+mn-lt"/>
            </a:endParaRPr>
          </a:p>
        </c:rich>
      </c:tx>
      <c:layout>
        <c:manualLayout>
          <c:xMode val="edge"/>
          <c:yMode val="edge"/>
          <c:x val="0.34173617946194224"/>
          <c:y val="1.552364244624862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358539418026062"/>
          <c:y val="0.18451622118663738"/>
          <c:w val="0.87401830522199608"/>
          <c:h val="0.539381862981413"/>
        </c:manualLayout>
      </c:layout>
      <c:barChart>
        <c:barDir val="col"/>
        <c:grouping val="clustered"/>
        <c:varyColors val="0"/>
        <c:ser>
          <c:idx val="1"/>
          <c:order val="0"/>
          <c:tx>
            <c:v>Target Met</c:v>
          </c:tx>
          <c:spPr>
            <a:solidFill>
              <a:srgbClr val="4B286D"/>
            </a:solidFill>
          </c:spPr>
          <c:invertIfNegative val="0"/>
          <c:dPt>
            <c:idx val="2"/>
            <c:invertIfNegative val="0"/>
            <c:bubble3D val="0"/>
            <c:spPr>
              <a:solidFill>
                <a:srgbClr val="2B8000"/>
              </a:solidFill>
            </c:spPr>
            <c:extLst>
              <c:ext xmlns:c16="http://schemas.microsoft.com/office/drawing/2014/chart" uri="{C3380CC4-5D6E-409C-BE32-E72D297353CC}">
                <c16:uniqueId val="{00000004-8227-4CC1-A047-837B2163AC5C}"/>
              </c:ext>
            </c:extLst>
          </c:dPt>
          <c:dPt>
            <c:idx val="3"/>
            <c:invertIfNegative val="0"/>
            <c:bubble3D val="0"/>
            <c:spPr>
              <a:solidFill>
                <a:srgbClr val="2B8000"/>
              </a:solidFill>
            </c:spPr>
            <c:extLst>
              <c:ext xmlns:c16="http://schemas.microsoft.com/office/drawing/2014/chart" uri="{C3380CC4-5D6E-409C-BE32-E72D297353CC}">
                <c16:uniqueId val="{00000005-8227-4CC1-A047-837B2163AC5C}"/>
              </c:ext>
            </c:extLst>
          </c:dPt>
          <c:cat>
            <c:strLit>
              <c:ptCount val="4"/>
              <c:pt idx="0">
                <c:v>Request for Forms</c:v>
              </c:pt>
              <c:pt idx="1">
                <c:v>For Complete Form and Verification</c:v>
              </c:pt>
              <c:pt idx="2">
                <c:v>YTD Request for Forms</c:v>
              </c:pt>
              <c:pt idx="3">
                <c:v>YTD For Complete Form and Verification</c:v>
              </c:pt>
            </c:strLit>
          </c:cat>
          <c:val>
            <c:numRef>
              <c:f>('Target Summary Dashboard'!$H$44:$H$45,'Target Summary Dashboard'!$H$49:$H$50)</c:f>
              <c:numCache>
                <c:formatCode>0.00%</c:formatCode>
                <c:ptCount val="4"/>
                <c:pt idx="0">
                  <c:v>1</c:v>
                </c:pt>
                <c:pt idx="1">
                  <c:v>0.91891891891891897</c:v>
                </c:pt>
                <c:pt idx="2">
                  <c:v>1</c:v>
                </c:pt>
                <c:pt idx="3">
                  <c:v>0.95503468069839759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27-4CC1-A047-837B2163AC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4701312"/>
        <c:axId val="144732160"/>
      </c:barChart>
      <c:lineChart>
        <c:grouping val="standard"/>
        <c:varyColors val="0"/>
        <c:ser>
          <c:idx val="0"/>
          <c:order val="1"/>
          <c:tx>
            <c:v>Target</c:v>
          </c:tx>
          <c:marker>
            <c:symbol val="none"/>
          </c:marker>
          <c:cat>
            <c:strLit>
              <c:ptCount val="4"/>
              <c:pt idx="0">
                <c:v>Request for Forms</c:v>
              </c:pt>
              <c:pt idx="1">
                <c:v>For Complete Form and Verification</c:v>
              </c:pt>
              <c:pt idx="2">
                <c:v>YTD Request for Forms</c:v>
              </c:pt>
              <c:pt idx="3">
                <c:v>YTD For Complete Form and Verification</c:v>
              </c:pt>
            </c:strLit>
          </c:cat>
          <c:val>
            <c:numRef>
              <c:f>('Target Summary Dashboard'!$H$44:$H$45,'Target Summary Dashboard'!$H$49:$H$50)</c:f>
              <c:numCache>
                <c:formatCode>0.00%</c:formatCode>
                <c:ptCount val="4"/>
                <c:pt idx="0">
                  <c:v>1</c:v>
                </c:pt>
                <c:pt idx="1">
                  <c:v>0.91891891891891897</c:v>
                </c:pt>
                <c:pt idx="2">
                  <c:v>1</c:v>
                </c:pt>
                <c:pt idx="3">
                  <c:v>0.95503468069839759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227-4CC1-A047-837B2163AC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4733696"/>
        <c:axId val="144735232"/>
      </c:lineChart>
      <c:catAx>
        <c:axId val="144701312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4732160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44732160"/>
        <c:scaling>
          <c:orientation val="minMax"/>
          <c:max val="1"/>
          <c:min val="0.5"/>
        </c:scaling>
        <c:delete val="0"/>
        <c:axPos val="l"/>
        <c:numFmt formatCode="0%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4701312"/>
        <c:crosses val="autoZero"/>
        <c:crossBetween val="between"/>
        <c:majorUnit val="0.1"/>
      </c:valAx>
      <c:catAx>
        <c:axId val="14473369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44735232"/>
        <c:crosses val="autoZero"/>
        <c:auto val="0"/>
        <c:lblAlgn val="ctr"/>
        <c:lblOffset val="100"/>
        <c:noMultiLvlLbl val="0"/>
      </c:catAx>
      <c:valAx>
        <c:axId val="144735232"/>
        <c:scaling>
          <c:orientation val="minMax"/>
        </c:scaling>
        <c:delete val="1"/>
        <c:axPos val="l"/>
        <c:numFmt formatCode="0.00%" sourceLinked="1"/>
        <c:majorTickMark val="out"/>
        <c:minorTickMark val="none"/>
        <c:tickLblPos val="nextTo"/>
        <c:crossAx val="144733696"/>
        <c:crosses val="autoZero"/>
        <c:crossBetween val="between"/>
      </c:valAx>
      <c:spPr>
        <a:solidFill>
          <a:srgbClr val="C0C0C0"/>
        </a:solidFill>
        <a:ln w="12700">
          <a:solidFill>
            <a:srgbClr val="7FABD2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10365763481188668"/>
          <c:y val="0.86329076741055033"/>
          <c:w val="0.87200707489371676"/>
          <c:h val="0.1299114683203459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sng" strike="noStrike" baseline="0">
                <a:solidFill>
                  <a:srgbClr val="000000"/>
                </a:solidFill>
                <a:latin typeface="+mn-lt"/>
                <a:ea typeface="Arial"/>
                <a:cs typeface="Arial"/>
              </a:defRPr>
            </a:pPr>
            <a:r>
              <a:rPr lang="en-US" sz="1000">
                <a:latin typeface="+mn-lt"/>
              </a:rPr>
              <a:t>Call Subjects (Curr Month)</a:t>
            </a:r>
          </a:p>
        </c:rich>
      </c:tx>
      <c:layout>
        <c:manualLayout>
          <c:xMode val="edge"/>
          <c:yMode val="edge"/>
          <c:x val="0.14351900456887334"/>
          <c:y val="2.7397260273972601E-2"/>
        </c:manualLayout>
      </c:layout>
      <c:overlay val="0"/>
      <c:spPr>
        <a:solidFill>
          <a:srgbClr val="FFFFFF"/>
        </a:solidFill>
        <a:ln w="25400">
          <a:noFill/>
        </a:ln>
      </c:spPr>
    </c:title>
    <c:autoTitleDeleted val="0"/>
    <c:view3D>
      <c:rotX val="15"/>
      <c:rotY val="0"/>
      <c:rAngAx val="0"/>
      <c:perspective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27314912024885779"/>
          <c:y val="0.57991059336760986"/>
          <c:w val="0.50463191113241068"/>
          <c:h val="0.19634790751599743"/>
        </c:manualLayout>
      </c:layout>
      <c:pie3DChart>
        <c:varyColors val="1"/>
        <c:ser>
          <c:idx val="0"/>
          <c:order val="0"/>
          <c:tx>
            <c:strRef>
              <c:f>'Call Center Summary'!$E$21</c:f>
              <c:strCache>
                <c:ptCount val="1"/>
                <c:pt idx="0">
                  <c:v>Feb</c:v>
                </c:pt>
              </c:strCache>
            </c:strRef>
          </c:tx>
          <c:dLbls>
            <c:dLbl>
              <c:idx val="0"/>
              <c:layout>
                <c:manualLayout>
                  <c:x val="0.11685374434578656"/>
                  <c:y val="-5.9940157480314962E-2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05DF-402B-AB27-1656F77FEEA7}"/>
                </c:ext>
              </c:extLst>
            </c:dLbl>
            <c:dLbl>
              <c:idx val="1"/>
              <c:layout>
                <c:manualLayout>
                  <c:x val="5.956127492042218E-2"/>
                  <c:y val="4.4876715410573573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 sz="550"/>
                  </a:pPr>
                  <a:endParaRPr lang="en-US"/>
                </a:p>
              </c:txPr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7613293684034173"/>
                      <c:h val="0.1706231721034870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6-05DF-402B-AB27-1656F77FEEA7}"/>
                </c:ext>
              </c:extLst>
            </c:dLbl>
            <c:dLbl>
              <c:idx val="2"/>
              <c:layout>
                <c:manualLayout>
                  <c:x val="-2.413343943709164E-2"/>
                  <c:y val="9.3292688413948263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 sz="550"/>
                  </a:pPr>
                  <a:endParaRPr lang="en-US"/>
                </a:p>
              </c:txPr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9209373429385157"/>
                      <c:h val="0.1311428571428571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8-05DF-402B-AB27-1656F77FEEA7}"/>
                </c:ext>
              </c:extLst>
            </c:dLbl>
            <c:dLbl>
              <c:idx val="3"/>
              <c:layout>
                <c:manualLayout>
                  <c:x val="9.0703426034511661E-2"/>
                  <c:y val="0.15384679415073105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 sz="550"/>
                  </a:pPr>
                  <a:endParaRPr lang="en-US"/>
                </a:p>
              </c:txPr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8324468085106382"/>
                      <c:h val="0.16171473565804273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A-05DF-402B-AB27-1656F77FEEA7}"/>
                </c:ext>
              </c:extLst>
            </c:dLbl>
            <c:dLbl>
              <c:idx val="4"/>
              <c:layout>
                <c:manualLayout>
                  <c:x val="-0.1037412045568772"/>
                  <c:y val="0.11155365579302577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 sz="550"/>
                  </a:pPr>
                  <a:endParaRPr lang="en-US"/>
                </a:p>
              </c:txPr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8367063159658231"/>
                      <c:h val="0.1482857142857143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C-05DF-402B-AB27-1656F77FEEA7}"/>
                </c:ext>
              </c:extLst>
            </c:dLbl>
            <c:dLbl>
              <c:idx val="5"/>
              <c:layout>
                <c:manualLayout>
                  <c:x val="-8.5160412129334895E-2"/>
                  <c:y val="-6.540022497187862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 sz="550"/>
                  </a:pPr>
                  <a:endParaRPr lang="en-US"/>
                </a:p>
              </c:txPr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8350980063662256"/>
                      <c:h val="0.16473565804274465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E-05DF-402B-AB27-1656F77FEEA7}"/>
                </c:ext>
              </c:extLst>
            </c:dLbl>
            <c:dLbl>
              <c:idx val="6"/>
              <c:layout>
                <c:manualLayout>
                  <c:x val="-2.3935960797453502E-2"/>
                  <c:y val="-0.17633948256467946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 sz="550"/>
                  </a:pPr>
                  <a:endParaRPr lang="en-US"/>
                </a:p>
              </c:txPr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794006533757748"/>
                      <c:h val="0.18457142857142855"/>
                    </c:manualLayout>
                  </c15:layout>
                </c:ext>
                <c:ext xmlns:c16="http://schemas.microsoft.com/office/drawing/2014/chart" uri="{C3380CC4-5D6E-409C-BE32-E72D297353CC}">
                  <c16:uniqueId val="{00000020-05DF-402B-AB27-1656F77FEEA7}"/>
                </c:ext>
              </c:extLst>
            </c:dLbl>
            <c:dLbl>
              <c:idx val="7"/>
              <c:layout>
                <c:manualLayout>
                  <c:x val="9.5348885910537751E-2"/>
                  <c:y val="-0.34908278965129358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 sz="550"/>
                  </a:pPr>
                  <a:endParaRPr lang="en-US"/>
                </a:p>
              </c:txPr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388297872340428"/>
                      <c:h val="0.2131428571428571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22-05DF-402B-AB27-1656F77FEEA7}"/>
                </c:ext>
              </c:extLst>
            </c:dLbl>
            <c:dLbl>
              <c:idx val="8"/>
              <c:layout>
                <c:manualLayout>
                  <c:x val="0.28022239906181939"/>
                  <c:y val="-0.2508908886389201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 sz="550"/>
                  </a:pPr>
                  <a:endParaRPr lang="en-US"/>
                </a:p>
              </c:txPr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501063829787234"/>
                      <c:h val="0.1655716535433070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24-05DF-402B-AB27-1656F77FEEA7}"/>
                </c:ext>
              </c:extLst>
            </c:dLbl>
            <c:dLbl>
              <c:idx val="9"/>
              <c:layout>
                <c:manualLayout>
                  <c:x val="0.43726943374099514"/>
                  <c:y val="-0.14828188976377954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 sz="550"/>
                  </a:pPr>
                  <a:endParaRPr lang="en-US"/>
                </a:p>
              </c:txPr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7119031663595239"/>
                      <c:h val="0.15028571428571427"/>
                    </c:manualLayout>
                  </c15:layout>
                </c:ext>
                <c:ext xmlns:c16="http://schemas.microsoft.com/office/drawing/2014/chart" uri="{C3380CC4-5D6E-409C-BE32-E72D297353CC}">
                  <c16:uniqueId val="{00000026-05DF-402B-AB27-1656F77FEEA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550"/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'Call Center Summary'!$A$22:$A$31</c:f>
              <c:strCache>
                <c:ptCount val="10"/>
                <c:pt idx="0">
                  <c:v>Member Benefit Inquiry</c:v>
                </c:pt>
                <c:pt idx="1">
                  <c:v>Enrollment Inquiry</c:v>
                </c:pt>
                <c:pt idx="2">
                  <c:v>Misdirected Call</c:v>
                </c:pt>
                <c:pt idx="3">
                  <c:v>Referred to UI</c:v>
                </c:pt>
                <c:pt idx="4">
                  <c:v>1095 Inquiry</c:v>
                </c:pt>
                <c:pt idx="5">
                  <c:v>Dependent Inquiry</c:v>
                </c:pt>
                <c:pt idx="6">
                  <c:v>Direct Bill/PPAM  2nd Log</c:v>
                </c:pt>
                <c:pt idx="7">
                  <c:v>Retiree Billing Question</c:v>
                </c:pt>
                <c:pt idx="8">
                  <c:v>Payroll Inquiry</c:v>
                </c:pt>
                <c:pt idx="9">
                  <c:v>Life Insurance Inquiry</c:v>
                </c:pt>
              </c:strCache>
            </c:strRef>
          </c:cat>
          <c:val>
            <c:numRef>
              <c:f>'Call Center Summary'!$E$22:$E$31</c:f>
              <c:numCache>
                <c:formatCode>General</c:formatCode>
                <c:ptCount val="10"/>
                <c:pt idx="0">
                  <c:v>19</c:v>
                </c:pt>
                <c:pt idx="1">
                  <c:v>14</c:v>
                </c:pt>
                <c:pt idx="2">
                  <c:v>9</c:v>
                </c:pt>
                <c:pt idx="3">
                  <c:v>9</c:v>
                </c:pt>
                <c:pt idx="4">
                  <c:v>8</c:v>
                </c:pt>
                <c:pt idx="5">
                  <c:v>8</c:v>
                </c:pt>
                <c:pt idx="6">
                  <c:v>5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7-05DF-402B-AB27-1656F77FEE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 w="25400">
          <a:noFill/>
        </a:ln>
      </c:spPr>
    </c:plotArea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  <a:scene3d>
      <a:camera prst="orthographicFront"/>
      <a:lightRig rig="threePt" dir="t"/>
    </a:scene3d>
    <a:sp3d>
      <a:bevelT h="12700" prst="angle"/>
    </a:sp3d>
  </c:spPr>
  <c:txPr>
    <a:bodyPr/>
    <a:lstStyle/>
    <a:p>
      <a:pPr>
        <a:defRPr sz="2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>
                <a:latin typeface="+mn-lt"/>
              </a:defRPr>
            </a:pPr>
            <a:r>
              <a:rPr kumimoji="0" lang="en-US" sz="1000" b="1" i="0" u="sng" strike="noStrike" kern="120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+mn-lt"/>
                <a:cs typeface="Arial"/>
              </a:rPr>
              <a:t>Calls Answered(Curr Month)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'Call Center Summary'!$J$7</c:f>
              <c:strCache>
                <c:ptCount val="1"/>
                <c:pt idx="0">
                  <c:v>Feb</c:v>
                </c:pt>
              </c:strCache>
            </c:strRef>
          </c:tx>
          <c:spPr>
            <a:solidFill>
              <a:srgbClr val="4B286D"/>
            </a:solidFill>
          </c:spPr>
          <c:invertIfNegative val="0"/>
          <c:cat>
            <c:strRef>
              <c:f>'Call Center Summary'!$H$8:$H$9</c:f>
              <c:strCache>
                <c:ptCount val="2"/>
                <c:pt idx="0">
                  <c:v>0-30 Seconds</c:v>
                </c:pt>
                <c:pt idx="1">
                  <c:v>0-60 Seconds</c:v>
                </c:pt>
              </c:strCache>
            </c:strRef>
          </c:cat>
          <c:val>
            <c:numRef>
              <c:f>'Call Center Summary'!$J$8:$J$9</c:f>
              <c:numCache>
                <c:formatCode>General</c:formatCode>
                <c:ptCount val="2"/>
                <c:pt idx="0">
                  <c:v>123</c:v>
                </c:pt>
                <c:pt idx="1">
                  <c:v>123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47-48D7-8B0E-9E80CC891E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87614168"/>
        <c:axId val="887610888"/>
      </c:barChart>
      <c:catAx>
        <c:axId val="8876141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887610888"/>
        <c:crosses val="autoZero"/>
        <c:auto val="1"/>
        <c:lblAlgn val="ctr"/>
        <c:lblOffset val="100"/>
        <c:noMultiLvlLbl val="0"/>
      </c:catAx>
      <c:valAx>
        <c:axId val="8876108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88761416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>
                <a:latin typeface="+mn-lt"/>
              </a:defRPr>
            </a:pPr>
            <a:r>
              <a:rPr kumimoji="0" lang="en-US" sz="1000" b="1" i="0" u="sng" strike="noStrike" kern="120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+mn-lt"/>
                <a:cs typeface="Arial"/>
              </a:rPr>
              <a:t>Call Subjects (YTD)</a:t>
            </a:r>
          </a:p>
        </c:rich>
      </c:tx>
      <c:layout>
        <c:manualLayout>
          <c:xMode val="edge"/>
          <c:yMode val="edge"/>
          <c:x val="0.19515370510193075"/>
          <c:y val="4.3010752688172043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36972933070866143"/>
          <c:y val="0.19161915105439403"/>
          <c:w val="0.54636428258967629"/>
          <c:h val="0.75547832383021074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'Call Center Summary'!$N$21</c:f>
              <c:strCache>
                <c:ptCount val="1"/>
                <c:pt idx="0">
                  <c:v>YTD</c:v>
                </c:pt>
              </c:strCache>
            </c:strRef>
          </c:tx>
          <c:spPr>
            <a:solidFill>
              <a:srgbClr val="2B8000"/>
            </a:solidFill>
          </c:spPr>
          <c:invertIfNegative val="0"/>
          <c:cat>
            <c:strRef>
              <c:f>'Call Center Summary'!$J$22:$J$31</c:f>
              <c:strCache>
                <c:ptCount val="10"/>
                <c:pt idx="0">
                  <c:v>Member Benefit Inquiry</c:v>
                </c:pt>
                <c:pt idx="1">
                  <c:v>Enrollment Inquiry</c:v>
                </c:pt>
                <c:pt idx="2">
                  <c:v>Referred to UI</c:v>
                </c:pt>
                <c:pt idx="3">
                  <c:v>Dependent Inquiry</c:v>
                </c:pt>
                <c:pt idx="4">
                  <c:v>1095 Inquiry</c:v>
                </c:pt>
                <c:pt idx="5">
                  <c:v>Misdirected Call</c:v>
                </c:pt>
                <c:pt idx="6">
                  <c:v>Annual Enrollment</c:v>
                </c:pt>
                <c:pt idx="7">
                  <c:v>Retiree Billing Question</c:v>
                </c:pt>
                <c:pt idx="8">
                  <c:v>Payroll Inquiry</c:v>
                </c:pt>
                <c:pt idx="9">
                  <c:v>Address Update</c:v>
                </c:pt>
              </c:strCache>
            </c:strRef>
          </c:cat>
          <c:val>
            <c:numRef>
              <c:f>'Call Center Summary'!$N$22:$N$31</c:f>
              <c:numCache>
                <c:formatCode>General</c:formatCode>
                <c:ptCount val="10"/>
                <c:pt idx="0">
                  <c:v>41</c:v>
                </c:pt>
                <c:pt idx="1">
                  <c:v>41</c:v>
                </c:pt>
                <c:pt idx="2">
                  <c:v>18</c:v>
                </c:pt>
                <c:pt idx="3">
                  <c:v>18</c:v>
                </c:pt>
                <c:pt idx="4">
                  <c:v>14</c:v>
                </c:pt>
                <c:pt idx="5">
                  <c:v>13</c:v>
                </c:pt>
                <c:pt idx="6">
                  <c:v>13</c:v>
                </c:pt>
                <c:pt idx="7">
                  <c:v>11</c:v>
                </c:pt>
                <c:pt idx="8">
                  <c:v>7</c:v>
                </c:pt>
                <c:pt idx="9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BE-411D-AB54-A8FEF95852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96290024"/>
        <c:axId val="796289040"/>
      </c:barChart>
      <c:catAx>
        <c:axId val="796290024"/>
        <c:scaling>
          <c:orientation val="maxMin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 rot="0" anchor="b" anchorCtr="1"/>
          <a:lstStyle/>
          <a:p>
            <a:pPr>
              <a:defRPr sz="800"/>
            </a:pPr>
            <a:endParaRPr lang="en-US"/>
          </a:p>
        </c:txPr>
        <c:crossAx val="796289040"/>
        <c:crosses val="autoZero"/>
        <c:auto val="1"/>
        <c:lblAlgn val="ctr"/>
        <c:lblOffset val="100"/>
        <c:noMultiLvlLbl val="0"/>
      </c:catAx>
      <c:valAx>
        <c:axId val="796289040"/>
        <c:scaling>
          <c:orientation val="minMax"/>
        </c:scaling>
        <c:delete val="0"/>
        <c:axPos val="t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796290024"/>
        <c:crossesAt val="1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sng" strike="noStrike" baseline="0">
                <a:solidFill>
                  <a:srgbClr val="000000"/>
                </a:solidFill>
                <a:latin typeface="+mn-lt"/>
                <a:ea typeface="Arial"/>
                <a:cs typeface="Arial"/>
              </a:defRPr>
            </a:pPr>
            <a:r>
              <a:rPr lang="en-US" sz="1000" baseline="0">
                <a:latin typeface="+mn-lt"/>
              </a:rPr>
              <a:t>Case Management</a:t>
            </a:r>
          </a:p>
          <a:p>
            <a:pPr>
              <a:defRPr sz="1000" b="1" i="0" u="sng" strike="noStrike" baseline="0">
                <a:solidFill>
                  <a:srgbClr val="000000"/>
                </a:solidFill>
                <a:latin typeface="+mn-lt"/>
                <a:ea typeface="Arial"/>
                <a:cs typeface="Arial"/>
              </a:defRPr>
            </a:pPr>
            <a:r>
              <a:rPr lang="en-US" sz="1000" baseline="0">
                <a:latin typeface="+mn-lt"/>
              </a:rPr>
              <a:t> (Current Month)</a:t>
            </a:r>
          </a:p>
        </c:rich>
      </c:tx>
      <c:layout>
        <c:manualLayout>
          <c:xMode val="edge"/>
          <c:yMode val="edge"/>
          <c:x val="0.29595907342977479"/>
          <c:y val="1.518609499276333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9264969785753525"/>
          <c:y val="0.24610588094700647"/>
          <c:w val="0.78477476652627731"/>
          <c:h val="0.4650730968915563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'Volume Summary '!$A$7:$C$7</c:f>
              <c:strCache>
                <c:ptCount val="1"/>
                <c:pt idx="0">
                  <c:v>Case Handling Resolved</c:v>
                </c:pt>
              </c:strCache>
            </c:strRef>
          </c:tx>
          <c:spPr>
            <a:solidFill>
              <a:srgbClr val="4B286D"/>
            </a:solidFill>
          </c:spPr>
          <c:invertIfNegative val="0"/>
          <c:cat>
            <c:strRef>
              <c:f>'Volume Summary '!$A$8:$C$11</c:f>
              <c:strCache>
                <c:ptCount val="4"/>
                <c:pt idx="0">
                  <c:v>Total Cases</c:v>
                </c:pt>
                <c:pt idx="1">
                  <c:v>&lt;24  Hours</c:v>
                </c:pt>
                <c:pt idx="2">
                  <c:v>24 to 48 Hours</c:v>
                </c:pt>
                <c:pt idx="3">
                  <c:v>&gt;48 Hours</c:v>
                </c:pt>
              </c:strCache>
            </c:strRef>
          </c:cat>
          <c:val>
            <c:numRef>
              <c:f>'Volume Summary '!$D$8:$D$11</c:f>
              <c:numCache>
                <c:formatCode>General</c:formatCode>
                <c:ptCount val="4"/>
                <c:pt idx="0">
                  <c:v>326</c:v>
                </c:pt>
                <c:pt idx="1">
                  <c:v>302</c:v>
                </c:pt>
                <c:pt idx="2">
                  <c:v>7</c:v>
                </c:pt>
                <c:pt idx="3">
                  <c:v>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A9-4178-B315-3B6FD24E60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934617312"/>
        <c:axId val="934624200"/>
      </c:barChart>
      <c:catAx>
        <c:axId val="9346173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>
                <a:latin typeface="+mn-lt"/>
              </a:defRPr>
            </a:pPr>
            <a:endParaRPr lang="en-US"/>
          </a:p>
        </c:txPr>
        <c:crossAx val="934624200"/>
        <c:crosses val="autoZero"/>
        <c:auto val="1"/>
        <c:lblAlgn val="ctr"/>
        <c:lblOffset val="100"/>
        <c:noMultiLvlLbl val="0"/>
      </c:catAx>
      <c:valAx>
        <c:axId val="9346242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>
                <a:latin typeface="+mn-lt"/>
              </a:defRPr>
            </a:pPr>
            <a:endParaRPr lang="en-US"/>
          </a:p>
        </c:txPr>
        <c:crossAx val="934617312"/>
        <c:crosses val="autoZero"/>
        <c:crossBetween val="between"/>
      </c:valAx>
    </c:plotArea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image" Target="../media/image1.png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8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158750</xdr:colOff>
      <xdr:row>16</xdr:row>
      <xdr:rowOff>12700</xdr:rowOff>
    </xdr:from>
    <xdr:to>
      <xdr:col>16</xdr:col>
      <xdr:colOff>603250</xdr:colOff>
      <xdr:row>27</xdr:row>
      <xdr:rowOff>0</xdr:rowOff>
    </xdr:to>
    <xdr:graphicFrame macro="">
      <xdr:nvGraphicFramePr>
        <xdr:cNvPr id="95" name="Chart 24">
          <a:extLst>
            <a:ext uri="{FF2B5EF4-FFF2-40B4-BE49-F238E27FC236}">
              <a16:creationId xmlns:a16="http://schemas.microsoft.com/office/drawing/2014/main" id="{00000000-0008-0000-0000-00005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127000</xdr:colOff>
      <xdr:row>31</xdr:row>
      <xdr:rowOff>1</xdr:rowOff>
    </xdr:from>
    <xdr:to>
      <xdr:col>17</xdr:col>
      <xdr:colOff>0</xdr:colOff>
      <xdr:row>38</xdr:row>
      <xdr:rowOff>6351</xdr:rowOff>
    </xdr:to>
    <xdr:graphicFrame macro="">
      <xdr:nvGraphicFramePr>
        <xdr:cNvPr id="96" name="Chart 24">
          <a:extLs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222250</xdr:colOff>
      <xdr:row>6</xdr:row>
      <xdr:rowOff>0</xdr:rowOff>
    </xdr:from>
    <xdr:to>
      <xdr:col>16</xdr:col>
      <xdr:colOff>524933</xdr:colOff>
      <xdr:row>12</xdr:row>
      <xdr:rowOff>241300</xdr:rowOff>
    </xdr:to>
    <xdr:graphicFrame macro="">
      <xdr:nvGraphicFramePr>
        <xdr:cNvPr id="7" name="Chart 31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120650</xdr:colOff>
      <xdr:row>41</xdr:row>
      <xdr:rowOff>6350</xdr:rowOff>
    </xdr:from>
    <xdr:to>
      <xdr:col>16</xdr:col>
      <xdr:colOff>603250</xdr:colOff>
      <xdr:row>49</xdr:row>
      <xdr:rowOff>165100</xdr:rowOff>
    </xdr:to>
    <xdr:graphicFrame macro="">
      <xdr:nvGraphicFramePr>
        <xdr:cNvPr id="2" name="Chart 2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234950</xdr:colOff>
      <xdr:row>2</xdr:row>
      <xdr:rowOff>26591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0"/>
          <a:ext cx="2063750" cy="42664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444500</xdr:colOff>
      <xdr:row>20</xdr:row>
      <xdr:rowOff>0</xdr:rowOff>
    </xdr:from>
    <xdr:to>
      <xdr:col>9</xdr:col>
      <xdr:colOff>0</xdr:colOff>
      <xdr:row>32</xdr:row>
      <xdr:rowOff>12700</xdr:rowOff>
    </xdr:to>
    <xdr:graphicFrame macro="">
      <xdr:nvGraphicFramePr>
        <xdr:cNvPr id="16" name="Chart 208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6350</xdr:colOff>
      <xdr:row>5</xdr:row>
      <xdr:rowOff>107950</xdr:rowOff>
    </xdr:from>
    <xdr:to>
      <xdr:col>16</xdr:col>
      <xdr:colOff>603250</xdr:colOff>
      <xdr:row>14</xdr:row>
      <xdr:rowOff>0</xdr:rowOff>
    </xdr:to>
    <xdr:graphicFrame macro="">
      <xdr:nvGraphicFramePr>
        <xdr:cNvPr id="19" name="Chart 20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6350</xdr:colOff>
      <xdr:row>20</xdr:row>
      <xdr:rowOff>0</xdr:rowOff>
    </xdr:from>
    <xdr:to>
      <xdr:col>17</xdr:col>
      <xdr:colOff>6350</xdr:colOff>
      <xdr:row>32</xdr:row>
      <xdr:rowOff>0</xdr:rowOff>
    </xdr:to>
    <xdr:graphicFrame macro="">
      <xdr:nvGraphicFramePr>
        <xdr:cNvPr id="22" name="Chart 208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2</xdr:col>
      <xdr:colOff>577850</xdr:colOff>
      <xdr:row>2</xdr:row>
      <xdr:rowOff>26591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0"/>
          <a:ext cx="2063750" cy="42664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6350</xdr:colOff>
      <xdr:row>6</xdr:row>
      <xdr:rowOff>1</xdr:rowOff>
    </xdr:from>
    <xdr:to>
      <xdr:col>9</xdr:col>
      <xdr:colOff>171450</xdr:colOff>
      <xdr:row>16</xdr:row>
      <xdr:rowOff>1</xdr:rowOff>
    </xdr:to>
    <xdr:graphicFrame macro="">
      <xdr:nvGraphicFramePr>
        <xdr:cNvPr id="9" name="Chart 1037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0</xdr:colOff>
      <xdr:row>0</xdr:row>
      <xdr:rowOff>6350</xdr:rowOff>
    </xdr:from>
    <xdr:to>
      <xdr:col>2</xdr:col>
      <xdr:colOff>0</xdr:colOff>
      <xdr:row>2</xdr:row>
      <xdr:rowOff>32941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6350"/>
          <a:ext cx="2063750" cy="42664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29</xdr:row>
      <xdr:rowOff>166077</xdr:rowOff>
    </xdr:from>
    <xdr:to>
      <xdr:col>1</xdr:col>
      <xdr:colOff>713153</xdr:colOff>
      <xdr:row>43</xdr:row>
      <xdr:rowOff>9769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5715000"/>
          <a:ext cx="1719384" cy="244230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71</xdr:col>
          <xdr:colOff>19050</xdr:colOff>
          <xdr:row>0</xdr:row>
          <xdr:rowOff>6350</xdr:rowOff>
        </xdr:from>
        <xdr:to>
          <xdr:col>73</xdr:col>
          <xdr:colOff>0</xdr:colOff>
          <xdr:row>2</xdr:row>
          <xdr:rowOff>177800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5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800" b="1" i="0" u="sng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LIFEEVENTS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0</xdr:colOff>
          <xdr:row>0</xdr:row>
          <xdr:rowOff>0</xdr:rowOff>
        </xdr:from>
        <xdr:to>
          <xdr:col>33</xdr:col>
          <xdr:colOff>12700</xdr:colOff>
          <xdr:row>3</xdr:row>
          <xdr:rowOff>19050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800" b="1" i="0" u="sng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CALL SUBJECTS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msoit.sharepoint.com/Users/sabkumar/AppData/Local/Temp/Temp3_OneDrive_1_8-10-2022.zip/Daily%20-%20US%20MM%20Call%20Center%20Performance%20Repor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et Up"/>
      <sheetName val="Summary"/>
      <sheetName val="Sheet1"/>
      <sheetName val="Details"/>
      <sheetName val="Agent Call Volume"/>
      <sheetName val="SLA Charts"/>
      <sheetName val="Enter Forecast here"/>
      <sheetName val="PIVOTS Combined"/>
      <sheetName val="PicPivots"/>
      <sheetName val="Raw Data 1"/>
      <sheetName val="Raw Data 2"/>
      <sheetName val="Lis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uneet Jainth2" refreshedDate="45363.709399074076" createdVersion="7" refreshedVersion="8" minRefreshableVersion="3" recordCount="326" xr:uid="{43A235FE-CBCD-419D-9962-763A5545707E}">
  <cacheSource type="worksheet">
    <worksheetSource name="Month_Case_EngDescription" sheet="Cases data"/>
  </cacheSource>
  <cacheFields count="1">
    <cacheField name="EngDescription" numFmtId="0">
      <sharedItems count="57">
        <s v="Appeal"/>
        <s v="Member Benefit Inquiry"/>
        <s v="Death Notification 2nd Log"/>
        <s v="Referred to UI"/>
        <s v="Direct Bill/PPAM  2nd Log"/>
        <s v="Life Insurance Inquiry"/>
        <s v="Annual Enrollment"/>
        <s v="Enrollment Inquiry"/>
        <s v="Retiree Billing Question"/>
        <s v="Address Update"/>
        <s v="Payroll Inquiry"/>
        <s v="1095 Inquiry"/>
        <s v="Dependent Inquiry"/>
        <s v="Website Inquiry"/>
        <s v="Misdirected Call"/>
        <s v="HCRA/DCRA"/>
        <s v="COBRA Inquiry (Eligibility)"/>
        <s v="COBRA DB"/>
        <s v="Proof of Other Coverage"/>
        <s v="Participant Email Inquiry"/>
        <s v="Retiree Waiver Consent Form"/>
        <s v="Birth/Adoption"/>
        <s v="Document uploaded"/>
        <s v="Legal Documentation"/>
        <s v="US UI Other Call Back"/>
        <s v="Apply Payments PPAM"/>
        <s v="Direct Bill/PPAM"/>
        <s v="Voice Mail Message"/>
        <s v="DDS Emailed Document"/>
        <s v="DDS Printed and Mailed Document"/>
        <s v="Overage Dependent Memo"/>
        <s v="Health and Welfare Document - Verification"/>
        <s v="Health and Welfare Document - Miscellanous"/>
        <s v="New Hire/ Newly Eliible Memo"/>
        <s v="Turning 65 Birthday Memo"/>
        <s v="Urgent Update 2nd Log" u="1"/>
        <s v="Physical Address" u="1"/>
        <s v="Health Exchange Question" u="1"/>
        <s v="Hot Topic 1" u="1"/>
        <s v="Internal Transfer" u="1"/>
        <s v="Member Contact" u="1"/>
        <s v="Job Status Change memo" u="1"/>
        <s v="Special Case" u="1"/>
        <s v="Urgent Update" u="1"/>
        <s v="COBRA Inquiry (Payments)" u="1"/>
        <s v="Password Inquiry" u="1"/>
        <s v="US UI 24 hour Call Back" u="1"/>
        <s v="Hot Topic 2" u="1"/>
        <s v="Dual Coverage Memo" u="1"/>
        <s v="Health and Welfare Document" u="1"/>
        <s v="DDS Generated Document" u="1"/>
        <s v="Divorce Decree" u="1"/>
        <s v="COBRA Inquiry-Refund 2nd Log" u="1"/>
        <s v="DB Invoice" u="1"/>
        <s v="Death Notification" u="1"/>
        <s v="Apply Payments PPAM 2nd Log" u="1"/>
        <s v="Dependent Life Termination Memo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uneet Jainth2" refreshedDate="45363.70972337963" createdVersion="7" refreshedVersion="8" minRefreshableVersion="3" recordCount="924" xr:uid="{74C5426B-5324-4491-9A32-AC25AF975206}">
  <cacheSource type="worksheet">
    <worksheetSource name="YTD_Case_EngDescription" sheet="Cases data"/>
  </cacheSource>
  <cacheFields count="1">
    <cacheField name="EngDescription" numFmtId="0">
      <sharedItems count="58">
        <s v="Retiree Billing Question"/>
        <s v="Enrollment Inquiry"/>
        <s v="Member Benefit Inquiry"/>
        <s v="Misdirected Call"/>
        <s v="Annual Enrollment"/>
        <s v="Urgent Update 2nd Log"/>
        <s v="Direct Bill/PPAM  2nd Log"/>
        <s v="1095 Inquiry"/>
        <s v="Payroll Inquiry"/>
        <s v="Death Notification 2nd Log"/>
        <s v="Website Inquiry"/>
        <s v="Physical Address"/>
        <s v="Referred to UI"/>
        <s v="Address Update"/>
        <s v="HCRA/DCRA"/>
        <s v="Health Exchange Question"/>
        <s v="Dependent Inquiry"/>
        <s v="Hot Topic 1"/>
        <s v="COBRA Inquiry (Eligibility)"/>
        <s v="Life Insurance Inquiry"/>
        <s v="Internal Transfer"/>
        <s v="Document Uploaded"/>
        <s v="Participant Email Inquiry"/>
        <s v="COBRA DB"/>
        <s v="Health and Welfare Document - Miscellanous"/>
        <s v="Proof of Other Coverage"/>
        <s v="Legal Documentation"/>
        <s v="Appeal"/>
        <s v="Member Contact"/>
        <s v="US UI Other Call Back"/>
        <s v="Direct Bill/PPAM"/>
        <s v="Apply Payments PPAM"/>
        <s v="DDS Emailed Document"/>
        <s v="DDS Printed and Mailed Document"/>
        <s v="New Hire/ Newly Eliible Memo"/>
        <s v="Job Status Change memo"/>
        <s v="Retiree Waiver Consent Form"/>
        <s v="Birth/Adoption"/>
        <s v="Voice Mail Message"/>
        <s v="Overage Dependent Memo"/>
        <s v="Health and Welfare Document - Verification"/>
        <s v="Turning 65 Birthday Memo"/>
        <s v="Special Case" u="1"/>
        <s v="Password Inquiry" u="1"/>
        <s v="COBRA Inquiry (Payments)" u="1"/>
        <s v="COBRA Inquiry-Refund 2nd Log" u="1"/>
        <s v="US UI 24 hour Call Back" u="1"/>
        <s v="DB Invoice" u="1"/>
        <s v="Health and Welfare Document" u="1"/>
        <s v="Divorce Decree" u="1"/>
        <s v="Dual Coverage Memo" u="1"/>
        <s v="Death Notification" u="1"/>
        <s v="Dependent Life Termination Memo" u="1"/>
        <s v="Urgent Update" u="1"/>
        <s v="DDS Generated Document" u="1"/>
        <s v="Hot Topic 2" u="1"/>
        <s v="Hot Topic 3" u="1"/>
        <s v="Apply Payments PPAM 2nd Log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uneet Jainth2" refreshedDate="45363.712293518518" createdVersion="7" refreshedVersion="8" minRefreshableVersion="3" recordCount="101" xr:uid="{E8BCF8A5-59FB-4C55-90DE-CD82576DCD91}">
  <cacheSource type="worksheet">
    <worksheetSource name="Month_EngDescription_Call_Subject" sheet="Call Subject"/>
  </cacheSource>
  <cacheFields count="1">
    <cacheField name="EngDescription" numFmtId="0">
      <sharedItems count="46">
        <s v="Appeal"/>
        <s v="Member Benefit Inquiry"/>
        <s v="Death Notification 2nd Log"/>
        <s v="Referred to UI"/>
        <s v="Direct Bill/PPAM  2nd Log"/>
        <s v="Life Insurance Inquiry"/>
        <s v="Annual Enrollment"/>
        <s v="Enrollment Inquiry"/>
        <s v="Retiree Billing Question"/>
        <s v="Address Update"/>
        <s v="Payroll Inquiry"/>
        <s v="1095 Inquiry"/>
        <s v="Dependent Inquiry"/>
        <s v="Website Inquiry"/>
        <s v="Misdirected Call"/>
        <s v="HCRA/DCRA"/>
        <s v="COBRA Inquiry (Eligibility)"/>
        <s v="COBRA DB" u="1"/>
        <s v="Proof of Other Coverage" u="1"/>
        <s v="Participant Email Inquiry" u="1"/>
        <s v="Retiree Waiver Consent Form" u="1"/>
        <s v="Birth/Adoption" u="1"/>
        <s v="Document uploaded" u="1"/>
        <s v="Legal Documentation" u="1"/>
        <s v="US UI Other Call Back" u="1"/>
        <s v="Apply Payments PPAM" u="1"/>
        <s v="Direct Bill/PPAM" u="1"/>
        <s v="Voice Mail Message" u="1"/>
        <s v="DDS Emailed Document" u="1"/>
        <s v="DDS Printed and Mailed Document" u="1"/>
        <s v="Overage Dependent Memo" u="1"/>
        <s v="Health and Welfare Document - Verification" u="1"/>
        <s v="Health and Welfare Document - Miscellanous" u="1"/>
        <s v="New Hire/ Newly Eliible Memo" u="1"/>
        <s v="Turning 65 Birthday Memo" u="1"/>
        <s v="Urgent Update 2nd Log" u="1"/>
        <s v="Physical Address" u="1"/>
        <s v="Health Exchange Question" u="1"/>
        <s v="Hot Topic 1" u="1"/>
        <s v="Internal Transfer" u="1"/>
        <s v="Special Case" u="1"/>
        <s v="COBRA Inquiry (Payments)" u="1"/>
        <s v="Password Inquiry" u="1"/>
        <s v="Hot Topic 2" u="1"/>
        <s v="COBRA Inquiry-Refund 2nd Log" u="1"/>
        <s v="Apply Payments PPAM 2nd Log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uneet Jainth2" refreshedDate="45363.713237037038" createdVersion="7" refreshedVersion="8" minRefreshableVersion="3" recordCount="222" xr:uid="{D912070B-3165-41B0-8821-0C8298CAFC7C}">
  <cacheSource type="worksheet">
    <worksheetSource name="YTD_EngDescription_Call_Subject" sheet="Call Subject"/>
  </cacheSource>
  <cacheFields count="1">
    <cacheField name="EngDescription" numFmtId="0">
      <sharedItems count="47">
        <s v="Retiree Billing Question"/>
        <s v="Enrollment Inquiry"/>
        <s v="Member Benefit Inquiry"/>
        <s v="Misdirected Call"/>
        <s v="Annual Enrollment"/>
        <s v="Urgent Update 2nd Log"/>
        <s v="Direct Bill/PPAM  2nd Log"/>
        <s v="1095 Inquiry"/>
        <s v="Payroll Inquiry"/>
        <s v="Death Notification 2nd Log"/>
        <s v="Website Inquiry"/>
        <s v="Physical Address"/>
        <s v="Referred to UI"/>
        <s v="Address Update"/>
        <s v="HCRA/DCRA"/>
        <s v="Health Exchange Question"/>
        <s v="Dependent Inquiry"/>
        <s v="Hot Topic 1"/>
        <s v="COBRA Inquiry (Eligibility)"/>
        <s v="Life Insurance Inquiry"/>
        <s v="Internal Transfer"/>
        <s v="Appeal"/>
        <s v="COBRA DB" u="1"/>
        <s v="Proof of Other Coverage" u="1"/>
        <s v="Participant Email Inquiry" u="1"/>
        <s v="Retiree Waiver Consent Form" u="1"/>
        <s v="Birth/Adoption" u="1"/>
        <s v="Document uploaded" u="1"/>
        <s v="Legal Documentation" u="1"/>
        <s v="US UI Other Call Back" u="1"/>
        <s v="Apply Payments PPAM" u="1"/>
        <s v="Direct Bill/PPAM" u="1"/>
        <s v="Voice Mail Message" u="1"/>
        <s v="DDS Emailed Document" u="1"/>
        <s v="DDS Printed and Mailed Document" u="1"/>
        <s v="Overage Dependent Memo" u="1"/>
        <s v="Health and Welfare Document - Verification" u="1"/>
        <s v="Health and Welfare Document - Miscellanous" u="1"/>
        <s v="New Hire/ Newly Eliible Memo" u="1"/>
        <s v="Turning 65 Birthday Memo" u="1"/>
        <s v="Special Case" u="1"/>
        <s v="Password Inquiry" u="1"/>
        <s v="COBRA Inquiry (Payments)" u="1"/>
        <s v="COBRA Inquiry-Refund 2nd Log" u="1"/>
        <s v="Hot Topic 2" u="1"/>
        <s v="Hot Topic 3" u="1"/>
        <s v="Apply Payments PPAM 2nd Log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26">
  <r>
    <x v="0"/>
  </r>
  <r>
    <x v="1"/>
  </r>
  <r>
    <x v="1"/>
  </r>
  <r>
    <x v="2"/>
  </r>
  <r>
    <x v="3"/>
  </r>
  <r>
    <x v="1"/>
  </r>
  <r>
    <x v="4"/>
  </r>
  <r>
    <x v="5"/>
  </r>
  <r>
    <x v="1"/>
  </r>
  <r>
    <x v="1"/>
  </r>
  <r>
    <x v="6"/>
  </r>
  <r>
    <x v="1"/>
  </r>
  <r>
    <x v="1"/>
  </r>
  <r>
    <x v="7"/>
  </r>
  <r>
    <x v="8"/>
  </r>
  <r>
    <x v="1"/>
  </r>
  <r>
    <x v="9"/>
  </r>
  <r>
    <x v="10"/>
  </r>
  <r>
    <x v="7"/>
  </r>
  <r>
    <x v="4"/>
  </r>
  <r>
    <x v="7"/>
  </r>
  <r>
    <x v="11"/>
  </r>
  <r>
    <x v="8"/>
  </r>
  <r>
    <x v="3"/>
  </r>
  <r>
    <x v="12"/>
  </r>
  <r>
    <x v="12"/>
  </r>
  <r>
    <x v="13"/>
  </r>
  <r>
    <x v="10"/>
  </r>
  <r>
    <x v="4"/>
  </r>
  <r>
    <x v="8"/>
  </r>
  <r>
    <x v="14"/>
  </r>
  <r>
    <x v="14"/>
  </r>
  <r>
    <x v="4"/>
  </r>
  <r>
    <x v="7"/>
  </r>
  <r>
    <x v="8"/>
  </r>
  <r>
    <x v="8"/>
  </r>
  <r>
    <x v="1"/>
  </r>
  <r>
    <x v="12"/>
  </r>
  <r>
    <x v="12"/>
  </r>
  <r>
    <x v="7"/>
  </r>
  <r>
    <x v="14"/>
  </r>
  <r>
    <x v="15"/>
  </r>
  <r>
    <x v="1"/>
  </r>
  <r>
    <x v="7"/>
  </r>
  <r>
    <x v="3"/>
  </r>
  <r>
    <x v="14"/>
  </r>
  <r>
    <x v="3"/>
  </r>
  <r>
    <x v="15"/>
  </r>
  <r>
    <x v="5"/>
  </r>
  <r>
    <x v="5"/>
  </r>
  <r>
    <x v="10"/>
  </r>
  <r>
    <x v="12"/>
  </r>
  <r>
    <x v="3"/>
  </r>
  <r>
    <x v="3"/>
  </r>
  <r>
    <x v="1"/>
  </r>
  <r>
    <x v="1"/>
  </r>
  <r>
    <x v="1"/>
  </r>
  <r>
    <x v="9"/>
  </r>
  <r>
    <x v="11"/>
  </r>
  <r>
    <x v="1"/>
  </r>
  <r>
    <x v="1"/>
  </r>
  <r>
    <x v="10"/>
  </r>
  <r>
    <x v="3"/>
  </r>
  <r>
    <x v="14"/>
  </r>
  <r>
    <x v="4"/>
  </r>
  <r>
    <x v="12"/>
  </r>
  <r>
    <x v="16"/>
  </r>
  <r>
    <x v="1"/>
  </r>
  <r>
    <x v="14"/>
  </r>
  <r>
    <x v="14"/>
  </r>
  <r>
    <x v="11"/>
  </r>
  <r>
    <x v="7"/>
  </r>
  <r>
    <x v="3"/>
  </r>
  <r>
    <x v="7"/>
  </r>
  <r>
    <x v="11"/>
  </r>
  <r>
    <x v="2"/>
  </r>
  <r>
    <x v="7"/>
  </r>
  <r>
    <x v="7"/>
  </r>
  <r>
    <x v="11"/>
  </r>
  <r>
    <x v="14"/>
  </r>
  <r>
    <x v="6"/>
  </r>
  <r>
    <x v="7"/>
  </r>
  <r>
    <x v="3"/>
  </r>
  <r>
    <x v="11"/>
  </r>
  <r>
    <x v="7"/>
  </r>
  <r>
    <x v="6"/>
  </r>
  <r>
    <x v="10"/>
  </r>
  <r>
    <x v="15"/>
  </r>
  <r>
    <x v="12"/>
  </r>
  <r>
    <x v="7"/>
  </r>
  <r>
    <x v="1"/>
  </r>
  <r>
    <x v="11"/>
  </r>
  <r>
    <x v="7"/>
  </r>
  <r>
    <x v="12"/>
  </r>
  <r>
    <x v="9"/>
  </r>
  <r>
    <x v="11"/>
  </r>
  <r>
    <x v="5"/>
  </r>
  <r>
    <x v="1"/>
  </r>
  <r>
    <x v="14"/>
  </r>
  <r>
    <x v="5"/>
  </r>
  <r>
    <x v="1"/>
  </r>
  <r>
    <x v="17"/>
  </r>
  <r>
    <x v="18"/>
  </r>
  <r>
    <x v="19"/>
  </r>
  <r>
    <x v="19"/>
  </r>
  <r>
    <x v="19"/>
  </r>
  <r>
    <x v="20"/>
  </r>
  <r>
    <x v="19"/>
  </r>
  <r>
    <x v="18"/>
  </r>
  <r>
    <x v="19"/>
  </r>
  <r>
    <x v="19"/>
  </r>
  <r>
    <x v="19"/>
  </r>
  <r>
    <x v="17"/>
  </r>
  <r>
    <x v="19"/>
  </r>
  <r>
    <x v="17"/>
  </r>
  <r>
    <x v="19"/>
  </r>
  <r>
    <x v="19"/>
  </r>
  <r>
    <x v="19"/>
  </r>
  <r>
    <x v="18"/>
  </r>
  <r>
    <x v="19"/>
  </r>
  <r>
    <x v="21"/>
  </r>
  <r>
    <x v="22"/>
  </r>
  <r>
    <x v="22"/>
  </r>
  <r>
    <x v="22"/>
  </r>
  <r>
    <x v="22"/>
  </r>
  <r>
    <x v="22"/>
  </r>
  <r>
    <x v="19"/>
  </r>
  <r>
    <x v="22"/>
  </r>
  <r>
    <x v="22"/>
  </r>
  <r>
    <x v="19"/>
  </r>
  <r>
    <x v="19"/>
  </r>
  <r>
    <x v="19"/>
  </r>
  <r>
    <x v="19"/>
  </r>
  <r>
    <x v="19"/>
  </r>
  <r>
    <x v="19"/>
  </r>
  <r>
    <x v="19"/>
  </r>
  <r>
    <x v="0"/>
  </r>
  <r>
    <x v="17"/>
  </r>
  <r>
    <x v="22"/>
  </r>
  <r>
    <x v="22"/>
  </r>
  <r>
    <x v="22"/>
  </r>
  <r>
    <x v="22"/>
  </r>
  <r>
    <x v="19"/>
  </r>
  <r>
    <x v="19"/>
  </r>
  <r>
    <x v="17"/>
  </r>
  <r>
    <x v="17"/>
  </r>
  <r>
    <x v="17"/>
  </r>
  <r>
    <x v="17"/>
  </r>
  <r>
    <x v="17"/>
  </r>
  <r>
    <x v="17"/>
  </r>
  <r>
    <x v="17"/>
  </r>
  <r>
    <x v="22"/>
  </r>
  <r>
    <x v="19"/>
  </r>
  <r>
    <x v="19"/>
  </r>
  <r>
    <x v="19"/>
  </r>
  <r>
    <x v="17"/>
  </r>
  <r>
    <x v="22"/>
  </r>
  <r>
    <x v="19"/>
  </r>
  <r>
    <x v="22"/>
  </r>
  <r>
    <x v="22"/>
  </r>
  <r>
    <x v="22"/>
  </r>
  <r>
    <x v="17"/>
  </r>
  <r>
    <x v="19"/>
  </r>
  <r>
    <x v="19"/>
  </r>
  <r>
    <x v="22"/>
  </r>
  <r>
    <x v="22"/>
  </r>
  <r>
    <x v="22"/>
  </r>
  <r>
    <x v="22"/>
  </r>
  <r>
    <x v="17"/>
  </r>
  <r>
    <x v="22"/>
  </r>
  <r>
    <x v="19"/>
  </r>
  <r>
    <x v="19"/>
  </r>
  <r>
    <x v="23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3"/>
  </r>
  <r>
    <x v="19"/>
  </r>
  <r>
    <x v="22"/>
  </r>
  <r>
    <x v="22"/>
  </r>
  <r>
    <x v="19"/>
  </r>
  <r>
    <x v="24"/>
  </r>
  <r>
    <x v="25"/>
  </r>
  <r>
    <x v="24"/>
  </r>
  <r>
    <x v="24"/>
  </r>
  <r>
    <x v="24"/>
  </r>
  <r>
    <x v="24"/>
  </r>
  <r>
    <x v="24"/>
  </r>
  <r>
    <x v="24"/>
  </r>
  <r>
    <x v="26"/>
  </r>
  <r>
    <x v="26"/>
  </r>
  <r>
    <x v="24"/>
  </r>
  <r>
    <x v="24"/>
  </r>
  <r>
    <x v="24"/>
  </r>
  <r>
    <x v="27"/>
  </r>
  <r>
    <x v="27"/>
  </r>
  <r>
    <x v="24"/>
  </r>
  <r>
    <x v="24"/>
  </r>
  <r>
    <x v="24"/>
  </r>
  <r>
    <x v="24"/>
  </r>
  <r>
    <x v="24"/>
  </r>
  <r>
    <x v="24"/>
  </r>
  <r>
    <x v="24"/>
  </r>
  <r>
    <x v="24"/>
  </r>
  <r>
    <x v="24"/>
  </r>
  <r>
    <x v="28"/>
  </r>
  <r>
    <x v="29"/>
  </r>
  <r>
    <x v="29"/>
  </r>
  <r>
    <x v="29"/>
  </r>
  <r>
    <x v="29"/>
  </r>
  <r>
    <x v="29"/>
  </r>
  <r>
    <x v="29"/>
  </r>
  <r>
    <x v="29"/>
  </r>
  <r>
    <x v="28"/>
  </r>
  <r>
    <x v="28"/>
  </r>
  <r>
    <x v="28"/>
  </r>
  <r>
    <x v="30"/>
  </r>
  <r>
    <x v="30"/>
  </r>
  <r>
    <x v="30"/>
  </r>
  <r>
    <x v="30"/>
  </r>
  <r>
    <x v="28"/>
  </r>
  <r>
    <x v="28"/>
  </r>
  <r>
    <x v="31"/>
  </r>
  <r>
    <x v="28"/>
  </r>
  <r>
    <x v="31"/>
  </r>
  <r>
    <x v="31"/>
  </r>
  <r>
    <x v="31"/>
  </r>
  <r>
    <x v="31"/>
  </r>
  <r>
    <x v="31"/>
  </r>
  <r>
    <x v="32"/>
  </r>
  <r>
    <x v="32"/>
  </r>
  <r>
    <x v="32"/>
  </r>
  <r>
    <x v="32"/>
  </r>
  <r>
    <x v="32"/>
  </r>
  <r>
    <x v="31"/>
  </r>
  <r>
    <x v="32"/>
  </r>
  <r>
    <x v="32"/>
  </r>
  <r>
    <x v="31"/>
  </r>
  <r>
    <x v="31"/>
  </r>
  <r>
    <x v="31"/>
  </r>
  <r>
    <x v="31"/>
  </r>
  <r>
    <x v="32"/>
  </r>
  <r>
    <x v="32"/>
  </r>
  <r>
    <x v="33"/>
  </r>
  <r>
    <x v="33"/>
  </r>
  <r>
    <x v="28"/>
  </r>
  <r>
    <x v="28"/>
  </r>
  <r>
    <x v="28"/>
  </r>
  <r>
    <x v="28"/>
  </r>
  <r>
    <x v="28"/>
  </r>
  <r>
    <x v="33"/>
  </r>
  <r>
    <x v="33"/>
  </r>
  <r>
    <x v="33"/>
  </r>
  <r>
    <x v="33"/>
  </r>
  <r>
    <x v="33"/>
  </r>
  <r>
    <x v="28"/>
  </r>
  <r>
    <x v="28"/>
  </r>
  <r>
    <x v="28"/>
  </r>
  <r>
    <x v="28"/>
  </r>
  <r>
    <x v="30"/>
  </r>
  <r>
    <x v="28"/>
  </r>
  <r>
    <x v="28"/>
  </r>
  <r>
    <x v="28"/>
  </r>
  <r>
    <x v="29"/>
  </r>
  <r>
    <x v="28"/>
  </r>
  <r>
    <x v="33"/>
  </r>
  <r>
    <x v="28"/>
  </r>
  <r>
    <x v="28"/>
  </r>
  <r>
    <x v="28"/>
  </r>
  <r>
    <x v="28"/>
  </r>
  <r>
    <x v="28"/>
  </r>
  <r>
    <x v="28"/>
  </r>
  <r>
    <x v="28"/>
  </r>
  <r>
    <x v="29"/>
  </r>
  <r>
    <x v="29"/>
  </r>
  <r>
    <x v="29"/>
  </r>
  <r>
    <x v="29"/>
  </r>
  <r>
    <x v="29"/>
  </r>
  <r>
    <x v="29"/>
  </r>
  <r>
    <x v="28"/>
  </r>
  <r>
    <x v="33"/>
  </r>
  <r>
    <x v="33"/>
  </r>
  <r>
    <x v="30"/>
  </r>
  <r>
    <x v="28"/>
  </r>
  <r>
    <x v="28"/>
  </r>
  <r>
    <x v="28"/>
  </r>
  <r>
    <x v="28"/>
  </r>
  <r>
    <x v="28"/>
  </r>
  <r>
    <x v="28"/>
  </r>
  <r>
    <x v="28"/>
  </r>
  <r>
    <x v="28"/>
  </r>
  <r>
    <x v="33"/>
  </r>
  <r>
    <x v="33"/>
  </r>
  <r>
    <x v="33"/>
  </r>
  <r>
    <x v="33"/>
  </r>
  <r>
    <x v="33"/>
  </r>
  <r>
    <x v="33"/>
  </r>
  <r>
    <x v="33"/>
  </r>
  <r>
    <x v="28"/>
  </r>
  <r>
    <x v="28"/>
  </r>
  <r>
    <x v="28"/>
  </r>
  <r>
    <x v="28"/>
  </r>
  <r>
    <x v="28"/>
  </r>
  <r>
    <x v="28"/>
  </r>
  <r>
    <x v="33"/>
  </r>
  <r>
    <x v="33"/>
  </r>
  <r>
    <x v="33"/>
  </r>
  <r>
    <x v="33"/>
  </r>
  <r>
    <x v="33"/>
  </r>
  <r>
    <x v="33"/>
  </r>
  <r>
    <x v="28"/>
  </r>
  <r>
    <x v="33"/>
  </r>
  <r>
    <x v="33"/>
  </r>
  <r>
    <x v="33"/>
  </r>
  <r>
    <x v="34"/>
  </r>
  <r>
    <x v="3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24">
  <r>
    <x v="0"/>
  </r>
  <r>
    <x v="1"/>
  </r>
  <r>
    <x v="2"/>
  </r>
  <r>
    <x v="1"/>
  </r>
  <r>
    <x v="3"/>
  </r>
  <r>
    <x v="4"/>
  </r>
  <r>
    <x v="5"/>
  </r>
  <r>
    <x v="6"/>
  </r>
  <r>
    <x v="0"/>
  </r>
  <r>
    <x v="1"/>
  </r>
  <r>
    <x v="7"/>
  </r>
  <r>
    <x v="8"/>
  </r>
  <r>
    <x v="2"/>
  </r>
  <r>
    <x v="9"/>
  </r>
  <r>
    <x v="2"/>
  </r>
  <r>
    <x v="10"/>
  </r>
  <r>
    <x v="3"/>
  </r>
  <r>
    <x v="2"/>
  </r>
  <r>
    <x v="4"/>
  </r>
  <r>
    <x v="7"/>
  </r>
  <r>
    <x v="1"/>
  </r>
  <r>
    <x v="11"/>
  </r>
  <r>
    <x v="11"/>
  </r>
  <r>
    <x v="12"/>
  </r>
  <r>
    <x v="13"/>
  </r>
  <r>
    <x v="1"/>
  </r>
  <r>
    <x v="1"/>
  </r>
  <r>
    <x v="14"/>
  </r>
  <r>
    <x v="7"/>
  </r>
  <r>
    <x v="7"/>
  </r>
  <r>
    <x v="3"/>
  </r>
  <r>
    <x v="1"/>
  </r>
  <r>
    <x v="13"/>
  </r>
  <r>
    <x v="1"/>
  </r>
  <r>
    <x v="7"/>
  </r>
  <r>
    <x v="10"/>
  </r>
  <r>
    <x v="15"/>
  </r>
  <r>
    <x v="12"/>
  </r>
  <r>
    <x v="1"/>
  </r>
  <r>
    <x v="5"/>
  </r>
  <r>
    <x v="14"/>
  </r>
  <r>
    <x v="2"/>
  </r>
  <r>
    <x v="2"/>
  </r>
  <r>
    <x v="12"/>
  </r>
  <r>
    <x v="2"/>
  </r>
  <r>
    <x v="2"/>
  </r>
  <r>
    <x v="12"/>
  </r>
  <r>
    <x v="2"/>
  </r>
  <r>
    <x v="2"/>
  </r>
  <r>
    <x v="16"/>
  </r>
  <r>
    <x v="4"/>
  </r>
  <r>
    <x v="5"/>
  </r>
  <r>
    <x v="15"/>
  </r>
  <r>
    <x v="1"/>
  </r>
  <r>
    <x v="9"/>
  </r>
  <r>
    <x v="8"/>
  </r>
  <r>
    <x v="2"/>
  </r>
  <r>
    <x v="1"/>
  </r>
  <r>
    <x v="4"/>
  </r>
  <r>
    <x v="2"/>
  </r>
  <r>
    <x v="4"/>
  </r>
  <r>
    <x v="1"/>
  </r>
  <r>
    <x v="2"/>
  </r>
  <r>
    <x v="4"/>
  </r>
  <r>
    <x v="16"/>
  </r>
  <r>
    <x v="2"/>
  </r>
  <r>
    <x v="0"/>
  </r>
  <r>
    <x v="2"/>
  </r>
  <r>
    <x v="1"/>
  </r>
  <r>
    <x v="13"/>
  </r>
  <r>
    <x v="13"/>
  </r>
  <r>
    <x v="4"/>
  </r>
  <r>
    <x v="3"/>
  </r>
  <r>
    <x v="12"/>
  </r>
  <r>
    <x v="2"/>
  </r>
  <r>
    <x v="1"/>
  </r>
  <r>
    <x v="1"/>
  </r>
  <r>
    <x v="1"/>
  </r>
  <r>
    <x v="16"/>
  </r>
  <r>
    <x v="17"/>
  </r>
  <r>
    <x v="16"/>
  </r>
  <r>
    <x v="0"/>
  </r>
  <r>
    <x v="2"/>
  </r>
  <r>
    <x v="0"/>
  </r>
  <r>
    <x v="16"/>
  </r>
  <r>
    <x v="12"/>
  </r>
  <r>
    <x v="0"/>
  </r>
  <r>
    <x v="12"/>
  </r>
  <r>
    <x v="12"/>
  </r>
  <r>
    <x v="16"/>
  </r>
  <r>
    <x v="1"/>
  </r>
  <r>
    <x v="2"/>
  </r>
  <r>
    <x v="18"/>
  </r>
  <r>
    <x v="1"/>
  </r>
  <r>
    <x v="16"/>
  </r>
  <r>
    <x v="1"/>
  </r>
  <r>
    <x v="2"/>
  </r>
  <r>
    <x v="1"/>
  </r>
  <r>
    <x v="7"/>
  </r>
  <r>
    <x v="16"/>
  </r>
  <r>
    <x v="6"/>
  </r>
  <r>
    <x v="4"/>
  </r>
  <r>
    <x v="16"/>
  </r>
  <r>
    <x v="2"/>
  </r>
  <r>
    <x v="19"/>
  </r>
  <r>
    <x v="1"/>
  </r>
  <r>
    <x v="1"/>
  </r>
  <r>
    <x v="1"/>
  </r>
  <r>
    <x v="1"/>
  </r>
  <r>
    <x v="12"/>
  </r>
  <r>
    <x v="1"/>
  </r>
  <r>
    <x v="1"/>
  </r>
  <r>
    <x v="5"/>
  </r>
  <r>
    <x v="17"/>
  </r>
  <r>
    <x v="4"/>
  </r>
  <r>
    <x v="4"/>
  </r>
  <r>
    <x v="2"/>
  </r>
  <r>
    <x v="16"/>
  </r>
  <r>
    <x v="20"/>
  </r>
  <r>
    <x v="1"/>
  </r>
  <r>
    <x v="2"/>
  </r>
  <r>
    <x v="21"/>
  </r>
  <r>
    <x v="22"/>
  </r>
  <r>
    <x v="22"/>
  </r>
  <r>
    <x v="22"/>
  </r>
  <r>
    <x v="22"/>
  </r>
  <r>
    <x v="23"/>
  </r>
  <r>
    <x v="23"/>
  </r>
  <r>
    <x v="23"/>
  </r>
  <r>
    <x v="23"/>
  </r>
  <r>
    <x v="23"/>
  </r>
  <r>
    <x v="23"/>
  </r>
  <r>
    <x v="21"/>
  </r>
  <r>
    <x v="22"/>
  </r>
  <r>
    <x v="21"/>
  </r>
  <r>
    <x v="21"/>
  </r>
  <r>
    <x v="21"/>
  </r>
  <r>
    <x v="21"/>
  </r>
  <r>
    <x v="23"/>
  </r>
  <r>
    <x v="23"/>
  </r>
  <r>
    <x v="23"/>
  </r>
  <r>
    <x v="23"/>
  </r>
  <r>
    <x v="21"/>
  </r>
  <r>
    <x v="21"/>
  </r>
  <r>
    <x v="21"/>
  </r>
  <r>
    <x v="21"/>
  </r>
  <r>
    <x v="22"/>
  </r>
  <r>
    <x v="22"/>
  </r>
  <r>
    <x v="22"/>
  </r>
  <r>
    <x v="21"/>
  </r>
  <r>
    <x v="21"/>
  </r>
  <r>
    <x v="21"/>
  </r>
  <r>
    <x v="21"/>
  </r>
  <r>
    <x v="21"/>
  </r>
  <r>
    <x v="22"/>
  </r>
  <r>
    <x v="22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2"/>
  </r>
  <r>
    <x v="22"/>
  </r>
  <r>
    <x v="21"/>
  </r>
  <r>
    <x v="23"/>
  </r>
  <r>
    <x v="23"/>
  </r>
  <r>
    <x v="23"/>
  </r>
  <r>
    <x v="23"/>
  </r>
  <r>
    <x v="21"/>
  </r>
  <r>
    <x v="22"/>
  </r>
  <r>
    <x v="21"/>
  </r>
  <r>
    <x v="24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2"/>
  </r>
  <r>
    <x v="21"/>
  </r>
  <r>
    <x v="21"/>
  </r>
  <r>
    <x v="21"/>
  </r>
  <r>
    <x v="21"/>
  </r>
  <r>
    <x v="22"/>
  </r>
  <r>
    <x v="22"/>
  </r>
  <r>
    <x v="21"/>
  </r>
  <r>
    <x v="21"/>
  </r>
  <r>
    <x v="21"/>
  </r>
  <r>
    <x v="22"/>
  </r>
  <r>
    <x v="25"/>
  </r>
  <r>
    <x v="22"/>
  </r>
  <r>
    <x v="21"/>
  </r>
  <r>
    <x v="21"/>
  </r>
  <r>
    <x v="21"/>
  </r>
  <r>
    <x v="25"/>
  </r>
  <r>
    <x v="21"/>
  </r>
  <r>
    <x v="21"/>
  </r>
  <r>
    <x v="21"/>
  </r>
  <r>
    <x v="21"/>
  </r>
  <r>
    <x v="22"/>
  </r>
  <r>
    <x v="23"/>
  </r>
  <r>
    <x v="23"/>
  </r>
  <r>
    <x v="23"/>
  </r>
  <r>
    <x v="23"/>
  </r>
  <r>
    <x v="21"/>
  </r>
  <r>
    <x v="21"/>
  </r>
  <r>
    <x v="21"/>
  </r>
  <r>
    <x v="22"/>
  </r>
  <r>
    <x v="25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5"/>
  </r>
  <r>
    <x v="22"/>
  </r>
  <r>
    <x v="25"/>
  </r>
  <r>
    <x v="21"/>
  </r>
  <r>
    <x v="21"/>
  </r>
  <r>
    <x v="21"/>
  </r>
  <r>
    <x v="21"/>
  </r>
  <r>
    <x v="21"/>
  </r>
  <r>
    <x v="21"/>
  </r>
  <r>
    <x v="22"/>
  </r>
  <r>
    <x v="22"/>
  </r>
  <r>
    <x v="23"/>
  </r>
  <r>
    <x v="21"/>
  </r>
  <r>
    <x v="22"/>
  </r>
  <r>
    <x v="23"/>
  </r>
  <r>
    <x v="21"/>
  </r>
  <r>
    <x v="22"/>
  </r>
  <r>
    <x v="22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2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6"/>
  </r>
  <r>
    <x v="22"/>
  </r>
  <r>
    <x v="22"/>
  </r>
  <r>
    <x v="22"/>
  </r>
  <r>
    <x v="22"/>
  </r>
  <r>
    <x v="22"/>
  </r>
  <r>
    <x v="21"/>
  </r>
  <r>
    <x v="21"/>
  </r>
  <r>
    <x v="21"/>
  </r>
  <r>
    <x v="25"/>
  </r>
  <r>
    <x v="22"/>
  </r>
  <r>
    <x v="22"/>
  </r>
  <r>
    <x v="25"/>
  </r>
  <r>
    <x v="22"/>
  </r>
  <r>
    <x v="22"/>
  </r>
  <r>
    <x v="25"/>
  </r>
  <r>
    <x v="25"/>
  </r>
  <r>
    <x v="25"/>
  </r>
  <r>
    <x v="23"/>
  </r>
  <r>
    <x v="21"/>
  </r>
  <r>
    <x v="21"/>
  </r>
  <r>
    <x v="21"/>
  </r>
  <r>
    <x v="21"/>
  </r>
  <r>
    <x v="21"/>
  </r>
  <r>
    <x v="22"/>
  </r>
  <r>
    <x v="22"/>
  </r>
  <r>
    <x v="22"/>
  </r>
  <r>
    <x v="22"/>
  </r>
  <r>
    <x v="25"/>
  </r>
  <r>
    <x v="22"/>
  </r>
  <r>
    <x v="21"/>
  </r>
  <r>
    <x v="21"/>
  </r>
  <r>
    <x v="21"/>
  </r>
  <r>
    <x v="21"/>
  </r>
  <r>
    <x v="27"/>
  </r>
  <r>
    <x v="25"/>
  </r>
  <r>
    <x v="22"/>
  </r>
  <r>
    <x v="22"/>
  </r>
  <r>
    <x v="22"/>
  </r>
  <r>
    <x v="25"/>
  </r>
  <r>
    <x v="25"/>
  </r>
  <r>
    <x v="25"/>
  </r>
  <r>
    <x v="25"/>
  </r>
  <r>
    <x v="25"/>
  </r>
  <r>
    <x v="25"/>
  </r>
  <r>
    <x v="25"/>
  </r>
  <r>
    <x v="28"/>
  </r>
  <r>
    <x v="29"/>
  </r>
  <r>
    <x v="29"/>
  </r>
  <r>
    <x v="28"/>
  </r>
  <r>
    <x v="29"/>
  </r>
  <r>
    <x v="30"/>
  </r>
  <r>
    <x v="28"/>
  </r>
  <r>
    <x v="29"/>
  </r>
  <r>
    <x v="29"/>
  </r>
  <r>
    <x v="29"/>
  </r>
  <r>
    <x v="29"/>
  </r>
  <r>
    <x v="29"/>
  </r>
  <r>
    <x v="29"/>
  </r>
  <r>
    <x v="29"/>
  </r>
  <r>
    <x v="29"/>
  </r>
  <r>
    <x v="29"/>
  </r>
  <r>
    <x v="31"/>
  </r>
  <r>
    <x v="29"/>
  </r>
  <r>
    <x v="30"/>
  </r>
  <r>
    <x v="29"/>
  </r>
  <r>
    <x v="29"/>
  </r>
  <r>
    <x v="32"/>
  </r>
  <r>
    <x v="33"/>
  </r>
  <r>
    <x v="32"/>
  </r>
  <r>
    <x v="32"/>
  </r>
  <r>
    <x v="34"/>
  </r>
  <r>
    <x v="34"/>
  </r>
  <r>
    <x v="34"/>
  </r>
  <r>
    <x v="34"/>
  </r>
  <r>
    <x v="34"/>
  </r>
  <r>
    <x v="32"/>
  </r>
  <r>
    <x v="32"/>
  </r>
  <r>
    <x v="32"/>
  </r>
  <r>
    <x v="32"/>
  </r>
  <r>
    <x v="32"/>
  </r>
  <r>
    <x v="32"/>
  </r>
  <r>
    <x v="32"/>
  </r>
  <r>
    <x v="32"/>
  </r>
  <r>
    <x v="33"/>
  </r>
  <r>
    <x v="33"/>
  </r>
  <r>
    <x v="33"/>
  </r>
  <r>
    <x v="33"/>
  </r>
  <r>
    <x v="33"/>
  </r>
  <r>
    <x v="33"/>
  </r>
  <r>
    <x v="33"/>
  </r>
  <r>
    <x v="33"/>
  </r>
  <r>
    <x v="33"/>
  </r>
  <r>
    <x v="33"/>
  </r>
  <r>
    <x v="33"/>
  </r>
  <r>
    <x v="33"/>
  </r>
  <r>
    <x v="33"/>
  </r>
  <r>
    <x v="33"/>
  </r>
  <r>
    <x v="33"/>
  </r>
  <r>
    <x v="33"/>
  </r>
  <r>
    <x v="33"/>
  </r>
  <r>
    <x v="33"/>
  </r>
  <r>
    <x v="33"/>
  </r>
  <r>
    <x v="33"/>
  </r>
  <r>
    <x v="34"/>
  </r>
  <r>
    <x v="34"/>
  </r>
  <r>
    <x v="34"/>
  </r>
  <r>
    <x v="34"/>
  </r>
  <r>
    <x v="34"/>
  </r>
  <r>
    <x v="34"/>
  </r>
  <r>
    <x v="34"/>
  </r>
  <r>
    <x v="34"/>
  </r>
  <r>
    <x v="34"/>
  </r>
  <r>
    <x v="32"/>
  </r>
  <r>
    <x v="32"/>
  </r>
  <r>
    <x v="32"/>
  </r>
  <r>
    <x v="32"/>
  </r>
  <r>
    <x v="33"/>
  </r>
  <r>
    <x v="34"/>
  </r>
  <r>
    <x v="34"/>
  </r>
  <r>
    <x v="34"/>
  </r>
  <r>
    <x v="34"/>
  </r>
  <r>
    <x v="34"/>
  </r>
  <r>
    <x v="34"/>
  </r>
  <r>
    <x v="34"/>
  </r>
  <r>
    <x v="34"/>
  </r>
  <r>
    <x v="34"/>
  </r>
  <r>
    <x v="34"/>
  </r>
  <r>
    <x v="34"/>
  </r>
  <r>
    <x v="34"/>
  </r>
  <r>
    <x v="34"/>
  </r>
  <r>
    <x v="34"/>
  </r>
  <r>
    <x v="33"/>
  </r>
  <r>
    <x v="33"/>
  </r>
  <r>
    <x v="33"/>
  </r>
  <r>
    <x v="33"/>
  </r>
  <r>
    <x v="33"/>
  </r>
  <r>
    <x v="33"/>
  </r>
  <r>
    <x v="33"/>
  </r>
  <r>
    <x v="33"/>
  </r>
  <r>
    <x v="33"/>
  </r>
  <r>
    <x v="33"/>
  </r>
  <r>
    <x v="33"/>
  </r>
  <r>
    <x v="33"/>
  </r>
  <r>
    <x v="33"/>
  </r>
  <r>
    <x v="33"/>
  </r>
  <r>
    <x v="33"/>
  </r>
  <r>
    <x v="33"/>
  </r>
  <r>
    <x v="33"/>
  </r>
  <r>
    <x v="33"/>
  </r>
  <r>
    <x v="32"/>
  </r>
  <r>
    <x v="32"/>
  </r>
  <r>
    <x v="33"/>
  </r>
  <r>
    <x v="33"/>
  </r>
  <r>
    <x v="33"/>
  </r>
  <r>
    <x v="33"/>
  </r>
  <r>
    <x v="33"/>
  </r>
  <r>
    <x v="33"/>
  </r>
  <r>
    <x v="33"/>
  </r>
  <r>
    <x v="33"/>
  </r>
  <r>
    <x v="33"/>
  </r>
  <r>
    <x v="33"/>
  </r>
  <r>
    <x v="33"/>
  </r>
  <r>
    <x v="33"/>
  </r>
  <r>
    <x v="33"/>
  </r>
  <r>
    <x v="33"/>
  </r>
  <r>
    <x v="33"/>
  </r>
  <r>
    <x v="33"/>
  </r>
  <r>
    <x v="33"/>
  </r>
  <r>
    <x v="33"/>
  </r>
  <r>
    <x v="33"/>
  </r>
  <r>
    <x v="33"/>
  </r>
  <r>
    <x v="33"/>
  </r>
  <r>
    <x v="33"/>
  </r>
  <r>
    <x v="32"/>
  </r>
  <r>
    <x v="32"/>
  </r>
  <r>
    <x v="32"/>
  </r>
  <r>
    <x v="32"/>
  </r>
  <r>
    <x v="32"/>
  </r>
  <r>
    <x v="32"/>
  </r>
  <r>
    <x v="34"/>
  </r>
  <r>
    <x v="34"/>
  </r>
  <r>
    <x v="35"/>
  </r>
  <r>
    <x v="34"/>
  </r>
  <r>
    <x v="34"/>
  </r>
  <r>
    <x v="32"/>
  </r>
  <r>
    <x v="35"/>
  </r>
  <r>
    <x v="32"/>
  </r>
  <r>
    <x v="32"/>
  </r>
  <r>
    <x v="34"/>
  </r>
  <r>
    <x v="34"/>
  </r>
  <r>
    <x v="34"/>
  </r>
  <r>
    <x v="32"/>
  </r>
  <r>
    <x v="33"/>
  </r>
  <r>
    <x v="33"/>
  </r>
  <r>
    <x v="33"/>
  </r>
  <r>
    <x v="33"/>
  </r>
  <r>
    <x v="33"/>
  </r>
  <r>
    <x v="33"/>
  </r>
  <r>
    <x v="33"/>
  </r>
  <r>
    <x v="33"/>
  </r>
  <r>
    <x v="33"/>
  </r>
  <r>
    <x v="33"/>
  </r>
  <r>
    <x v="33"/>
  </r>
  <r>
    <x v="33"/>
  </r>
  <r>
    <x v="33"/>
  </r>
  <r>
    <x v="33"/>
  </r>
  <r>
    <x v="33"/>
  </r>
  <r>
    <x v="33"/>
  </r>
  <r>
    <x v="33"/>
  </r>
  <r>
    <x v="33"/>
  </r>
  <r>
    <x v="33"/>
  </r>
  <r>
    <x v="33"/>
  </r>
  <r>
    <x v="32"/>
  </r>
  <r>
    <x v="33"/>
  </r>
  <r>
    <x v="33"/>
  </r>
  <r>
    <x v="33"/>
  </r>
  <r>
    <x v="33"/>
  </r>
  <r>
    <x v="33"/>
  </r>
  <r>
    <x v="32"/>
  </r>
  <r>
    <x v="32"/>
  </r>
  <r>
    <x v="32"/>
  </r>
  <r>
    <x v="32"/>
  </r>
  <r>
    <x v="32"/>
  </r>
  <r>
    <x v="32"/>
  </r>
  <r>
    <x v="32"/>
  </r>
  <r>
    <x v="32"/>
  </r>
  <r>
    <x v="32"/>
  </r>
  <r>
    <x v="32"/>
  </r>
  <r>
    <x v="32"/>
  </r>
  <r>
    <x v="32"/>
  </r>
  <r>
    <x v="32"/>
  </r>
  <r>
    <x v="32"/>
  </r>
  <r>
    <x v="34"/>
  </r>
  <r>
    <x v="34"/>
  </r>
  <r>
    <x v="34"/>
  </r>
  <r>
    <x v="34"/>
  </r>
  <r>
    <x v="34"/>
  </r>
  <r>
    <x v="32"/>
  </r>
  <r>
    <x v="32"/>
  </r>
  <r>
    <x v="32"/>
  </r>
  <r>
    <x v="32"/>
  </r>
  <r>
    <x v="32"/>
  </r>
  <r>
    <x v="32"/>
  </r>
  <r>
    <x v="32"/>
  </r>
  <r>
    <x v="32"/>
  </r>
  <r>
    <x v="32"/>
  </r>
  <r>
    <x v="34"/>
  </r>
  <r>
    <x v="34"/>
  </r>
  <r>
    <x v="32"/>
  </r>
  <r>
    <x v="34"/>
  </r>
  <r>
    <x v="34"/>
  </r>
  <r>
    <x v="34"/>
  </r>
  <r>
    <x v="34"/>
  </r>
  <r>
    <x v="34"/>
  </r>
  <r>
    <x v="34"/>
  </r>
  <r>
    <x v="34"/>
  </r>
  <r>
    <x v="34"/>
  </r>
  <r>
    <x v="32"/>
  </r>
  <r>
    <x v="32"/>
  </r>
  <r>
    <x v="33"/>
  </r>
  <r>
    <x v="33"/>
  </r>
  <r>
    <x v="33"/>
  </r>
  <r>
    <x v="33"/>
  </r>
  <r>
    <x v="33"/>
  </r>
  <r>
    <x v="33"/>
  </r>
  <r>
    <x v="33"/>
  </r>
  <r>
    <x v="32"/>
  </r>
  <r>
    <x v="32"/>
  </r>
  <r>
    <x v="32"/>
  </r>
  <r>
    <x v="32"/>
  </r>
  <r>
    <x v="32"/>
  </r>
  <r>
    <x v="34"/>
  </r>
  <r>
    <x v="34"/>
  </r>
  <r>
    <x v="34"/>
  </r>
  <r>
    <x v="32"/>
  </r>
  <r>
    <x v="32"/>
  </r>
  <r>
    <x v="32"/>
  </r>
  <r>
    <x v="32"/>
  </r>
  <r>
    <x v="32"/>
  </r>
  <r>
    <x v="32"/>
  </r>
  <r>
    <x v="32"/>
  </r>
  <r>
    <x v="32"/>
  </r>
  <r>
    <x v="32"/>
  </r>
  <r>
    <x v="32"/>
  </r>
  <r>
    <x v="32"/>
  </r>
  <r>
    <x v="32"/>
  </r>
  <r>
    <x v="32"/>
  </r>
  <r>
    <x v="32"/>
  </r>
  <r>
    <x v="32"/>
  </r>
  <r>
    <x v="32"/>
  </r>
  <r>
    <x v="32"/>
  </r>
  <r>
    <x v="32"/>
  </r>
  <r>
    <x v="32"/>
  </r>
  <r>
    <x v="32"/>
  </r>
  <r>
    <x v="32"/>
  </r>
  <r>
    <x v="32"/>
  </r>
  <r>
    <x v="32"/>
  </r>
  <r>
    <x v="32"/>
  </r>
  <r>
    <x v="32"/>
  </r>
  <r>
    <x v="32"/>
  </r>
  <r>
    <x v="32"/>
  </r>
  <r>
    <x v="32"/>
  </r>
  <r>
    <x v="32"/>
  </r>
  <r>
    <x v="32"/>
  </r>
  <r>
    <x v="32"/>
  </r>
  <r>
    <x v="32"/>
  </r>
  <r>
    <x v="32"/>
  </r>
  <r>
    <x v="32"/>
  </r>
  <r>
    <x v="32"/>
  </r>
  <r>
    <x v="32"/>
  </r>
  <r>
    <x v="32"/>
  </r>
  <r>
    <x v="32"/>
  </r>
  <r>
    <x v="32"/>
  </r>
  <r>
    <x v="34"/>
  </r>
  <r>
    <x v="34"/>
  </r>
  <r>
    <x v="32"/>
  </r>
  <r>
    <x v="32"/>
  </r>
  <r>
    <x v="32"/>
  </r>
  <r>
    <x v="32"/>
  </r>
  <r>
    <x v="32"/>
  </r>
  <r>
    <x v="32"/>
  </r>
  <r>
    <x v="27"/>
  </r>
  <r>
    <x v="2"/>
  </r>
  <r>
    <x v="2"/>
  </r>
  <r>
    <x v="9"/>
  </r>
  <r>
    <x v="12"/>
  </r>
  <r>
    <x v="2"/>
  </r>
  <r>
    <x v="6"/>
  </r>
  <r>
    <x v="19"/>
  </r>
  <r>
    <x v="2"/>
  </r>
  <r>
    <x v="2"/>
  </r>
  <r>
    <x v="4"/>
  </r>
  <r>
    <x v="2"/>
  </r>
  <r>
    <x v="2"/>
  </r>
  <r>
    <x v="1"/>
  </r>
  <r>
    <x v="0"/>
  </r>
  <r>
    <x v="2"/>
  </r>
  <r>
    <x v="13"/>
  </r>
  <r>
    <x v="8"/>
  </r>
  <r>
    <x v="1"/>
  </r>
  <r>
    <x v="6"/>
  </r>
  <r>
    <x v="1"/>
  </r>
  <r>
    <x v="7"/>
  </r>
  <r>
    <x v="0"/>
  </r>
  <r>
    <x v="12"/>
  </r>
  <r>
    <x v="16"/>
  </r>
  <r>
    <x v="16"/>
  </r>
  <r>
    <x v="10"/>
  </r>
  <r>
    <x v="8"/>
  </r>
  <r>
    <x v="6"/>
  </r>
  <r>
    <x v="0"/>
  </r>
  <r>
    <x v="3"/>
  </r>
  <r>
    <x v="3"/>
  </r>
  <r>
    <x v="6"/>
  </r>
  <r>
    <x v="1"/>
  </r>
  <r>
    <x v="0"/>
  </r>
  <r>
    <x v="0"/>
  </r>
  <r>
    <x v="2"/>
  </r>
  <r>
    <x v="16"/>
  </r>
  <r>
    <x v="16"/>
  </r>
  <r>
    <x v="1"/>
  </r>
  <r>
    <x v="3"/>
  </r>
  <r>
    <x v="14"/>
  </r>
  <r>
    <x v="2"/>
  </r>
  <r>
    <x v="1"/>
  </r>
  <r>
    <x v="12"/>
  </r>
  <r>
    <x v="3"/>
  </r>
  <r>
    <x v="12"/>
  </r>
  <r>
    <x v="14"/>
  </r>
  <r>
    <x v="19"/>
  </r>
  <r>
    <x v="19"/>
  </r>
  <r>
    <x v="8"/>
  </r>
  <r>
    <x v="16"/>
  </r>
  <r>
    <x v="12"/>
  </r>
  <r>
    <x v="12"/>
  </r>
  <r>
    <x v="2"/>
  </r>
  <r>
    <x v="2"/>
  </r>
  <r>
    <x v="2"/>
  </r>
  <r>
    <x v="13"/>
  </r>
  <r>
    <x v="7"/>
  </r>
  <r>
    <x v="2"/>
  </r>
  <r>
    <x v="2"/>
  </r>
  <r>
    <x v="8"/>
  </r>
  <r>
    <x v="12"/>
  </r>
  <r>
    <x v="3"/>
  </r>
  <r>
    <x v="6"/>
  </r>
  <r>
    <x v="16"/>
  </r>
  <r>
    <x v="18"/>
  </r>
  <r>
    <x v="2"/>
  </r>
  <r>
    <x v="3"/>
  </r>
  <r>
    <x v="3"/>
  </r>
  <r>
    <x v="7"/>
  </r>
  <r>
    <x v="1"/>
  </r>
  <r>
    <x v="12"/>
  </r>
  <r>
    <x v="1"/>
  </r>
  <r>
    <x v="7"/>
  </r>
  <r>
    <x v="9"/>
  </r>
  <r>
    <x v="1"/>
  </r>
  <r>
    <x v="1"/>
  </r>
  <r>
    <x v="7"/>
  </r>
  <r>
    <x v="3"/>
  </r>
  <r>
    <x v="4"/>
  </r>
  <r>
    <x v="1"/>
  </r>
  <r>
    <x v="12"/>
  </r>
  <r>
    <x v="7"/>
  </r>
  <r>
    <x v="1"/>
  </r>
  <r>
    <x v="4"/>
  </r>
  <r>
    <x v="8"/>
  </r>
  <r>
    <x v="14"/>
  </r>
  <r>
    <x v="16"/>
  </r>
  <r>
    <x v="1"/>
  </r>
  <r>
    <x v="2"/>
  </r>
  <r>
    <x v="7"/>
  </r>
  <r>
    <x v="1"/>
  </r>
  <r>
    <x v="16"/>
  </r>
  <r>
    <x v="13"/>
  </r>
  <r>
    <x v="7"/>
  </r>
  <r>
    <x v="19"/>
  </r>
  <r>
    <x v="2"/>
  </r>
  <r>
    <x v="3"/>
  </r>
  <r>
    <x v="19"/>
  </r>
  <r>
    <x v="2"/>
  </r>
  <r>
    <x v="23"/>
  </r>
  <r>
    <x v="25"/>
  </r>
  <r>
    <x v="22"/>
  </r>
  <r>
    <x v="22"/>
  </r>
  <r>
    <x v="22"/>
  </r>
  <r>
    <x v="36"/>
  </r>
  <r>
    <x v="22"/>
  </r>
  <r>
    <x v="25"/>
  </r>
  <r>
    <x v="22"/>
  </r>
  <r>
    <x v="22"/>
  </r>
  <r>
    <x v="22"/>
  </r>
  <r>
    <x v="23"/>
  </r>
  <r>
    <x v="22"/>
  </r>
  <r>
    <x v="23"/>
  </r>
  <r>
    <x v="22"/>
  </r>
  <r>
    <x v="22"/>
  </r>
  <r>
    <x v="22"/>
  </r>
  <r>
    <x v="25"/>
  </r>
  <r>
    <x v="22"/>
  </r>
  <r>
    <x v="37"/>
  </r>
  <r>
    <x v="21"/>
  </r>
  <r>
    <x v="21"/>
  </r>
  <r>
    <x v="21"/>
  </r>
  <r>
    <x v="21"/>
  </r>
  <r>
    <x v="21"/>
  </r>
  <r>
    <x v="22"/>
  </r>
  <r>
    <x v="21"/>
  </r>
  <r>
    <x v="21"/>
  </r>
  <r>
    <x v="22"/>
  </r>
  <r>
    <x v="22"/>
  </r>
  <r>
    <x v="22"/>
  </r>
  <r>
    <x v="22"/>
  </r>
  <r>
    <x v="22"/>
  </r>
  <r>
    <x v="22"/>
  </r>
  <r>
    <x v="22"/>
  </r>
  <r>
    <x v="27"/>
  </r>
  <r>
    <x v="23"/>
  </r>
  <r>
    <x v="21"/>
  </r>
  <r>
    <x v="21"/>
  </r>
  <r>
    <x v="21"/>
  </r>
  <r>
    <x v="21"/>
  </r>
  <r>
    <x v="22"/>
  </r>
  <r>
    <x v="22"/>
  </r>
  <r>
    <x v="23"/>
  </r>
  <r>
    <x v="23"/>
  </r>
  <r>
    <x v="23"/>
  </r>
  <r>
    <x v="23"/>
  </r>
  <r>
    <x v="23"/>
  </r>
  <r>
    <x v="23"/>
  </r>
  <r>
    <x v="23"/>
  </r>
  <r>
    <x v="21"/>
  </r>
  <r>
    <x v="22"/>
  </r>
  <r>
    <x v="22"/>
  </r>
  <r>
    <x v="22"/>
  </r>
  <r>
    <x v="23"/>
  </r>
  <r>
    <x v="21"/>
  </r>
  <r>
    <x v="22"/>
  </r>
  <r>
    <x v="21"/>
  </r>
  <r>
    <x v="21"/>
  </r>
  <r>
    <x v="21"/>
  </r>
  <r>
    <x v="23"/>
  </r>
  <r>
    <x v="22"/>
  </r>
  <r>
    <x v="22"/>
  </r>
  <r>
    <x v="21"/>
  </r>
  <r>
    <x v="21"/>
  </r>
  <r>
    <x v="21"/>
  </r>
  <r>
    <x v="21"/>
  </r>
  <r>
    <x v="23"/>
  </r>
  <r>
    <x v="21"/>
  </r>
  <r>
    <x v="22"/>
  </r>
  <r>
    <x v="22"/>
  </r>
  <r>
    <x v="26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6"/>
  </r>
  <r>
    <x v="22"/>
  </r>
  <r>
    <x v="21"/>
  </r>
  <r>
    <x v="21"/>
  </r>
  <r>
    <x v="22"/>
  </r>
  <r>
    <x v="29"/>
  </r>
  <r>
    <x v="31"/>
  </r>
  <r>
    <x v="29"/>
  </r>
  <r>
    <x v="29"/>
  </r>
  <r>
    <x v="29"/>
  </r>
  <r>
    <x v="29"/>
  </r>
  <r>
    <x v="29"/>
  </r>
  <r>
    <x v="29"/>
  </r>
  <r>
    <x v="30"/>
  </r>
  <r>
    <x v="30"/>
  </r>
  <r>
    <x v="29"/>
  </r>
  <r>
    <x v="29"/>
  </r>
  <r>
    <x v="29"/>
  </r>
  <r>
    <x v="38"/>
  </r>
  <r>
    <x v="38"/>
  </r>
  <r>
    <x v="29"/>
  </r>
  <r>
    <x v="29"/>
  </r>
  <r>
    <x v="29"/>
  </r>
  <r>
    <x v="29"/>
  </r>
  <r>
    <x v="29"/>
  </r>
  <r>
    <x v="29"/>
  </r>
  <r>
    <x v="29"/>
  </r>
  <r>
    <x v="29"/>
  </r>
  <r>
    <x v="29"/>
  </r>
  <r>
    <x v="32"/>
  </r>
  <r>
    <x v="33"/>
  </r>
  <r>
    <x v="33"/>
  </r>
  <r>
    <x v="33"/>
  </r>
  <r>
    <x v="33"/>
  </r>
  <r>
    <x v="33"/>
  </r>
  <r>
    <x v="33"/>
  </r>
  <r>
    <x v="33"/>
  </r>
  <r>
    <x v="32"/>
  </r>
  <r>
    <x v="32"/>
  </r>
  <r>
    <x v="32"/>
  </r>
  <r>
    <x v="39"/>
  </r>
  <r>
    <x v="39"/>
  </r>
  <r>
    <x v="39"/>
  </r>
  <r>
    <x v="39"/>
  </r>
  <r>
    <x v="32"/>
  </r>
  <r>
    <x v="32"/>
  </r>
  <r>
    <x v="40"/>
  </r>
  <r>
    <x v="32"/>
  </r>
  <r>
    <x v="40"/>
  </r>
  <r>
    <x v="40"/>
  </r>
  <r>
    <x v="40"/>
  </r>
  <r>
    <x v="40"/>
  </r>
  <r>
    <x v="40"/>
  </r>
  <r>
    <x v="24"/>
  </r>
  <r>
    <x v="24"/>
  </r>
  <r>
    <x v="24"/>
  </r>
  <r>
    <x v="24"/>
  </r>
  <r>
    <x v="24"/>
  </r>
  <r>
    <x v="40"/>
  </r>
  <r>
    <x v="24"/>
  </r>
  <r>
    <x v="24"/>
  </r>
  <r>
    <x v="40"/>
  </r>
  <r>
    <x v="40"/>
  </r>
  <r>
    <x v="40"/>
  </r>
  <r>
    <x v="40"/>
  </r>
  <r>
    <x v="24"/>
  </r>
  <r>
    <x v="24"/>
  </r>
  <r>
    <x v="34"/>
  </r>
  <r>
    <x v="34"/>
  </r>
  <r>
    <x v="32"/>
  </r>
  <r>
    <x v="32"/>
  </r>
  <r>
    <x v="32"/>
  </r>
  <r>
    <x v="32"/>
  </r>
  <r>
    <x v="32"/>
  </r>
  <r>
    <x v="34"/>
  </r>
  <r>
    <x v="34"/>
  </r>
  <r>
    <x v="34"/>
  </r>
  <r>
    <x v="34"/>
  </r>
  <r>
    <x v="34"/>
  </r>
  <r>
    <x v="32"/>
  </r>
  <r>
    <x v="32"/>
  </r>
  <r>
    <x v="32"/>
  </r>
  <r>
    <x v="32"/>
  </r>
  <r>
    <x v="39"/>
  </r>
  <r>
    <x v="32"/>
  </r>
  <r>
    <x v="32"/>
  </r>
  <r>
    <x v="32"/>
  </r>
  <r>
    <x v="33"/>
  </r>
  <r>
    <x v="32"/>
  </r>
  <r>
    <x v="34"/>
  </r>
  <r>
    <x v="32"/>
  </r>
  <r>
    <x v="32"/>
  </r>
  <r>
    <x v="32"/>
  </r>
  <r>
    <x v="32"/>
  </r>
  <r>
    <x v="32"/>
  </r>
  <r>
    <x v="32"/>
  </r>
  <r>
    <x v="32"/>
  </r>
  <r>
    <x v="33"/>
  </r>
  <r>
    <x v="33"/>
  </r>
  <r>
    <x v="33"/>
  </r>
  <r>
    <x v="33"/>
  </r>
  <r>
    <x v="33"/>
  </r>
  <r>
    <x v="33"/>
  </r>
  <r>
    <x v="32"/>
  </r>
  <r>
    <x v="34"/>
  </r>
  <r>
    <x v="34"/>
  </r>
  <r>
    <x v="39"/>
  </r>
  <r>
    <x v="32"/>
  </r>
  <r>
    <x v="32"/>
  </r>
  <r>
    <x v="32"/>
  </r>
  <r>
    <x v="32"/>
  </r>
  <r>
    <x v="32"/>
  </r>
  <r>
    <x v="32"/>
  </r>
  <r>
    <x v="32"/>
  </r>
  <r>
    <x v="32"/>
  </r>
  <r>
    <x v="34"/>
  </r>
  <r>
    <x v="34"/>
  </r>
  <r>
    <x v="34"/>
  </r>
  <r>
    <x v="34"/>
  </r>
  <r>
    <x v="34"/>
  </r>
  <r>
    <x v="34"/>
  </r>
  <r>
    <x v="34"/>
  </r>
  <r>
    <x v="32"/>
  </r>
  <r>
    <x v="32"/>
  </r>
  <r>
    <x v="32"/>
  </r>
  <r>
    <x v="32"/>
  </r>
  <r>
    <x v="32"/>
  </r>
  <r>
    <x v="32"/>
  </r>
  <r>
    <x v="34"/>
  </r>
  <r>
    <x v="34"/>
  </r>
  <r>
    <x v="34"/>
  </r>
  <r>
    <x v="34"/>
  </r>
  <r>
    <x v="34"/>
  </r>
  <r>
    <x v="34"/>
  </r>
  <r>
    <x v="32"/>
  </r>
  <r>
    <x v="34"/>
  </r>
  <r>
    <x v="34"/>
  </r>
  <r>
    <x v="34"/>
  </r>
  <r>
    <x v="41"/>
  </r>
  <r>
    <x v="41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1">
  <r>
    <x v="0"/>
  </r>
  <r>
    <x v="1"/>
  </r>
  <r>
    <x v="1"/>
  </r>
  <r>
    <x v="2"/>
  </r>
  <r>
    <x v="3"/>
  </r>
  <r>
    <x v="1"/>
  </r>
  <r>
    <x v="4"/>
  </r>
  <r>
    <x v="5"/>
  </r>
  <r>
    <x v="1"/>
  </r>
  <r>
    <x v="1"/>
  </r>
  <r>
    <x v="6"/>
  </r>
  <r>
    <x v="1"/>
  </r>
  <r>
    <x v="1"/>
  </r>
  <r>
    <x v="7"/>
  </r>
  <r>
    <x v="8"/>
  </r>
  <r>
    <x v="1"/>
  </r>
  <r>
    <x v="9"/>
  </r>
  <r>
    <x v="10"/>
  </r>
  <r>
    <x v="7"/>
  </r>
  <r>
    <x v="4"/>
  </r>
  <r>
    <x v="7"/>
  </r>
  <r>
    <x v="11"/>
  </r>
  <r>
    <x v="8"/>
  </r>
  <r>
    <x v="3"/>
  </r>
  <r>
    <x v="12"/>
  </r>
  <r>
    <x v="12"/>
  </r>
  <r>
    <x v="13"/>
  </r>
  <r>
    <x v="10"/>
  </r>
  <r>
    <x v="4"/>
  </r>
  <r>
    <x v="8"/>
  </r>
  <r>
    <x v="14"/>
  </r>
  <r>
    <x v="14"/>
  </r>
  <r>
    <x v="4"/>
  </r>
  <r>
    <x v="7"/>
  </r>
  <r>
    <x v="8"/>
  </r>
  <r>
    <x v="8"/>
  </r>
  <r>
    <x v="1"/>
  </r>
  <r>
    <x v="12"/>
  </r>
  <r>
    <x v="12"/>
  </r>
  <r>
    <x v="7"/>
  </r>
  <r>
    <x v="14"/>
  </r>
  <r>
    <x v="15"/>
  </r>
  <r>
    <x v="1"/>
  </r>
  <r>
    <x v="7"/>
  </r>
  <r>
    <x v="3"/>
  </r>
  <r>
    <x v="14"/>
  </r>
  <r>
    <x v="3"/>
  </r>
  <r>
    <x v="15"/>
  </r>
  <r>
    <x v="5"/>
  </r>
  <r>
    <x v="5"/>
  </r>
  <r>
    <x v="10"/>
  </r>
  <r>
    <x v="12"/>
  </r>
  <r>
    <x v="3"/>
  </r>
  <r>
    <x v="3"/>
  </r>
  <r>
    <x v="1"/>
  </r>
  <r>
    <x v="1"/>
  </r>
  <r>
    <x v="1"/>
  </r>
  <r>
    <x v="9"/>
  </r>
  <r>
    <x v="11"/>
  </r>
  <r>
    <x v="1"/>
  </r>
  <r>
    <x v="1"/>
  </r>
  <r>
    <x v="10"/>
  </r>
  <r>
    <x v="3"/>
  </r>
  <r>
    <x v="14"/>
  </r>
  <r>
    <x v="4"/>
  </r>
  <r>
    <x v="12"/>
  </r>
  <r>
    <x v="16"/>
  </r>
  <r>
    <x v="1"/>
  </r>
  <r>
    <x v="14"/>
  </r>
  <r>
    <x v="14"/>
  </r>
  <r>
    <x v="11"/>
  </r>
  <r>
    <x v="7"/>
  </r>
  <r>
    <x v="3"/>
  </r>
  <r>
    <x v="7"/>
  </r>
  <r>
    <x v="11"/>
  </r>
  <r>
    <x v="2"/>
  </r>
  <r>
    <x v="7"/>
  </r>
  <r>
    <x v="7"/>
  </r>
  <r>
    <x v="11"/>
  </r>
  <r>
    <x v="14"/>
  </r>
  <r>
    <x v="6"/>
  </r>
  <r>
    <x v="7"/>
  </r>
  <r>
    <x v="3"/>
  </r>
  <r>
    <x v="11"/>
  </r>
  <r>
    <x v="7"/>
  </r>
  <r>
    <x v="6"/>
  </r>
  <r>
    <x v="10"/>
  </r>
  <r>
    <x v="15"/>
  </r>
  <r>
    <x v="12"/>
  </r>
  <r>
    <x v="7"/>
  </r>
  <r>
    <x v="1"/>
  </r>
  <r>
    <x v="11"/>
  </r>
  <r>
    <x v="7"/>
  </r>
  <r>
    <x v="12"/>
  </r>
  <r>
    <x v="9"/>
  </r>
  <r>
    <x v="11"/>
  </r>
  <r>
    <x v="5"/>
  </r>
  <r>
    <x v="1"/>
  </r>
  <r>
    <x v="14"/>
  </r>
  <r>
    <x v="5"/>
  </r>
  <r>
    <x v="1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22">
  <r>
    <x v="0"/>
  </r>
  <r>
    <x v="1"/>
  </r>
  <r>
    <x v="2"/>
  </r>
  <r>
    <x v="1"/>
  </r>
  <r>
    <x v="3"/>
  </r>
  <r>
    <x v="4"/>
  </r>
  <r>
    <x v="5"/>
  </r>
  <r>
    <x v="6"/>
  </r>
  <r>
    <x v="0"/>
  </r>
  <r>
    <x v="1"/>
  </r>
  <r>
    <x v="7"/>
  </r>
  <r>
    <x v="8"/>
  </r>
  <r>
    <x v="2"/>
  </r>
  <r>
    <x v="9"/>
  </r>
  <r>
    <x v="2"/>
  </r>
  <r>
    <x v="10"/>
  </r>
  <r>
    <x v="3"/>
  </r>
  <r>
    <x v="2"/>
  </r>
  <r>
    <x v="4"/>
  </r>
  <r>
    <x v="7"/>
  </r>
  <r>
    <x v="1"/>
  </r>
  <r>
    <x v="11"/>
  </r>
  <r>
    <x v="11"/>
  </r>
  <r>
    <x v="12"/>
  </r>
  <r>
    <x v="13"/>
  </r>
  <r>
    <x v="1"/>
  </r>
  <r>
    <x v="1"/>
  </r>
  <r>
    <x v="14"/>
  </r>
  <r>
    <x v="7"/>
  </r>
  <r>
    <x v="7"/>
  </r>
  <r>
    <x v="3"/>
  </r>
  <r>
    <x v="1"/>
  </r>
  <r>
    <x v="13"/>
  </r>
  <r>
    <x v="1"/>
  </r>
  <r>
    <x v="7"/>
  </r>
  <r>
    <x v="10"/>
  </r>
  <r>
    <x v="15"/>
  </r>
  <r>
    <x v="12"/>
  </r>
  <r>
    <x v="1"/>
  </r>
  <r>
    <x v="5"/>
  </r>
  <r>
    <x v="14"/>
  </r>
  <r>
    <x v="2"/>
  </r>
  <r>
    <x v="2"/>
  </r>
  <r>
    <x v="12"/>
  </r>
  <r>
    <x v="2"/>
  </r>
  <r>
    <x v="2"/>
  </r>
  <r>
    <x v="12"/>
  </r>
  <r>
    <x v="2"/>
  </r>
  <r>
    <x v="2"/>
  </r>
  <r>
    <x v="16"/>
  </r>
  <r>
    <x v="4"/>
  </r>
  <r>
    <x v="5"/>
  </r>
  <r>
    <x v="15"/>
  </r>
  <r>
    <x v="1"/>
  </r>
  <r>
    <x v="9"/>
  </r>
  <r>
    <x v="8"/>
  </r>
  <r>
    <x v="2"/>
  </r>
  <r>
    <x v="1"/>
  </r>
  <r>
    <x v="4"/>
  </r>
  <r>
    <x v="2"/>
  </r>
  <r>
    <x v="4"/>
  </r>
  <r>
    <x v="1"/>
  </r>
  <r>
    <x v="2"/>
  </r>
  <r>
    <x v="4"/>
  </r>
  <r>
    <x v="16"/>
  </r>
  <r>
    <x v="2"/>
  </r>
  <r>
    <x v="0"/>
  </r>
  <r>
    <x v="2"/>
  </r>
  <r>
    <x v="1"/>
  </r>
  <r>
    <x v="13"/>
  </r>
  <r>
    <x v="13"/>
  </r>
  <r>
    <x v="4"/>
  </r>
  <r>
    <x v="3"/>
  </r>
  <r>
    <x v="12"/>
  </r>
  <r>
    <x v="2"/>
  </r>
  <r>
    <x v="1"/>
  </r>
  <r>
    <x v="1"/>
  </r>
  <r>
    <x v="1"/>
  </r>
  <r>
    <x v="16"/>
  </r>
  <r>
    <x v="17"/>
  </r>
  <r>
    <x v="16"/>
  </r>
  <r>
    <x v="0"/>
  </r>
  <r>
    <x v="2"/>
  </r>
  <r>
    <x v="0"/>
  </r>
  <r>
    <x v="16"/>
  </r>
  <r>
    <x v="12"/>
  </r>
  <r>
    <x v="0"/>
  </r>
  <r>
    <x v="12"/>
  </r>
  <r>
    <x v="12"/>
  </r>
  <r>
    <x v="16"/>
  </r>
  <r>
    <x v="1"/>
  </r>
  <r>
    <x v="2"/>
  </r>
  <r>
    <x v="18"/>
  </r>
  <r>
    <x v="1"/>
  </r>
  <r>
    <x v="16"/>
  </r>
  <r>
    <x v="1"/>
  </r>
  <r>
    <x v="2"/>
  </r>
  <r>
    <x v="1"/>
  </r>
  <r>
    <x v="7"/>
  </r>
  <r>
    <x v="16"/>
  </r>
  <r>
    <x v="6"/>
  </r>
  <r>
    <x v="4"/>
  </r>
  <r>
    <x v="16"/>
  </r>
  <r>
    <x v="2"/>
  </r>
  <r>
    <x v="19"/>
  </r>
  <r>
    <x v="1"/>
  </r>
  <r>
    <x v="1"/>
  </r>
  <r>
    <x v="1"/>
  </r>
  <r>
    <x v="1"/>
  </r>
  <r>
    <x v="12"/>
  </r>
  <r>
    <x v="1"/>
  </r>
  <r>
    <x v="1"/>
  </r>
  <r>
    <x v="5"/>
  </r>
  <r>
    <x v="17"/>
  </r>
  <r>
    <x v="4"/>
  </r>
  <r>
    <x v="4"/>
  </r>
  <r>
    <x v="2"/>
  </r>
  <r>
    <x v="16"/>
  </r>
  <r>
    <x v="20"/>
  </r>
  <r>
    <x v="1"/>
  </r>
  <r>
    <x v="2"/>
  </r>
  <r>
    <x v="21"/>
  </r>
  <r>
    <x v="2"/>
  </r>
  <r>
    <x v="2"/>
  </r>
  <r>
    <x v="9"/>
  </r>
  <r>
    <x v="12"/>
  </r>
  <r>
    <x v="2"/>
  </r>
  <r>
    <x v="6"/>
  </r>
  <r>
    <x v="19"/>
  </r>
  <r>
    <x v="2"/>
  </r>
  <r>
    <x v="2"/>
  </r>
  <r>
    <x v="4"/>
  </r>
  <r>
    <x v="2"/>
  </r>
  <r>
    <x v="2"/>
  </r>
  <r>
    <x v="1"/>
  </r>
  <r>
    <x v="0"/>
  </r>
  <r>
    <x v="2"/>
  </r>
  <r>
    <x v="13"/>
  </r>
  <r>
    <x v="8"/>
  </r>
  <r>
    <x v="1"/>
  </r>
  <r>
    <x v="6"/>
  </r>
  <r>
    <x v="1"/>
  </r>
  <r>
    <x v="7"/>
  </r>
  <r>
    <x v="0"/>
  </r>
  <r>
    <x v="12"/>
  </r>
  <r>
    <x v="16"/>
  </r>
  <r>
    <x v="16"/>
  </r>
  <r>
    <x v="10"/>
  </r>
  <r>
    <x v="8"/>
  </r>
  <r>
    <x v="6"/>
  </r>
  <r>
    <x v="0"/>
  </r>
  <r>
    <x v="3"/>
  </r>
  <r>
    <x v="3"/>
  </r>
  <r>
    <x v="6"/>
  </r>
  <r>
    <x v="1"/>
  </r>
  <r>
    <x v="0"/>
  </r>
  <r>
    <x v="0"/>
  </r>
  <r>
    <x v="2"/>
  </r>
  <r>
    <x v="16"/>
  </r>
  <r>
    <x v="16"/>
  </r>
  <r>
    <x v="1"/>
  </r>
  <r>
    <x v="3"/>
  </r>
  <r>
    <x v="14"/>
  </r>
  <r>
    <x v="2"/>
  </r>
  <r>
    <x v="1"/>
  </r>
  <r>
    <x v="12"/>
  </r>
  <r>
    <x v="3"/>
  </r>
  <r>
    <x v="12"/>
  </r>
  <r>
    <x v="14"/>
  </r>
  <r>
    <x v="19"/>
  </r>
  <r>
    <x v="19"/>
  </r>
  <r>
    <x v="8"/>
  </r>
  <r>
    <x v="16"/>
  </r>
  <r>
    <x v="12"/>
  </r>
  <r>
    <x v="12"/>
  </r>
  <r>
    <x v="2"/>
  </r>
  <r>
    <x v="2"/>
  </r>
  <r>
    <x v="2"/>
  </r>
  <r>
    <x v="13"/>
  </r>
  <r>
    <x v="7"/>
  </r>
  <r>
    <x v="2"/>
  </r>
  <r>
    <x v="2"/>
  </r>
  <r>
    <x v="8"/>
  </r>
  <r>
    <x v="12"/>
  </r>
  <r>
    <x v="3"/>
  </r>
  <r>
    <x v="6"/>
  </r>
  <r>
    <x v="16"/>
  </r>
  <r>
    <x v="18"/>
  </r>
  <r>
    <x v="2"/>
  </r>
  <r>
    <x v="3"/>
  </r>
  <r>
    <x v="3"/>
  </r>
  <r>
    <x v="7"/>
  </r>
  <r>
    <x v="1"/>
  </r>
  <r>
    <x v="12"/>
  </r>
  <r>
    <x v="1"/>
  </r>
  <r>
    <x v="7"/>
  </r>
  <r>
    <x v="9"/>
  </r>
  <r>
    <x v="1"/>
  </r>
  <r>
    <x v="1"/>
  </r>
  <r>
    <x v="7"/>
  </r>
  <r>
    <x v="3"/>
  </r>
  <r>
    <x v="4"/>
  </r>
  <r>
    <x v="1"/>
  </r>
  <r>
    <x v="12"/>
  </r>
  <r>
    <x v="7"/>
  </r>
  <r>
    <x v="1"/>
  </r>
  <r>
    <x v="4"/>
  </r>
  <r>
    <x v="8"/>
  </r>
  <r>
    <x v="14"/>
  </r>
  <r>
    <x v="16"/>
  </r>
  <r>
    <x v="1"/>
  </r>
  <r>
    <x v="2"/>
  </r>
  <r>
    <x v="7"/>
  </r>
  <r>
    <x v="1"/>
  </r>
  <r>
    <x v="16"/>
  </r>
  <r>
    <x v="13"/>
  </r>
  <r>
    <x v="7"/>
  </r>
  <r>
    <x v="19"/>
  </r>
  <r>
    <x v="2"/>
  </r>
  <r>
    <x v="3"/>
  </r>
  <r>
    <x v="19"/>
  </r>
  <r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AA77323-0A0A-4FEB-810C-73E3F4D5A66A}" name="myptt" cacheId="3" applyNumberFormats="0" applyBorderFormats="0" applyFontFormats="0" applyPatternFormats="0" applyAlignmentFormats="0" applyWidthHeightFormats="1" dataCaption="Values" updatedVersion="8" minRefreshableVersion="3" showCalcMbrs="0" useAutoFormatting="1" itemPrintTitles="1" createdVersion="3" indent="0" outline="1" outlineData="1" multipleFieldFilters="0">
  <location ref="BT5:BU28" firstHeaderRow="1" firstDataRow="1" firstDataCol="1"/>
  <pivotFields count="1">
    <pivotField axis="axisRow" dataField="1" showAll="0" sortType="descending">
      <items count="48">
        <item x="7"/>
        <item x="13"/>
        <item x="4"/>
        <item x="21"/>
        <item m="1" x="46"/>
        <item x="18"/>
        <item m="1" x="42"/>
        <item m="1" x="43"/>
        <item x="9"/>
        <item x="16"/>
        <item x="6"/>
        <item x="1"/>
        <item x="14"/>
        <item m="1" x="45"/>
        <item x="20"/>
        <item x="19"/>
        <item x="2"/>
        <item x="3"/>
        <item m="1" x="41"/>
        <item x="8"/>
        <item x="11"/>
        <item x="12"/>
        <item x="0"/>
        <item m="1" x="40"/>
        <item x="5"/>
        <item x="10"/>
        <item x="17"/>
        <item x="15"/>
        <item m="1" x="44"/>
        <item m="1" x="22"/>
        <item m="1" x="23"/>
        <item m="1" x="24"/>
        <item m="1" x="25"/>
        <item m="1" x="26"/>
        <item m="1" x="27"/>
        <item m="1" x="28"/>
        <item m="1" x="29"/>
        <item m="1" x="30"/>
        <item m="1" x="31"/>
        <item m="1" x="32"/>
        <item m="1" x="33"/>
        <item m="1" x="34"/>
        <item m="1" x="35"/>
        <item m="1" x="36"/>
        <item m="1" x="37"/>
        <item m="1" x="38"/>
        <item m="1" x="3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</pivotFields>
  <rowFields count="1">
    <field x="0"/>
  </rowFields>
  <rowItems count="23">
    <i>
      <x v="16"/>
    </i>
    <i>
      <x v="11"/>
    </i>
    <i>
      <x v="21"/>
    </i>
    <i>
      <x v="9"/>
    </i>
    <i>
      <x/>
    </i>
    <i>
      <x v="17"/>
    </i>
    <i>
      <x v="2"/>
    </i>
    <i>
      <x v="22"/>
    </i>
    <i>
      <x v="19"/>
    </i>
    <i>
      <x v="1"/>
    </i>
    <i>
      <x v="10"/>
    </i>
    <i>
      <x v="15"/>
    </i>
    <i>
      <x v="12"/>
    </i>
    <i>
      <x v="24"/>
    </i>
    <i>
      <x v="8"/>
    </i>
    <i>
      <x v="25"/>
    </i>
    <i>
      <x v="20"/>
    </i>
    <i>
      <x v="26"/>
    </i>
    <i>
      <x v="5"/>
    </i>
    <i>
      <x v="27"/>
    </i>
    <i>
      <x v="3"/>
    </i>
    <i>
      <x v="14"/>
    </i>
    <i t="grand">
      <x/>
    </i>
  </rowItems>
  <colItems count="1">
    <i/>
  </colItems>
  <dataFields count="1">
    <dataField name="Count of EngDescription" fld="0" subtotal="count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A71C571-BF9D-4E62-96F8-8CDB933A0830}" name="mypt" cacheId="2" applyNumberFormats="0" applyBorderFormats="0" applyFontFormats="0" applyPatternFormats="0" applyAlignmentFormats="0" applyWidthHeightFormats="1" dataCaption="Values" updatedVersion="8" minRefreshableVersion="3" showCalcMbrs="0" useAutoFormatting="1" itemPrintTitles="1" createdVersion="3" indent="0" outline="1" outlineData="1" multipleFieldFilters="0">
  <location ref="AF5:AG23" firstHeaderRow="1" firstDataRow="1" firstDataCol="1"/>
  <pivotFields count="1">
    <pivotField axis="axisRow" dataField="1" showAll="0" sortType="descending">
      <items count="47">
        <item x="6"/>
        <item x="7"/>
        <item x="16"/>
        <item x="1"/>
        <item x="14"/>
        <item x="4"/>
        <item x="10"/>
        <item x="3"/>
        <item x="12"/>
        <item m="1" x="41"/>
        <item x="2"/>
        <item x="5"/>
        <item m="1" x="35"/>
        <item x="13"/>
        <item m="1" x="36"/>
        <item x="8"/>
        <item m="1" x="42"/>
        <item x="15"/>
        <item x="11"/>
        <item x="9"/>
        <item m="1" x="44"/>
        <item m="1" x="45"/>
        <item m="1" x="40"/>
        <item m="1" x="39"/>
        <item m="1" x="38"/>
        <item x="0"/>
        <item m="1" x="37"/>
        <item m="1" x="43"/>
        <item m="1" x="17"/>
        <item m="1" x="18"/>
        <item m="1" x="19"/>
        <item m="1" x="20"/>
        <item m="1" x="21"/>
        <item m="1" x="22"/>
        <item m="1" x="23"/>
        <item m="1" x="24"/>
        <item m="1" x="25"/>
        <item m="1" x="26"/>
        <item m="1" x="27"/>
        <item m="1" x="28"/>
        <item m="1" x="29"/>
        <item m="1" x="30"/>
        <item m="1" x="31"/>
        <item m="1" x="32"/>
        <item m="1" x="33"/>
        <item m="1" x="3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</pivotFields>
  <rowFields count="1">
    <field x="0"/>
  </rowFields>
  <rowItems count="18">
    <i>
      <x v="3"/>
    </i>
    <i>
      <x v="1"/>
    </i>
    <i>
      <x v="4"/>
    </i>
    <i>
      <x v="7"/>
    </i>
    <i>
      <x v="18"/>
    </i>
    <i>
      <x v="8"/>
    </i>
    <i>
      <x v="5"/>
    </i>
    <i>
      <x v="15"/>
    </i>
    <i>
      <x v="6"/>
    </i>
    <i>
      <x v="11"/>
    </i>
    <i>
      <x v="17"/>
    </i>
    <i>
      <x v="19"/>
    </i>
    <i>
      <x/>
    </i>
    <i>
      <x v="10"/>
    </i>
    <i>
      <x v="25"/>
    </i>
    <i>
      <x v="2"/>
    </i>
    <i>
      <x v="13"/>
    </i>
    <i t="grand">
      <x/>
    </i>
  </rowItems>
  <colItems count="1">
    <i/>
  </colItems>
  <dataFields count="1">
    <dataField name="Count of EngDescription" fld="0" subtotal="count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545B77A-606B-4BAB-AEC6-DB034CC1D5C5}" name="mypt" cacheId="0" applyNumberFormats="0" applyBorderFormats="0" applyFontFormats="0" applyPatternFormats="0" applyAlignmentFormats="0" applyWidthHeightFormats="1" dataCaption="Values" updatedVersion="8" minRefreshableVersion="3" showCalcMbrs="0" useAutoFormatting="1" itemPrintTitles="1" createdVersion="3" indent="0" outline="1" outlineData="1" multipleFieldFilters="0">
  <location ref="AF5:AG41" firstHeaderRow="1" firstDataRow="1" firstDataCol="1"/>
  <pivotFields count="1">
    <pivotField axis="axisRow" dataField="1" showAll="0" sortType="descending">
      <items count="58">
        <item x="6"/>
        <item x="16"/>
        <item m="1" x="44"/>
        <item x="2"/>
        <item x="12"/>
        <item x="4"/>
        <item x="7"/>
        <item x="15"/>
        <item x="5"/>
        <item x="1"/>
        <item x="14"/>
        <item m="1" x="45"/>
        <item x="10"/>
        <item m="1" x="36"/>
        <item x="3"/>
        <item x="8"/>
        <item m="1" x="35"/>
        <item x="13"/>
        <item x="11"/>
        <item x="9"/>
        <item m="1" x="52"/>
        <item m="1" x="55"/>
        <item m="1" x="42"/>
        <item m="1" x="39"/>
        <item m="1" x="38"/>
        <item x="0"/>
        <item m="1" x="37"/>
        <item x="22"/>
        <item x="19"/>
        <item x="18"/>
        <item x="17"/>
        <item x="31"/>
        <item x="20"/>
        <item m="1" x="46"/>
        <item x="24"/>
        <item x="26"/>
        <item x="33"/>
        <item x="28"/>
        <item x="29"/>
        <item x="30"/>
        <item m="1" x="53"/>
        <item m="1" x="49"/>
        <item x="21"/>
        <item x="32"/>
        <item x="27"/>
        <item x="34"/>
        <item m="1" x="41"/>
        <item m="1" x="51"/>
        <item m="1" x="48"/>
        <item x="23"/>
        <item m="1" x="54"/>
        <item m="1" x="56"/>
        <item m="1" x="43"/>
        <item m="1" x="50"/>
        <item m="1" x="40"/>
        <item m="1" x="47"/>
        <item x="2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</pivotFields>
  <rowFields count="1">
    <field x="0"/>
  </rowFields>
  <rowItems count="36">
    <i>
      <x v="37"/>
    </i>
    <i>
      <x v="27"/>
    </i>
    <i>
      <x v="28"/>
    </i>
    <i>
      <x v="36"/>
    </i>
    <i>
      <x v="9"/>
    </i>
    <i>
      <x v="34"/>
    </i>
    <i>
      <x v="6"/>
    </i>
    <i>
      <x v="30"/>
    </i>
    <i>
      <x v="38"/>
    </i>
    <i>
      <x v="31"/>
    </i>
    <i>
      <x v="10"/>
    </i>
    <i>
      <x v="43"/>
    </i>
    <i>
      <x v="14"/>
    </i>
    <i>
      <x v="18"/>
    </i>
    <i>
      <x v="4"/>
    </i>
    <i>
      <x v="39"/>
    </i>
    <i>
      <x v="5"/>
    </i>
    <i>
      <x v="8"/>
    </i>
    <i>
      <x v="12"/>
    </i>
    <i>
      <x v="15"/>
    </i>
    <i>
      <x/>
    </i>
    <i>
      <x v="29"/>
    </i>
    <i>
      <x v="7"/>
    </i>
    <i>
      <x v="19"/>
    </i>
    <i>
      <x v="45"/>
    </i>
    <i>
      <x v="44"/>
    </i>
    <i>
      <x v="35"/>
    </i>
    <i>
      <x v="49"/>
    </i>
    <i>
      <x v="25"/>
    </i>
    <i>
      <x v="3"/>
    </i>
    <i>
      <x v="42"/>
    </i>
    <i>
      <x v="1"/>
    </i>
    <i>
      <x v="56"/>
    </i>
    <i>
      <x v="32"/>
    </i>
    <i>
      <x v="17"/>
    </i>
    <i t="grand">
      <x/>
    </i>
  </rowItems>
  <colItems count="1">
    <i/>
  </colItems>
  <dataFields count="1">
    <dataField name="Count of EngDescription" fld="0" subtotal="count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2A8F276-D31C-4A49-9756-1E622461A517}" name="myptt" cacheId="1" applyNumberFormats="0" applyBorderFormats="0" applyFontFormats="0" applyPatternFormats="0" applyAlignmentFormats="0" applyWidthHeightFormats="1" dataCaption="Values" updatedVersion="8" minRefreshableVersion="3" showCalcMbrs="0" useAutoFormatting="1" itemPrintTitles="1" createdVersion="3" indent="0" outline="1" outlineData="1" multipleFieldFilters="0">
  <location ref="BT5:BU48" firstHeaderRow="1" firstDataRow="1" firstDataCol="1"/>
  <pivotFields count="1">
    <pivotField axis="axisRow" dataField="1" showAll="0" sortType="descending">
      <items count="59">
        <item x="7"/>
        <item x="13"/>
        <item x="4"/>
        <item x="27"/>
        <item m="1" x="57"/>
        <item x="18"/>
        <item m="1" x="44"/>
        <item m="1" x="45"/>
        <item x="9"/>
        <item x="16"/>
        <item x="6"/>
        <item x="1"/>
        <item x="14"/>
        <item m="1" x="56"/>
        <item x="20"/>
        <item x="19"/>
        <item x="2"/>
        <item x="3"/>
        <item m="1" x="43"/>
        <item x="8"/>
        <item x="11"/>
        <item x="12"/>
        <item x="0"/>
        <item m="1" x="42"/>
        <item x="5"/>
        <item x="10"/>
        <item x="17"/>
        <item x="15"/>
        <item x="21"/>
        <item x="22"/>
        <item x="25"/>
        <item x="23"/>
        <item x="40"/>
        <item x="36"/>
        <item m="1" x="46"/>
        <item x="29"/>
        <item x="30"/>
        <item x="34"/>
        <item x="32"/>
        <item x="33"/>
        <item x="39"/>
        <item m="1" x="47"/>
        <item m="1" x="48"/>
        <item x="37"/>
        <item x="24"/>
        <item x="38"/>
        <item x="41"/>
        <item x="35"/>
        <item m="1" x="49"/>
        <item m="1" x="50"/>
        <item x="26"/>
        <item m="1" x="51"/>
        <item m="1" x="52"/>
        <item m="1" x="53"/>
        <item m="1" x="54"/>
        <item x="28"/>
        <item m="1" x="55"/>
        <item x="3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</pivotFields>
  <rowFields count="1">
    <field x="0"/>
  </rowFields>
  <rowItems count="43">
    <i>
      <x v="28"/>
    </i>
    <i>
      <x v="38"/>
    </i>
    <i>
      <x v="39"/>
    </i>
    <i>
      <x v="37"/>
    </i>
    <i>
      <x v="29"/>
    </i>
    <i>
      <x v="16"/>
    </i>
    <i>
      <x v="11"/>
    </i>
    <i>
      <x v="31"/>
    </i>
    <i>
      <x v="35"/>
    </i>
    <i>
      <x v="30"/>
    </i>
    <i>
      <x v="21"/>
    </i>
    <i>
      <x v="9"/>
    </i>
    <i>
      <x/>
    </i>
    <i>
      <x v="2"/>
    </i>
    <i>
      <x v="17"/>
    </i>
    <i>
      <x v="32"/>
    </i>
    <i>
      <x v="22"/>
    </i>
    <i>
      <x v="44"/>
    </i>
    <i>
      <x v="10"/>
    </i>
    <i>
      <x v="1"/>
    </i>
    <i>
      <x v="19"/>
    </i>
    <i>
      <x v="15"/>
    </i>
    <i>
      <x v="40"/>
    </i>
    <i>
      <x v="12"/>
    </i>
    <i>
      <x v="8"/>
    </i>
    <i>
      <x v="24"/>
    </i>
    <i>
      <x v="36"/>
    </i>
    <i>
      <x v="55"/>
    </i>
    <i>
      <x v="50"/>
    </i>
    <i>
      <x v="3"/>
    </i>
    <i>
      <x v="25"/>
    </i>
    <i>
      <x v="20"/>
    </i>
    <i>
      <x v="5"/>
    </i>
    <i>
      <x v="47"/>
    </i>
    <i>
      <x v="27"/>
    </i>
    <i>
      <x v="57"/>
    </i>
    <i>
      <x v="45"/>
    </i>
    <i>
      <x v="46"/>
    </i>
    <i>
      <x v="26"/>
    </i>
    <i>
      <x v="33"/>
    </i>
    <i>
      <x v="14"/>
    </i>
    <i>
      <x v="43"/>
    </i>
    <i t="grand">
      <x/>
    </i>
  </rowItems>
  <colItems count="1">
    <i/>
  </colItems>
  <dataFields count="1">
    <dataField name="Count of EngDescription" fld="0" subtotal="count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able87" displayName="Table87" ref="AP1:BQ4008" totalsRowShown="0" dataDxfId="134">
  <tableColumns count="28">
    <tableColumn id="1" xr3:uid="{00000000-0010-0000-0500-000001000000}" name="LogID" dataDxfId="133"/>
    <tableColumn id="2" xr3:uid="{00000000-0010-0000-0500-000002000000}" name="Code" dataDxfId="132"/>
    <tableColumn id="3" xr3:uid="{00000000-0010-0000-0500-000003000000}" name="TicketNumber" dataDxfId="131"/>
    <tableColumn id="4" xr3:uid="{00000000-0010-0000-0500-000004000000}" name="LogTypeID" dataDxfId="130"/>
    <tableColumn id="5" xr3:uid="{00000000-0010-0000-0500-000005000000}" name="ClientID" dataDxfId="129"/>
    <tableColumn id="6" xr3:uid="{00000000-0010-0000-0500-000006000000}" name="MemberID" dataDxfId="128"/>
    <tableColumn id="7" xr3:uid="{00000000-0010-0000-0500-000007000000}" name="EngDescription" dataDxfId="127"/>
    <tableColumn id="8" xr3:uid="{00000000-0010-0000-0500-000008000000}" name="CreationDate" dataDxfId="126"/>
    <tableColumn id="9" xr3:uid="{00000000-0010-0000-0500-000009000000}" name="QuestionDate" dataDxfId="125"/>
    <tableColumn id="10" xr3:uid="{00000000-0010-0000-0500-00000A000000}" name="AnswerDate" dataDxfId="124"/>
    <tableColumn id="11" xr3:uid="{00000000-0010-0000-0500-00000B000000}" name="COMPLETED DATE" dataDxfId="123"/>
    <tableColumn id="12" xr3:uid="{00000000-0010-0000-0500-00000C000000}" name="StatusDate" dataDxfId="122"/>
    <tableColumn id="13" xr3:uid="{00000000-0010-0000-0500-00000D000000}" name="Created Code" dataDxfId="121"/>
    <tableColumn id="14" xr3:uid="{00000000-0010-0000-0500-00000E000000}" name="Created Name" dataDxfId="120"/>
    <tableColumn id="15" xr3:uid="{00000000-0010-0000-0500-00000F000000}" name="Assigned Code" dataDxfId="119"/>
    <tableColumn id="16" xr3:uid="{00000000-0010-0000-0500-000010000000}" name="Assigned Name" dataDxfId="118"/>
    <tableColumn id="17" xr3:uid="{00000000-0010-0000-0500-000011000000}" name="Completed Days" dataDxfId="117"/>
    <tableColumn id="18" xr3:uid="{00000000-0010-0000-0500-000012000000}" name="Bucket" dataDxfId="116"/>
    <tableColumn id="19" xr3:uid="{00000000-0010-0000-0500-000013000000}" name="Role" dataDxfId="115"/>
    <tableColumn id="20" xr3:uid="{00000000-0010-0000-0500-000014000000}" name="Type" dataDxfId="114"/>
    <tableColumn id="21" xr3:uid="{00000000-0010-0000-0500-000015000000}" name="Location" dataDxfId="113"/>
    <tableColumn id="22" xr3:uid="{00000000-0010-0000-0500-000016000000}" name="ClientCode" dataDxfId="112"/>
    <tableColumn id="23" xr3:uid="{00000000-0010-0000-0500-000017000000}" name="Application" dataDxfId="111"/>
    <tableColumn id="24" xr3:uid="{00000000-0010-0000-0500-000018000000}" name="Group" dataDxfId="110"/>
    <tableColumn id="25" xr3:uid="{00000000-0010-0000-0500-000019000000}" name="StartOfMonth" dataDxfId="109"/>
    <tableColumn id="26" xr3:uid="{00000000-0010-0000-0500-00001A000000}" name="Quarter Name" dataDxfId="108"/>
    <tableColumn id="27" xr3:uid="{00000000-0010-0000-0500-00001B000000}" name="All count" dataDxfId="107"/>
    <tableColumn id="28" xr3:uid="{00000000-0010-0000-0500-00001C000000}" name="Less than 5 count" dataDxfId="10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2000000}" name="Table6" displayName="Table6" ref="A1:AZ106" totalsRowShown="0" dataDxfId="105">
  <tableColumns count="52">
    <tableColumn id="1" xr3:uid="{00000000-0010-0000-0200-000001000000}" name="StartOfYear" dataDxfId="104">
      <calculatedColumnFormula>[1]Sheet1!A1</calculatedColumnFormula>
    </tableColumn>
    <tableColumn id="2" xr3:uid="{00000000-0010-0000-0200-000002000000}" name="Quarter" dataDxfId="103"/>
    <tableColumn id="3" xr3:uid="{00000000-0010-0000-0200-000003000000}" name="StartOfMonth" dataDxfId="102"/>
    <tableColumn id="4" xr3:uid="{00000000-0010-0000-0200-000004000000}" name="StartOfWeek" dataDxfId="101"/>
    <tableColumn id="5" xr3:uid="{00000000-0010-0000-0200-000005000000}" name="Date" dataDxfId="100"/>
    <tableColumn id="6" xr3:uid="{00000000-0010-0000-0200-000006000000}" name="POD" dataDxfId="99"/>
    <tableColumn id="7" xr3:uid="{00000000-0010-0000-0200-000007000000}" name="Real Client" dataDxfId="98"/>
    <tableColumn id="8" xr3:uid="{00000000-0010-0000-0200-000008000000}" name="Sub Client" dataDxfId="97"/>
    <tableColumn id="9" xr3:uid="{00000000-0010-0000-0200-000009000000}" name="Calls Answered" dataDxfId="96"/>
    <tableColumn id="10" xr3:uid="{00000000-0010-0000-0200-00000A000000}" name="Calls Aban greater Target" dataDxfId="95"/>
    <tableColumn id="11" xr3:uid="{00000000-0010-0000-0200-00000B000000}" name=" Calls Aban less Target" dataDxfId="94"/>
    <tableColumn id="12" xr3:uid="{00000000-0010-0000-0200-00000C000000}" name=" Calls within 30s" dataDxfId="93"/>
    <tableColumn id="13" xr3:uid="{00000000-0010-0000-0200-00000D000000}" name="Sum of Calls within 60s" dataDxfId="92"/>
    <tableColumn id="14" xr3:uid="{00000000-0010-0000-0200-00000E000000}" name=" ANSTIME" dataDxfId="91"/>
    <tableColumn id="15" xr3:uid="{00000000-0010-0000-0200-00000F000000}" name=" Avail Time" dataDxfId="90"/>
    <tableColumn id="16" xr3:uid="{00000000-0010-0000-0200-000010000000}" name=" Staffed Time" dataDxfId="89"/>
    <tableColumn id="17" xr3:uid="{00000000-0010-0000-0200-000011000000}" name=" AUX Time" dataDxfId="88"/>
    <tableColumn id="18" xr3:uid="{00000000-0010-0000-0200-000012000000}" name="Sum of Other" dataDxfId="87"/>
    <tableColumn id="19" xr3:uid="{00000000-0010-0000-0200-000013000000}" name="Sum of Lunch" dataDxfId="86"/>
    <tableColumn id="20" xr3:uid="{00000000-0010-0000-0200-000014000000}" name="Sum of Training" dataDxfId="85"/>
    <tableColumn id="21" xr3:uid="{00000000-0010-0000-0200-000015000000}" name="Sum of MEETING" dataDxfId="84"/>
    <tableColumn id="22" xr3:uid="{00000000-0010-0000-0200-000016000000}" name="Sum of Scheduled Break" dataDxfId="83"/>
    <tableColumn id="23" xr3:uid="{00000000-0010-0000-0200-000017000000}" name="Sum of Project" dataDxfId="82"/>
    <tableColumn id="24" xr3:uid="{00000000-0010-0000-0200-000018000000}" name="Sum of Contact" dataDxfId="81"/>
    <tableColumn id="25" xr3:uid="{00000000-0010-0000-0200-000019000000}" name="Sum of Plan Admin" dataDxfId="80"/>
    <tableColumn id="26" xr3:uid="{00000000-0010-0000-0200-00001A000000}" name="Sum of Out. Call" dataDxfId="79"/>
    <tableColumn id="27" xr3:uid="{00000000-0010-0000-0200-00001B000000}" name="Sum of MaxAgentOccupancy" dataDxfId="78"/>
    <tableColumn id="28" xr3:uid="{00000000-0010-0000-0200-00001C000000}" name="Sum of FONOLO" dataDxfId="77"/>
    <tableColumn id="29" xr3:uid="{00000000-0010-0000-0200-00001D000000}" name=" ACD Time" dataDxfId="76"/>
    <tableColumn id="30" xr3:uid="{00000000-0010-0000-0200-00001E000000}" name=" ACW Time" dataDxfId="75"/>
    <tableColumn id="31" xr3:uid="{00000000-0010-0000-0200-00001F000000}" name=" Hold Time" dataDxfId="74"/>
    <tableColumn id="32" xr3:uid="{00000000-0010-0000-0200-000020000000}" name=" Agent Ring Time" dataDxfId="73"/>
    <tableColumn id="33" xr3:uid="{00000000-0010-0000-0200-000021000000}" name=" Handle Time1" dataDxfId="72"/>
    <tableColumn id="34" xr3:uid="{00000000-0010-0000-0200-000022000000}" name="Sum of Handle time" dataDxfId="71"/>
    <tableColumn id="35" xr3:uid="{00000000-0010-0000-0200-000023000000}" name=" OB Calls" dataDxfId="70"/>
    <tableColumn id="36" xr3:uid="{00000000-0010-0000-0200-000024000000}" name=" OB Time" dataDxfId="69"/>
    <tableColumn id="37" xr3:uid="{00000000-0010-0000-0200-000025000000}" name=" AUX 0" dataDxfId="68"/>
    <tableColumn id="38" xr3:uid="{00000000-0010-0000-0200-000026000000}" name=" AUX 1" dataDxfId="67"/>
    <tableColumn id="39" xr3:uid="{00000000-0010-0000-0200-000027000000}" name=" AUX 2" dataDxfId="66"/>
    <tableColumn id="40" xr3:uid="{00000000-0010-0000-0200-000028000000}" name=" AUX 3" dataDxfId="65"/>
    <tableColumn id="41" xr3:uid="{00000000-0010-0000-0200-000029000000}" name=" AUX 4" dataDxfId="64"/>
    <tableColumn id="42" xr3:uid="{00000000-0010-0000-0200-00002A000000}" name=" AUX 5" dataDxfId="63"/>
    <tableColumn id="43" xr3:uid="{00000000-0010-0000-0200-00002B000000}" name=" AUX 6" dataDxfId="62"/>
    <tableColumn id="44" xr3:uid="{00000000-0010-0000-0200-00002C000000}" name=" AUX 7" dataDxfId="61"/>
    <tableColumn id="45" xr3:uid="{00000000-0010-0000-0200-00002D000000}" name=" AUX 8" dataDxfId="60"/>
    <tableColumn id="46" xr3:uid="{00000000-0010-0000-0200-00002E000000}" name=" AUX 9" dataDxfId="59"/>
    <tableColumn id="47" xr3:uid="{00000000-0010-0000-0200-00002F000000}" name="Exclude SOI" dataDxfId="58"/>
    <tableColumn id="48" xr3:uid="{00000000-0010-0000-0200-000030000000}" name="FCR count" dataDxfId="57"/>
    <tableColumn id="49" xr3:uid="{00000000-0010-0000-0200-000031000000}" name="All count" dataDxfId="56"/>
    <tableColumn id="50" xr3:uid="{00000000-0010-0000-0200-000032000000}" name="SOI FCR All count" dataDxfId="55"/>
    <tableColumn id="51" xr3:uid="{00000000-0010-0000-0200-000033000000}" name="SOI FCR" dataDxfId="54"/>
    <tableColumn id="52" xr3:uid="{00000000-0010-0000-0200-000034000000}" name="DECK" dataDxfId="5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4000000}" name="Table7" displayName="Table7" ref="A1:AB2186" totalsRowShown="0">
  <tableColumns count="28">
    <tableColumn id="1" xr3:uid="{00000000-0010-0000-0400-000001000000}" name="LogID"/>
    <tableColumn id="2" xr3:uid="{00000000-0010-0000-0400-000002000000}" name="Code"/>
    <tableColumn id="3" xr3:uid="{00000000-0010-0000-0400-000003000000}" name="TicketNumber"/>
    <tableColumn id="4" xr3:uid="{00000000-0010-0000-0400-000004000000}" name="LogTypeID"/>
    <tableColumn id="5" xr3:uid="{00000000-0010-0000-0400-000005000000}" name="ClientID"/>
    <tableColumn id="6" xr3:uid="{00000000-0010-0000-0400-000006000000}" name="MemberID"/>
    <tableColumn id="7" xr3:uid="{00000000-0010-0000-0400-000007000000}" name="EngDescription"/>
    <tableColumn id="8" xr3:uid="{00000000-0010-0000-0400-000008000000}" name="CreationDate" dataDxfId="141"/>
    <tableColumn id="9" xr3:uid="{00000000-0010-0000-0400-000009000000}" name="QuestionDate" dataDxfId="140"/>
    <tableColumn id="10" xr3:uid="{00000000-0010-0000-0400-00000A000000}" name="AnswerDate" dataDxfId="139"/>
    <tableColumn id="11" xr3:uid="{00000000-0010-0000-0400-00000B000000}" name="COMPLETED DATE" dataDxfId="138"/>
    <tableColumn id="12" xr3:uid="{00000000-0010-0000-0400-00000C000000}" name="StatusDate" dataDxfId="137"/>
    <tableColumn id="13" xr3:uid="{00000000-0010-0000-0400-00000D000000}" name="Created Code"/>
    <tableColumn id="14" xr3:uid="{00000000-0010-0000-0400-00000E000000}" name="Created Name"/>
    <tableColumn id="15" xr3:uid="{00000000-0010-0000-0400-00000F000000}" name="Assigned Code"/>
    <tableColumn id="16" xr3:uid="{00000000-0010-0000-0400-000010000000}" name="Assigned Name"/>
    <tableColumn id="17" xr3:uid="{00000000-0010-0000-0400-000011000000}" name="Completed Days" dataDxfId="136"/>
    <tableColumn id="18" xr3:uid="{00000000-0010-0000-0400-000012000000}" name="Bucket"/>
    <tableColumn id="19" xr3:uid="{00000000-0010-0000-0400-000013000000}" name="Role"/>
    <tableColumn id="20" xr3:uid="{00000000-0010-0000-0400-000014000000}" name="Type"/>
    <tableColumn id="21" xr3:uid="{00000000-0010-0000-0400-000015000000}" name="Location"/>
    <tableColumn id="22" xr3:uid="{00000000-0010-0000-0400-000016000000}" name="ClientCode"/>
    <tableColumn id="23" xr3:uid="{00000000-0010-0000-0400-000017000000}" name="Application"/>
    <tableColumn id="24" xr3:uid="{00000000-0010-0000-0400-000018000000}" name="Group"/>
    <tableColumn id="25" xr3:uid="{00000000-0010-0000-0400-000019000000}" name="StartOfMonth" dataDxfId="135"/>
    <tableColumn id="26" xr3:uid="{00000000-0010-0000-0400-00001A000000}" name="Quarter Name"/>
    <tableColumn id="27" xr3:uid="{00000000-0010-0000-0400-00001B000000}" name="All count"/>
    <tableColumn id="28" xr3:uid="{00000000-0010-0000-0400-00001C000000}" name="Less than 5 count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Table65" displayName="Table65" ref="A1:AZ272" totalsRowShown="0" dataDxfId="52">
  <autoFilter ref="A1:AZ272" xr:uid="{298923D0-11B4-4308-A16C-EA0ED34D5167}"/>
  <tableColumns count="52">
    <tableColumn id="1" xr3:uid="{00000000-0010-0000-0000-000001000000}" name="StartOfYear" dataDxfId="51"/>
    <tableColumn id="2" xr3:uid="{00000000-0010-0000-0000-000002000000}" name="Quarter" dataDxfId="50"/>
    <tableColumn id="3" xr3:uid="{00000000-0010-0000-0000-000003000000}" name="StartOfMonth" dataDxfId="49"/>
    <tableColumn id="4" xr3:uid="{00000000-0010-0000-0000-000004000000}" name="StartOfWeek" dataDxfId="48"/>
    <tableColumn id="5" xr3:uid="{00000000-0010-0000-0000-000005000000}" name="Date" dataDxfId="47"/>
    <tableColumn id="6" xr3:uid="{00000000-0010-0000-0000-000006000000}" name="POD" dataDxfId="46"/>
    <tableColumn id="7" xr3:uid="{00000000-0010-0000-0000-000007000000}" name="Real Client" dataDxfId="45"/>
    <tableColumn id="8" xr3:uid="{00000000-0010-0000-0000-000008000000}" name="Sub Client" dataDxfId="44"/>
    <tableColumn id="9" xr3:uid="{00000000-0010-0000-0000-000009000000}" name="Calls Answered" dataDxfId="43"/>
    <tableColumn id="10" xr3:uid="{00000000-0010-0000-0000-00000A000000}" name="Calls Aban greater Target" dataDxfId="42"/>
    <tableColumn id="11" xr3:uid="{00000000-0010-0000-0000-00000B000000}" name=" Calls Aban less Target" dataDxfId="41"/>
    <tableColumn id="12" xr3:uid="{00000000-0010-0000-0000-00000C000000}" name=" Calls within 30s" dataDxfId="40"/>
    <tableColumn id="13" xr3:uid="{00000000-0010-0000-0000-00000D000000}" name="Sum of Calls within 60s" dataDxfId="39"/>
    <tableColumn id="14" xr3:uid="{00000000-0010-0000-0000-00000E000000}" name=" ANSTIME" dataDxfId="38"/>
    <tableColumn id="15" xr3:uid="{00000000-0010-0000-0000-00000F000000}" name=" Avail Time" dataDxfId="37"/>
    <tableColumn id="16" xr3:uid="{00000000-0010-0000-0000-000010000000}" name=" Staffed Time" dataDxfId="36"/>
    <tableColumn id="17" xr3:uid="{00000000-0010-0000-0000-000011000000}" name=" AUX Time" dataDxfId="35"/>
    <tableColumn id="18" xr3:uid="{00000000-0010-0000-0000-000012000000}" name="Sum of Other" dataDxfId="34"/>
    <tableColumn id="19" xr3:uid="{00000000-0010-0000-0000-000013000000}" name="Sum of Lunch" dataDxfId="33"/>
    <tableColumn id="20" xr3:uid="{00000000-0010-0000-0000-000014000000}" name="Sum of Training" dataDxfId="32"/>
    <tableColumn id="21" xr3:uid="{00000000-0010-0000-0000-000015000000}" name="Sum of MEETING" dataDxfId="31"/>
    <tableColumn id="22" xr3:uid="{00000000-0010-0000-0000-000016000000}" name="Sum of Scheduled Break" dataDxfId="30"/>
    <tableColumn id="23" xr3:uid="{00000000-0010-0000-0000-000017000000}" name="Sum of Project" dataDxfId="29"/>
    <tableColumn id="24" xr3:uid="{00000000-0010-0000-0000-000018000000}" name="Sum of Contact" dataDxfId="28"/>
    <tableColumn id="25" xr3:uid="{00000000-0010-0000-0000-000019000000}" name="Sum of Plan Admin" dataDxfId="27"/>
    <tableColumn id="26" xr3:uid="{00000000-0010-0000-0000-00001A000000}" name="Sum of Out. Call" dataDxfId="26"/>
    <tableColumn id="27" xr3:uid="{00000000-0010-0000-0000-00001B000000}" name="Sum of MaxAgentOccupancy" dataDxfId="25"/>
    <tableColumn id="28" xr3:uid="{00000000-0010-0000-0000-00001C000000}" name="Sum of FONOLO" dataDxfId="24"/>
    <tableColumn id="29" xr3:uid="{00000000-0010-0000-0000-00001D000000}" name=" ACD Time" dataDxfId="23"/>
    <tableColumn id="30" xr3:uid="{00000000-0010-0000-0000-00001E000000}" name=" ACW Time" dataDxfId="22"/>
    <tableColumn id="31" xr3:uid="{00000000-0010-0000-0000-00001F000000}" name=" Hold Time" dataDxfId="21"/>
    <tableColumn id="32" xr3:uid="{00000000-0010-0000-0000-000020000000}" name=" Agent Ring Time" dataDxfId="20"/>
    <tableColumn id="33" xr3:uid="{00000000-0010-0000-0000-000021000000}" name=" Handle Time1" dataDxfId="19"/>
    <tableColumn id="34" xr3:uid="{00000000-0010-0000-0000-000022000000}" name="Sum of Handle time" dataDxfId="18"/>
    <tableColumn id="35" xr3:uid="{00000000-0010-0000-0000-000023000000}" name=" OB Calls" dataDxfId="17"/>
    <tableColumn id="36" xr3:uid="{00000000-0010-0000-0000-000024000000}" name=" OB Time" dataDxfId="16"/>
    <tableColumn id="37" xr3:uid="{00000000-0010-0000-0000-000025000000}" name=" AUX 0" dataDxfId="15"/>
    <tableColumn id="38" xr3:uid="{00000000-0010-0000-0000-000026000000}" name=" AUX 1" dataDxfId="14"/>
    <tableColumn id="39" xr3:uid="{00000000-0010-0000-0000-000027000000}" name=" AUX 2" dataDxfId="13"/>
    <tableColumn id="40" xr3:uid="{00000000-0010-0000-0000-000028000000}" name=" AUX 3" dataDxfId="12"/>
    <tableColumn id="41" xr3:uid="{00000000-0010-0000-0000-000029000000}" name=" AUX 4" dataDxfId="11"/>
    <tableColumn id="42" xr3:uid="{00000000-0010-0000-0000-00002A000000}" name=" AUX 5" dataDxfId="10"/>
    <tableColumn id="43" xr3:uid="{00000000-0010-0000-0000-00002B000000}" name=" AUX 6" dataDxfId="9"/>
    <tableColumn id="44" xr3:uid="{00000000-0010-0000-0000-00002C000000}" name=" AUX 7" dataDxfId="8"/>
    <tableColumn id="45" xr3:uid="{00000000-0010-0000-0000-00002D000000}" name=" AUX 8" dataDxfId="7"/>
    <tableColumn id="46" xr3:uid="{00000000-0010-0000-0000-00002E000000}" name=" AUX 9" dataDxfId="6"/>
    <tableColumn id="47" xr3:uid="{00000000-0010-0000-0000-00002F000000}" name="Exclude SOI" dataDxfId="5"/>
    <tableColumn id="48" xr3:uid="{00000000-0010-0000-0000-000030000000}" name="FCR count" dataDxfId="4"/>
    <tableColumn id="49" xr3:uid="{00000000-0010-0000-0000-000031000000}" name="All count" dataDxfId="3"/>
    <tableColumn id="50" xr3:uid="{00000000-0010-0000-0000-000032000000}" name="SOI FCR All count" dataDxfId="2"/>
    <tableColumn id="51" xr3:uid="{00000000-0010-0000-0000-000033000000}" name="SOI FCR" dataDxfId="1"/>
    <tableColumn id="52" xr3:uid="{00000000-0010-0000-0000-000034000000}" name="DECK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file:///\\msoit.com\fs\PIT\SYS\Clients\IDAHO\Payroll\Active%2020" TargetMode="External"/><Relationship Id="rId7" Type="http://schemas.openxmlformats.org/officeDocument/2006/relationships/drawing" Target="../drawings/drawing4.xml"/><Relationship Id="rId2" Type="http://schemas.openxmlformats.org/officeDocument/2006/relationships/hyperlink" Target="file:///\\msoit.com\fs\PIT\SYS\Clients\IDAHO\Payroll\Actives" TargetMode="External"/><Relationship Id="rId1" Type="http://schemas.openxmlformats.org/officeDocument/2006/relationships/hyperlink" Target="file:///\\msoit.com\fs\PIT\SYS\Clients\IDAHO\Interfaces\Carriers\Carrier%20File%20Counts\UOI%20File%20Status%202024.xlsx" TargetMode="External"/><Relationship Id="rId6" Type="http://schemas.openxmlformats.org/officeDocument/2006/relationships/printerSettings" Target="../printerSettings/printerSettings4.bin"/><Relationship Id="rId5" Type="http://schemas.openxmlformats.org/officeDocument/2006/relationships/hyperlink" Target="file:///\\msoit.com\fs\PIT\SYS\Clients\IDAHO\Call%20Center%20Mailings" TargetMode="External"/><Relationship Id="rId4" Type="http://schemas.openxmlformats.org/officeDocument/2006/relationships/hyperlink" Target="file:///\\msoit.com\fs\PIT\SYS\Clients\IDAHO\Repository%20Report\2024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7" Type="http://schemas.openxmlformats.org/officeDocument/2006/relationships/table" Target="../tables/table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7.bin"/><Relationship Id="rId7" Type="http://schemas.openxmlformats.org/officeDocument/2006/relationships/table" Target="../tables/table3.xml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Relationship Id="rId6" Type="http://schemas.openxmlformats.org/officeDocument/2006/relationships/ctrlProp" Target="../ctrlProps/ctrlProp2.xml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2:U50"/>
  <sheetViews>
    <sheetView zoomScaleNormal="100" workbookViewId="0"/>
  </sheetViews>
  <sheetFormatPr defaultRowHeight="14.5" x14ac:dyDescent="0.35"/>
  <cols>
    <col min="4" max="4" width="11.08984375" customWidth="1"/>
    <col min="5" max="5" width="8.54296875" bestFit="1" customWidth="1"/>
    <col min="9" max="9" width="4.81640625" customWidth="1"/>
    <col min="10" max="10" width="10.7265625" bestFit="1" customWidth="1"/>
  </cols>
  <sheetData>
    <row r="2" spans="1:21" ht="17.149999999999999" customHeight="1" x14ac:dyDescent="0.4">
      <c r="L2" s="128" t="s">
        <v>0</v>
      </c>
      <c r="M2" s="128"/>
      <c r="N2" s="128"/>
      <c r="O2" s="128"/>
      <c r="P2" s="128"/>
      <c r="Q2" s="128"/>
    </row>
    <row r="3" spans="1:21" ht="20.5" customHeight="1" thickBot="1" x14ac:dyDescent="0.4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129" t="s">
        <v>234</v>
      </c>
      <c r="M3" s="129"/>
      <c r="N3" s="129"/>
      <c r="O3" s="129"/>
      <c r="P3" s="129"/>
      <c r="Q3" s="129"/>
    </row>
    <row r="4" spans="1:21" ht="5.15" customHeight="1" thickTop="1" x14ac:dyDescent="0.35">
      <c r="L4" s="63"/>
      <c r="M4" s="63"/>
      <c r="N4" s="63"/>
      <c r="O4" s="63"/>
      <c r="P4" s="63"/>
      <c r="Q4" s="63"/>
    </row>
    <row r="5" spans="1:21" ht="20.5" customHeight="1" x14ac:dyDescent="0.35">
      <c r="A5" s="130" t="s">
        <v>1</v>
      </c>
      <c r="B5" s="131"/>
      <c r="C5" s="131"/>
      <c r="D5" s="131"/>
      <c r="E5" s="131"/>
      <c r="F5" s="131"/>
      <c r="G5" s="131"/>
      <c r="H5" s="131"/>
      <c r="I5" s="131"/>
      <c r="J5" s="131"/>
      <c r="K5" s="131"/>
      <c r="L5" s="131"/>
      <c r="M5" s="131"/>
      <c r="N5" s="131"/>
      <c r="O5" s="131"/>
      <c r="P5" s="131"/>
      <c r="Q5" s="131"/>
    </row>
    <row r="6" spans="1:21" ht="4" customHeight="1" x14ac:dyDescent="0.35">
      <c r="L6" s="63"/>
      <c r="M6" s="63"/>
      <c r="N6" s="63"/>
      <c r="O6" s="63"/>
      <c r="P6" s="63"/>
      <c r="Q6" s="63"/>
    </row>
    <row r="7" spans="1:21" ht="20.5" customHeight="1" x14ac:dyDescent="0.35">
      <c r="A7" s="132"/>
      <c r="B7" s="133"/>
      <c r="C7" s="133"/>
      <c r="D7" s="133"/>
      <c r="F7" s="134" t="str">
        <f>L3</f>
        <v>Feb 01, 2024 to Feb 29, 2024</v>
      </c>
      <c r="G7" s="135"/>
      <c r="H7" s="135"/>
      <c r="I7" s="135"/>
      <c r="J7" s="135"/>
      <c r="K7" s="135"/>
      <c r="L7" s="63"/>
      <c r="M7" s="63"/>
      <c r="N7" s="63"/>
      <c r="O7" s="63"/>
      <c r="P7" s="63"/>
      <c r="Q7" s="63"/>
    </row>
    <row r="8" spans="1:21" ht="20.5" customHeight="1" x14ac:dyDescent="0.35">
      <c r="A8" s="136"/>
      <c r="B8" s="137"/>
      <c r="C8" s="137"/>
      <c r="D8" s="137"/>
      <c r="F8" s="138" t="s">
        <v>2</v>
      </c>
      <c r="G8" s="139"/>
      <c r="H8" s="112" t="s">
        <v>3</v>
      </c>
      <c r="I8" s="138" t="s">
        <v>4</v>
      </c>
      <c r="J8" s="139"/>
      <c r="K8" s="112" t="s">
        <v>5</v>
      </c>
      <c r="L8" s="63"/>
      <c r="M8" s="63"/>
      <c r="N8" s="63"/>
      <c r="O8" s="63"/>
      <c r="P8" s="63"/>
      <c r="Q8" s="63"/>
    </row>
    <row r="9" spans="1:21" ht="20.5" customHeight="1" x14ac:dyDescent="0.35">
      <c r="A9" s="136"/>
      <c r="B9" s="137"/>
      <c r="C9" s="137"/>
      <c r="D9" s="137"/>
      <c r="F9" s="140">
        <f>COUNTA(A18:A21,A33:A34,A43:A45)</f>
        <v>9</v>
      </c>
      <c r="G9" s="140"/>
      <c r="H9" s="64">
        <f>COUNT(H18:I21,G33:H34,H43:I45)+1</f>
        <v>9</v>
      </c>
      <c r="I9" s="141">
        <f>COUNTIF(J18:J21,"✓")+COUNTIF(I33:I34,"✓")+COUNTIF(J43:J45,"✓")</f>
        <v>8</v>
      </c>
      <c r="J9" s="141"/>
      <c r="K9" s="105">
        <f>I9/H9</f>
        <v>0.88888888888888884</v>
      </c>
      <c r="L9" s="63"/>
      <c r="M9" s="63"/>
      <c r="N9" s="63"/>
      <c r="O9" s="63"/>
      <c r="P9" s="63"/>
      <c r="Q9" s="63"/>
    </row>
    <row r="10" spans="1:21" ht="6" customHeight="1" x14ac:dyDescent="0.35">
      <c r="A10" s="136"/>
      <c r="B10" s="137"/>
      <c r="C10" s="137"/>
      <c r="D10" s="137"/>
      <c r="F10" s="5"/>
      <c r="G10" s="5"/>
      <c r="H10" s="5"/>
      <c r="I10" s="5"/>
      <c r="J10" s="5"/>
      <c r="K10" s="5"/>
      <c r="L10" s="63"/>
      <c r="M10" s="63"/>
      <c r="N10" s="63"/>
      <c r="O10" s="63"/>
      <c r="P10" s="63"/>
      <c r="Q10" s="63"/>
    </row>
    <row r="11" spans="1:21" ht="20.5" customHeight="1" x14ac:dyDescent="0.35">
      <c r="A11" s="136"/>
      <c r="B11" s="137"/>
      <c r="C11" s="137"/>
      <c r="D11" s="137"/>
      <c r="F11" s="142" t="s">
        <v>6</v>
      </c>
      <c r="G11" s="142"/>
      <c r="H11" s="142"/>
      <c r="I11" s="142"/>
      <c r="J11" s="142"/>
      <c r="K11" s="142"/>
      <c r="L11" s="63"/>
      <c r="M11" s="63"/>
      <c r="N11" s="63"/>
      <c r="O11" s="63"/>
      <c r="P11" s="63"/>
      <c r="Q11" s="63"/>
    </row>
    <row r="12" spans="1:21" ht="20.5" customHeight="1" x14ac:dyDescent="0.35">
      <c r="A12" s="136"/>
      <c r="B12" s="137"/>
      <c r="C12" s="137"/>
      <c r="D12" s="137"/>
      <c r="F12" s="143" t="s">
        <v>2</v>
      </c>
      <c r="G12" s="143"/>
      <c r="H12" s="112" t="s">
        <v>3</v>
      </c>
      <c r="I12" s="143" t="s">
        <v>4</v>
      </c>
      <c r="J12" s="143"/>
      <c r="K12" s="112" t="s">
        <v>5</v>
      </c>
      <c r="L12" s="63"/>
      <c r="M12" s="63"/>
      <c r="N12" s="63"/>
      <c r="O12" s="63"/>
      <c r="P12" s="63"/>
      <c r="Q12" s="63"/>
    </row>
    <row r="13" spans="1:21" ht="20.5" customHeight="1" x14ac:dyDescent="0.35">
      <c r="A13" s="136"/>
      <c r="B13" s="137"/>
      <c r="C13" s="137"/>
      <c r="D13" s="137"/>
      <c r="F13" s="140">
        <f>COUNTA(A24:A27,A37:A38,A48:A50)</f>
        <v>9</v>
      </c>
      <c r="G13" s="140"/>
      <c r="H13" s="64">
        <f>COUNT(H24:I27,G37:H38,H48:I50)+1</f>
        <v>9</v>
      </c>
      <c r="I13" s="141">
        <f>COUNTIF(J24:J27,"✓")+COUNTIF(I37:J38,"✓")+COUNTIF(J48:J50,"✓")</f>
        <v>7</v>
      </c>
      <c r="J13" s="141"/>
      <c r="K13" s="105">
        <f>I13/H13</f>
        <v>0.77777777777777779</v>
      </c>
      <c r="L13" s="63"/>
      <c r="M13" s="63"/>
      <c r="N13" s="63"/>
      <c r="O13" s="63"/>
      <c r="P13" s="63"/>
      <c r="Q13" s="63"/>
    </row>
    <row r="14" spans="1:21" s="5" customFormat="1" ht="6" customHeight="1" x14ac:dyDescent="0.35"/>
    <row r="15" spans="1:21" ht="15.5" customHeight="1" x14ac:dyDescent="0.35">
      <c r="A15" s="146" t="s">
        <v>7</v>
      </c>
      <c r="B15" s="147"/>
      <c r="C15" s="147"/>
      <c r="D15" s="147"/>
      <c r="E15" s="147"/>
      <c r="F15" s="147"/>
      <c r="G15" s="147"/>
      <c r="H15" s="147"/>
      <c r="I15" s="147"/>
      <c r="J15" s="147"/>
      <c r="K15" s="147"/>
      <c r="L15" s="147"/>
      <c r="M15" s="147"/>
      <c r="N15" s="147"/>
      <c r="O15" s="147"/>
      <c r="P15" s="147"/>
      <c r="Q15" s="148"/>
      <c r="S15" s="5"/>
      <c r="T15" s="5"/>
      <c r="U15" s="5"/>
    </row>
    <row r="16" spans="1:21" s="7" customFormat="1" ht="9" customHeight="1" x14ac:dyDescent="0.35"/>
    <row r="17" spans="1:17" x14ac:dyDescent="0.35">
      <c r="A17" s="122" t="str">
        <f>L3</f>
        <v>Feb 01, 2024 to Feb 29, 2024</v>
      </c>
      <c r="B17" s="122"/>
      <c r="C17" s="122"/>
      <c r="D17" s="122"/>
      <c r="E17" s="110" t="s">
        <v>8</v>
      </c>
      <c r="F17" s="110" t="s">
        <v>9</v>
      </c>
      <c r="G17" s="110" t="s">
        <v>10</v>
      </c>
      <c r="H17" s="121" t="s">
        <v>11</v>
      </c>
      <c r="I17" s="121"/>
      <c r="J17" s="110" t="s">
        <v>11</v>
      </c>
    </row>
    <row r="18" spans="1:17" x14ac:dyDescent="0.35">
      <c r="A18" s="118" t="s">
        <v>191</v>
      </c>
      <c r="B18" s="118"/>
      <c r="C18" s="118"/>
      <c r="D18" s="118"/>
      <c r="E18" s="84">
        <v>0.9</v>
      </c>
      <c r="F18" s="15">
        <f>'Call Center Summary'!J10</f>
        <v>124</v>
      </c>
      <c r="G18" s="15">
        <f>SUM('Call Center Summary'!J9:K9)</f>
        <v>123</v>
      </c>
      <c r="H18" s="127">
        <f>G18/F18</f>
        <v>0.99193548387096775</v>
      </c>
      <c r="I18" s="127"/>
      <c r="J18" s="104" t="str">
        <f>IF(H18&gt;=E18,"✓","x")</f>
        <v>✓</v>
      </c>
    </row>
    <row r="19" spans="1:17" x14ac:dyDescent="0.35">
      <c r="A19" s="118" t="s">
        <v>12</v>
      </c>
      <c r="B19" s="118"/>
      <c r="C19" s="118"/>
      <c r="D19" s="118"/>
      <c r="E19" s="84">
        <v>0.8</v>
      </c>
      <c r="F19" s="16" t="s">
        <v>13</v>
      </c>
      <c r="G19" s="16" t="s">
        <v>13</v>
      </c>
      <c r="H19" s="127">
        <v>1</v>
      </c>
      <c r="I19" s="127"/>
      <c r="J19" s="104" t="str">
        <f>IF(H19&gt;=E19,"✓","x")</f>
        <v>✓</v>
      </c>
    </row>
    <row r="20" spans="1:17" x14ac:dyDescent="0.35">
      <c r="A20" s="118" t="s">
        <v>14</v>
      </c>
      <c r="B20" s="118"/>
      <c r="C20" s="118"/>
      <c r="D20" s="118"/>
      <c r="E20" s="84">
        <v>0.99</v>
      </c>
      <c r="F20" s="119">
        <f>DataTransmission!N11</f>
        <v>14008</v>
      </c>
      <c r="G20" s="120"/>
      <c r="H20" s="127">
        <f>DataTransmission!N13</f>
        <v>0.93546544831524847</v>
      </c>
      <c r="I20" s="127"/>
      <c r="J20" s="104" t="str">
        <f>IF(H20&gt;=E20,"✓","x")</f>
        <v>x</v>
      </c>
    </row>
    <row r="21" spans="1:17" s="5" customFormat="1" ht="14.5" customHeight="1" x14ac:dyDescent="0.35">
      <c r="A21" s="118" t="s">
        <v>194</v>
      </c>
      <c r="B21" s="118"/>
      <c r="C21" s="118"/>
      <c r="D21" s="118"/>
      <c r="E21" s="84" t="s">
        <v>195</v>
      </c>
      <c r="F21" s="119">
        <f>'Call Center Summary'!E9</f>
        <v>0</v>
      </c>
      <c r="G21" s="120"/>
      <c r="H21" s="144">
        <f>F21/SUM(SUM('Call Center Data'!I:I),SUM('Call Center Data'!K:K))</f>
        <v>0</v>
      </c>
      <c r="I21" s="145"/>
      <c r="J21" s="104" t="str">
        <f>IF(H21&lt;3%,"✓","x")</f>
        <v>✓</v>
      </c>
    </row>
    <row r="23" spans="1:17" x14ac:dyDescent="0.35">
      <c r="A23" s="123" t="s">
        <v>15</v>
      </c>
      <c r="B23" s="123"/>
      <c r="C23" s="123"/>
      <c r="D23" s="123"/>
      <c r="E23" s="110" t="s">
        <v>8</v>
      </c>
      <c r="F23" s="110" t="s">
        <v>9</v>
      </c>
      <c r="G23" s="110" t="s">
        <v>10</v>
      </c>
      <c r="H23" s="121" t="s">
        <v>11</v>
      </c>
      <c r="I23" s="121"/>
      <c r="J23" s="110" t="s">
        <v>11</v>
      </c>
    </row>
    <row r="24" spans="1:17" x14ac:dyDescent="0.35">
      <c r="A24" s="118" t="s">
        <v>191</v>
      </c>
      <c r="B24" s="118"/>
      <c r="C24" s="118"/>
      <c r="D24" s="118"/>
      <c r="E24" s="84">
        <v>0.9</v>
      </c>
      <c r="F24" s="15">
        <f>'Call Center Summary'!L10</f>
        <v>276</v>
      </c>
      <c r="G24" s="15">
        <f>SUM('Call Center Summary'!L9:L9)</f>
        <v>273</v>
      </c>
      <c r="H24" s="127">
        <f>G24/F24</f>
        <v>0.98913043478260865</v>
      </c>
      <c r="I24" s="127"/>
      <c r="J24" s="104" t="str">
        <f>IF(H24&gt;=E24,"✓","x")</f>
        <v>✓</v>
      </c>
    </row>
    <row r="25" spans="1:17" x14ac:dyDescent="0.35">
      <c r="A25" s="118" t="s">
        <v>12</v>
      </c>
      <c r="B25" s="118"/>
      <c r="C25" s="118"/>
      <c r="D25" s="118"/>
      <c r="E25" s="84">
        <v>0.8</v>
      </c>
      <c r="F25" s="16" t="s">
        <v>13</v>
      </c>
      <c r="G25" s="16" t="s">
        <v>13</v>
      </c>
      <c r="H25" s="127">
        <v>1</v>
      </c>
      <c r="I25" s="127"/>
      <c r="J25" s="104" t="str">
        <f>IF(H25&gt;=E25,"✓","x")</f>
        <v>✓</v>
      </c>
    </row>
    <row r="26" spans="1:17" x14ac:dyDescent="0.35">
      <c r="A26" s="118" t="s">
        <v>14</v>
      </c>
      <c r="B26" s="118"/>
      <c r="C26" s="118"/>
      <c r="D26" s="118"/>
      <c r="E26" s="84">
        <v>0.99</v>
      </c>
      <c r="F26" s="119">
        <f>DataTransmission!O11</f>
        <v>29033</v>
      </c>
      <c r="G26" s="120"/>
      <c r="H26" s="144">
        <f>DataTransmission!O13</f>
        <v>0.9651703281509687</v>
      </c>
      <c r="I26" s="120"/>
      <c r="J26" s="104" t="str">
        <f>IF(H26&gt;=E26,"✓","x")</f>
        <v>x</v>
      </c>
    </row>
    <row r="27" spans="1:17" x14ac:dyDescent="0.35">
      <c r="A27" s="124" t="s">
        <v>194</v>
      </c>
      <c r="B27" s="125"/>
      <c r="C27" s="125"/>
      <c r="D27" s="126"/>
      <c r="E27" s="84" t="s">
        <v>195</v>
      </c>
      <c r="F27" s="119">
        <f>'Call Center Summary'!F9</f>
        <v>0</v>
      </c>
      <c r="G27" s="120"/>
      <c r="H27" s="144">
        <f>F27/SUM(SUM('YTD Call Center Data'!I:I),SUM('YTD Call Center Data'!K:K))</f>
        <v>0</v>
      </c>
      <c r="I27" s="145"/>
      <c r="J27" s="104" t="str">
        <f>IF(H27&lt;3%,"✓","x")</f>
        <v>✓</v>
      </c>
    </row>
    <row r="28" spans="1:17" hidden="1" x14ac:dyDescent="0.35"/>
    <row r="30" spans="1:17" ht="15.5" customHeight="1" x14ac:dyDescent="0.35">
      <c r="A30" s="146" t="s">
        <v>16</v>
      </c>
      <c r="B30" s="147"/>
      <c r="C30" s="147"/>
      <c r="D30" s="147"/>
      <c r="E30" s="147"/>
      <c r="F30" s="147"/>
      <c r="G30" s="147"/>
      <c r="H30" s="147"/>
      <c r="I30" s="147"/>
      <c r="J30" s="147"/>
      <c r="K30" s="147"/>
      <c r="L30" s="147"/>
      <c r="M30" s="147"/>
      <c r="N30" s="147"/>
      <c r="O30" s="147"/>
      <c r="P30" s="147"/>
      <c r="Q30" s="148"/>
    </row>
    <row r="31" spans="1:17" s="5" customFormat="1" ht="9" customHeight="1" x14ac:dyDescent="0.35">
      <c r="A31" s="7"/>
      <c r="B31" s="7"/>
      <c r="C31" s="7"/>
      <c r="D31" s="7"/>
      <c r="E31" s="7"/>
      <c r="F31" s="13"/>
      <c r="G31" s="6"/>
      <c r="H31" s="6"/>
      <c r="I31" s="6"/>
      <c r="J31" s="6"/>
      <c r="K31" s="6"/>
      <c r="L31" s="7"/>
      <c r="M31" s="7"/>
      <c r="N31" s="7"/>
      <c r="O31" s="7"/>
      <c r="P31" s="7"/>
      <c r="Q31" s="7"/>
    </row>
    <row r="32" spans="1:17" x14ac:dyDescent="0.35">
      <c r="A32" s="122" t="str">
        <f>A17</f>
        <v>Feb 01, 2024 to Feb 29, 2024</v>
      </c>
      <c r="B32" s="122"/>
      <c r="C32" s="122"/>
      <c r="D32" s="122"/>
      <c r="E32" s="110" t="s">
        <v>8</v>
      </c>
      <c r="F32" s="110" t="s">
        <v>9</v>
      </c>
      <c r="G32" s="121" t="s">
        <v>11</v>
      </c>
      <c r="H32" s="121"/>
      <c r="I32" s="121" t="s">
        <v>11</v>
      </c>
      <c r="J32" s="121"/>
    </row>
    <row r="33" spans="1:17" x14ac:dyDescent="0.35">
      <c r="A33" s="118" t="s">
        <v>196</v>
      </c>
      <c r="B33" s="118"/>
      <c r="C33" s="118"/>
      <c r="D33" s="118"/>
      <c r="E33" s="84">
        <v>0.9</v>
      </c>
      <c r="F33" s="15">
        <f>'Volume Summary '!D9</f>
        <v>302</v>
      </c>
      <c r="G33" s="127">
        <f>F33/'Volume Summary '!D8</f>
        <v>0.92638036809815949</v>
      </c>
      <c r="H33" s="127"/>
      <c r="I33" s="117" t="str">
        <f>IF(G33&gt;=E33,"✓","x")</f>
        <v>✓</v>
      </c>
      <c r="J33" s="117"/>
    </row>
    <row r="34" spans="1:17" x14ac:dyDescent="0.35">
      <c r="A34" s="118" t="s">
        <v>197</v>
      </c>
      <c r="B34" s="118"/>
      <c r="C34" s="118"/>
      <c r="D34" s="118"/>
      <c r="E34" s="84">
        <v>0.8</v>
      </c>
      <c r="F34" s="15">
        <f>SUM('Volume Summary '!D10:D11)</f>
        <v>24</v>
      </c>
      <c r="G34" s="144">
        <v>1</v>
      </c>
      <c r="H34" s="145"/>
      <c r="I34" s="117" t="str">
        <f>IF(G34&gt;=E34,"✓","x")</f>
        <v>✓</v>
      </c>
      <c r="J34" s="117"/>
    </row>
    <row r="35" spans="1:17" s="5" customFormat="1" ht="9" customHeight="1" x14ac:dyDescent="0.35">
      <c r="A35" s="8"/>
      <c r="B35" s="8"/>
      <c r="C35" s="8"/>
      <c r="D35" s="8"/>
      <c r="G35" s="9"/>
      <c r="H35" s="9"/>
    </row>
    <row r="36" spans="1:17" x14ac:dyDescent="0.35">
      <c r="A36" s="123" t="s">
        <v>15</v>
      </c>
      <c r="B36" s="123"/>
      <c r="C36" s="123"/>
      <c r="D36" s="123"/>
      <c r="E36" s="110" t="s">
        <v>8</v>
      </c>
      <c r="F36" s="110" t="s">
        <v>9</v>
      </c>
      <c r="G36" s="151" t="s">
        <v>11</v>
      </c>
      <c r="H36" s="151"/>
      <c r="I36" s="121" t="s">
        <v>11</v>
      </c>
      <c r="J36" s="121"/>
    </row>
    <row r="37" spans="1:17" x14ac:dyDescent="0.35">
      <c r="A37" s="118" t="s">
        <v>196</v>
      </c>
      <c r="B37" s="118"/>
      <c r="C37" s="118"/>
      <c r="D37" s="118"/>
      <c r="E37" s="84">
        <v>0.9</v>
      </c>
      <c r="F37" s="15">
        <f>'Volume Summary '!E9</f>
        <v>792</v>
      </c>
      <c r="G37" s="127">
        <f>F37/'Volume Summary '!E8</f>
        <v>0.8571428571428571</v>
      </c>
      <c r="H37" s="127"/>
      <c r="I37" s="117" t="str">
        <f>IF(G37&gt;=E37,"✓","x")</f>
        <v>x</v>
      </c>
      <c r="J37" s="117"/>
    </row>
    <row r="38" spans="1:17" x14ac:dyDescent="0.35">
      <c r="A38" s="118" t="s">
        <v>197</v>
      </c>
      <c r="B38" s="118"/>
      <c r="C38" s="118"/>
      <c r="D38" s="118"/>
      <c r="E38" s="84">
        <v>0.8</v>
      </c>
      <c r="F38" s="15">
        <f>SUM('Volume Summary '!E10:E11)</f>
        <v>132</v>
      </c>
      <c r="G38" s="144">
        <v>1</v>
      </c>
      <c r="H38" s="145"/>
      <c r="I38" s="117" t="str">
        <f>IF(G38&gt;=E38,"✓","x")</f>
        <v>✓</v>
      </c>
      <c r="J38" s="117"/>
    </row>
    <row r="40" spans="1:17" ht="15.5" customHeight="1" x14ac:dyDescent="0.35">
      <c r="A40" s="146" t="s">
        <v>17</v>
      </c>
      <c r="B40" s="147"/>
      <c r="C40" s="147"/>
      <c r="D40" s="147"/>
      <c r="E40" s="147"/>
      <c r="F40" s="147"/>
      <c r="G40" s="147"/>
      <c r="H40" s="147"/>
      <c r="I40" s="147"/>
      <c r="J40" s="147"/>
      <c r="K40" s="147"/>
      <c r="L40" s="147"/>
      <c r="M40" s="147"/>
      <c r="N40" s="147"/>
      <c r="O40" s="147"/>
      <c r="P40" s="147"/>
      <c r="Q40" s="148"/>
    </row>
    <row r="41" spans="1:17" s="5" customFormat="1" ht="9" customHeight="1" x14ac:dyDescent="0.35">
      <c r="A41" s="7"/>
      <c r="B41" s="7"/>
      <c r="C41" s="7"/>
      <c r="D41" s="7"/>
      <c r="E41" s="7"/>
      <c r="F41" s="7"/>
      <c r="G41" s="6"/>
      <c r="H41" s="6"/>
      <c r="I41" s="6"/>
      <c r="J41" s="6"/>
      <c r="K41" s="6"/>
      <c r="L41" s="7"/>
      <c r="M41" s="7"/>
      <c r="N41" s="7"/>
      <c r="O41" s="7"/>
      <c r="P41" s="7"/>
      <c r="Q41" s="7"/>
    </row>
    <row r="42" spans="1:17" x14ac:dyDescent="0.35">
      <c r="A42" s="122" t="str">
        <f>A32</f>
        <v>Feb 01, 2024 to Feb 29, 2024</v>
      </c>
      <c r="B42" s="122"/>
      <c r="C42" s="122"/>
      <c r="D42" s="122"/>
      <c r="E42" s="110" t="s">
        <v>8</v>
      </c>
      <c r="F42" s="110" t="s">
        <v>9</v>
      </c>
      <c r="G42" s="110" t="s">
        <v>10</v>
      </c>
      <c r="H42" s="121" t="s">
        <v>11</v>
      </c>
      <c r="I42" s="121"/>
      <c r="J42" s="110" t="s">
        <v>11</v>
      </c>
    </row>
    <row r="43" spans="1:17" x14ac:dyDescent="0.35">
      <c r="A43" s="118" t="s">
        <v>193</v>
      </c>
      <c r="B43" s="118"/>
      <c r="C43" s="118"/>
      <c r="D43" s="118"/>
      <c r="E43" s="84" t="s">
        <v>192</v>
      </c>
      <c r="F43" s="15">
        <f>'Volume Summary '!N13</f>
        <v>52</v>
      </c>
      <c r="G43" s="15">
        <f>'Volume Summary '!N13</f>
        <v>52</v>
      </c>
      <c r="H43" s="127" t="s">
        <v>192</v>
      </c>
      <c r="I43" s="127"/>
      <c r="J43" s="104" t="str">
        <f>IF(H43&gt;=E43,"✓","x")</f>
        <v>✓</v>
      </c>
    </row>
    <row r="44" spans="1:17" s="5" customFormat="1" x14ac:dyDescent="0.35">
      <c r="A44" s="118" t="s">
        <v>198</v>
      </c>
      <c r="B44" s="118"/>
      <c r="C44" s="118"/>
      <c r="D44" s="118"/>
      <c r="E44" s="84">
        <v>0.9</v>
      </c>
      <c r="F44" s="149">
        <f>DataTransmission!N21</f>
        <v>2</v>
      </c>
      <c r="G44" s="149"/>
      <c r="H44" s="144">
        <f>DataTransmission!N22</f>
        <v>1</v>
      </c>
      <c r="I44" s="145"/>
      <c r="J44" s="104" t="str">
        <f>IF(H44&gt;=E44,"✓","x")</f>
        <v>✓</v>
      </c>
    </row>
    <row r="45" spans="1:17" ht="17.149999999999999" customHeight="1" x14ac:dyDescent="0.35">
      <c r="A45" s="118" t="s">
        <v>199</v>
      </c>
      <c r="B45" s="118"/>
      <c r="C45" s="118"/>
      <c r="D45" s="118"/>
      <c r="E45" s="84">
        <v>0.9</v>
      </c>
      <c r="F45" s="149">
        <f>DataTransmission!N16</f>
        <v>37</v>
      </c>
      <c r="G45" s="149"/>
      <c r="H45" s="144">
        <f>DataTransmission!N18</f>
        <v>0.91891891891891897</v>
      </c>
      <c r="I45" s="145"/>
      <c r="J45" s="104" t="str">
        <f>IF(H45&gt;=E45,"✓","x")</f>
        <v>✓</v>
      </c>
    </row>
    <row r="46" spans="1:17" ht="14.15" customHeight="1" x14ac:dyDescent="0.35"/>
    <row r="47" spans="1:17" x14ac:dyDescent="0.35">
      <c r="A47" s="123" t="s">
        <v>15</v>
      </c>
      <c r="B47" s="123"/>
      <c r="C47" s="123"/>
      <c r="D47" s="123"/>
      <c r="E47" s="110" t="s">
        <v>8</v>
      </c>
      <c r="F47" s="110" t="s">
        <v>9</v>
      </c>
      <c r="G47" s="110" t="s">
        <v>10</v>
      </c>
      <c r="H47" s="121" t="s">
        <v>11</v>
      </c>
      <c r="I47" s="121"/>
      <c r="J47" s="110" t="s">
        <v>11</v>
      </c>
    </row>
    <row r="48" spans="1:17" x14ac:dyDescent="0.35">
      <c r="A48" s="118" t="s">
        <v>193</v>
      </c>
      <c r="B48" s="118"/>
      <c r="C48" s="118"/>
      <c r="D48" s="118"/>
      <c r="E48" s="84" t="s">
        <v>192</v>
      </c>
      <c r="F48" s="27">
        <f>'Volume Summary '!O13</f>
        <v>116</v>
      </c>
      <c r="G48" s="27">
        <f>'Volume Summary '!O13</f>
        <v>116</v>
      </c>
      <c r="H48" s="150" t="s">
        <v>192</v>
      </c>
      <c r="I48" s="150"/>
      <c r="J48" s="104" t="str">
        <f>IF(H48&gt;=E48,"✓","x")</f>
        <v>✓</v>
      </c>
    </row>
    <row r="49" spans="1:10" x14ac:dyDescent="0.35">
      <c r="A49" s="118" t="s">
        <v>198</v>
      </c>
      <c r="B49" s="118"/>
      <c r="C49" s="118"/>
      <c r="D49" s="118"/>
      <c r="E49" s="84">
        <v>0.9</v>
      </c>
      <c r="F49" s="149">
        <f>DataTransmission!O21</f>
        <v>4</v>
      </c>
      <c r="G49" s="149"/>
      <c r="H49" s="127">
        <f>DataTransmission!O22</f>
        <v>1</v>
      </c>
      <c r="I49" s="149"/>
      <c r="J49" s="104" t="str">
        <f>IF(H49&gt;=E49,"✓","x")</f>
        <v>✓</v>
      </c>
    </row>
    <row r="50" spans="1:10" x14ac:dyDescent="0.35">
      <c r="A50" s="118" t="s">
        <v>199</v>
      </c>
      <c r="B50" s="118"/>
      <c r="C50" s="118"/>
      <c r="D50" s="118"/>
      <c r="E50" s="84">
        <v>0.9</v>
      </c>
      <c r="F50" s="149">
        <f>DataTransmission!O16</f>
        <v>150</v>
      </c>
      <c r="G50" s="149"/>
      <c r="H50" s="127">
        <f>DataTransmission!O18</f>
        <v>0.95503468069839759</v>
      </c>
      <c r="I50" s="149"/>
      <c r="J50" s="104" t="str">
        <f>IF(H50&gt;=E50,"✓","x")</f>
        <v>✓</v>
      </c>
    </row>
  </sheetData>
  <mergeCells count="80">
    <mergeCell ref="I36:J36"/>
    <mergeCell ref="I33:J33"/>
    <mergeCell ref="A49:D49"/>
    <mergeCell ref="A50:D50"/>
    <mergeCell ref="F50:G50"/>
    <mergeCell ref="H50:I50"/>
    <mergeCell ref="F49:G49"/>
    <mergeCell ref="H49:I49"/>
    <mergeCell ref="G34:H34"/>
    <mergeCell ref="A36:D36"/>
    <mergeCell ref="G36:H36"/>
    <mergeCell ref="A33:D33"/>
    <mergeCell ref="A34:D34"/>
    <mergeCell ref="H45:I45"/>
    <mergeCell ref="H43:I43"/>
    <mergeCell ref="A44:D44"/>
    <mergeCell ref="F44:G44"/>
    <mergeCell ref="H44:I44"/>
    <mergeCell ref="A48:D48"/>
    <mergeCell ref="H48:I48"/>
    <mergeCell ref="A47:D47"/>
    <mergeCell ref="H47:I47"/>
    <mergeCell ref="A45:D45"/>
    <mergeCell ref="F45:G45"/>
    <mergeCell ref="A42:D42"/>
    <mergeCell ref="H42:I42"/>
    <mergeCell ref="A43:D43"/>
    <mergeCell ref="I37:J37"/>
    <mergeCell ref="I38:J38"/>
    <mergeCell ref="A37:D37"/>
    <mergeCell ref="A38:D38"/>
    <mergeCell ref="G37:H37"/>
    <mergeCell ref="G38:H38"/>
    <mergeCell ref="A40:Q40"/>
    <mergeCell ref="I12:J12"/>
    <mergeCell ref="I32:J32"/>
    <mergeCell ref="F13:G13"/>
    <mergeCell ref="I13:J13"/>
    <mergeCell ref="H24:I24"/>
    <mergeCell ref="H25:I25"/>
    <mergeCell ref="H23:I23"/>
    <mergeCell ref="F21:G21"/>
    <mergeCell ref="H21:I21"/>
    <mergeCell ref="F27:G27"/>
    <mergeCell ref="H27:I27"/>
    <mergeCell ref="H26:I26"/>
    <mergeCell ref="F26:G26"/>
    <mergeCell ref="A15:Q15"/>
    <mergeCell ref="A30:Q30"/>
    <mergeCell ref="L2:Q2"/>
    <mergeCell ref="L3:Q3"/>
    <mergeCell ref="H18:I18"/>
    <mergeCell ref="H19:I19"/>
    <mergeCell ref="H20:I20"/>
    <mergeCell ref="A5:Q5"/>
    <mergeCell ref="A7:D7"/>
    <mergeCell ref="F7:K7"/>
    <mergeCell ref="A8:D13"/>
    <mergeCell ref="F8:G8"/>
    <mergeCell ref="I8:J8"/>
    <mergeCell ref="F9:G9"/>
    <mergeCell ref="A17:D17"/>
    <mergeCell ref="I9:J9"/>
    <mergeCell ref="F11:K11"/>
    <mergeCell ref="F12:G12"/>
    <mergeCell ref="I34:J34"/>
    <mergeCell ref="A18:D18"/>
    <mergeCell ref="F20:G20"/>
    <mergeCell ref="H17:I17"/>
    <mergeCell ref="A20:D20"/>
    <mergeCell ref="A19:D19"/>
    <mergeCell ref="A32:D32"/>
    <mergeCell ref="G32:H32"/>
    <mergeCell ref="A24:D24"/>
    <mergeCell ref="A25:D25"/>
    <mergeCell ref="A23:D23"/>
    <mergeCell ref="A21:D21"/>
    <mergeCell ref="A27:D27"/>
    <mergeCell ref="A26:D26"/>
    <mergeCell ref="G33:H33"/>
  </mergeCells>
  <pageMargins left="0.7" right="0.7" top="0.75" bottom="0.75" header="0.3" footer="0.3"/>
  <pageSetup paperSize="3" scale="22" orientation="landscape" horizont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2:T35"/>
  <sheetViews>
    <sheetView zoomScaleNormal="100" workbookViewId="0">
      <selection activeCell="A23" sqref="A23:D23"/>
    </sheetView>
  </sheetViews>
  <sheetFormatPr defaultRowHeight="14.5" x14ac:dyDescent="0.35"/>
  <cols>
    <col min="2" max="2" width="12.54296875" customWidth="1"/>
    <col min="3" max="3" width="10.26953125" customWidth="1"/>
    <col min="4" max="4" width="7.1796875" customWidth="1"/>
    <col min="5" max="5" width="6.54296875" customWidth="1"/>
    <col min="7" max="7" width="2.1796875" customWidth="1"/>
    <col min="8" max="8" width="10.81640625" bestFit="1" customWidth="1"/>
    <col min="9" max="9" width="12.26953125" customWidth="1"/>
    <col min="11" max="11" width="16.26953125" customWidth="1"/>
    <col min="12" max="12" width="10.1796875" customWidth="1"/>
    <col min="13" max="13" width="5.1796875" customWidth="1"/>
    <col min="14" max="14" width="6.81640625" customWidth="1"/>
  </cols>
  <sheetData>
    <row r="2" spans="1:20" ht="17.149999999999999" customHeight="1" x14ac:dyDescent="0.4">
      <c r="L2" s="128" t="s">
        <v>18</v>
      </c>
      <c r="M2" s="128"/>
      <c r="N2" s="128"/>
      <c r="O2" s="128"/>
      <c r="P2" s="128"/>
      <c r="Q2" s="128"/>
    </row>
    <row r="3" spans="1:20" ht="20.5" customHeight="1" thickBot="1" x14ac:dyDescent="0.4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129" t="str">
        <f>'Target Summary Dashboard'!L3:Q3</f>
        <v>Feb 01, 2024 to Feb 29, 2024</v>
      </c>
      <c r="M3" s="129"/>
      <c r="N3" s="129"/>
      <c r="O3" s="129"/>
      <c r="P3" s="129"/>
      <c r="Q3" s="129"/>
    </row>
    <row r="4" spans="1:20" s="5" customFormat="1" ht="15" thickTop="1" x14ac:dyDescent="0.35"/>
    <row r="5" spans="1:20" ht="15.65" customHeight="1" x14ac:dyDescent="0.35">
      <c r="A5" s="174" t="s">
        <v>19</v>
      </c>
      <c r="B5" s="174"/>
      <c r="C5" s="174"/>
      <c r="D5" s="174"/>
      <c r="E5" s="174"/>
      <c r="F5" s="174"/>
      <c r="G5" s="1"/>
      <c r="H5" s="168" t="s">
        <v>20</v>
      </c>
      <c r="I5" s="168"/>
      <c r="J5" s="168"/>
      <c r="K5" s="168"/>
      <c r="L5" s="168"/>
      <c r="M5" s="168"/>
      <c r="N5" s="168"/>
      <c r="O5" s="168"/>
      <c r="P5" s="168"/>
      <c r="Q5" s="168"/>
      <c r="R5" s="2"/>
    </row>
    <row r="6" spans="1:20" s="5" customFormat="1" ht="9" customHeight="1" x14ac:dyDescent="0.35">
      <c r="A6" s="10"/>
      <c r="B6" s="10"/>
      <c r="C6" s="10"/>
      <c r="D6" s="10"/>
      <c r="E6" s="10"/>
      <c r="F6" s="10"/>
      <c r="G6" s="6"/>
      <c r="H6" s="10"/>
      <c r="I6" s="10"/>
      <c r="J6" s="10"/>
      <c r="K6" s="10"/>
      <c r="L6" s="10"/>
      <c r="M6" s="10"/>
    </row>
    <row r="7" spans="1:20" x14ac:dyDescent="0.35">
      <c r="A7" s="153" t="s">
        <v>21</v>
      </c>
      <c r="B7" s="154"/>
      <c r="C7" s="154"/>
      <c r="D7" s="155"/>
      <c r="E7" s="108" t="str">
        <f>LEFT(L3,3)</f>
        <v>Feb</v>
      </c>
      <c r="F7" s="109" t="s">
        <v>15</v>
      </c>
      <c r="G7" s="4"/>
      <c r="H7" s="159" t="s">
        <v>22</v>
      </c>
      <c r="I7" s="159"/>
      <c r="J7" s="169" t="str">
        <f>E7</f>
        <v>Feb</v>
      </c>
      <c r="K7" s="170"/>
      <c r="L7" s="171" t="s">
        <v>15</v>
      </c>
      <c r="M7" s="171"/>
      <c r="S7" s="29"/>
    </row>
    <row r="8" spans="1:20" x14ac:dyDescent="0.35">
      <c r="A8" s="162" t="s">
        <v>23</v>
      </c>
      <c r="B8" s="163"/>
      <c r="C8" s="163"/>
      <c r="D8" s="164"/>
      <c r="E8" s="27">
        <f>SUM('Call Center Data'!I:I,'Call Center Data'!K:K)</f>
        <v>124</v>
      </c>
      <c r="F8" s="27">
        <f>SUM('YTD Call Center Data'!I:I,'YTD Call Center Data'!K:K)</f>
        <v>276</v>
      </c>
      <c r="G8" s="4"/>
      <c r="H8" s="118" t="s">
        <v>24</v>
      </c>
      <c r="I8" s="118"/>
      <c r="J8" s="160">
        <f>'Call Center Data'!BD3</f>
        <v>123</v>
      </c>
      <c r="K8" s="160"/>
      <c r="L8" s="160">
        <f>'Call Center Data'!BD5</f>
        <v>273</v>
      </c>
      <c r="M8" s="160"/>
      <c r="R8" s="29"/>
      <c r="T8" s="29"/>
    </row>
    <row r="9" spans="1:20" x14ac:dyDescent="0.35">
      <c r="A9" s="162" t="s">
        <v>25</v>
      </c>
      <c r="B9" s="163"/>
      <c r="C9" s="163"/>
      <c r="D9" s="164"/>
      <c r="E9" s="15">
        <f>SUM('Call Center Data'!K:K)</f>
        <v>0</v>
      </c>
      <c r="F9" s="15">
        <f>SUM('YTD Call Center Data'!K:K)</f>
        <v>0</v>
      </c>
      <c r="G9" s="4"/>
      <c r="H9" s="118" t="s">
        <v>26</v>
      </c>
      <c r="I9" s="118"/>
      <c r="J9" s="160">
        <f>'Call Center Data'!BE3</f>
        <v>123</v>
      </c>
      <c r="K9" s="160"/>
      <c r="L9" s="160">
        <f>'Call Center Data'!BE5</f>
        <v>273</v>
      </c>
      <c r="M9" s="160"/>
    </row>
    <row r="10" spans="1:20" x14ac:dyDescent="0.35">
      <c r="A10" s="162" t="s">
        <v>27</v>
      </c>
      <c r="B10" s="163"/>
      <c r="C10" s="163"/>
      <c r="D10" s="164"/>
      <c r="E10" s="72">
        <v>8.1018518518518516E-5</v>
      </c>
      <c r="F10" s="72">
        <v>8.1018518518518516E-5</v>
      </c>
      <c r="G10" s="4"/>
      <c r="H10" s="172" t="s">
        <v>28</v>
      </c>
      <c r="I10" s="173"/>
      <c r="J10" s="165">
        <f>'Call Center Data'!BF3</f>
        <v>124</v>
      </c>
      <c r="K10" s="166"/>
      <c r="L10" s="165">
        <f>'Call Center Data'!BF5</f>
        <v>276</v>
      </c>
      <c r="M10" s="166"/>
    </row>
    <row r="11" spans="1:20" x14ac:dyDescent="0.35">
      <c r="A11" s="162" t="s">
        <v>29</v>
      </c>
      <c r="B11" s="163"/>
      <c r="C11" s="163"/>
      <c r="D11" s="164"/>
      <c r="E11" s="72">
        <v>4.0856481481481481E-3</v>
      </c>
      <c r="F11" s="72">
        <v>4.7685185185185183E-3</v>
      </c>
      <c r="G11" s="4"/>
    </row>
    <row r="12" spans="1:20" x14ac:dyDescent="0.35">
      <c r="A12" s="162" t="s">
        <v>30</v>
      </c>
      <c r="B12" s="163"/>
      <c r="C12" s="163"/>
      <c r="D12" s="164"/>
      <c r="E12" s="15">
        <f>SUM('Call Center Data'!I:I)-E13</f>
        <v>124</v>
      </c>
      <c r="F12" s="15">
        <f>SUM('YTD Call Center Data'!I:I)-E13</f>
        <v>276</v>
      </c>
      <c r="H12" s="159" t="s">
        <v>31</v>
      </c>
      <c r="I12" s="159"/>
      <c r="J12" s="159"/>
      <c r="K12" s="159"/>
      <c r="L12" s="108" t="str">
        <f>E7</f>
        <v>Feb</v>
      </c>
      <c r="M12" s="109" t="s">
        <v>15</v>
      </c>
    </row>
    <row r="13" spans="1:20" x14ac:dyDescent="0.35">
      <c r="A13" s="167" t="s">
        <v>32</v>
      </c>
      <c r="B13" s="167"/>
      <c r="C13" s="167"/>
      <c r="D13" s="167"/>
      <c r="E13" s="15">
        <v>0</v>
      </c>
      <c r="F13" s="15">
        <f>SUMIF('YTD Call Center Data'!H:H,"YTD Reliance Rwd SPA",'Call Center Data'!I:I)</f>
        <v>0</v>
      </c>
      <c r="H13" s="161" t="s">
        <v>33</v>
      </c>
      <c r="I13" s="161"/>
      <c r="J13" s="161"/>
      <c r="K13" s="161"/>
      <c r="L13" s="17">
        <f>J8/J10</f>
        <v>0.99193548387096775</v>
      </c>
      <c r="M13" s="17">
        <f>L8/L10</f>
        <v>0.98913043478260865</v>
      </c>
    </row>
    <row r="14" spans="1:20" x14ac:dyDescent="0.35">
      <c r="F14" s="83"/>
      <c r="H14" s="161" t="s">
        <v>34</v>
      </c>
      <c r="I14" s="161"/>
      <c r="J14" s="161"/>
      <c r="K14" s="161"/>
      <c r="L14" s="17">
        <f>J9/J10</f>
        <v>0.99193548387096775</v>
      </c>
      <c r="M14" s="17">
        <f>L9/L10</f>
        <v>0.98913043478260865</v>
      </c>
    </row>
    <row r="15" spans="1:20" x14ac:dyDescent="0.35">
      <c r="C15" s="29"/>
    </row>
    <row r="16" spans="1:20" hidden="1" x14ac:dyDescent="0.35"/>
    <row r="17" spans="1:19" hidden="1" x14ac:dyDescent="0.35"/>
    <row r="18" spans="1:19" hidden="1" x14ac:dyDescent="0.35"/>
    <row r="19" spans="1:19" ht="15.65" customHeight="1" x14ac:dyDescent="0.35">
      <c r="A19" s="168" t="s">
        <v>35</v>
      </c>
      <c r="B19" s="168"/>
      <c r="C19" s="168"/>
      <c r="D19" s="168"/>
      <c r="E19" s="168"/>
      <c r="F19" s="168"/>
      <c r="G19" s="168"/>
      <c r="H19" s="168"/>
      <c r="I19" s="168"/>
      <c r="J19" s="168"/>
      <c r="K19" s="168"/>
      <c r="L19" s="168"/>
      <c r="M19" s="168"/>
      <c r="N19" s="168"/>
      <c r="O19" s="168"/>
      <c r="P19" s="168"/>
      <c r="Q19" s="168"/>
      <c r="R19" s="2"/>
      <c r="S19" s="2"/>
    </row>
    <row r="20" spans="1:19" s="5" customFormat="1" ht="9" customHeight="1" x14ac:dyDescent="0.35">
      <c r="A20" s="6"/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</row>
    <row r="21" spans="1:19" x14ac:dyDescent="0.35">
      <c r="A21" s="153" t="s">
        <v>36</v>
      </c>
      <c r="B21" s="154"/>
      <c r="C21" s="154"/>
      <c r="D21" s="155"/>
      <c r="E21" s="111" t="str">
        <f>E7</f>
        <v>Feb</v>
      </c>
      <c r="J21" s="159" t="s">
        <v>36</v>
      </c>
      <c r="K21" s="159"/>
      <c r="L21" s="159"/>
      <c r="M21" s="159"/>
      <c r="N21" s="109" t="str">
        <f>L7</f>
        <v>YTD</v>
      </c>
    </row>
    <row r="22" spans="1:19" ht="14.5" customHeight="1" x14ac:dyDescent="0.35">
      <c r="A22" s="124" t="str">
        <f>'Call Subject'!AI6</f>
        <v>Member Benefit Inquiry</v>
      </c>
      <c r="B22" s="125"/>
      <c r="C22" s="125"/>
      <c r="D22" s="126"/>
      <c r="E22" s="18">
        <f>'Call Subject'!AJ6</f>
        <v>19</v>
      </c>
      <c r="F22" s="18"/>
      <c r="G22" s="18"/>
      <c r="H22" s="18"/>
      <c r="J22" s="156" t="str">
        <f>'Call Subject'!BW6</f>
        <v>Member Benefit Inquiry</v>
      </c>
      <c r="K22" s="157"/>
      <c r="L22" s="157"/>
      <c r="M22" s="158"/>
      <c r="N22" s="18">
        <f>'Call Subject'!BX6</f>
        <v>41</v>
      </c>
      <c r="O22" s="18"/>
      <c r="P22" s="18"/>
      <c r="Q22" s="18"/>
    </row>
    <row r="23" spans="1:19" ht="14.5" customHeight="1" x14ac:dyDescent="0.35">
      <c r="A23" s="124" t="str">
        <f>'Call Subject'!AI7</f>
        <v>Enrollment Inquiry</v>
      </c>
      <c r="B23" s="125"/>
      <c r="C23" s="125"/>
      <c r="D23" s="126"/>
      <c r="E23" s="18">
        <f>'Call Subject'!AJ7</f>
        <v>14</v>
      </c>
      <c r="F23" s="18"/>
      <c r="G23" s="18"/>
      <c r="H23" s="18"/>
      <c r="J23" s="156" t="str">
        <f>'Call Subject'!BW7</f>
        <v>Enrollment Inquiry</v>
      </c>
      <c r="K23" s="157"/>
      <c r="L23" s="157"/>
      <c r="M23" s="158"/>
      <c r="N23" s="18">
        <f>'Call Subject'!BX7</f>
        <v>41</v>
      </c>
      <c r="O23" s="18"/>
      <c r="P23" s="18"/>
      <c r="Q23" s="18"/>
    </row>
    <row r="24" spans="1:19" ht="14.5" customHeight="1" x14ac:dyDescent="0.35">
      <c r="A24" s="124" t="str">
        <f>'Call Subject'!AI8</f>
        <v>Misdirected Call</v>
      </c>
      <c r="B24" s="125"/>
      <c r="C24" s="125"/>
      <c r="D24" s="126"/>
      <c r="E24" s="18">
        <f>'Call Subject'!AJ8</f>
        <v>9</v>
      </c>
      <c r="F24" s="18"/>
      <c r="G24" s="18"/>
      <c r="H24" s="18"/>
      <c r="J24" s="156" t="str">
        <f>'Call Subject'!BW8</f>
        <v>Referred to UI</v>
      </c>
      <c r="K24" s="157"/>
      <c r="L24" s="157"/>
      <c r="M24" s="158"/>
      <c r="N24" s="18">
        <f>'Call Subject'!BX8</f>
        <v>18</v>
      </c>
      <c r="O24" s="18"/>
      <c r="P24" s="18"/>
      <c r="Q24" s="18"/>
    </row>
    <row r="25" spans="1:19" ht="14.5" customHeight="1" x14ac:dyDescent="0.35">
      <c r="A25" s="124" t="str">
        <f>'Call Subject'!AI9</f>
        <v>Referred to UI</v>
      </c>
      <c r="B25" s="125"/>
      <c r="C25" s="125"/>
      <c r="D25" s="126"/>
      <c r="E25" s="18">
        <f>'Call Subject'!AJ9</f>
        <v>9</v>
      </c>
      <c r="F25" s="18"/>
      <c r="G25" s="18"/>
      <c r="H25" s="18"/>
      <c r="J25" s="156" t="str">
        <f>'Call Subject'!BW9</f>
        <v>Dependent Inquiry</v>
      </c>
      <c r="K25" s="157"/>
      <c r="L25" s="157"/>
      <c r="M25" s="158"/>
      <c r="N25" s="18">
        <f>'Call Subject'!BX9</f>
        <v>18</v>
      </c>
      <c r="O25" s="18"/>
      <c r="P25" s="18"/>
      <c r="Q25" s="18"/>
    </row>
    <row r="26" spans="1:19" ht="14.5" customHeight="1" x14ac:dyDescent="0.35">
      <c r="A26" s="124" t="str">
        <f>'Call Subject'!AI10</f>
        <v>1095 Inquiry</v>
      </c>
      <c r="B26" s="125"/>
      <c r="C26" s="125"/>
      <c r="D26" s="126"/>
      <c r="E26" s="18">
        <f>'Call Subject'!AJ10</f>
        <v>8</v>
      </c>
      <c r="F26" s="18"/>
      <c r="G26" s="18"/>
      <c r="H26" s="18"/>
      <c r="J26" s="156" t="str">
        <f>'Call Subject'!BW10</f>
        <v>1095 Inquiry</v>
      </c>
      <c r="K26" s="157"/>
      <c r="L26" s="157"/>
      <c r="M26" s="158"/>
      <c r="N26" s="18">
        <f>'Call Subject'!BX10</f>
        <v>14</v>
      </c>
      <c r="O26" s="18"/>
      <c r="P26" s="18"/>
      <c r="Q26" s="18"/>
    </row>
    <row r="27" spans="1:19" ht="14.5" customHeight="1" x14ac:dyDescent="0.35">
      <c r="A27" s="124" t="str">
        <f>'Call Subject'!AI11</f>
        <v>Dependent Inquiry</v>
      </c>
      <c r="B27" s="125"/>
      <c r="C27" s="125"/>
      <c r="D27" s="126"/>
      <c r="E27" s="18">
        <f>'Call Subject'!AJ11</f>
        <v>8</v>
      </c>
      <c r="F27" s="18"/>
      <c r="G27" s="18"/>
      <c r="H27" s="18"/>
      <c r="J27" s="156" t="str">
        <f>'Call Subject'!BW11</f>
        <v>Misdirected Call</v>
      </c>
      <c r="K27" s="157"/>
      <c r="L27" s="157"/>
      <c r="M27" s="158"/>
      <c r="N27" s="18">
        <f>'Call Subject'!BX11</f>
        <v>13</v>
      </c>
      <c r="O27" s="18"/>
      <c r="P27" s="18"/>
      <c r="Q27" s="18"/>
    </row>
    <row r="28" spans="1:19" ht="14.5" customHeight="1" x14ac:dyDescent="0.35">
      <c r="A28" s="124" t="str">
        <f>'Call Subject'!AI12</f>
        <v>Direct Bill/PPAM  2nd Log</v>
      </c>
      <c r="B28" s="125"/>
      <c r="C28" s="125"/>
      <c r="D28" s="126"/>
      <c r="E28" s="18">
        <f>'Call Subject'!AJ12</f>
        <v>5</v>
      </c>
      <c r="F28" s="18"/>
      <c r="G28" s="18"/>
      <c r="H28" s="18"/>
      <c r="J28" s="156" t="str">
        <f>'Call Subject'!BW12</f>
        <v>Annual Enrollment</v>
      </c>
      <c r="K28" s="157"/>
      <c r="L28" s="157"/>
      <c r="M28" s="158"/>
      <c r="N28" s="18">
        <f>'Call Subject'!BX12</f>
        <v>13</v>
      </c>
      <c r="O28" s="18"/>
      <c r="P28" s="18"/>
      <c r="Q28" s="18"/>
    </row>
    <row r="29" spans="1:19" ht="14.5" customHeight="1" x14ac:dyDescent="0.35">
      <c r="A29" s="124" t="str">
        <f>'Call Subject'!AI13</f>
        <v>Retiree Billing Question</v>
      </c>
      <c r="B29" s="125"/>
      <c r="C29" s="125"/>
      <c r="D29" s="126"/>
      <c r="E29" s="18">
        <f>'Call Subject'!AJ13</f>
        <v>5</v>
      </c>
      <c r="F29" s="18"/>
      <c r="G29" s="18"/>
      <c r="H29" s="18"/>
      <c r="J29" s="156" t="str">
        <f>'Call Subject'!BW13</f>
        <v>Retiree Billing Question</v>
      </c>
      <c r="K29" s="157"/>
      <c r="L29" s="157"/>
      <c r="M29" s="158"/>
      <c r="N29" s="18">
        <f>'Call Subject'!BX13</f>
        <v>11</v>
      </c>
      <c r="O29" s="18"/>
      <c r="P29" s="18"/>
      <c r="Q29" s="18"/>
    </row>
    <row r="30" spans="1:19" ht="14.5" customHeight="1" x14ac:dyDescent="0.35">
      <c r="A30" s="124" t="str">
        <f>'Call Subject'!AI14</f>
        <v>Payroll Inquiry</v>
      </c>
      <c r="B30" s="125"/>
      <c r="C30" s="125"/>
      <c r="D30" s="126"/>
      <c r="E30" s="18">
        <f>'Call Subject'!AJ14</f>
        <v>5</v>
      </c>
      <c r="F30" s="18"/>
      <c r="G30" s="18"/>
      <c r="H30" s="18"/>
      <c r="J30" s="156" t="str">
        <f>'Call Subject'!BW14</f>
        <v>Payroll Inquiry</v>
      </c>
      <c r="K30" s="157"/>
      <c r="L30" s="157"/>
      <c r="M30" s="158"/>
      <c r="N30" s="18">
        <f>'Call Subject'!BX14</f>
        <v>7</v>
      </c>
      <c r="O30" s="18"/>
      <c r="P30" s="18"/>
      <c r="Q30" s="18"/>
    </row>
    <row r="31" spans="1:19" ht="14.5" customHeight="1" x14ac:dyDescent="0.35">
      <c r="A31" s="124" t="str">
        <f>'Call Subject'!AI15</f>
        <v>Life Insurance Inquiry</v>
      </c>
      <c r="B31" s="125"/>
      <c r="C31" s="125"/>
      <c r="D31" s="126"/>
      <c r="E31" s="18">
        <f>'Call Subject'!AJ15</f>
        <v>5</v>
      </c>
      <c r="F31" s="18"/>
      <c r="G31" s="18"/>
      <c r="H31" s="18"/>
      <c r="J31" s="156" t="str">
        <f>'Call Subject'!BW15</f>
        <v>Address Update</v>
      </c>
      <c r="K31" s="157"/>
      <c r="L31" s="157"/>
      <c r="M31" s="158"/>
      <c r="N31" s="18">
        <f>'Call Subject'!BX15</f>
        <v>7</v>
      </c>
      <c r="O31" s="18"/>
      <c r="P31" s="18"/>
      <c r="Q31" s="18"/>
    </row>
    <row r="32" spans="1:19" ht="14.5" customHeight="1" x14ac:dyDescent="0.35">
      <c r="A32" s="186" t="s">
        <v>28</v>
      </c>
      <c r="B32" s="187"/>
      <c r="C32" s="187"/>
      <c r="D32" s="188"/>
      <c r="E32" s="106">
        <f>SUM(E22:E31)</f>
        <v>87</v>
      </c>
      <c r="J32" s="152" t="s">
        <v>28</v>
      </c>
      <c r="K32" s="152"/>
      <c r="L32" s="152"/>
      <c r="M32" s="152"/>
      <c r="N32" s="106">
        <f>SUM(N22:N31)</f>
        <v>183</v>
      </c>
    </row>
    <row r="33" spans="4:8" ht="14.5" customHeight="1" x14ac:dyDescent="0.35">
      <c r="D33" s="14"/>
    </row>
    <row r="34" spans="4:8" ht="14.5" customHeight="1" x14ac:dyDescent="0.35"/>
    <row r="35" spans="4:8" ht="14.5" customHeight="1" x14ac:dyDescent="0.35">
      <c r="H35" s="29"/>
    </row>
  </sheetData>
  <mergeCells count="51">
    <mergeCell ref="A21:D21"/>
    <mergeCell ref="A32:D32"/>
    <mergeCell ref="A26:D26"/>
    <mergeCell ref="A25:D25"/>
    <mergeCell ref="A24:D24"/>
    <mergeCell ref="A23:D23"/>
    <mergeCell ref="A22:D22"/>
    <mergeCell ref="A31:D31"/>
    <mergeCell ref="A30:D30"/>
    <mergeCell ref="A29:D29"/>
    <mergeCell ref="A28:D28"/>
    <mergeCell ref="A27:D27"/>
    <mergeCell ref="L2:Q2"/>
    <mergeCell ref="L3:Q3"/>
    <mergeCell ref="H5:Q5"/>
    <mergeCell ref="A19:Q19"/>
    <mergeCell ref="A7:D7"/>
    <mergeCell ref="A8:D8"/>
    <mergeCell ref="H8:I8"/>
    <mergeCell ref="H9:I9"/>
    <mergeCell ref="L9:M9"/>
    <mergeCell ref="H7:I7"/>
    <mergeCell ref="J7:K7"/>
    <mergeCell ref="L7:M7"/>
    <mergeCell ref="L10:M10"/>
    <mergeCell ref="H10:I10"/>
    <mergeCell ref="A5:F5"/>
    <mergeCell ref="L8:M8"/>
    <mergeCell ref="J28:M28"/>
    <mergeCell ref="J29:M29"/>
    <mergeCell ref="H14:K14"/>
    <mergeCell ref="J23:M23"/>
    <mergeCell ref="J24:M24"/>
    <mergeCell ref="J25:M25"/>
    <mergeCell ref="J26:M26"/>
    <mergeCell ref="J22:M22"/>
    <mergeCell ref="J27:M27"/>
    <mergeCell ref="J8:K8"/>
    <mergeCell ref="J9:K9"/>
    <mergeCell ref="H12:K12"/>
    <mergeCell ref="H13:K13"/>
    <mergeCell ref="A9:D9"/>
    <mergeCell ref="A10:D10"/>
    <mergeCell ref="A11:D11"/>
    <mergeCell ref="J10:K10"/>
    <mergeCell ref="A12:D12"/>
    <mergeCell ref="A13:D13"/>
    <mergeCell ref="J32:M32"/>
    <mergeCell ref="J30:M30"/>
    <mergeCell ref="J21:M21"/>
    <mergeCell ref="J31:M31"/>
  </mergeCells>
  <pageMargins left="0.7" right="0.7" top="0.75" bottom="0.75" header="0.3" footer="0.3"/>
  <pageSetup scale="68" fitToHeight="0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>
    <pageSetUpPr fitToPage="1"/>
  </sheetPr>
  <dimension ref="A1:U19"/>
  <sheetViews>
    <sheetView zoomScaleNormal="100" workbookViewId="0">
      <selection activeCell="D8" sqref="D8"/>
    </sheetView>
  </sheetViews>
  <sheetFormatPr defaultRowHeight="14.5" x14ac:dyDescent="0.35"/>
  <cols>
    <col min="2" max="2" width="20.81640625" customWidth="1"/>
    <col min="3" max="3" width="6.81640625" customWidth="1"/>
    <col min="5" max="5" width="17.81640625" customWidth="1"/>
    <col min="6" max="6" width="8.453125" customWidth="1"/>
    <col min="7" max="7" width="9.1796875" customWidth="1"/>
    <col min="10" max="11" width="2.54296875" customWidth="1"/>
    <col min="13" max="13" width="7.1796875" customWidth="1"/>
    <col min="16" max="16" width="7.81640625" customWidth="1"/>
    <col min="17" max="17" width="7.453125" customWidth="1"/>
    <col min="19" max="19" width="10.54296875" bestFit="1" customWidth="1"/>
  </cols>
  <sheetData>
    <row r="1" spans="1:21" x14ac:dyDescent="0.35">
      <c r="E1" s="29"/>
    </row>
    <row r="2" spans="1:21" ht="17.149999999999999" customHeight="1" x14ac:dyDescent="0.4">
      <c r="L2" s="128" t="s">
        <v>37</v>
      </c>
      <c r="M2" s="128"/>
      <c r="N2" s="128"/>
      <c r="O2" s="128"/>
      <c r="P2" s="128"/>
      <c r="Q2" s="128"/>
    </row>
    <row r="3" spans="1:21" ht="20.5" customHeight="1" thickBot="1" x14ac:dyDescent="0.4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129" t="str">
        <f>'Target Summary Dashboard'!L3</f>
        <v>Feb 01, 2024 to Feb 29, 2024</v>
      </c>
      <c r="M3" s="129"/>
      <c r="N3" s="129"/>
      <c r="O3" s="129"/>
      <c r="P3" s="129"/>
      <c r="Q3" s="129"/>
    </row>
    <row r="4" spans="1:21" s="5" customFormat="1" ht="15" thickTop="1" x14ac:dyDescent="0.35"/>
    <row r="5" spans="1:21" ht="14.5" customHeight="1" x14ac:dyDescent="0.35">
      <c r="A5" s="178" t="s">
        <v>38</v>
      </c>
      <c r="B5" s="179"/>
      <c r="C5" s="179"/>
      <c r="D5" s="179"/>
      <c r="E5" s="179"/>
      <c r="F5" s="179"/>
      <c r="G5" s="179"/>
      <c r="H5" s="179"/>
      <c r="I5" s="179"/>
      <c r="J5" s="179"/>
      <c r="K5" s="2"/>
      <c r="L5" s="177" t="s">
        <v>17</v>
      </c>
      <c r="M5" s="177"/>
      <c r="N5" s="177"/>
      <c r="O5" s="177"/>
      <c r="P5" s="177"/>
      <c r="Q5" s="177"/>
    </row>
    <row r="6" spans="1:21" s="180" customFormat="1" ht="9" customHeight="1" x14ac:dyDescent="0.35"/>
    <row r="7" spans="1:21" x14ac:dyDescent="0.35">
      <c r="A7" s="159" t="s">
        <v>39</v>
      </c>
      <c r="B7" s="159"/>
      <c r="C7" s="159"/>
      <c r="D7" s="108" t="str">
        <f>'Call Center Summary'!E7</f>
        <v>Feb</v>
      </c>
      <c r="E7" s="171" t="s">
        <v>15</v>
      </c>
      <c r="F7" s="171"/>
      <c r="L7" s="181" t="s">
        <v>40</v>
      </c>
      <c r="M7" s="182"/>
      <c r="N7" s="182"/>
      <c r="O7" s="183"/>
    </row>
    <row r="8" spans="1:21" x14ac:dyDescent="0.35">
      <c r="A8" s="167" t="s">
        <v>41</v>
      </c>
      <c r="B8" s="167"/>
      <c r="C8" s="167"/>
      <c r="D8" s="15">
        <f>COUNT('Cases data'!Q:Q)</f>
        <v>326</v>
      </c>
      <c r="E8" s="160">
        <f>COUNT('Cases data'!BF:BF)</f>
        <v>924</v>
      </c>
      <c r="F8" s="160"/>
      <c r="L8" s="159" t="s">
        <v>42</v>
      </c>
      <c r="M8" s="159"/>
      <c r="N8" s="108" t="str">
        <f>D7</f>
        <v>Feb</v>
      </c>
      <c r="O8" s="109" t="s">
        <v>15</v>
      </c>
    </row>
    <row r="9" spans="1:21" x14ac:dyDescent="0.35">
      <c r="A9" s="167" t="s">
        <v>43</v>
      </c>
      <c r="B9" s="167"/>
      <c r="C9" s="167"/>
      <c r="D9" s="15">
        <f>SUM((COUNTIF('Cases data'!Q:Q,0)),(COUNTIF('Cases data'!Q:Q,1)))</f>
        <v>302</v>
      </c>
      <c r="E9" s="160">
        <f>SUM((COUNTIF('Cases data'!BF:BF,0)),(COUNTIF('Cases data'!BF:BF,1)))</f>
        <v>792</v>
      </c>
      <c r="F9" s="160"/>
      <c r="L9" s="118" t="s">
        <v>44</v>
      </c>
      <c r="M9" s="118"/>
      <c r="N9" s="27" t="str">
        <f>INDEX(DataTransmission!$B$2:$O$5,MATCH('Volume Summary '!L9,DataTransmission!$A$2:$A$7,0),MATCH('Volume Summary '!$N$8,DataTransmission!$B$1:$O$1,0))</f>
        <v>NA</v>
      </c>
      <c r="O9" s="27" t="str">
        <f>DataTransmission!N2</f>
        <v>NA</v>
      </c>
      <c r="U9" s="26"/>
    </row>
    <row r="10" spans="1:21" x14ac:dyDescent="0.35">
      <c r="A10" s="167" t="s">
        <v>45</v>
      </c>
      <c r="B10" s="167"/>
      <c r="C10" s="167"/>
      <c r="D10" s="15">
        <f>COUNTIF('Cases data'!Q:Q,2)</f>
        <v>7</v>
      </c>
      <c r="E10" s="160">
        <f>COUNTIF('Cases data'!BF:BF,2)</f>
        <v>61</v>
      </c>
      <c r="F10" s="160"/>
      <c r="L10" s="118" t="s">
        <v>46</v>
      </c>
      <c r="M10" s="118"/>
      <c r="N10" s="27">
        <f>INDEX(DataTransmission!$B$2:$O$5,MATCH('Volume Summary '!L10,DataTransmission!$A$2:$A$7,0),MATCH('Volume Summary '!$N$8,DataTransmission!$B$1:$O$1,0))</f>
        <v>2</v>
      </c>
      <c r="O10" s="27">
        <f>DataTransmission!N3</f>
        <v>4</v>
      </c>
    </row>
    <row r="11" spans="1:21" x14ac:dyDescent="0.35">
      <c r="A11" s="167" t="s">
        <v>47</v>
      </c>
      <c r="B11" s="167"/>
      <c r="C11" s="167"/>
      <c r="D11" s="15">
        <f>D8-D9-D10</f>
        <v>17</v>
      </c>
      <c r="E11" s="160">
        <f t="shared" ref="E11:F11" si="0">E8-E9-E10</f>
        <v>71</v>
      </c>
      <c r="F11" s="160">
        <f t="shared" si="0"/>
        <v>0</v>
      </c>
      <c r="L11" s="118" t="s">
        <v>48</v>
      </c>
      <c r="M11" s="118"/>
      <c r="N11" s="27">
        <f>INDEX(DataTransmission!$B$2:$O$5,MATCH('Volume Summary '!L11,DataTransmission!$A$2:$A$7,0),MATCH('Volume Summary '!$N$8,DataTransmission!$B$1:$O$1,0))</f>
        <v>2</v>
      </c>
      <c r="O11" s="27">
        <f>DataTransmission!N4</f>
        <v>4</v>
      </c>
      <c r="U11" s="29"/>
    </row>
    <row r="12" spans="1:21" x14ac:dyDescent="0.35">
      <c r="A12" s="11"/>
      <c r="B12" s="5"/>
      <c r="C12" s="5"/>
      <c r="D12" s="5"/>
      <c r="E12" s="5"/>
      <c r="F12" s="12"/>
      <c r="L12" s="176" t="s">
        <v>49</v>
      </c>
      <c r="M12" s="176"/>
      <c r="N12" s="27">
        <f>INDEX(DataTransmission!$B$2:$O$5,MATCH('Volume Summary '!L12,DataTransmission!$A$2:$A$7,0),MATCH('Volume Summary '!$N$8,DataTransmission!$B$1:$O$1,0))</f>
        <v>48</v>
      </c>
      <c r="O12" s="27">
        <f>DataTransmission!N5</f>
        <v>108</v>
      </c>
      <c r="U12" s="26"/>
    </row>
    <row r="13" spans="1:21" x14ac:dyDescent="0.35">
      <c r="A13" s="159" t="s">
        <v>50</v>
      </c>
      <c r="B13" s="159"/>
      <c r="C13" s="108" t="str">
        <f>D7</f>
        <v>Feb</v>
      </c>
      <c r="D13" s="121" t="s">
        <v>50</v>
      </c>
      <c r="E13" s="121"/>
      <c r="F13" s="109" t="s">
        <v>15</v>
      </c>
      <c r="L13" s="175" t="s">
        <v>28</v>
      </c>
      <c r="M13" s="175"/>
      <c r="N13" s="107">
        <f>SUM(N9:N12)</f>
        <v>52</v>
      </c>
      <c r="O13" s="107">
        <f>SUM(O9:O12)</f>
        <v>116</v>
      </c>
    </row>
    <row r="14" spans="1:21" x14ac:dyDescent="0.35">
      <c r="A14" s="118" t="str">
        <f>'Cases data'!AI6</f>
        <v>DDS Emailed Document</v>
      </c>
      <c r="B14" s="118"/>
      <c r="C14" s="15">
        <f>'Cases data'!AJ6</f>
        <v>43</v>
      </c>
      <c r="D14" s="161" t="str">
        <f>'Cases data'!BW6</f>
        <v>Document Uploaded</v>
      </c>
      <c r="E14" s="161"/>
      <c r="F14" s="27">
        <f>'Cases data'!BX6</f>
        <v>150</v>
      </c>
      <c r="L14" s="159" t="s">
        <v>51</v>
      </c>
      <c r="M14" s="159"/>
      <c r="N14" s="159"/>
      <c r="O14" s="159"/>
      <c r="P14" s="108" t="str">
        <f>N8</f>
        <v>Feb</v>
      </c>
      <c r="Q14" s="109" t="s">
        <v>15</v>
      </c>
    </row>
    <row r="15" spans="1:21" ht="14.5" customHeight="1" x14ac:dyDescent="0.35">
      <c r="A15" s="118" t="str">
        <f>'Cases data'!AI7</f>
        <v>Document uploaded</v>
      </c>
      <c r="B15" s="118"/>
      <c r="C15" s="15">
        <f>'Cases data'!AJ7</f>
        <v>36</v>
      </c>
      <c r="D15" s="161" t="str">
        <f>'Cases data'!BW7</f>
        <v>DDS Emailed Document</v>
      </c>
      <c r="E15" s="161"/>
      <c r="F15" s="27">
        <f>'Cases data'!BX7</f>
        <v>147</v>
      </c>
      <c r="L15" s="118" t="s">
        <v>52</v>
      </c>
      <c r="M15" s="118"/>
      <c r="N15" s="118"/>
      <c r="O15" s="118"/>
      <c r="P15" s="27">
        <f>INDEX(DataTransmission!$B$6:$M$7,MATCH('Volume Summary '!$L$15,DataTransmission!$A$6:$A$7,0),MATCH($P$14,DataTransmission!$B$1:$M$1,0))</f>
        <v>485</v>
      </c>
      <c r="Q15" s="27">
        <f>DataTransmission!N6</f>
        <v>1150</v>
      </c>
    </row>
    <row r="16" spans="1:21" x14ac:dyDescent="0.35">
      <c r="A16" s="118" t="str">
        <f>'Cases data'!AI8</f>
        <v>Participant Email Inquiry</v>
      </c>
      <c r="B16" s="118"/>
      <c r="C16" s="15">
        <f>'Cases data'!AJ8</f>
        <v>32</v>
      </c>
      <c r="D16" s="161" t="str">
        <f>'Cases data'!BW8</f>
        <v>DDS Printed and Mailed Document</v>
      </c>
      <c r="E16" s="161"/>
      <c r="F16" s="27">
        <f>'Cases data'!BX8</f>
        <v>108</v>
      </c>
      <c r="L16" s="118" t="s">
        <v>53</v>
      </c>
      <c r="M16" s="118"/>
      <c r="N16" s="118"/>
      <c r="O16" s="118"/>
      <c r="P16" s="55">
        <f>INDEX(DataTransmission!$B$6:$M$7,MATCH('Volume Summary '!$L$16,DataTransmission!$A$6:$A$7,0),MATCH($P$14,DataTransmission!$B$1:$M$1,0))</f>
        <v>16.724137931034484</v>
      </c>
      <c r="Q16" s="55">
        <f>DataTransmission!N7</f>
        <v>19.166666666666668</v>
      </c>
    </row>
    <row r="18" spans="2:14" x14ac:dyDescent="0.35">
      <c r="B18" s="29"/>
      <c r="C18" s="29"/>
      <c r="N18" s="29"/>
    </row>
    <row r="19" spans="2:14" x14ac:dyDescent="0.35">
      <c r="B19" s="29"/>
    </row>
  </sheetData>
  <sortState xmlns:xlrd2="http://schemas.microsoft.com/office/spreadsheetml/2017/richdata2" ref="A21:G32">
    <sortCondition descending="1" ref="F21:F32"/>
  </sortState>
  <mergeCells count="33">
    <mergeCell ref="L2:Q2"/>
    <mergeCell ref="L3:Q3"/>
    <mergeCell ref="A7:C7"/>
    <mergeCell ref="E7:F7"/>
    <mergeCell ref="A8:C8"/>
    <mergeCell ref="E8:F8"/>
    <mergeCell ref="L5:Q5"/>
    <mergeCell ref="A5:J5"/>
    <mergeCell ref="A6:XFD6"/>
    <mergeCell ref="L7:O7"/>
    <mergeCell ref="L8:M8"/>
    <mergeCell ref="A13:B13"/>
    <mergeCell ref="D13:E13"/>
    <mergeCell ref="A14:B14"/>
    <mergeCell ref="D14:E14"/>
    <mergeCell ref="A9:C9"/>
    <mergeCell ref="E9:F9"/>
    <mergeCell ref="A10:C10"/>
    <mergeCell ref="E10:F10"/>
    <mergeCell ref="A11:C11"/>
    <mergeCell ref="E11:F11"/>
    <mergeCell ref="L9:M9"/>
    <mergeCell ref="L10:M10"/>
    <mergeCell ref="L13:M13"/>
    <mergeCell ref="L14:O14"/>
    <mergeCell ref="L15:O15"/>
    <mergeCell ref="L11:M11"/>
    <mergeCell ref="L12:M12"/>
    <mergeCell ref="L16:O16"/>
    <mergeCell ref="A16:B16"/>
    <mergeCell ref="D16:E16"/>
    <mergeCell ref="A15:B15"/>
    <mergeCell ref="D15:E15"/>
  </mergeCells>
  <phoneticPr fontId="11" type="noConversion"/>
  <pageMargins left="0.7" right="0.7" top="0.75" bottom="0.75" header="0.3" footer="0.3"/>
  <pageSetup scale="64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8BC34E-AC26-4A2C-A83B-8B389A57766F}">
  <sheetPr codeName="Sheet8"/>
  <dimension ref="A1:Q29"/>
  <sheetViews>
    <sheetView zoomScale="65" workbookViewId="0">
      <selection activeCell="C5" sqref="C5"/>
    </sheetView>
  </sheetViews>
  <sheetFormatPr defaultRowHeight="14.5" x14ac:dyDescent="0.35"/>
  <cols>
    <col min="1" max="1" width="14.36328125" bestFit="1" customWidth="1"/>
    <col min="2" max="2" width="10.36328125" customWidth="1"/>
    <col min="3" max="3" width="9.08984375" customWidth="1"/>
    <col min="4" max="4" width="4.26953125" bestFit="1" customWidth="1"/>
    <col min="5" max="5" width="3.81640625" bestFit="1" customWidth="1"/>
    <col min="6" max="6" width="4.453125" bestFit="1" customWidth="1"/>
    <col min="7" max="7" width="3.6328125" bestFit="1" customWidth="1"/>
    <col min="8" max="8" width="3" bestFit="1" customWidth="1"/>
    <col min="9" max="9" width="4" bestFit="1" customWidth="1"/>
    <col min="10" max="10" width="3.81640625" bestFit="1" customWidth="1"/>
    <col min="11" max="11" width="3.6328125" bestFit="1" customWidth="1"/>
    <col min="12" max="12" width="4.08984375" bestFit="1" customWidth="1"/>
    <col min="13" max="13" width="3.90625" bestFit="1" customWidth="1"/>
    <col min="14" max="14" width="8.7265625" customWidth="1"/>
    <col min="15" max="15" width="7.81640625" bestFit="1" customWidth="1"/>
  </cols>
  <sheetData>
    <row r="1" spans="1:17" x14ac:dyDescent="0.35">
      <c r="B1" t="s">
        <v>54</v>
      </c>
      <c r="C1" t="s">
        <v>55</v>
      </c>
      <c r="D1" t="s">
        <v>56</v>
      </c>
      <c r="E1" t="s">
        <v>57</v>
      </c>
      <c r="F1" t="s">
        <v>58</v>
      </c>
      <c r="G1" t="s">
        <v>59</v>
      </c>
      <c r="H1" t="s">
        <v>60</v>
      </c>
      <c r="I1" t="s">
        <v>61</v>
      </c>
      <c r="J1" t="s">
        <v>62</v>
      </c>
      <c r="K1" t="s">
        <v>63</v>
      </c>
      <c r="L1" t="s">
        <v>64</v>
      </c>
      <c r="M1" t="s">
        <v>65</v>
      </c>
      <c r="N1" t="s">
        <v>15</v>
      </c>
      <c r="O1" t="s">
        <v>66</v>
      </c>
      <c r="P1" t="s">
        <v>67</v>
      </c>
      <c r="Q1" t="s">
        <v>68</v>
      </c>
    </row>
    <row r="2" spans="1:17" x14ac:dyDescent="0.35">
      <c r="A2" s="57" t="s">
        <v>44</v>
      </c>
      <c r="B2" s="57" t="s">
        <v>13</v>
      </c>
      <c r="C2" s="57" t="s">
        <v>13</v>
      </c>
      <c r="D2" s="57" t="s">
        <v>13</v>
      </c>
      <c r="E2" s="57" t="s">
        <v>13</v>
      </c>
      <c r="F2" s="57" t="s">
        <v>13</v>
      </c>
      <c r="G2" s="57" t="s">
        <v>13</v>
      </c>
      <c r="H2" s="57" t="s">
        <v>13</v>
      </c>
      <c r="I2" s="57" t="s">
        <v>13</v>
      </c>
      <c r="J2" s="57" t="s">
        <v>13</v>
      </c>
      <c r="K2" s="57" t="s">
        <v>13</v>
      </c>
      <c r="L2" s="57" t="s">
        <v>13</v>
      </c>
      <c r="M2" s="57" t="s">
        <v>13</v>
      </c>
      <c r="N2" s="56" t="s">
        <v>13</v>
      </c>
    </row>
    <row r="3" spans="1:17" x14ac:dyDescent="0.35">
      <c r="A3" s="57" t="s">
        <v>46</v>
      </c>
      <c r="B3" s="65">
        <v>2</v>
      </c>
      <c r="C3" s="65">
        <v>2</v>
      </c>
      <c r="D3" s="65"/>
      <c r="E3" s="65"/>
      <c r="F3" s="65"/>
      <c r="G3" s="65"/>
      <c r="H3" s="65"/>
      <c r="I3" s="65"/>
      <c r="J3" s="65"/>
      <c r="K3" s="65"/>
      <c r="L3" s="65"/>
      <c r="M3" s="65"/>
      <c r="N3" s="56">
        <f t="shared" ref="N3:N6" si="0">SUM(B3:M3)</f>
        <v>4</v>
      </c>
      <c r="P3" s="59" t="s">
        <v>69</v>
      </c>
      <c r="Q3" t="s">
        <v>70</v>
      </c>
    </row>
    <row r="4" spans="1:17" x14ac:dyDescent="0.35">
      <c r="A4" s="57" t="s">
        <v>48</v>
      </c>
      <c r="B4" s="65">
        <v>2</v>
      </c>
      <c r="C4" s="65">
        <v>2</v>
      </c>
      <c r="D4" s="65"/>
      <c r="E4" s="65"/>
      <c r="F4" s="65"/>
      <c r="G4" s="65"/>
      <c r="H4" s="65"/>
      <c r="I4" s="65"/>
      <c r="J4" s="65"/>
      <c r="K4" s="65"/>
      <c r="L4" s="65"/>
      <c r="M4" s="65"/>
      <c r="N4" s="56">
        <f t="shared" si="0"/>
        <v>4</v>
      </c>
      <c r="P4" s="59" t="s">
        <v>71</v>
      </c>
      <c r="Q4" t="s">
        <v>70</v>
      </c>
    </row>
    <row r="5" spans="1:17" x14ac:dyDescent="0.35">
      <c r="A5" s="57" t="s">
        <v>49</v>
      </c>
      <c r="B5" s="65">
        <v>60</v>
      </c>
      <c r="C5" s="65">
        <v>48</v>
      </c>
      <c r="D5" s="65"/>
      <c r="E5" s="65"/>
      <c r="F5" s="65"/>
      <c r="G5" s="65"/>
      <c r="H5" s="65"/>
      <c r="I5" s="65"/>
      <c r="J5" s="65"/>
      <c r="K5" s="65"/>
      <c r="L5" s="65"/>
      <c r="M5" s="65"/>
      <c r="N5" s="56">
        <f t="shared" si="0"/>
        <v>108</v>
      </c>
      <c r="P5" s="59" t="s">
        <v>233</v>
      </c>
      <c r="Q5" t="s">
        <v>72</v>
      </c>
    </row>
    <row r="6" spans="1:17" x14ac:dyDescent="0.35">
      <c r="A6" s="58" t="s">
        <v>52</v>
      </c>
      <c r="B6" s="66">
        <v>665</v>
      </c>
      <c r="C6" s="66">
        <v>485</v>
      </c>
      <c r="D6" s="66"/>
      <c r="E6" s="66"/>
      <c r="F6" s="66"/>
      <c r="G6" s="66"/>
      <c r="H6" s="66"/>
      <c r="I6" s="66"/>
      <c r="J6" s="66"/>
      <c r="K6" s="66"/>
      <c r="L6" s="66"/>
      <c r="M6" s="66"/>
      <c r="N6" s="56">
        <f t="shared" si="0"/>
        <v>1150</v>
      </c>
      <c r="P6" t="s">
        <v>73</v>
      </c>
      <c r="Q6" t="s">
        <v>74</v>
      </c>
    </row>
    <row r="7" spans="1:17" x14ac:dyDescent="0.35">
      <c r="A7" s="58" t="s">
        <v>53</v>
      </c>
      <c r="B7" s="81">
        <f t="shared" ref="B7:C7" si="1">B6/B8</f>
        <v>21.451612903225808</v>
      </c>
      <c r="C7" s="81">
        <f t="shared" si="1"/>
        <v>16.724137931034484</v>
      </c>
      <c r="D7" s="81"/>
      <c r="E7" s="81"/>
      <c r="F7" s="81"/>
      <c r="G7" s="81"/>
      <c r="H7" s="81"/>
      <c r="I7" s="81"/>
      <c r="J7" s="81"/>
      <c r="K7" s="81"/>
      <c r="L7" s="81"/>
      <c r="M7" s="81"/>
      <c r="N7" s="82">
        <f>N6/N8</f>
        <v>19.166666666666668</v>
      </c>
    </row>
    <row r="8" spans="1:17" x14ac:dyDescent="0.35">
      <c r="B8" s="57">
        <v>31</v>
      </c>
      <c r="C8" s="45">
        <v>29</v>
      </c>
      <c r="D8" s="45"/>
      <c r="E8" s="45"/>
      <c r="F8" s="45"/>
      <c r="G8" s="45"/>
      <c r="H8" s="45"/>
      <c r="I8" s="45"/>
      <c r="J8" s="45"/>
      <c r="K8" s="45"/>
      <c r="L8" s="45"/>
      <c r="M8" s="45"/>
      <c r="N8" s="56">
        <f>SUM(B8:M8)</f>
        <v>60</v>
      </c>
    </row>
    <row r="10" spans="1:17" x14ac:dyDescent="0.35">
      <c r="A10" s="75" t="s">
        <v>14</v>
      </c>
      <c r="B10" s="70" t="s">
        <v>54</v>
      </c>
      <c r="C10" s="70" t="s">
        <v>55</v>
      </c>
      <c r="D10" s="70" t="s">
        <v>56</v>
      </c>
      <c r="E10" s="70" t="s">
        <v>57</v>
      </c>
      <c r="F10" s="70" t="s">
        <v>58</v>
      </c>
      <c r="G10" s="70" t="s">
        <v>59</v>
      </c>
      <c r="H10" s="70" t="s">
        <v>60</v>
      </c>
      <c r="I10" s="70" t="s">
        <v>61</v>
      </c>
      <c r="J10" s="70" t="s">
        <v>62</v>
      </c>
      <c r="K10" s="70" t="s">
        <v>63</v>
      </c>
      <c r="L10" s="70" t="s">
        <v>64</v>
      </c>
      <c r="M10" s="70" t="s">
        <v>65</v>
      </c>
      <c r="N10" s="70" t="s">
        <v>203</v>
      </c>
      <c r="O10" s="70" t="s">
        <v>15</v>
      </c>
    </row>
    <row r="11" spans="1:17" x14ac:dyDescent="0.35">
      <c r="A11" s="88" t="s">
        <v>200</v>
      </c>
      <c r="B11" s="89">
        <v>15025</v>
      </c>
      <c r="C11" s="70">
        <v>14008</v>
      </c>
      <c r="D11" s="70"/>
      <c r="E11" s="70"/>
      <c r="F11" s="70"/>
      <c r="G11" s="70"/>
      <c r="H11" s="70"/>
      <c r="I11" s="70"/>
      <c r="J11" s="70"/>
      <c r="K11" s="70"/>
      <c r="L11" s="70"/>
      <c r="M11" s="70"/>
      <c r="N11" s="70">
        <v>14008</v>
      </c>
      <c r="O11" s="70">
        <f>SUM(B11:M11)</f>
        <v>29033</v>
      </c>
    </row>
    <row r="12" spans="1:17" x14ac:dyDescent="0.35">
      <c r="A12" s="88" t="s">
        <v>201</v>
      </c>
      <c r="B12" s="89">
        <v>77</v>
      </c>
      <c r="C12" s="70">
        <v>904</v>
      </c>
      <c r="D12" s="70"/>
      <c r="E12" s="70"/>
      <c r="F12" s="70"/>
      <c r="G12" s="70"/>
      <c r="H12" s="70"/>
      <c r="I12" s="70"/>
      <c r="J12" s="70"/>
      <c r="K12" s="70"/>
      <c r="L12" s="70"/>
      <c r="M12" s="70"/>
      <c r="N12" s="70">
        <v>904</v>
      </c>
      <c r="O12" s="70">
        <f>SUM(B12:M12)</f>
        <v>981</v>
      </c>
    </row>
    <row r="13" spans="1:17" x14ac:dyDescent="0.35">
      <c r="A13" s="88" t="s">
        <v>202</v>
      </c>
      <c r="B13" s="90">
        <f t="shared" ref="B13:C13" si="2">(B11-B12)/B11</f>
        <v>0.99487520798668883</v>
      </c>
      <c r="C13" s="90">
        <f t="shared" si="2"/>
        <v>0.93546544831524847</v>
      </c>
      <c r="D13" s="90"/>
      <c r="E13" s="90"/>
      <c r="F13" s="90"/>
      <c r="G13" s="90"/>
      <c r="H13" s="90"/>
      <c r="I13" s="90"/>
      <c r="J13" s="90"/>
      <c r="K13" s="90"/>
      <c r="L13" s="90"/>
      <c r="M13" s="90"/>
      <c r="N13" s="90">
        <f t="shared" ref="N13" si="3">(N11-N12)/N11</f>
        <v>0.93546544831524847</v>
      </c>
      <c r="O13" s="91">
        <f>AVERAGE(B13:M13)</f>
        <v>0.9651703281509687</v>
      </c>
    </row>
    <row r="15" spans="1:17" x14ac:dyDescent="0.35">
      <c r="A15" s="98" t="s">
        <v>221</v>
      </c>
      <c r="B15" s="75" t="s">
        <v>54</v>
      </c>
      <c r="C15" s="75" t="s">
        <v>55</v>
      </c>
      <c r="D15" s="75" t="s">
        <v>56</v>
      </c>
      <c r="E15" s="75" t="s">
        <v>57</v>
      </c>
      <c r="F15" s="75" t="s">
        <v>58</v>
      </c>
      <c r="G15" s="75" t="s">
        <v>59</v>
      </c>
      <c r="H15" s="75" t="s">
        <v>60</v>
      </c>
      <c r="I15" s="75" t="s">
        <v>61</v>
      </c>
      <c r="J15" s="75" t="s">
        <v>62</v>
      </c>
      <c r="K15" s="75" t="s">
        <v>63</v>
      </c>
      <c r="L15" s="75" t="s">
        <v>64</v>
      </c>
      <c r="M15" s="75" t="s">
        <v>65</v>
      </c>
      <c r="N15" s="75" t="s">
        <v>203</v>
      </c>
      <c r="O15" s="75" t="s">
        <v>15</v>
      </c>
      <c r="Q15" s="59" t="s">
        <v>243</v>
      </c>
    </row>
    <row r="16" spans="1:17" ht="28" customHeight="1" x14ac:dyDescent="0.35">
      <c r="A16" s="100" t="s">
        <v>220</v>
      </c>
      <c r="B16" s="70">
        <v>113</v>
      </c>
      <c r="C16" s="70">
        <v>37</v>
      </c>
      <c r="D16" s="70"/>
      <c r="E16" s="70"/>
      <c r="F16" s="70"/>
      <c r="G16" s="70"/>
      <c r="H16" s="70"/>
      <c r="I16" s="70"/>
      <c r="J16" s="70"/>
      <c r="K16" s="70"/>
      <c r="L16" s="70"/>
      <c r="M16" s="70"/>
      <c r="N16" s="70">
        <v>37</v>
      </c>
      <c r="O16" s="70">
        <f>SUM(B16:M16)</f>
        <v>150</v>
      </c>
    </row>
    <row r="17" spans="1:17" x14ac:dyDescent="0.35">
      <c r="A17" s="75" t="s">
        <v>9</v>
      </c>
      <c r="B17" s="70">
        <v>112</v>
      </c>
      <c r="C17" s="70">
        <v>34</v>
      </c>
      <c r="D17" s="70"/>
      <c r="E17" s="70"/>
      <c r="F17" s="70"/>
      <c r="G17" s="70"/>
      <c r="H17" s="70"/>
      <c r="I17" s="70"/>
      <c r="J17" s="70"/>
      <c r="K17" s="70"/>
      <c r="L17" s="70"/>
      <c r="M17" s="70"/>
      <c r="N17" s="70">
        <v>34</v>
      </c>
      <c r="O17" s="70">
        <f>SUM(B17:M17)</f>
        <v>146</v>
      </c>
    </row>
    <row r="18" spans="1:17" x14ac:dyDescent="0.35">
      <c r="A18" s="75" t="s">
        <v>219</v>
      </c>
      <c r="B18" s="101">
        <f t="shared" ref="B18:C18" si="4">B17/B16</f>
        <v>0.99115044247787609</v>
      </c>
      <c r="C18" s="101">
        <f t="shared" si="4"/>
        <v>0.91891891891891897</v>
      </c>
      <c r="D18" s="101"/>
      <c r="E18" s="101"/>
      <c r="F18" s="101"/>
      <c r="G18" s="101"/>
      <c r="H18" s="101"/>
      <c r="I18" s="101"/>
      <c r="J18" s="101"/>
      <c r="K18" s="101"/>
      <c r="L18" s="101"/>
      <c r="M18" s="101"/>
      <c r="N18" s="101">
        <f t="shared" ref="N18" si="5">N17/N16</f>
        <v>0.91891891891891897</v>
      </c>
      <c r="O18" s="91">
        <f>AVERAGE(B18:M18)</f>
        <v>0.95503468069839759</v>
      </c>
    </row>
    <row r="19" spans="1:17" x14ac:dyDescent="0.35">
      <c r="A19" s="102" t="s">
        <v>222</v>
      </c>
      <c r="B19" s="103"/>
      <c r="C19" s="103"/>
      <c r="D19" s="103"/>
      <c r="E19" s="103"/>
      <c r="F19" s="103"/>
      <c r="G19" s="103"/>
      <c r="H19" s="103"/>
      <c r="I19" s="103"/>
      <c r="J19" s="103"/>
      <c r="K19" s="103"/>
      <c r="L19" s="103"/>
      <c r="M19" s="103"/>
      <c r="N19" s="103"/>
      <c r="O19" s="97"/>
    </row>
    <row r="20" spans="1:17" x14ac:dyDescent="0.35">
      <c r="A20" s="99" t="s">
        <v>199</v>
      </c>
      <c r="B20" s="70"/>
      <c r="C20" s="70"/>
      <c r="D20" s="70"/>
      <c r="E20" s="70"/>
      <c r="F20" s="70"/>
      <c r="G20" s="70"/>
      <c r="H20" s="70"/>
      <c r="I20" s="70"/>
      <c r="J20" s="70"/>
      <c r="K20" s="70"/>
      <c r="L20" s="70"/>
      <c r="M20" s="70"/>
      <c r="N20" s="70"/>
      <c r="O20" s="70"/>
      <c r="Q20" s="59" t="s">
        <v>224</v>
      </c>
    </row>
    <row r="21" spans="1:17" x14ac:dyDescent="0.35">
      <c r="A21" s="70" t="s">
        <v>9</v>
      </c>
      <c r="B21" s="70">
        <v>2</v>
      </c>
      <c r="C21" s="70">
        <v>2</v>
      </c>
      <c r="D21" s="70"/>
      <c r="E21" s="70"/>
      <c r="F21" s="70"/>
      <c r="G21" s="70"/>
      <c r="H21" s="70"/>
      <c r="I21" s="70"/>
      <c r="J21" s="70"/>
      <c r="K21" s="70"/>
      <c r="L21" s="70"/>
      <c r="M21" s="70"/>
      <c r="N21" s="70">
        <v>2</v>
      </c>
      <c r="O21" s="70">
        <f>SUM(B21:M21)</f>
        <v>4</v>
      </c>
    </row>
    <row r="22" spans="1:17" x14ac:dyDescent="0.35">
      <c r="A22" s="70" t="s">
        <v>219</v>
      </c>
      <c r="B22" s="101">
        <v>1</v>
      </c>
      <c r="C22" s="101">
        <v>1</v>
      </c>
      <c r="D22" s="70"/>
      <c r="E22" s="70"/>
      <c r="F22" s="101"/>
      <c r="G22" s="101"/>
      <c r="H22" s="101"/>
      <c r="I22" s="101"/>
      <c r="J22" s="101"/>
      <c r="K22" s="101"/>
      <c r="L22" s="101"/>
      <c r="M22" s="101"/>
      <c r="N22" s="101">
        <v>1</v>
      </c>
      <c r="O22" s="91">
        <f>AVERAGE(B22:M22)</f>
        <v>1</v>
      </c>
    </row>
    <row r="24" spans="1:17" x14ac:dyDescent="0.35">
      <c r="A24" s="29" t="s">
        <v>75</v>
      </c>
    </row>
    <row r="26" spans="1:17" x14ac:dyDescent="0.35">
      <c r="A26" t="s">
        <v>76</v>
      </c>
    </row>
    <row r="28" spans="1:17" x14ac:dyDescent="0.35">
      <c r="A28" t="s">
        <v>71</v>
      </c>
    </row>
    <row r="29" spans="1:17" x14ac:dyDescent="0.35">
      <c r="A29" t="s">
        <v>69</v>
      </c>
    </row>
  </sheetData>
  <phoneticPr fontId="11" type="noConversion"/>
  <hyperlinks>
    <hyperlink ref="P5" r:id="rId1" xr:uid="{37827B11-F6B3-452A-9833-E819EA7DC306}"/>
    <hyperlink ref="P3" r:id="rId2" xr:uid="{173EF504-894D-4E4D-A5FF-86406B3C45D7}"/>
    <hyperlink ref="P4" r:id="rId3" xr:uid="{9A1C4EE9-B93D-4D0E-91D8-D9C29FF82990}"/>
    <hyperlink ref="Q15" r:id="rId4" xr:uid="{D15B5A4D-4B9E-46EF-8D1E-897CE186864E}"/>
    <hyperlink ref="Q20" r:id="rId5" xr:uid="{A5C0CFB2-98CB-4937-842B-6CC93CCD8F88}"/>
  </hyperlinks>
  <pageMargins left="0.7" right="0.7" top="0.75" bottom="0.75" header="0.3" footer="0.3"/>
  <pageSetup orientation="portrait" r:id="rId6"/>
  <drawing r:id="rId7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6"/>
  <dimension ref="A1:CB4008"/>
  <sheetViews>
    <sheetView zoomScale="70" zoomScaleNormal="70" workbookViewId="0"/>
  </sheetViews>
  <sheetFormatPr defaultColWidth="8.7265625" defaultRowHeight="14.5" x14ac:dyDescent="0.35"/>
  <cols>
    <col min="1" max="1" width="10.1796875" style="19" customWidth="1"/>
    <col min="2" max="2" width="8.7265625" style="19"/>
    <col min="3" max="3" width="15.1796875" style="19" customWidth="1"/>
    <col min="4" max="4" width="12" style="19" customWidth="1"/>
    <col min="5" max="5" width="16.1796875" style="19" bestFit="1" customWidth="1"/>
    <col min="6" max="6" width="11.81640625" style="19" customWidth="1"/>
    <col min="7" max="7" width="15.81640625" style="19" customWidth="1"/>
    <col min="8" max="8" width="14.1796875" style="19" customWidth="1"/>
    <col min="9" max="9" width="14.54296875" style="19" customWidth="1"/>
    <col min="10" max="10" width="13.26953125" style="19" customWidth="1"/>
    <col min="11" max="11" width="18.7265625" style="19" customWidth="1"/>
    <col min="12" max="12" width="12.26953125" style="19" customWidth="1"/>
    <col min="13" max="13" width="14.26953125" style="19" customWidth="1"/>
    <col min="14" max="14" width="15.1796875" style="19" customWidth="1"/>
    <col min="15" max="15" width="15.453125" style="19" customWidth="1"/>
    <col min="16" max="16" width="16.1796875" style="19" customWidth="1"/>
    <col min="17" max="17" width="16.81640625" style="19" customWidth="1"/>
    <col min="18" max="20" width="8.7265625" style="19"/>
    <col min="21" max="21" width="10.1796875" style="19" customWidth="1"/>
    <col min="22" max="22" width="12.1796875" style="19" customWidth="1"/>
    <col min="23" max="23" width="12.7265625" style="19" customWidth="1"/>
    <col min="24" max="24" width="8.7265625" style="19"/>
    <col min="25" max="25" width="14.81640625" style="19" customWidth="1"/>
    <col min="26" max="26" width="15.1796875" style="19" customWidth="1"/>
    <col min="27" max="27" width="10.54296875" style="19" customWidth="1"/>
    <col min="28" max="28" width="17.81640625" style="19" customWidth="1"/>
    <col min="29" max="30" width="8.7265625" style="19"/>
    <col min="31" max="31" width="24.26953125" style="19" customWidth="1"/>
    <col min="32" max="32" width="23.08984375" style="19" bestFit="1" customWidth="1"/>
    <col min="33" max="33" width="21.36328125" style="19" bestFit="1" customWidth="1"/>
    <col min="34" max="34" width="13.453125" style="19" customWidth="1"/>
    <col min="35" max="35" width="22.453125" style="19" customWidth="1"/>
    <col min="36" max="36" width="20.453125" style="19" customWidth="1"/>
    <col min="37" max="41" width="8.7265625" style="19"/>
    <col min="42" max="42" width="9.81640625" style="19" bestFit="1" customWidth="1"/>
    <col min="43" max="46" width="8.7265625" style="19"/>
    <col min="47" max="47" width="11.81640625" style="19" bestFit="1" customWidth="1"/>
    <col min="48" max="48" width="29.26953125" style="19" customWidth="1"/>
    <col min="49" max="49" width="14.7265625" style="19" bestFit="1" customWidth="1"/>
    <col min="50" max="50" width="15.453125" style="19" bestFit="1" customWidth="1"/>
    <col min="51" max="54" width="8.7265625" style="19"/>
    <col min="55" max="55" width="17.54296875" style="19" bestFit="1" customWidth="1"/>
    <col min="56" max="56" width="16" style="19" bestFit="1" customWidth="1"/>
    <col min="57" max="65" width="8.7265625" style="19"/>
    <col min="66" max="66" width="8.7265625" style="20"/>
    <col min="67" max="70" width="8.7265625" style="19"/>
    <col min="71" max="71" width="18.81640625" style="19" customWidth="1"/>
    <col min="72" max="72" width="23.08984375" style="19" bestFit="1" customWidth="1"/>
    <col min="73" max="73" width="21.36328125" style="19" bestFit="1" customWidth="1"/>
    <col min="74" max="74" width="16.81640625" style="19" customWidth="1"/>
    <col min="75" max="75" width="26.54296875" style="19" customWidth="1"/>
    <col min="76" max="76" width="25.26953125" style="19" customWidth="1"/>
    <col min="77" max="78" width="8.7265625" style="19"/>
    <col min="79" max="79" width="15.54296875" style="19" bestFit="1" customWidth="1"/>
    <col min="80" max="16384" width="8.7265625" style="19"/>
  </cols>
  <sheetData>
    <row r="1" spans="1:80" ht="19.5" x14ac:dyDescent="0.35">
      <c r="A1" s="34" t="s">
        <v>138</v>
      </c>
      <c r="B1" s="35" t="s">
        <v>139</v>
      </c>
      <c r="C1" s="35" t="s">
        <v>140</v>
      </c>
      <c r="D1" s="35" t="s">
        <v>141</v>
      </c>
      <c r="E1" s="35" t="s">
        <v>142</v>
      </c>
      <c r="F1" s="35" t="s">
        <v>143</v>
      </c>
      <c r="G1" s="114" t="s">
        <v>144</v>
      </c>
      <c r="H1" s="35" t="s">
        <v>145</v>
      </c>
      <c r="I1" s="35" t="s">
        <v>146</v>
      </c>
      <c r="J1" s="35" t="s">
        <v>147</v>
      </c>
      <c r="K1" s="115" t="s">
        <v>148</v>
      </c>
      <c r="L1" s="35" t="s">
        <v>149</v>
      </c>
      <c r="M1" s="35" t="s">
        <v>150</v>
      </c>
      <c r="N1" s="35" t="s">
        <v>151</v>
      </c>
      <c r="O1" s="35" t="s">
        <v>152</v>
      </c>
      <c r="P1" s="35" t="s">
        <v>153</v>
      </c>
      <c r="Q1" s="35" t="s">
        <v>154</v>
      </c>
      <c r="R1" s="35" t="s">
        <v>155</v>
      </c>
      <c r="S1" s="35" t="s">
        <v>156</v>
      </c>
      <c r="T1" s="35" t="s">
        <v>157</v>
      </c>
      <c r="U1" s="35" t="s">
        <v>67</v>
      </c>
      <c r="V1" s="35" t="s">
        <v>158</v>
      </c>
      <c r="W1" s="35" t="s">
        <v>159</v>
      </c>
      <c r="X1" s="35" t="s">
        <v>160</v>
      </c>
      <c r="Y1" s="35" t="s">
        <v>79</v>
      </c>
      <c r="Z1" s="35" t="s">
        <v>161</v>
      </c>
      <c r="AA1" s="35" t="s">
        <v>125</v>
      </c>
      <c r="AB1" s="36" t="s">
        <v>162</v>
      </c>
      <c r="AE1" s="19" t="s">
        <v>163</v>
      </c>
      <c r="AO1" s="28" t="s">
        <v>164</v>
      </c>
      <c r="AP1" s="19" t="s">
        <v>138</v>
      </c>
      <c r="AQ1" s="19" t="s">
        <v>139</v>
      </c>
      <c r="AR1" s="19" t="s">
        <v>140</v>
      </c>
      <c r="AS1" s="19" t="s">
        <v>141</v>
      </c>
      <c r="AT1" s="19" t="s">
        <v>142</v>
      </c>
      <c r="AU1" s="19" t="s">
        <v>143</v>
      </c>
      <c r="AV1" s="113" t="s">
        <v>144</v>
      </c>
      <c r="AW1" s="20" t="s">
        <v>145</v>
      </c>
      <c r="AX1" s="20" t="s">
        <v>146</v>
      </c>
      <c r="AY1" s="20" t="s">
        <v>147</v>
      </c>
      <c r="AZ1" s="20" t="s">
        <v>148</v>
      </c>
      <c r="BA1" s="20" t="s">
        <v>149</v>
      </c>
      <c r="BB1" s="19" t="s">
        <v>150</v>
      </c>
      <c r="BC1" s="19" t="s">
        <v>151</v>
      </c>
      <c r="BD1" s="19" t="s">
        <v>152</v>
      </c>
      <c r="BE1" s="19" t="s">
        <v>153</v>
      </c>
      <c r="BF1" s="19" t="s">
        <v>154</v>
      </c>
      <c r="BG1" s="19" t="s">
        <v>155</v>
      </c>
      <c r="BH1" s="19" t="s">
        <v>156</v>
      </c>
      <c r="BI1" s="19" t="s">
        <v>157</v>
      </c>
      <c r="BJ1" s="19" t="s">
        <v>67</v>
      </c>
      <c r="BK1" s="19" t="s">
        <v>158</v>
      </c>
      <c r="BL1" s="19" t="s">
        <v>159</v>
      </c>
      <c r="BM1" s="19" t="s">
        <v>160</v>
      </c>
      <c r="BN1" s="20" t="s">
        <v>79</v>
      </c>
      <c r="BO1" s="19" t="s">
        <v>161</v>
      </c>
      <c r="BP1" s="19" t="s">
        <v>125</v>
      </c>
      <c r="BQ1" s="19" t="s">
        <v>162</v>
      </c>
      <c r="BS1" s="62" t="s">
        <v>15</v>
      </c>
    </row>
    <row r="2" spans="1:80" ht="16" x14ac:dyDescent="0.35">
      <c r="A2" s="92"/>
      <c r="B2" s="67"/>
      <c r="C2" s="67"/>
      <c r="D2" s="73"/>
      <c r="E2" s="67"/>
      <c r="F2" s="67"/>
      <c r="G2" t="s">
        <v>186</v>
      </c>
      <c r="H2" s="68"/>
      <c r="I2" s="68"/>
      <c r="J2" s="68"/>
      <c r="L2" s="68"/>
      <c r="M2" s="67"/>
      <c r="N2" s="67"/>
      <c r="O2" s="67"/>
      <c r="Q2" s="83">
        <v>1</v>
      </c>
      <c r="R2" s="48"/>
      <c r="S2" s="48"/>
      <c r="T2" s="48"/>
      <c r="U2" s="48"/>
      <c r="V2" s="48"/>
      <c r="W2" s="48"/>
      <c r="X2" s="48"/>
      <c r="Y2" s="49"/>
      <c r="Z2" s="48"/>
      <c r="AA2" s="48"/>
      <c r="AB2" s="50"/>
      <c r="AD2" s="184" t="s">
        <v>190</v>
      </c>
      <c r="AE2" s="184"/>
      <c r="AO2" s="19" t="s">
        <v>226</v>
      </c>
      <c r="AV2" t="s">
        <v>178</v>
      </c>
      <c r="AW2" s="20"/>
      <c r="AX2" s="20"/>
      <c r="AY2" s="20"/>
      <c r="AZ2" s="20"/>
      <c r="BA2" s="20"/>
    </row>
    <row r="3" spans="1:80" ht="16" x14ac:dyDescent="0.35">
      <c r="A3" s="93"/>
      <c r="B3" s="31"/>
      <c r="C3" s="31"/>
      <c r="D3" s="94"/>
      <c r="E3" s="31"/>
      <c r="F3" s="31"/>
      <c r="G3" t="s">
        <v>175</v>
      </c>
      <c r="H3" s="32"/>
      <c r="I3" s="32"/>
      <c r="J3" s="32"/>
      <c r="L3" s="32"/>
      <c r="M3" s="31"/>
      <c r="N3" s="31"/>
      <c r="O3" s="31"/>
      <c r="Q3" s="83">
        <v>0</v>
      </c>
      <c r="R3" s="52"/>
      <c r="S3" s="52"/>
      <c r="T3" s="52"/>
      <c r="U3" s="52"/>
      <c r="V3" s="52"/>
      <c r="W3" s="52"/>
      <c r="X3" s="52"/>
      <c r="Y3" s="53"/>
      <c r="Z3" s="52"/>
      <c r="AA3" s="52"/>
      <c r="AB3" s="54"/>
      <c r="AD3" s="184"/>
      <c r="AE3" s="184"/>
      <c r="AV3" t="s">
        <v>167</v>
      </c>
      <c r="AW3" s="20"/>
      <c r="AX3" s="20"/>
      <c r="AY3" s="20"/>
      <c r="AZ3" s="20"/>
      <c r="BA3" s="20"/>
      <c r="BU3"/>
    </row>
    <row r="4" spans="1:80" ht="16" x14ac:dyDescent="0.35">
      <c r="A4" s="92"/>
      <c r="B4" s="67"/>
      <c r="C4" s="67"/>
      <c r="D4" s="73"/>
      <c r="E4" s="67"/>
      <c r="F4" s="67"/>
      <c r="G4" t="s">
        <v>175</v>
      </c>
      <c r="H4" s="68"/>
      <c r="I4" s="68"/>
      <c r="J4" s="68"/>
      <c r="L4" s="68"/>
      <c r="M4" s="67"/>
      <c r="N4" s="67"/>
      <c r="O4" s="67"/>
      <c r="Q4" s="83">
        <v>0</v>
      </c>
      <c r="R4" s="48"/>
      <c r="S4" s="48"/>
      <c r="T4" s="48"/>
      <c r="U4" s="48"/>
      <c r="V4" s="48"/>
      <c r="W4" s="48"/>
      <c r="X4" s="48"/>
      <c r="Y4" s="49"/>
      <c r="Z4" s="48"/>
      <c r="AA4" s="48"/>
      <c r="AB4" s="50"/>
      <c r="AV4" t="s">
        <v>175</v>
      </c>
      <c r="AW4" s="20"/>
      <c r="AX4" s="20"/>
      <c r="AY4" s="20"/>
      <c r="AZ4" s="20"/>
      <c r="BA4" s="20"/>
      <c r="BU4"/>
      <c r="BV4" s="23"/>
      <c r="BW4"/>
    </row>
    <row r="5" spans="1:80" ht="16" x14ac:dyDescent="0.35">
      <c r="A5" s="93"/>
      <c r="B5" s="31"/>
      <c r="C5" s="31"/>
      <c r="D5" s="94"/>
      <c r="E5" s="31"/>
      <c r="F5" s="31"/>
      <c r="G5" t="s">
        <v>177</v>
      </c>
      <c r="H5" s="32"/>
      <c r="I5" s="32"/>
      <c r="J5" s="32"/>
      <c r="L5" s="32"/>
      <c r="M5" s="31"/>
      <c r="N5" s="31"/>
      <c r="O5" s="31"/>
      <c r="Q5" s="83">
        <v>0</v>
      </c>
      <c r="R5" s="52"/>
      <c r="S5" s="52"/>
      <c r="T5" s="52"/>
      <c r="U5" s="52"/>
      <c r="V5" s="52"/>
      <c r="W5" s="52"/>
      <c r="X5" s="52"/>
      <c r="Y5" s="53"/>
      <c r="Z5" s="52"/>
      <c r="AA5" s="52"/>
      <c r="AB5" s="54"/>
      <c r="AF5" s="22" t="s">
        <v>171</v>
      </c>
      <c r="AG5" t="s">
        <v>172</v>
      </c>
      <c r="AH5"/>
      <c r="AI5" t="s">
        <v>171</v>
      </c>
      <c r="AJ5" t="s">
        <v>172</v>
      </c>
      <c r="AV5" t="s">
        <v>167</v>
      </c>
      <c r="AW5" s="20"/>
      <c r="AX5" s="20"/>
      <c r="AY5" s="20"/>
      <c r="AZ5" s="20"/>
      <c r="BA5" s="20"/>
      <c r="BT5" s="22" t="s">
        <v>171</v>
      </c>
      <c r="BU5" t="s">
        <v>172</v>
      </c>
      <c r="BV5"/>
      <c r="BW5" t="s">
        <v>171</v>
      </c>
      <c r="BX5" t="s">
        <v>172</v>
      </c>
    </row>
    <row r="6" spans="1:80" ht="16" x14ac:dyDescent="0.35">
      <c r="A6" s="92"/>
      <c r="B6" s="67"/>
      <c r="C6" s="67"/>
      <c r="D6" s="73"/>
      <c r="E6" s="67"/>
      <c r="F6" s="67"/>
      <c r="G6" t="s">
        <v>180</v>
      </c>
      <c r="H6" s="68"/>
      <c r="I6" s="68"/>
      <c r="J6" s="68"/>
      <c r="L6" s="68"/>
      <c r="M6" s="67"/>
      <c r="N6" s="67"/>
      <c r="O6" s="67"/>
      <c r="Q6" s="83">
        <v>0</v>
      </c>
      <c r="R6" s="48"/>
      <c r="S6" s="48"/>
      <c r="T6" s="48"/>
      <c r="U6" s="48"/>
      <c r="V6" s="48"/>
      <c r="W6" s="48"/>
      <c r="X6" s="48"/>
      <c r="Y6" s="49"/>
      <c r="Z6" s="48"/>
      <c r="AA6" s="48"/>
      <c r="AB6" s="50"/>
      <c r="AF6" s="23" t="s">
        <v>175</v>
      </c>
      <c r="AG6">
        <v>19</v>
      </c>
      <c r="AH6"/>
      <c r="AI6" s="23" t="s">
        <v>175</v>
      </c>
      <c r="AJ6">
        <v>19</v>
      </c>
      <c r="AV6" t="s">
        <v>183</v>
      </c>
      <c r="AW6" s="20"/>
      <c r="AX6" s="20"/>
      <c r="AY6" s="20"/>
      <c r="AZ6" s="20"/>
      <c r="BA6" s="20"/>
      <c r="BT6" s="23" t="s">
        <v>175</v>
      </c>
      <c r="BU6">
        <v>41</v>
      </c>
      <c r="BV6"/>
      <c r="BW6" s="23" t="s">
        <v>175</v>
      </c>
      <c r="BX6">
        <v>41</v>
      </c>
    </row>
    <row r="7" spans="1:80" ht="16" x14ac:dyDescent="0.35">
      <c r="A7" s="93"/>
      <c r="B7" s="31"/>
      <c r="C7" s="31"/>
      <c r="D7" s="94"/>
      <c r="E7" s="31"/>
      <c r="F7" s="31"/>
      <c r="G7" t="s">
        <v>175</v>
      </c>
      <c r="H7" s="32"/>
      <c r="I7" s="32"/>
      <c r="J7" s="32"/>
      <c r="L7" s="32"/>
      <c r="M7" s="31"/>
      <c r="N7" s="31"/>
      <c r="O7" s="31"/>
      <c r="Q7" s="83">
        <v>0</v>
      </c>
      <c r="R7" s="52"/>
      <c r="S7" s="52"/>
      <c r="T7" s="52"/>
      <c r="U7" s="52"/>
      <c r="V7" s="52"/>
      <c r="W7" s="52"/>
      <c r="X7" s="52"/>
      <c r="Y7" s="53"/>
      <c r="Z7" s="52"/>
      <c r="AA7" s="52"/>
      <c r="AB7" s="54"/>
      <c r="AF7" s="23" t="s">
        <v>167</v>
      </c>
      <c r="AG7">
        <v>14</v>
      </c>
      <c r="AH7"/>
      <c r="AI7" s="23" t="s">
        <v>167</v>
      </c>
      <c r="AJ7">
        <v>14</v>
      </c>
      <c r="AV7" t="s">
        <v>173</v>
      </c>
      <c r="AW7" s="20"/>
      <c r="AX7" s="20"/>
      <c r="AY7" s="20"/>
      <c r="AZ7" s="20"/>
      <c r="BA7" s="20"/>
      <c r="BT7" s="23" t="s">
        <v>167</v>
      </c>
      <c r="BU7">
        <v>41</v>
      </c>
      <c r="BV7"/>
      <c r="BW7" s="23" t="s">
        <v>167</v>
      </c>
      <c r="BX7">
        <v>41</v>
      </c>
    </row>
    <row r="8" spans="1:80" ht="16" x14ac:dyDescent="0.35">
      <c r="A8" s="92"/>
      <c r="B8" s="67"/>
      <c r="C8" s="67"/>
      <c r="D8" s="73"/>
      <c r="E8" s="67"/>
      <c r="F8" s="67"/>
      <c r="G8" t="s">
        <v>165</v>
      </c>
      <c r="H8" s="68"/>
      <c r="I8" s="68"/>
      <c r="J8" s="68"/>
      <c r="L8" s="68"/>
      <c r="M8" s="67"/>
      <c r="N8" s="67"/>
      <c r="O8" s="67"/>
      <c r="Q8" s="83">
        <v>0</v>
      </c>
      <c r="R8" s="48"/>
      <c r="S8" s="48"/>
      <c r="T8" s="48"/>
      <c r="U8" s="48"/>
      <c r="V8" s="48"/>
      <c r="W8" s="48"/>
      <c r="X8" s="48"/>
      <c r="Y8" s="49"/>
      <c r="Z8" s="48"/>
      <c r="AA8" s="48"/>
      <c r="AB8" s="50"/>
      <c r="AF8" s="23" t="s">
        <v>183</v>
      </c>
      <c r="AG8">
        <v>9</v>
      </c>
      <c r="AH8"/>
      <c r="AI8" s="23" t="s">
        <v>183</v>
      </c>
      <c r="AJ8">
        <v>9</v>
      </c>
      <c r="AV8" t="s">
        <v>216</v>
      </c>
      <c r="AW8" s="20"/>
      <c r="AX8" s="20"/>
      <c r="AY8" s="20"/>
      <c r="AZ8" s="20"/>
      <c r="BA8" s="20"/>
      <c r="BT8" s="23" t="s">
        <v>180</v>
      </c>
      <c r="BU8">
        <v>18</v>
      </c>
      <c r="BV8"/>
      <c r="BW8" s="23" t="s">
        <v>180</v>
      </c>
      <c r="BX8">
        <v>18</v>
      </c>
    </row>
    <row r="9" spans="1:80" ht="16" x14ac:dyDescent="0.35">
      <c r="A9" s="93"/>
      <c r="B9" s="31"/>
      <c r="C9" s="31"/>
      <c r="D9" s="94"/>
      <c r="E9" s="31"/>
      <c r="F9" s="31"/>
      <c r="G9" t="s">
        <v>205</v>
      </c>
      <c r="H9" s="32"/>
      <c r="I9" s="32"/>
      <c r="J9" s="32"/>
      <c r="L9" s="32"/>
      <c r="M9" s="31"/>
      <c r="N9" s="31"/>
      <c r="O9" s="31"/>
      <c r="Q9" s="83">
        <v>0</v>
      </c>
      <c r="R9" s="52"/>
      <c r="S9" s="52"/>
      <c r="T9" s="52"/>
      <c r="U9" s="52"/>
      <c r="V9" s="52"/>
      <c r="W9" s="52"/>
      <c r="X9" s="52"/>
      <c r="Y9" s="53"/>
      <c r="Z9" s="52"/>
      <c r="AA9" s="52"/>
      <c r="AB9" s="54"/>
      <c r="AF9" s="23" t="s">
        <v>180</v>
      </c>
      <c r="AG9">
        <v>9</v>
      </c>
      <c r="AH9"/>
      <c r="AI9" s="23" t="s">
        <v>180</v>
      </c>
      <c r="AJ9">
        <v>9</v>
      </c>
      <c r="AV9" t="s">
        <v>165</v>
      </c>
      <c r="AW9" s="20"/>
      <c r="AX9" s="20"/>
      <c r="AY9" s="20"/>
      <c r="AZ9" s="20"/>
      <c r="BA9" s="20"/>
      <c r="BT9" s="23" t="s">
        <v>176</v>
      </c>
      <c r="BU9">
        <v>18</v>
      </c>
      <c r="BV9"/>
      <c r="BW9" s="23" t="s">
        <v>176</v>
      </c>
      <c r="BX9">
        <v>18</v>
      </c>
    </row>
    <row r="10" spans="1:80" ht="16" x14ac:dyDescent="0.35">
      <c r="A10" s="92"/>
      <c r="B10" s="67"/>
      <c r="C10" s="67"/>
      <c r="D10" s="73"/>
      <c r="E10" s="67"/>
      <c r="F10" s="67"/>
      <c r="G10" t="s">
        <v>175</v>
      </c>
      <c r="H10" s="68"/>
      <c r="I10" s="68"/>
      <c r="J10" s="68"/>
      <c r="L10" s="68"/>
      <c r="M10" s="67"/>
      <c r="N10" s="67"/>
      <c r="O10" s="67"/>
      <c r="Q10" s="83">
        <v>0</v>
      </c>
      <c r="R10" s="48"/>
      <c r="S10" s="48"/>
      <c r="T10" s="48"/>
      <c r="U10" s="48"/>
      <c r="V10" s="48"/>
      <c r="W10" s="48"/>
      <c r="X10" s="48"/>
      <c r="Y10" s="49"/>
      <c r="Z10" s="48"/>
      <c r="AA10" s="48"/>
      <c r="AB10" s="50"/>
      <c r="AF10" s="23" t="s">
        <v>189</v>
      </c>
      <c r="AG10">
        <v>8</v>
      </c>
      <c r="AH10"/>
      <c r="AI10" s="23" t="s">
        <v>189</v>
      </c>
      <c r="AJ10">
        <v>8</v>
      </c>
      <c r="AV10" t="s">
        <v>178</v>
      </c>
      <c r="AW10" s="20"/>
      <c r="AX10" s="20"/>
      <c r="AY10" s="20"/>
      <c r="AZ10" s="20"/>
      <c r="BA10" s="20"/>
      <c r="BT10" s="23" t="s">
        <v>189</v>
      </c>
      <c r="BU10">
        <v>14</v>
      </c>
      <c r="BV10"/>
      <c r="BW10" s="23" t="s">
        <v>189</v>
      </c>
      <c r="BX10">
        <v>14</v>
      </c>
    </row>
    <row r="11" spans="1:80" ht="16" x14ac:dyDescent="0.35">
      <c r="A11" s="93"/>
      <c r="B11" s="31"/>
      <c r="C11" s="31"/>
      <c r="D11" s="94"/>
      <c r="E11" s="31"/>
      <c r="F11" s="31"/>
      <c r="G11" t="s">
        <v>175</v>
      </c>
      <c r="H11" s="32"/>
      <c r="I11" s="32"/>
      <c r="J11" s="32"/>
      <c r="L11" s="32"/>
      <c r="M11" s="31"/>
      <c r="N11" s="31"/>
      <c r="O11" s="31"/>
      <c r="Q11" s="83">
        <v>0</v>
      </c>
      <c r="R11" s="52"/>
      <c r="S11" s="52"/>
      <c r="T11" s="52"/>
      <c r="U11" s="52"/>
      <c r="V11" s="52"/>
      <c r="W11" s="52"/>
      <c r="X11" s="52"/>
      <c r="Y11" s="53"/>
      <c r="Z11" s="52"/>
      <c r="AA11" s="52"/>
      <c r="AB11" s="54"/>
      <c r="AF11" s="23" t="s">
        <v>176</v>
      </c>
      <c r="AG11">
        <v>8</v>
      </c>
      <c r="AH11"/>
      <c r="AI11" s="23" t="s">
        <v>176</v>
      </c>
      <c r="AJ11">
        <v>8</v>
      </c>
      <c r="AV11" t="s">
        <v>167</v>
      </c>
      <c r="AW11" s="20"/>
      <c r="AX11" s="20"/>
      <c r="AY11" s="20"/>
      <c r="AZ11" s="20"/>
      <c r="BA11" s="20"/>
      <c r="BT11" s="23" t="s">
        <v>183</v>
      </c>
      <c r="BU11">
        <v>13</v>
      </c>
      <c r="BV11"/>
      <c r="BW11" s="23" t="s">
        <v>183</v>
      </c>
      <c r="BX11">
        <v>13</v>
      </c>
      <c r="CA11" s="19" t="s">
        <v>179</v>
      </c>
    </row>
    <row r="12" spans="1:80" ht="16" x14ac:dyDescent="0.35">
      <c r="A12" s="92"/>
      <c r="B12" s="67"/>
      <c r="C12" s="67"/>
      <c r="D12" s="73"/>
      <c r="E12" s="67"/>
      <c r="F12" s="67"/>
      <c r="G12" t="s">
        <v>173</v>
      </c>
      <c r="H12" s="68"/>
      <c r="I12" s="68"/>
      <c r="J12" s="68"/>
      <c r="L12" s="68"/>
      <c r="M12" s="67"/>
      <c r="N12" s="67"/>
      <c r="O12" s="67"/>
      <c r="Q12" s="83">
        <v>0</v>
      </c>
      <c r="R12" s="48"/>
      <c r="S12" s="48"/>
      <c r="T12" s="48"/>
      <c r="U12" s="48"/>
      <c r="V12" s="48"/>
      <c r="W12" s="48"/>
      <c r="X12" s="48"/>
      <c r="Y12" s="49"/>
      <c r="Z12" s="48"/>
      <c r="AA12" s="48"/>
      <c r="AB12" s="50"/>
      <c r="AF12" s="23" t="s">
        <v>165</v>
      </c>
      <c r="AG12">
        <v>5</v>
      </c>
      <c r="AH12"/>
      <c r="AI12" s="23" t="s">
        <v>165</v>
      </c>
      <c r="AJ12">
        <v>5</v>
      </c>
      <c r="AL12" s="19" t="s">
        <v>181</v>
      </c>
      <c r="AV12" t="s">
        <v>189</v>
      </c>
      <c r="AW12" s="20"/>
      <c r="AX12" s="20"/>
      <c r="AY12" s="20"/>
      <c r="AZ12" s="20"/>
      <c r="BA12" s="20"/>
      <c r="BT12" s="23" t="s">
        <v>173</v>
      </c>
      <c r="BU12">
        <v>13</v>
      </c>
      <c r="BV12"/>
      <c r="BW12" s="23" t="s">
        <v>173</v>
      </c>
      <c r="BX12">
        <v>13</v>
      </c>
      <c r="CA12" s="24" t="s">
        <v>182</v>
      </c>
      <c r="CB12" s="25" t="e">
        <f>MATCH(CA12,BW:BW,0)</f>
        <v>#N/A</v>
      </c>
    </row>
    <row r="13" spans="1:80" ht="16" x14ac:dyDescent="0.35">
      <c r="A13" s="93"/>
      <c r="B13" s="31"/>
      <c r="C13" s="31"/>
      <c r="D13" s="94"/>
      <c r="E13" s="31"/>
      <c r="F13" s="31"/>
      <c r="G13" t="s">
        <v>175</v>
      </c>
      <c r="H13" s="32"/>
      <c r="I13" s="32"/>
      <c r="J13" s="32"/>
      <c r="L13" s="32"/>
      <c r="M13" s="31"/>
      <c r="N13" s="31"/>
      <c r="O13" s="31"/>
      <c r="Q13" s="83">
        <v>0</v>
      </c>
      <c r="R13" s="52"/>
      <c r="S13" s="52"/>
      <c r="T13" s="52"/>
      <c r="U13" s="52"/>
      <c r="V13" s="52"/>
      <c r="W13" s="52"/>
      <c r="X13" s="52"/>
      <c r="Y13" s="53"/>
      <c r="Z13" s="52"/>
      <c r="AA13" s="52"/>
      <c r="AB13" s="54"/>
      <c r="AF13" s="23" t="s">
        <v>178</v>
      </c>
      <c r="AG13">
        <v>5</v>
      </c>
      <c r="AH13"/>
      <c r="AI13" s="23" t="s">
        <v>178</v>
      </c>
      <c r="AJ13">
        <v>5</v>
      </c>
      <c r="AV13" t="s">
        <v>184</v>
      </c>
      <c r="AW13" s="20"/>
      <c r="AX13" s="20"/>
      <c r="AY13" s="20"/>
      <c r="AZ13" s="20"/>
      <c r="BA13" s="20"/>
      <c r="BT13" s="23" t="s">
        <v>178</v>
      </c>
      <c r="BU13">
        <v>11</v>
      </c>
      <c r="BV13"/>
      <c r="BW13" s="23" t="s">
        <v>178</v>
      </c>
      <c r="BX13">
        <v>11</v>
      </c>
    </row>
    <row r="14" spans="1:80" ht="16" x14ac:dyDescent="0.35">
      <c r="A14" s="92"/>
      <c r="B14" s="67"/>
      <c r="C14" s="67"/>
      <c r="D14" s="73"/>
      <c r="E14" s="67"/>
      <c r="F14" s="67"/>
      <c r="G14" t="s">
        <v>175</v>
      </c>
      <c r="H14" s="68"/>
      <c r="I14" s="68"/>
      <c r="J14" s="68"/>
      <c r="L14" s="68"/>
      <c r="M14" s="67"/>
      <c r="N14" s="67"/>
      <c r="O14" s="67"/>
      <c r="Q14" s="83">
        <v>0</v>
      </c>
      <c r="R14" s="48"/>
      <c r="S14" s="48"/>
      <c r="T14" s="48"/>
      <c r="U14" s="48"/>
      <c r="V14" s="48"/>
      <c r="W14" s="48"/>
      <c r="X14" s="48"/>
      <c r="Y14" s="49"/>
      <c r="Z14" s="48"/>
      <c r="AA14" s="48"/>
      <c r="AB14" s="50"/>
      <c r="AF14" s="23" t="s">
        <v>184</v>
      </c>
      <c r="AG14">
        <v>5</v>
      </c>
      <c r="AH14"/>
      <c r="AI14" s="23" t="s">
        <v>184</v>
      </c>
      <c r="AJ14">
        <v>5</v>
      </c>
      <c r="AV14" t="s">
        <v>175</v>
      </c>
      <c r="AW14" s="20"/>
      <c r="AX14" s="20"/>
      <c r="AY14" s="20"/>
      <c r="AZ14" s="20"/>
      <c r="BA14" s="20"/>
      <c r="BT14" s="23" t="s">
        <v>184</v>
      </c>
      <c r="BU14">
        <v>7</v>
      </c>
      <c r="BV14"/>
      <c r="BW14" s="23" t="s">
        <v>184</v>
      </c>
      <c r="BX14">
        <v>7</v>
      </c>
    </row>
    <row r="15" spans="1:80" ht="16" x14ac:dyDescent="0.35">
      <c r="A15" s="93"/>
      <c r="B15" s="31"/>
      <c r="C15" s="31"/>
      <c r="D15" s="94"/>
      <c r="E15" s="31"/>
      <c r="F15" s="31"/>
      <c r="G15" t="s">
        <v>167</v>
      </c>
      <c r="H15" s="32"/>
      <c r="I15" s="32"/>
      <c r="J15" s="32"/>
      <c r="L15" s="32"/>
      <c r="M15" s="31"/>
      <c r="N15" s="31"/>
      <c r="O15" s="31"/>
      <c r="Q15" s="83">
        <v>0</v>
      </c>
      <c r="R15" s="52"/>
      <c r="S15" s="52"/>
      <c r="T15" s="52"/>
      <c r="U15" s="52"/>
      <c r="V15" s="52"/>
      <c r="W15" s="52"/>
      <c r="X15" s="52"/>
      <c r="Y15" s="53"/>
      <c r="Z15" s="52"/>
      <c r="AA15" s="52"/>
      <c r="AB15" s="54"/>
      <c r="AF15" s="23" t="s">
        <v>205</v>
      </c>
      <c r="AG15">
        <v>5</v>
      </c>
      <c r="AH15"/>
      <c r="AI15" s="23" t="s">
        <v>205</v>
      </c>
      <c r="AJ15">
        <v>5</v>
      </c>
      <c r="AV15" t="s">
        <v>177</v>
      </c>
      <c r="AW15" s="20"/>
      <c r="AX15" s="20"/>
      <c r="AY15" s="20"/>
      <c r="AZ15" s="20"/>
      <c r="BA15" s="20"/>
      <c r="BT15" s="23" t="s">
        <v>168</v>
      </c>
      <c r="BU15">
        <v>7</v>
      </c>
      <c r="BV15"/>
      <c r="BW15" s="23" t="s">
        <v>168</v>
      </c>
      <c r="BX15">
        <v>7</v>
      </c>
    </row>
    <row r="16" spans="1:80" ht="16" x14ac:dyDescent="0.35">
      <c r="A16" s="92"/>
      <c r="B16" s="67"/>
      <c r="C16" s="67"/>
      <c r="D16" s="73"/>
      <c r="E16" s="67"/>
      <c r="F16" s="67"/>
      <c r="G16" t="s">
        <v>178</v>
      </c>
      <c r="H16" s="68"/>
      <c r="I16" s="68"/>
      <c r="J16" s="68"/>
      <c r="L16" s="68"/>
      <c r="M16" s="67"/>
      <c r="N16" s="67"/>
      <c r="O16" s="67"/>
      <c r="Q16" s="83">
        <v>0</v>
      </c>
      <c r="R16" s="48"/>
      <c r="S16" s="48"/>
      <c r="T16" s="48"/>
      <c r="U16" s="48"/>
      <c r="V16" s="48"/>
      <c r="W16" s="48"/>
      <c r="X16" s="48"/>
      <c r="Y16" s="49"/>
      <c r="Z16" s="48"/>
      <c r="AA16" s="48"/>
      <c r="AB16" s="50"/>
      <c r="AF16" s="23" t="s">
        <v>174</v>
      </c>
      <c r="AG16">
        <v>3</v>
      </c>
      <c r="AH16"/>
      <c r="AI16" s="23" t="s">
        <v>174</v>
      </c>
      <c r="AJ16">
        <v>3</v>
      </c>
      <c r="AV16" t="s">
        <v>175</v>
      </c>
      <c r="AW16" s="20"/>
      <c r="AX16" s="20"/>
      <c r="AY16" s="20"/>
      <c r="AZ16" s="20"/>
      <c r="BA16" s="20"/>
      <c r="BT16" s="23" t="s">
        <v>165</v>
      </c>
      <c r="BU16">
        <v>7</v>
      </c>
      <c r="BV16"/>
      <c r="BW16" s="23" t="s">
        <v>165</v>
      </c>
      <c r="BX16">
        <v>7</v>
      </c>
    </row>
    <row r="17" spans="1:76" ht="16" x14ac:dyDescent="0.35">
      <c r="A17" s="93"/>
      <c r="B17" s="31"/>
      <c r="C17" s="31"/>
      <c r="D17" s="94"/>
      <c r="E17" s="31"/>
      <c r="F17" s="31"/>
      <c r="G17" t="s">
        <v>175</v>
      </c>
      <c r="H17" s="32"/>
      <c r="I17" s="32"/>
      <c r="J17" s="32"/>
      <c r="L17" s="32"/>
      <c r="M17" s="31"/>
      <c r="N17" s="31"/>
      <c r="O17" s="31"/>
      <c r="Q17" s="83">
        <v>0</v>
      </c>
      <c r="R17" s="52"/>
      <c r="S17" s="52"/>
      <c r="T17" s="52"/>
      <c r="U17" s="52"/>
      <c r="V17" s="52"/>
      <c r="W17" s="52"/>
      <c r="X17" s="52"/>
      <c r="Y17" s="53"/>
      <c r="Z17" s="52"/>
      <c r="AA17" s="52"/>
      <c r="AB17" s="54"/>
      <c r="AF17" s="23" t="s">
        <v>168</v>
      </c>
      <c r="AG17">
        <v>3</v>
      </c>
      <c r="AH17"/>
      <c r="AI17" s="23" t="s">
        <v>168</v>
      </c>
      <c r="AJ17">
        <v>3</v>
      </c>
      <c r="AV17" t="s">
        <v>169</v>
      </c>
      <c r="AW17" s="20"/>
      <c r="AX17" s="20"/>
      <c r="AY17" s="20"/>
      <c r="AZ17" s="20"/>
      <c r="BA17" s="20"/>
      <c r="BT17" s="23" t="s">
        <v>205</v>
      </c>
      <c r="BU17">
        <v>6</v>
      </c>
      <c r="BV17"/>
      <c r="BW17" s="23" t="s">
        <v>205</v>
      </c>
      <c r="BX17">
        <v>6</v>
      </c>
    </row>
    <row r="18" spans="1:76" ht="16" x14ac:dyDescent="0.35">
      <c r="A18" s="92"/>
      <c r="B18" s="67"/>
      <c r="C18" s="67"/>
      <c r="D18" s="73"/>
      <c r="E18" s="67"/>
      <c r="F18" s="67"/>
      <c r="G18" t="s">
        <v>168</v>
      </c>
      <c r="H18" s="68"/>
      <c r="I18" s="68"/>
      <c r="J18" s="68"/>
      <c r="L18" s="68"/>
      <c r="M18" s="67"/>
      <c r="N18" s="67"/>
      <c r="O18" s="67"/>
      <c r="Q18" s="83">
        <v>0</v>
      </c>
      <c r="R18" s="48"/>
      <c r="S18" s="48"/>
      <c r="T18" s="48"/>
      <c r="U18" s="48"/>
      <c r="V18" s="48"/>
      <c r="W18" s="48"/>
      <c r="X18" s="48"/>
      <c r="Y18" s="49"/>
      <c r="Z18" s="48"/>
      <c r="AA18" s="48"/>
      <c r="AB18" s="50"/>
      <c r="AF18" s="23" t="s">
        <v>173</v>
      </c>
      <c r="AG18">
        <v>3</v>
      </c>
      <c r="AH18"/>
      <c r="AI18" s="23" t="s">
        <v>173</v>
      </c>
      <c r="AJ18">
        <v>3</v>
      </c>
      <c r="AV18" t="s">
        <v>183</v>
      </c>
      <c r="AW18" s="20"/>
      <c r="AX18" s="20"/>
      <c r="AY18" s="20"/>
      <c r="AZ18" s="20"/>
      <c r="BA18" s="20"/>
      <c r="BT18" s="23" t="s">
        <v>174</v>
      </c>
      <c r="BU18">
        <v>5</v>
      </c>
      <c r="BV18"/>
      <c r="BW18" s="23" t="s">
        <v>174</v>
      </c>
      <c r="BX18">
        <v>5</v>
      </c>
    </row>
    <row r="19" spans="1:76" ht="16" x14ac:dyDescent="0.35">
      <c r="A19" s="93"/>
      <c r="B19" s="31"/>
      <c r="C19" s="31"/>
      <c r="D19" s="94"/>
      <c r="E19" s="31"/>
      <c r="F19" s="31"/>
      <c r="G19" t="s">
        <v>184</v>
      </c>
      <c r="H19" s="32"/>
      <c r="I19" s="32"/>
      <c r="J19" s="32"/>
      <c r="L19" s="32"/>
      <c r="M19" s="31"/>
      <c r="N19" s="31"/>
      <c r="O19" s="31"/>
      <c r="Q19" s="83">
        <v>0</v>
      </c>
      <c r="R19" s="52"/>
      <c r="S19" s="52"/>
      <c r="T19" s="52"/>
      <c r="U19" s="52"/>
      <c r="V19" s="52"/>
      <c r="W19" s="52"/>
      <c r="X19" s="52"/>
      <c r="Y19" s="53"/>
      <c r="Z19" s="52"/>
      <c r="AA19" s="52"/>
      <c r="AB19" s="54"/>
      <c r="AF19" s="23" t="s">
        <v>177</v>
      </c>
      <c r="AG19">
        <v>2</v>
      </c>
      <c r="AH19"/>
      <c r="AI19" s="23" t="s">
        <v>177</v>
      </c>
      <c r="AJ19">
        <v>2</v>
      </c>
      <c r="AV19" t="s">
        <v>175</v>
      </c>
      <c r="AW19" s="20"/>
      <c r="AX19" s="20"/>
      <c r="AY19" s="20"/>
      <c r="AZ19" s="20"/>
      <c r="BA19" s="20"/>
      <c r="BT19" s="23" t="s">
        <v>216</v>
      </c>
      <c r="BU19">
        <v>4</v>
      </c>
      <c r="BV19"/>
      <c r="BW19" s="23" t="s">
        <v>216</v>
      </c>
      <c r="BX19">
        <v>4</v>
      </c>
    </row>
    <row r="20" spans="1:76" ht="16" x14ac:dyDescent="0.35">
      <c r="A20" s="92"/>
      <c r="B20" s="67"/>
      <c r="C20" s="67"/>
      <c r="D20" s="73"/>
      <c r="E20" s="67"/>
      <c r="F20" s="67"/>
      <c r="G20" t="s">
        <v>167</v>
      </c>
      <c r="H20" s="68"/>
      <c r="I20" s="68"/>
      <c r="J20" s="68"/>
      <c r="L20" s="68"/>
      <c r="M20" s="67"/>
      <c r="N20" s="67"/>
      <c r="O20" s="67"/>
      <c r="Q20" s="83">
        <v>5</v>
      </c>
      <c r="R20" s="48"/>
      <c r="S20" s="48"/>
      <c r="T20" s="48"/>
      <c r="U20" s="48"/>
      <c r="V20" s="48"/>
      <c r="W20" s="48"/>
      <c r="X20" s="48"/>
      <c r="Y20" s="49"/>
      <c r="Z20" s="48"/>
      <c r="AA20" s="48"/>
      <c r="AB20" s="50"/>
      <c r="AF20" s="23" t="s">
        <v>186</v>
      </c>
      <c r="AG20">
        <v>1</v>
      </c>
      <c r="AH20"/>
      <c r="AI20" s="23" t="s">
        <v>186</v>
      </c>
      <c r="AJ20">
        <v>1</v>
      </c>
      <c r="AV20" t="s">
        <v>173</v>
      </c>
      <c r="AW20" s="20"/>
      <c r="AX20" s="20"/>
      <c r="AY20" s="20"/>
      <c r="AZ20" s="20"/>
      <c r="BA20" s="20"/>
      <c r="BT20" s="23" t="s">
        <v>177</v>
      </c>
      <c r="BU20">
        <v>4</v>
      </c>
      <c r="BV20"/>
      <c r="BW20" s="23" t="s">
        <v>177</v>
      </c>
      <c r="BX20">
        <v>4</v>
      </c>
    </row>
    <row r="21" spans="1:76" ht="16" x14ac:dyDescent="0.35">
      <c r="A21" s="93"/>
      <c r="B21" s="31"/>
      <c r="C21" s="31"/>
      <c r="D21" s="94"/>
      <c r="E21" s="31"/>
      <c r="F21" s="31"/>
      <c r="G21" t="s">
        <v>165</v>
      </c>
      <c r="H21" s="32"/>
      <c r="I21" s="32"/>
      <c r="J21" s="32"/>
      <c r="L21" s="32"/>
      <c r="M21" s="31"/>
      <c r="N21" s="31"/>
      <c r="O21" s="31"/>
      <c r="Q21" s="83">
        <v>2</v>
      </c>
      <c r="R21" s="52"/>
      <c r="S21" s="52"/>
      <c r="T21" s="52"/>
      <c r="U21" s="52"/>
      <c r="V21" s="52"/>
      <c r="W21" s="52"/>
      <c r="X21" s="52"/>
      <c r="Y21" s="53"/>
      <c r="Z21" s="52"/>
      <c r="AA21" s="52"/>
      <c r="AB21" s="54"/>
      <c r="AF21" s="23" t="s">
        <v>170</v>
      </c>
      <c r="AG21">
        <v>1</v>
      </c>
      <c r="AH21"/>
      <c r="AI21" s="23" t="s">
        <v>170</v>
      </c>
      <c r="AJ21">
        <v>1</v>
      </c>
      <c r="AV21" t="s">
        <v>189</v>
      </c>
      <c r="AW21" s="20"/>
      <c r="AX21" s="20"/>
      <c r="AY21" s="20"/>
      <c r="AZ21" s="20"/>
      <c r="BA21" s="20"/>
      <c r="BT21" s="23" t="s">
        <v>169</v>
      </c>
      <c r="BU21">
        <v>3</v>
      </c>
      <c r="BV21"/>
      <c r="BW21" s="23" t="s">
        <v>169</v>
      </c>
      <c r="BX21">
        <v>3</v>
      </c>
    </row>
    <row r="22" spans="1:76" ht="16" x14ac:dyDescent="0.35">
      <c r="A22" s="92"/>
      <c r="B22" s="67"/>
      <c r="C22" s="67"/>
      <c r="D22" s="73"/>
      <c r="E22" s="67"/>
      <c r="F22" s="67"/>
      <c r="G22" t="s">
        <v>167</v>
      </c>
      <c r="H22" s="68"/>
      <c r="I22" s="68"/>
      <c r="J22" s="68"/>
      <c r="L22" s="68"/>
      <c r="M22" s="67"/>
      <c r="N22" s="67"/>
      <c r="O22" s="67"/>
      <c r="Q22" s="83">
        <v>0</v>
      </c>
      <c r="R22" s="48"/>
      <c r="S22" s="48"/>
      <c r="T22" s="48"/>
      <c r="U22" s="48"/>
      <c r="V22" s="48"/>
      <c r="W22" s="48"/>
      <c r="X22" s="48"/>
      <c r="Y22" s="49"/>
      <c r="Z22" s="48"/>
      <c r="AA22" s="48"/>
      <c r="AB22" s="50"/>
      <c r="AF22" s="23" t="s">
        <v>169</v>
      </c>
      <c r="AG22">
        <v>1</v>
      </c>
      <c r="AH22"/>
      <c r="AI22" s="23" t="s">
        <v>169</v>
      </c>
      <c r="AJ22">
        <v>1</v>
      </c>
      <c r="AV22" t="s">
        <v>167</v>
      </c>
      <c r="AW22" s="20"/>
      <c r="AX22" s="20"/>
      <c r="AY22" s="20"/>
      <c r="AZ22" s="20"/>
      <c r="BA22" s="20"/>
      <c r="BT22" s="23" t="s">
        <v>188</v>
      </c>
      <c r="BU22">
        <v>2</v>
      </c>
      <c r="BV22"/>
      <c r="BW22" s="23" t="s">
        <v>188</v>
      </c>
      <c r="BX22">
        <v>2</v>
      </c>
    </row>
    <row r="23" spans="1:76" ht="16" x14ac:dyDescent="0.35">
      <c r="A23" s="93"/>
      <c r="B23" s="31"/>
      <c r="C23" s="31"/>
      <c r="D23" s="94"/>
      <c r="E23" s="31"/>
      <c r="F23" s="31"/>
      <c r="G23" t="s">
        <v>189</v>
      </c>
      <c r="H23" s="32"/>
      <c r="I23" s="32"/>
      <c r="J23" s="32"/>
      <c r="L23" s="32"/>
      <c r="M23" s="31"/>
      <c r="N23" s="31"/>
      <c r="O23" s="31"/>
      <c r="Q23" s="83">
        <v>0</v>
      </c>
      <c r="R23" s="52"/>
      <c r="S23" s="52"/>
      <c r="T23" s="52"/>
      <c r="U23" s="52"/>
      <c r="V23" s="52"/>
      <c r="W23" s="52"/>
      <c r="X23" s="52"/>
      <c r="Y23" s="53"/>
      <c r="Z23" s="52"/>
      <c r="AA23" s="52"/>
      <c r="AB23" s="54"/>
      <c r="AF23" s="23" t="s">
        <v>187</v>
      </c>
      <c r="AG23">
        <v>101</v>
      </c>
      <c r="AH23" s="23"/>
      <c r="AI23" s="23"/>
      <c r="AJ23"/>
      <c r="AV23" t="s">
        <v>188</v>
      </c>
      <c r="AW23" s="20"/>
      <c r="AX23" s="20"/>
      <c r="AY23" s="20"/>
      <c r="AZ23" s="20"/>
      <c r="BA23" s="20"/>
      <c r="BT23" s="23" t="s">
        <v>217</v>
      </c>
      <c r="BU23">
        <v>2</v>
      </c>
      <c r="BV23" s="23"/>
      <c r="BW23" s="23" t="s">
        <v>217</v>
      </c>
      <c r="BX23">
        <v>2</v>
      </c>
    </row>
    <row r="24" spans="1:76" ht="16" x14ac:dyDescent="0.35">
      <c r="A24" s="92"/>
      <c r="B24" s="67"/>
      <c r="C24" s="67"/>
      <c r="D24" s="73"/>
      <c r="E24" s="67"/>
      <c r="F24" s="67"/>
      <c r="G24" t="s">
        <v>178</v>
      </c>
      <c r="H24" s="68"/>
      <c r="I24" s="68"/>
      <c r="J24" s="68"/>
      <c r="L24" s="68"/>
      <c r="M24" s="67"/>
      <c r="N24" s="67"/>
      <c r="O24" s="67"/>
      <c r="Q24" s="83">
        <v>0</v>
      </c>
      <c r="R24" s="48"/>
      <c r="S24" s="48"/>
      <c r="T24" s="48"/>
      <c r="U24" s="48"/>
      <c r="V24" s="48"/>
      <c r="W24" s="48"/>
      <c r="X24" s="48"/>
      <c r="Y24" s="49"/>
      <c r="Z24" s="48"/>
      <c r="AA24" s="48"/>
      <c r="AB24" s="50"/>
      <c r="AF24"/>
      <c r="AG24"/>
      <c r="AH24" s="23"/>
      <c r="AI24" s="23"/>
      <c r="AJ24"/>
      <c r="AV24" t="s">
        <v>188</v>
      </c>
      <c r="AW24" s="20"/>
      <c r="AX24" s="20"/>
      <c r="AY24" s="20"/>
      <c r="AZ24" s="20"/>
      <c r="BA24" s="20"/>
      <c r="BT24" s="23" t="s">
        <v>170</v>
      </c>
      <c r="BU24">
        <v>2</v>
      </c>
      <c r="BV24" s="23"/>
      <c r="BW24" s="23" t="s">
        <v>170</v>
      </c>
      <c r="BX24">
        <v>2</v>
      </c>
    </row>
    <row r="25" spans="1:76" ht="16" x14ac:dyDescent="0.35">
      <c r="A25" s="93"/>
      <c r="B25" s="31"/>
      <c r="C25" s="31"/>
      <c r="D25" s="94"/>
      <c r="E25" s="31"/>
      <c r="F25" s="31"/>
      <c r="G25" t="s">
        <v>180</v>
      </c>
      <c r="H25" s="32"/>
      <c r="I25" s="32"/>
      <c r="J25" s="32"/>
      <c r="L25" s="32"/>
      <c r="M25" s="31"/>
      <c r="N25" s="31"/>
      <c r="O25" s="31"/>
      <c r="Q25" s="83">
        <v>0</v>
      </c>
      <c r="R25" s="52"/>
      <c r="S25" s="52"/>
      <c r="T25" s="52"/>
      <c r="U25" s="52"/>
      <c r="V25" s="52"/>
      <c r="W25" s="52"/>
      <c r="X25" s="52"/>
      <c r="Y25" s="53"/>
      <c r="Z25" s="52"/>
      <c r="AA25" s="52"/>
      <c r="AB25" s="54"/>
      <c r="AF25"/>
      <c r="AG25"/>
      <c r="AH25" s="23"/>
      <c r="AI25" s="23"/>
      <c r="AJ25"/>
      <c r="AV25" t="s">
        <v>180</v>
      </c>
      <c r="AW25" s="20"/>
      <c r="AX25" s="20"/>
      <c r="AY25" s="20"/>
      <c r="AZ25" s="20"/>
      <c r="BA25" s="20"/>
      <c r="BT25" s="23" t="s">
        <v>204</v>
      </c>
      <c r="BU25">
        <v>2</v>
      </c>
      <c r="BV25" s="23"/>
      <c r="BW25" s="23" t="s">
        <v>204</v>
      </c>
      <c r="BX25">
        <v>2</v>
      </c>
    </row>
    <row r="26" spans="1:76" ht="16" x14ac:dyDescent="0.35">
      <c r="A26" s="92"/>
      <c r="B26" s="67"/>
      <c r="C26" s="67"/>
      <c r="D26" s="73"/>
      <c r="E26" s="67"/>
      <c r="F26" s="67"/>
      <c r="G26" t="s">
        <v>176</v>
      </c>
      <c r="H26" s="68"/>
      <c r="I26" s="68"/>
      <c r="J26" s="68"/>
      <c r="L26" s="68"/>
      <c r="M26" s="67"/>
      <c r="N26" s="67"/>
      <c r="O26" s="67"/>
      <c r="Q26" s="83">
        <v>0</v>
      </c>
      <c r="R26" s="48"/>
      <c r="S26" s="48"/>
      <c r="T26" s="48"/>
      <c r="U26" s="48"/>
      <c r="V26" s="48"/>
      <c r="W26" s="48"/>
      <c r="X26" s="48"/>
      <c r="Y26" s="49"/>
      <c r="Z26" s="48"/>
      <c r="AA26" s="48"/>
      <c r="AB26" s="50"/>
      <c r="AF26"/>
      <c r="AG26"/>
      <c r="AH26" s="23"/>
      <c r="AI26" s="23"/>
      <c r="AJ26"/>
      <c r="AV26" t="s">
        <v>168</v>
      </c>
      <c r="AW26" s="20"/>
      <c r="AX26" s="20"/>
      <c r="AY26" s="20"/>
      <c r="AZ26" s="20"/>
      <c r="BA26" s="20"/>
      <c r="BT26" s="23" t="s">
        <v>186</v>
      </c>
      <c r="BU26">
        <v>1</v>
      </c>
      <c r="BV26" s="23"/>
      <c r="BW26" s="23" t="s">
        <v>186</v>
      </c>
      <c r="BX26">
        <v>1</v>
      </c>
    </row>
    <row r="27" spans="1:76" ht="16" x14ac:dyDescent="0.35">
      <c r="A27" s="93"/>
      <c r="B27" s="31"/>
      <c r="C27" s="31"/>
      <c r="D27" s="94"/>
      <c r="E27" s="31"/>
      <c r="F27" s="31"/>
      <c r="G27" t="s">
        <v>176</v>
      </c>
      <c r="H27" s="32"/>
      <c r="I27" s="32"/>
      <c r="J27" s="32"/>
      <c r="L27" s="32"/>
      <c r="M27" s="31"/>
      <c r="N27" s="31"/>
      <c r="O27" s="31"/>
      <c r="Q27" s="83">
        <v>0</v>
      </c>
      <c r="R27" s="52"/>
      <c r="S27" s="52"/>
      <c r="T27" s="52"/>
      <c r="U27" s="52"/>
      <c r="V27" s="52"/>
      <c r="W27" s="52"/>
      <c r="X27" s="52"/>
      <c r="Y27" s="53"/>
      <c r="Z27" s="52"/>
      <c r="AA27" s="52"/>
      <c r="AB27" s="54"/>
      <c r="AF27"/>
      <c r="AG27"/>
      <c r="AH27" s="23"/>
      <c r="AI27" s="23"/>
      <c r="AJ27"/>
      <c r="AV27" t="s">
        <v>167</v>
      </c>
      <c r="AW27" s="20"/>
      <c r="AX27" s="20"/>
      <c r="AY27" s="20"/>
      <c r="AZ27" s="20"/>
      <c r="BA27" s="20"/>
      <c r="BT27" s="23" t="s">
        <v>185</v>
      </c>
      <c r="BU27">
        <v>1</v>
      </c>
      <c r="BV27" s="23"/>
      <c r="BW27" s="23" t="s">
        <v>185</v>
      </c>
      <c r="BX27">
        <v>1</v>
      </c>
    </row>
    <row r="28" spans="1:76" ht="16" x14ac:dyDescent="0.35">
      <c r="A28" s="92"/>
      <c r="B28" s="67"/>
      <c r="C28" s="67"/>
      <c r="D28" s="73"/>
      <c r="E28" s="67"/>
      <c r="F28" s="67"/>
      <c r="G28" t="s">
        <v>169</v>
      </c>
      <c r="H28" s="68"/>
      <c r="I28" s="68"/>
      <c r="J28" s="68"/>
      <c r="L28" s="68"/>
      <c r="M28" s="67"/>
      <c r="N28" s="67"/>
      <c r="O28" s="67"/>
      <c r="Q28" s="83">
        <v>0</v>
      </c>
      <c r="R28" s="48"/>
      <c r="S28" s="48"/>
      <c r="T28" s="48"/>
      <c r="U28" s="48"/>
      <c r="V28" s="48"/>
      <c r="W28" s="48"/>
      <c r="X28" s="48"/>
      <c r="Y28" s="49"/>
      <c r="Z28" s="48"/>
      <c r="AA28" s="48"/>
      <c r="AB28" s="50"/>
      <c r="AF28"/>
      <c r="AG28"/>
      <c r="AH28" s="23"/>
      <c r="AI28" s="23"/>
      <c r="AJ28"/>
      <c r="AV28" t="s">
        <v>167</v>
      </c>
      <c r="AW28" s="20"/>
      <c r="AX28" s="20"/>
      <c r="AY28" s="20"/>
      <c r="AZ28" s="20"/>
      <c r="BA28" s="20"/>
      <c r="BT28" s="23" t="s">
        <v>187</v>
      </c>
      <c r="BU28">
        <v>222</v>
      </c>
      <c r="BV28" s="23"/>
      <c r="BW28" s="23"/>
      <c r="BX28"/>
    </row>
    <row r="29" spans="1:76" ht="16" x14ac:dyDescent="0.35">
      <c r="A29" s="93"/>
      <c r="B29" s="31"/>
      <c r="C29" s="31"/>
      <c r="D29" s="94"/>
      <c r="E29" s="31"/>
      <c r="F29" s="31"/>
      <c r="G29" t="s">
        <v>184</v>
      </c>
      <c r="H29" s="32"/>
      <c r="I29" s="32"/>
      <c r="J29" s="32"/>
      <c r="L29" s="32"/>
      <c r="M29" s="31"/>
      <c r="N29" s="31"/>
      <c r="O29" s="31"/>
      <c r="Q29" s="83">
        <v>2</v>
      </c>
      <c r="R29" s="52"/>
      <c r="S29" s="52"/>
      <c r="T29" s="52"/>
      <c r="U29" s="52"/>
      <c r="V29" s="52"/>
      <c r="W29" s="52"/>
      <c r="X29" s="52"/>
      <c r="Y29" s="53"/>
      <c r="Z29" s="52"/>
      <c r="AA29" s="52"/>
      <c r="AB29" s="54"/>
      <c r="AF29"/>
      <c r="AG29"/>
      <c r="AH29" s="23"/>
      <c r="AI29" s="23"/>
      <c r="AJ29"/>
      <c r="AV29" t="s">
        <v>174</v>
      </c>
      <c r="AW29" s="20"/>
      <c r="AX29" s="20"/>
      <c r="AY29" s="20"/>
      <c r="AZ29" s="20"/>
      <c r="BA29" s="20"/>
      <c r="BT29"/>
      <c r="BU29"/>
      <c r="BV29" s="23"/>
      <c r="BW29" s="23"/>
      <c r="BX29"/>
    </row>
    <row r="30" spans="1:76" ht="16" x14ac:dyDescent="0.35">
      <c r="A30" s="92"/>
      <c r="B30" s="67"/>
      <c r="C30" s="67"/>
      <c r="D30" s="73"/>
      <c r="E30" s="67"/>
      <c r="F30" s="67"/>
      <c r="G30" t="s">
        <v>165</v>
      </c>
      <c r="H30" s="68"/>
      <c r="I30" s="68"/>
      <c r="J30" s="68"/>
      <c r="L30" s="68"/>
      <c r="M30" s="67"/>
      <c r="N30" s="67"/>
      <c r="O30" s="67"/>
      <c r="Q30" s="83">
        <v>0</v>
      </c>
      <c r="R30" s="48"/>
      <c r="S30" s="48"/>
      <c r="T30" s="48"/>
      <c r="U30" s="48"/>
      <c r="V30" s="48"/>
      <c r="W30" s="48"/>
      <c r="X30" s="48"/>
      <c r="Y30" s="49"/>
      <c r="Z30" s="48"/>
      <c r="AA30" s="48"/>
      <c r="AB30" s="50"/>
      <c r="AF30"/>
      <c r="AG30"/>
      <c r="AH30" s="23"/>
      <c r="AI30" s="23"/>
      <c r="AJ30"/>
      <c r="AV30" t="s">
        <v>189</v>
      </c>
      <c r="AW30" s="20"/>
      <c r="AX30" s="20"/>
      <c r="AY30" s="20"/>
      <c r="AZ30" s="20"/>
      <c r="BA30" s="20"/>
      <c r="BT30"/>
      <c r="BU30"/>
      <c r="BV30" s="23"/>
      <c r="BW30" s="23"/>
      <c r="BX30"/>
    </row>
    <row r="31" spans="1:76" ht="16" x14ac:dyDescent="0.35">
      <c r="A31" s="93"/>
      <c r="B31" s="31"/>
      <c r="C31" s="31"/>
      <c r="D31" s="94"/>
      <c r="E31" s="31"/>
      <c r="F31" s="31"/>
      <c r="G31" t="s">
        <v>178</v>
      </c>
      <c r="H31" s="32"/>
      <c r="I31" s="32"/>
      <c r="J31" s="32"/>
      <c r="L31" s="32"/>
      <c r="M31" s="31"/>
      <c r="N31" s="31"/>
      <c r="O31" s="31"/>
      <c r="Q31" s="83">
        <v>0</v>
      </c>
      <c r="R31" s="52"/>
      <c r="S31" s="52"/>
      <c r="T31" s="52"/>
      <c r="U31" s="52"/>
      <c r="V31" s="52"/>
      <c r="W31" s="52"/>
      <c r="X31" s="52"/>
      <c r="Y31" s="53"/>
      <c r="Z31" s="52"/>
      <c r="AA31" s="52"/>
      <c r="AB31" s="54"/>
      <c r="AF31"/>
      <c r="AG31"/>
      <c r="AH31" s="23"/>
      <c r="AI31" s="23"/>
      <c r="AJ31"/>
      <c r="AV31" t="s">
        <v>189</v>
      </c>
      <c r="AW31" s="20"/>
      <c r="AX31" s="20"/>
      <c r="AY31" s="20"/>
      <c r="AZ31" s="20"/>
      <c r="BA31" s="20"/>
      <c r="BT31"/>
      <c r="BU31"/>
      <c r="BV31" s="23"/>
      <c r="BW31" s="23"/>
      <c r="BX31"/>
    </row>
    <row r="32" spans="1:76" ht="16" x14ac:dyDescent="0.35">
      <c r="A32" s="92"/>
      <c r="B32" s="67"/>
      <c r="C32" s="67"/>
      <c r="D32" s="73"/>
      <c r="E32" s="67"/>
      <c r="F32" s="67"/>
      <c r="G32" t="s">
        <v>183</v>
      </c>
      <c r="H32" s="68"/>
      <c r="I32" s="68"/>
      <c r="J32" s="68"/>
      <c r="L32" s="68"/>
      <c r="M32" s="67"/>
      <c r="N32" s="67"/>
      <c r="O32" s="67"/>
      <c r="Q32" s="83">
        <v>0</v>
      </c>
      <c r="R32" s="48"/>
      <c r="S32" s="48"/>
      <c r="T32" s="48"/>
      <c r="U32" s="48"/>
      <c r="V32" s="48"/>
      <c r="W32" s="48"/>
      <c r="X32" s="48"/>
      <c r="Y32" s="49"/>
      <c r="Z32" s="48"/>
      <c r="AA32" s="48"/>
      <c r="AB32" s="50"/>
      <c r="AF32"/>
      <c r="AG32"/>
      <c r="AH32" s="23"/>
      <c r="AI32" s="23"/>
      <c r="AJ32"/>
      <c r="AV32" t="s">
        <v>183</v>
      </c>
      <c r="AW32" s="20"/>
      <c r="AX32" s="20"/>
      <c r="AY32" s="20"/>
      <c r="AZ32" s="20"/>
      <c r="BA32" s="20"/>
      <c r="BT32"/>
      <c r="BU32"/>
      <c r="BV32" s="23"/>
      <c r="BW32" s="23"/>
      <c r="BX32"/>
    </row>
    <row r="33" spans="1:76" ht="16" x14ac:dyDescent="0.35">
      <c r="A33" s="93"/>
      <c r="B33" s="31"/>
      <c r="C33" s="31"/>
      <c r="D33" s="94"/>
      <c r="E33" s="31"/>
      <c r="F33" s="31"/>
      <c r="G33" t="s">
        <v>183</v>
      </c>
      <c r="H33" s="32"/>
      <c r="I33" s="32"/>
      <c r="J33" s="32"/>
      <c r="L33" s="32"/>
      <c r="M33" s="31"/>
      <c r="N33" s="31"/>
      <c r="O33" s="31"/>
      <c r="Q33" s="83">
        <v>0</v>
      </c>
      <c r="R33" s="52"/>
      <c r="S33" s="52"/>
      <c r="T33" s="52"/>
      <c r="U33" s="52"/>
      <c r="V33" s="52"/>
      <c r="W33" s="52"/>
      <c r="X33" s="52"/>
      <c r="Y33" s="53"/>
      <c r="Z33" s="52"/>
      <c r="AA33" s="52"/>
      <c r="AB33" s="54"/>
      <c r="AF33"/>
      <c r="AG33"/>
      <c r="AH33" s="23"/>
      <c r="AI33" s="23"/>
      <c r="AJ33"/>
      <c r="AV33" t="s">
        <v>167</v>
      </c>
      <c r="AW33" s="20"/>
      <c r="AX33" s="20"/>
      <c r="AY33" s="20"/>
      <c r="AZ33" s="20"/>
      <c r="BA33" s="20"/>
      <c r="BT33"/>
      <c r="BU33"/>
      <c r="BV33" s="23"/>
      <c r="BW33" s="23"/>
      <c r="BX33"/>
    </row>
    <row r="34" spans="1:76" ht="16" x14ac:dyDescent="0.35">
      <c r="A34" s="92"/>
      <c r="B34" s="67"/>
      <c r="C34" s="67"/>
      <c r="D34" s="73"/>
      <c r="E34" s="67"/>
      <c r="F34" s="67"/>
      <c r="G34" t="s">
        <v>165</v>
      </c>
      <c r="H34" s="68"/>
      <c r="I34" s="68"/>
      <c r="J34" s="68"/>
      <c r="L34" s="68"/>
      <c r="M34" s="67"/>
      <c r="N34" s="67"/>
      <c r="O34" s="67"/>
      <c r="Q34" s="83">
        <v>0</v>
      </c>
      <c r="R34" s="48"/>
      <c r="S34" s="48"/>
      <c r="T34" s="48"/>
      <c r="U34" s="48"/>
      <c r="V34" s="48"/>
      <c r="W34" s="48"/>
      <c r="X34" s="48"/>
      <c r="Y34" s="49"/>
      <c r="Z34" s="48"/>
      <c r="AA34" s="48"/>
      <c r="AB34" s="50"/>
      <c r="AF34"/>
      <c r="AG34"/>
      <c r="AI34" s="23"/>
      <c r="AJ34"/>
      <c r="AV34" t="s">
        <v>168</v>
      </c>
      <c r="AW34" s="20"/>
      <c r="AX34" s="20"/>
      <c r="AY34" s="20"/>
      <c r="AZ34" s="20"/>
      <c r="BA34" s="20"/>
      <c r="BT34"/>
      <c r="BU34"/>
      <c r="BV34" s="23"/>
      <c r="BW34" s="23"/>
      <c r="BX34"/>
    </row>
    <row r="35" spans="1:76" ht="16" x14ac:dyDescent="0.35">
      <c r="A35" s="93"/>
      <c r="B35" s="31"/>
      <c r="C35" s="31"/>
      <c r="D35" s="94"/>
      <c r="E35" s="31"/>
      <c r="F35" s="31"/>
      <c r="G35" t="s">
        <v>167</v>
      </c>
      <c r="H35" s="32"/>
      <c r="I35" s="32"/>
      <c r="J35" s="32"/>
      <c r="L35" s="32"/>
      <c r="M35" s="31"/>
      <c r="N35" s="31"/>
      <c r="O35" s="31"/>
      <c r="Q35" s="83">
        <v>2</v>
      </c>
      <c r="R35" s="52"/>
      <c r="S35" s="52"/>
      <c r="T35" s="52"/>
      <c r="U35" s="52"/>
      <c r="V35" s="52"/>
      <c r="W35" s="52"/>
      <c r="X35" s="52"/>
      <c r="Y35" s="53"/>
      <c r="Z35" s="52"/>
      <c r="AA35" s="52"/>
      <c r="AB35" s="54"/>
      <c r="AF35"/>
      <c r="AG35"/>
      <c r="AI35" s="23"/>
      <c r="AJ35"/>
      <c r="AV35" t="s">
        <v>167</v>
      </c>
      <c r="AW35" s="20"/>
      <c r="AX35" s="20"/>
      <c r="AY35" s="20"/>
      <c r="AZ35" s="20"/>
      <c r="BA35" s="20"/>
      <c r="BT35"/>
      <c r="BU35"/>
      <c r="BV35" s="23"/>
      <c r="BW35" s="23"/>
      <c r="BX35"/>
    </row>
    <row r="36" spans="1:76" ht="16" x14ac:dyDescent="0.35">
      <c r="A36" s="92"/>
      <c r="B36" s="67"/>
      <c r="C36" s="67"/>
      <c r="D36" s="73"/>
      <c r="E36" s="67"/>
      <c r="F36" s="67"/>
      <c r="G36" t="s">
        <v>178</v>
      </c>
      <c r="H36" s="68"/>
      <c r="I36" s="68"/>
      <c r="J36" s="68"/>
      <c r="L36" s="68"/>
      <c r="M36" s="67"/>
      <c r="N36" s="67"/>
      <c r="O36" s="67"/>
      <c r="Q36" s="83">
        <v>1</v>
      </c>
      <c r="R36" s="48"/>
      <c r="S36" s="48"/>
      <c r="T36" s="48"/>
      <c r="U36" s="48"/>
      <c r="V36" s="48"/>
      <c r="W36" s="48"/>
      <c r="X36" s="48"/>
      <c r="Y36" s="49"/>
      <c r="Z36" s="48"/>
      <c r="AA36" s="48"/>
      <c r="AB36" s="50"/>
      <c r="AF36"/>
      <c r="AG36"/>
      <c r="AI36" s="23"/>
      <c r="AJ36"/>
      <c r="AV36" t="s">
        <v>189</v>
      </c>
      <c r="AW36" s="20"/>
      <c r="AX36" s="20"/>
      <c r="AY36" s="20"/>
      <c r="AZ36" s="20"/>
      <c r="BA36" s="20"/>
      <c r="BT36"/>
      <c r="BU36"/>
      <c r="BV36" s="23"/>
      <c r="BW36" s="23"/>
      <c r="BX36"/>
    </row>
    <row r="37" spans="1:76" ht="16" x14ac:dyDescent="0.35">
      <c r="A37" s="93"/>
      <c r="B37" s="31"/>
      <c r="C37" s="31"/>
      <c r="D37" s="94"/>
      <c r="E37" s="31"/>
      <c r="F37" s="31"/>
      <c r="G37" t="s">
        <v>178</v>
      </c>
      <c r="H37" s="32"/>
      <c r="I37" s="32"/>
      <c r="J37" s="32"/>
      <c r="L37" s="32"/>
      <c r="M37" s="31"/>
      <c r="N37" s="31"/>
      <c r="O37" s="31"/>
      <c r="Q37" s="83">
        <v>0</v>
      </c>
      <c r="R37" s="52"/>
      <c r="S37" s="52"/>
      <c r="T37" s="52"/>
      <c r="U37" s="52"/>
      <c r="V37" s="52"/>
      <c r="W37" s="52"/>
      <c r="X37" s="52"/>
      <c r="Y37" s="53"/>
      <c r="Z37" s="52"/>
      <c r="AA37" s="52"/>
      <c r="AB37" s="54"/>
      <c r="AF37"/>
      <c r="AG37"/>
      <c r="AI37" s="23"/>
      <c r="AJ37"/>
      <c r="AV37" t="s">
        <v>169</v>
      </c>
      <c r="AW37" s="20"/>
      <c r="AX37" s="20"/>
      <c r="AY37" s="20"/>
      <c r="AZ37" s="20"/>
      <c r="BA37" s="20"/>
      <c r="BT37"/>
      <c r="BU37"/>
      <c r="BV37" s="23"/>
      <c r="BW37" s="23"/>
      <c r="BX37"/>
    </row>
    <row r="38" spans="1:76" ht="16" x14ac:dyDescent="0.35">
      <c r="A38" s="92"/>
      <c r="B38" s="67"/>
      <c r="C38" s="67"/>
      <c r="D38" s="73"/>
      <c r="E38" s="67"/>
      <c r="F38" s="67"/>
      <c r="G38" t="s">
        <v>175</v>
      </c>
      <c r="H38" s="68"/>
      <c r="I38" s="68"/>
      <c r="J38" s="68"/>
      <c r="L38" s="68"/>
      <c r="M38" s="67"/>
      <c r="N38" s="67"/>
      <c r="O38" s="67"/>
      <c r="Q38" s="83">
        <v>0</v>
      </c>
      <c r="R38" s="48"/>
      <c r="S38" s="48"/>
      <c r="T38" s="48"/>
      <c r="U38" s="48"/>
      <c r="V38" s="48"/>
      <c r="W38" s="48"/>
      <c r="X38" s="48"/>
      <c r="Y38" s="49"/>
      <c r="Z38" s="48"/>
      <c r="AA38" s="48"/>
      <c r="AB38" s="50"/>
      <c r="AF38"/>
      <c r="AG38"/>
      <c r="AI38" s="23"/>
      <c r="AJ38"/>
      <c r="AV38" t="s">
        <v>204</v>
      </c>
      <c r="AW38" s="20"/>
      <c r="AX38" s="20"/>
      <c r="AY38" s="20"/>
      <c r="AZ38" s="20"/>
      <c r="BA38" s="20"/>
      <c r="BT38"/>
      <c r="BU38"/>
      <c r="BV38" s="23"/>
      <c r="BW38" s="23"/>
      <c r="BX38"/>
    </row>
    <row r="39" spans="1:76" ht="16" x14ac:dyDescent="0.35">
      <c r="A39" s="93"/>
      <c r="B39" s="31"/>
      <c r="C39" s="31"/>
      <c r="D39" s="94"/>
      <c r="E39" s="31"/>
      <c r="F39" s="31"/>
      <c r="G39" t="s">
        <v>176</v>
      </c>
      <c r="H39" s="32"/>
      <c r="I39" s="32"/>
      <c r="J39" s="32"/>
      <c r="L39" s="32"/>
      <c r="M39" s="31"/>
      <c r="N39" s="31"/>
      <c r="O39" s="31"/>
      <c r="Q39" s="83">
        <v>0</v>
      </c>
      <c r="R39" s="52"/>
      <c r="S39" s="52"/>
      <c r="T39" s="52"/>
      <c r="U39" s="52"/>
      <c r="V39" s="52"/>
      <c r="W39" s="52"/>
      <c r="X39" s="52"/>
      <c r="Y39" s="53"/>
      <c r="Z39" s="52"/>
      <c r="AA39" s="52"/>
      <c r="AB39" s="54"/>
      <c r="AF39"/>
      <c r="AG39"/>
      <c r="AI39" s="23"/>
      <c r="AJ39"/>
      <c r="AV39" t="s">
        <v>180</v>
      </c>
      <c r="AW39" s="20"/>
      <c r="AX39" s="20"/>
      <c r="AY39" s="20"/>
      <c r="AZ39" s="20"/>
      <c r="BA39" s="20"/>
      <c r="BT39"/>
      <c r="BU39"/>
      <c r="BV39" s="23"/>
      <c r="BW39" s="23"/>
      <c r="BX39"/>
    </row>
    <row r="40" spans="1:76" ht="16" x14ac:dyDescent="0.35">
      <c r="A40" s="92"/>
      <c r="B40" s="67"/>
      <c r="C40" s="67"/>
      <c r="D40" s="73"/>
      <c r="E40" s="67"/>
      <c r="F40" s="67"/>
      <c r="G40" t="s">
        <v>176</v>
      </c>
      <c r="H40" s="68"/>
      <c r="I40" s="68"/>
      <c r="J40" s="68"/>
      <c r="L40" s="68"/>
      <c r="M40" s="67"/>
      <c r="N40" s="67"/>
      <c r="O40" s="67"/>
      <c r="Q40" s="83">
        <v>0</v>
      </c>
      <c r="R40" s="48"/>
      <c r="S40" s="48"/>
      <c r="T40" s="48"/>
      <c r="U40" s="48"/>
      <c r="V40" s="48"/>
      <c r="W40" s="48"/>
      <c r="X40" s="48"/>
      <c r="Y40" s="49"/>
      <c r="Z40" s="48"/>
      <c r="AA40" s="48"/>
      <c r="AB40" s="50"/>
      <c r="AF40"/>
      <c r="AG40"/>
      <c r="AI40" s="23" t="s">
        <v>237</v>
      </c>
      <c r="AJ40">
        <v>1</v>
      </c>
      <c r="AV40" t="s">
        <v>167</v>
      </c>
      <c r="AW40" s="20"/>
      <c r="AX40" s="20"/>
      <c r="AY40" s="20"/>
      <c r="AZ40" s="20"/>
      <c r="BA40" s="20"/>
      <c r="BT40"/>
      <c r="BU40"/>
      <c r="BV40" s="23"/>
      <c r="BW40" s="23"/>
      <c r="BX40"/>
    </row>
    <row r="41" spans="1:76" ht="16" x14ac:dyDescent="0.35">
      <c r="A41" s="93"/>
      <c r="B41" s="31"/>
      <c r="C41" s="31"/>
      <c r="D41" s="94"/>
      <c r="E41" s="31"/>
      <c r="F41" s="31"/>
      <c r="G41" t="s">
        <v>167</v>
      </c>
      <c r="H41" s="32"/>
      <c r="I41" s="32"/>
      <c r="J41" s="32"/>
      <c r="L41" s="32"/>
      <c r="M41" s="31"/>
      <c r="N41" s="31"/>
      <c r="O41" s="31"/>
      <c r="Q41" s="83">
        <v>1</v>
      </c>
      <c r="R41" s="52"/>
      <c r="S41" s="52"/>
      <c r="T41" s="52"/>
      <c r="U41" s="52"/>
      <c r="V41" s="52"/>
      <c r="W41" s="52"/>
      <c r="X41" s="52"/>
      <c r="Y41" s="53"/>
      <c r="Z41" s="52"/>
      <c r="AA41" s="52"/>
      <c r="AB41" s="54"/>
      <c r="AF41"/>
      <c r="AG41"/>
      <c r="AV41" t="s">
        <v>216</v>
      </c>
      <c r="AW41" s="20"/>
      <c r="AX41" s="20"/>
      <c r="AY41" s="20"/>
      <c r="AZ41" s="20"/>
      <c r="BA41" s="20"/>
      <c r="BT41"/>
      <c r="BU41"/>
      <c r="BV41" s="23"/>
      <c r="BW41" s="23"/>
      <c r="BX41"/>
    </row>
    <row r="42" spans="1:76" ht="16" x14ac:dyDescent="0.35">
      <c r="A42" s="92"/>
      <c r="B42" s="67"/>
      <c r="C42" s="67"/>
      <c r="D42" s="73"/>
      <c r="E42" s="67"/>
      <c r="F42" s="67"/>
      <c r="G42" t="s">
        <v>183</v>
      </c>
      <c r="H42" s="68"/>
      <c r="I42" s="68"/>
      <c r="J42" s="68"/>
      <c r="L42" s="68"/>
      <c r="M42" s="67"/>
      <c r="N42" s="67"/>
      <c r="O42" s="67"/>
      <c r="Q42" s="83">
        <v>0</v>
      </c>
      <c r="R42" s="48"/>
      <c r="S42" s="48"/>
      <c r="T42" s="48"/>
      <c r="U42" s="48"/>
      <c r="V42" s="48"/>
      <c r="W42" s="48"/>
      <c r="X42" s="48"/>
      <c r="Y42" s="49"/>
      <c r="Z42" s="48"/>
      <c r="AA42" s="48"/>
      <c r="AB42" s="50"/>
      <c r="AF42"/>
      <c r="AG42"/>
      <c r="AV42" t="s">
        <v>174</v>
      </c>
      <c r="AW42" s="20"/>
      <c r="AX42" s="20"/>
      <c r="AY42" s="20"/>
      <c r="AZ42" s="20"/>
      <c r="BA42" s="20"/>
      <c r="BT42"/>
      <c r="BU42"/>
      <c r="BV42" s="23"/>
      <c r="BW42" s="23"/>
      <c r="BX42"/>
    </row>
    <row r="43" spans="1:76" ht="16" x14ac:dyDescent="0.35">
      <c r="A43" s="93"/>
      <c r="B43" s="31"/>
      <c r="C43" s="31"/>
      <c r="D43" s="94"/>
      <c r="E43" s="31"/>
      <c r="F43" s="31"/>
      <c r="G43" t="s">
        <v>174</v>
      </c>
      <c r="H43" s="32"/>
      <c r="I43" s="32"/>
      <c r="J43" s="32"/>
      <c r="L43" s="32"/>
      <c r="M43" s="31"/>
      <c r="N43" s="31"/>
      <c r="O43" s="31"/>
      <c r="Q43" s="83">
        <v>0</v>
      </c>
      <c r="R43" s="52"/>
      <c r="S43" s="52"/>
      <c r="T43" s="52"/>
      <c r="U43" s="52"/>
      <c r="V43" s="52"/>
      <c r="W43" s="52"/>
      <c r="X43" s="52"/>
      <c r="Y43" s="53"/>
      <c r="Z43" s="52"/>
      <c r="AA43" s="52"/>
      <c r="AB43" s="54"/>
      <c r="AF43"/>
      <c r="AG43"/>
      <c r="AV43" t="s">
        <v>175</v>
      </c>
      <c r="AW43" s="20"/>
      <c r="AX43" s="20"/>
      <c r="AY43" s="20"/>
      <c r="AZ43" s="20"/>
      <c r="BA43" s="20"/>
      <c r="BT43"/>
      <c r="BU43"/>
      <c r="BV43" s="23"/>
      <c r="BW43" s="23"/>
      <c r="BX43"/>
    </row>
    <row r="44" spans="1:76" ht="16" x14ac:dyDescent="0.35">
      <c r="A44" s="92"/>
      <c r="B44" s="67"/>
      <c r="C44" s="67"/>
      <c r="D44" s="73"/>
      <c r="E44" s="67"/>
      <c r="F44" s="67"/>
      <c r="G44" t="s">
        <v>175</v>
      </c>
      <c r="H44" s="68"/>
      <c r="I44" s="68"/>
      <c r="J44" s="68"/>
      <c r="L44" s="68"/>
      <c r="M44" s="67"/>
      <c r="N44" s="67"/>
      <c r="O44" s="67"/>
      <c r="Q44" s="83">
        <v>0</v>
      </c>
      <c r="R44" s="48"/>
      <c r="S44" s="48"/>
      <c r="T44" s="48"/>
      <c r="U44" s="48"/>
      <c r="V44" s="48"/>
      <c r="W44" s="48"/>
      <c r="X44" s="48"/>
      <c r="Y44" s="49"/>
      <c r="Z44" s="48"/>
      <c r="AA44" s="48"/>
      <c r="AB44" s="50"/>
      <c r="AV44" t="s">
        <v>175</v>
      </c>
      <c r="AW44" s="20"/>
      <c r="AX44" s="20"/>
      <c r="AY44" s="20"/>
      <c r="AZ44" s="20"/>
      <c r="BA44" s="20"/>
      <c r="BT44"/>
      <c r="BU44"/>
      <c r="BV44" s="23"/>
      <c r="BW44" s="23"/>
      <c r="BX44"/>
    </row>
    <row r="45" spans="1:76" ht="16" x14ac:dyDescent="0.35">
      <c r="A45" s="93"/>
      <c r="B45" s="31"/>
      <c r="C45" s="31"/>
      <c r="D45" s="94"/>
      <c r="E45" s="31"/>
      <c r="F45" s="31"/>
      <c r="G45" t="s">
        <v>167</v>
      </c>
      <c r="H45" s="32"/>
      <c r="I45" s="32"/>
      <c r="J45" s="32"/>
      <c r="L45" s="32"/>
      <c r="M45" s="31"/>
      <c r="N45" s="31"/>
      <c r="O45" s="31"/>
      <c r="Q45" s="83">
        <v>0</v>
      </c>
      <c r="R45" s="52"/>
      <c r="S45" s="52"/>
      <c r="T45" s="52"/>
      <c r="U45" s="52"/>
      <c r="V45" s="52"/>
      <c r="W45" s="52"/>
      <c r="X45" s="52"/>
      <c r="Y45" s="53"/>
      <c r="Z45" s="52"/>
      <c r="AA45" s="52"/>
      <c r="AB45" s="54"/>
      <c r="AV45" t="s">
        <v>180</v>
      </c>
      <c r="AW45" s="20"/>
      <c r="AX45" s="20"/>
      <c r="AY45" s="20"/>
      <c r="AZ45" s="20"/>
      <c r="BA45" s="20"/>
      <c r="BT45"/>
      <c r="BU45"/>
      <c r="BV45" s="23"/>
      <c r="BW45" s="23"/>
      <c r="BX45"/>
    </row>
    <row r="46" spans="1:76" ht="16" x14ac:dyDescent="0.35">
      <c r="A46" s="92"/>
      <c r="B46" s="67"/>
      <c r="C46" s="67"/>
      <c r="D46" s="73"/>
      <c r="E46" s="67"/>
      <c r="F46" s="67"/>
      <c r="G46" t="s">
        <v>180</v>
      </c>
      <c r="H46" s="68"/>
      <c r="I46" s="68"/>
      <c r="J46" s="68"/>
      <c r="L46" s="68"/>
      <c r="M46" s="67"/>
      <c r="N46" s="67"/>
      <c r="O46" s="67"/>
      <c r="Q46" s="83">
        <v>0</v>
      </c>
      <c r="R46" s="48"/>
      <c r="S46" s="48"/>
      <c r="T46" s="48"/>
      <c r="U46" s="48"/>
      <c r="V46" s="48"/>
      <c r="W46" s="48"/>
      <c r="X46" s="48"/>
      <c r="Y46" s="49"/>
      <c r="Z46" s="48"/>
      <c r="AA46" s="48"/>
      <c r="AB46" s="50"/>
      <c r="AV46" t="s">
        <v>175</v>
      </c>
      <c r="AW46" s="20"/>
      <c r="AX46" s="20"/>
      <c r="AY46" s="20"/>
      <c r="AZ46" s="20"/>
      <c r="BA46" s="20"/>
      <c r="BT46"/>
      <c r="BU46"/>
      <c r="BV46" s="23"/>
      <c r="BW46" s="23"/>
      <c r="BX46"/>
    </row>
    <row r="47" spans="1:76" ht="16" x14ac:dyDescent="0.35">
      <c r="A47" s="93"/>
      <c r="B47" s="31"/>
      <c r="C47" s="31"/>
      <c r="D47" s="94"/>
      <c r="E47" s="31"/>
      <c r="F47" s="31"/>
      <c r="G47" t="s">
        <v>183</v>
      </c>
      <c r="H47" s="32"/>
      <c r="I47" s="32"/>
      <c r="J47" s="32"/>
      <c r="L47" s="32"/>
      <c r="M47" s="31"/>
      <c r="N47" s="31"/>
      <c r="O47" s="31"/>
      <c r="Q47" s="83">
        <v>0</v>
      </c>
      <c r="R47" s="52"/>
      <c r="S47" s="52"/>
      <c r="T47" s="52"/>
      <c r="U47" s="52"/>
      <c r="V47" s="52"/>
      <c r="W47" s="52"/>
      <c r="X47" s="52"/>
      <c r="Y47" s="53"/>
      <c r="Z47" s="52"/>
      <c r="AA47" s="52"/>
      <c r="AB47" s="54"/>
      <c r="AV47" t="s">
        <v>175</v>
      </c>
      <c r="AW47" s="20"/>
      <c r="AX47" s="20"/>
      <c r="AY47" s="20"/>
      <c r="AZ47" s="20"/>
      <c r="BA47" s="20"/>
      <c r="BT47"/>
      <c r="BU47"/>
      <c r="BV47" s="23"/>
      <c r="BW47"/>
      <c r="BX47"/>
    </row>
    <row r="48" spans="1:76" ht="16" x14ac:dyDescent="0.35">
      <c r="A48" s="92"/>
      <c r="B48" s="67"/>
      <c r="C48" s="67"/>
      <c r="D48" s="73"/>
      <c r="E48" s="67"/>
      <c r="F48" s="67"/>
      <c r="G48" t="s">
        <v>180</v>
      </c>
      <c r="H48" s="68"/>
      <c r="I48" s="68"/>
      <c r="J48" s="68"/>
      <c r="L48" s="68"/>
      <c r="M48" s="67"/>
      <c r="N48" s="67"/>
      <c r="O48" s="67"/>
      <c r="Q48" s="83">
        <v>0</v>
      </c>
      <c r="R48" s="48"/>
      <c r="S48" s="48"/>
      <c r="T48" s="48"/>
      <c r="U48" s="48"/>
      <c r="V48" s="48"/>
      <c r="W48" s="48"/>
      <c r="X48" s="48"/>
      <c r="Y48" s="49"/>
      <c r="Z48" s="48"/>
      <c r="AA48" s="48"/>
      <c r="AB48" s="50"/>
      <c r="AV48" t="s">
        <v>180</v>
      </c>
      <c r="AW48" s="20"/>
      <c r="AX48" s="20"/>
      <c r="AY48" s="20"/>
      <c r="AZ48" s="20"/>
      <c r="BA48" s="20"/>
      <c r="BT48"/>
      <c r="BU48"/>
      <c r="BV48" s="23"/>
      <c r="BW48"/>
      <c r="BX48"/>
    </row>
    <row r="49" spans="1:76" ht="16" x14ac:dyDescent="0.35">
      <c r="A49" s="93"/>
      <c r="B49" s="31"/>
      <c r="C49" s="31"/>
      <c r="D49" s="94"/>
      <c r="E49" s="31"/>
      <c r="F49" s="31"/>
      <c r="G49" t="s">
        <v>174</v>
      </c>
      <c r="H49" s="32"/>
      <c r="I49" s="32"/>
      <c r="J49" s="32"/>
      <c r="L49" s="32"/>
      <c r="M49" s="31"/>
      <c r="N49" s="31"/>
      <c r="O49" s="31"/>
      <c r="Q49" s="83">
        <v>0</v>
      </c>
      <c r="R49" s="52"/>
      <c r="S49" s="52"/>
      <c r="T49" s="52"/>
      <c r="U49" s="52"/>
      <c r="V49" s="52"/>
      <c r="W49" s="52"/>
      <c r="X49" s="52"/>
      <c r="Y49" s="53"/>
      <c r="Z49" s="52"/>
      <c r="AA49" s="52"/>
      <c r="AB49" s="54"/>
      <c r="AV49" t="s">
        <v>175</v>
      </c>
      <c r="AW49" s="20"/>
      <c r="AX49" s="20"/>
      <c r="AY49" s="20"/>
      <c r="AZ49" s="20"/>
      <c r="BA49" s="20"/>
      <c r="BT49"/>
      <c r="BU49"/>
      <c r="BV49" s="23"/>
      <c r="BW49"/>
      <c r="BX49"/>
    </row>
    <row r="50" spans="1:76" ht="16" x14ac:dyDescent="0.35">
      <c r="A50" s="92"/>
      <c r="B50" s="67"/>
      <c r="C50" s="67"/>
      <c r="D50" s="73"/>
      <c r="E50" s="67"/>
      <c r="F50" s="67"/>
      <c r="G50" t="s">
        <v>205</v>
      </c>
      <c r="H50" s="68"/>
      <c r="I50" s="68"/>
      <c r="J50" s="68"/>
      <c r="L50" s="68"/>
      <c r="M50" s="67"/>
      <c r="N50" s="67"/>
      <c r="O50" s="67"/>
      <c r="Q50" s="83">
        <v>3</v>
      </c>
      <c r="R50" s="48"/>
      <c r="S50" s="48"/>
      <c r="T50" s="48"/>
      <c r="U50" s="48"/>
      <c r="V50" s="48"/>
      <c r="W50" s="48"/>
      <c r="X50" s="48"/>
      <c r="Y50" s="49"/>
      <c r="Z50" s="48"/>
      <c r="AA50" s="48"/>
      <c r="AB50" s="50"/>
      <c r="AV50" t="s">
        <v>175</v>
      </c>
      <c r="AW50" s="20"/>
      <c r="AX50" s="20"/>
      <c r="AY50" s="20"/>
      <c r="AZ50" s="20"/>
      <c r="BA50" s="20"/>
      <c r="BT50"/>
      <c r="BU50"/>
      <c r="BV50" s="23"/>
      <c r="BW50"/>
      <c r="BX50"/>
    </row>
    <row r="51" spans="1:76" ht="16" x14ac:dyDescent="0.35">
      <c r="A51" s="93"/>
      <c r="B51" s="31"/>
      <c r="C51" s="31"/>
      <c r="D51" s="94"/>
      <c r="E51" s="31"/>
      <c r="F51" s="31"/>
      <c r="G51" t="s">
        <v>205</v>
      </c>
      <c r="H51" s="32"/>
      <c r="I51" s="32"/>
      <c r="J51" s="32"/>
      <c r="L51" s="32"/>
      <c r="M51" s="31"/>
      <c r="N51" s="31"/>
      <c r="O51" s="31"/>
      <c r="Q51" s="83">
        <v>3</v>
      </c>
      <c r="R51" s="52"/>
      <c r="S51" s="52"/>
      <c r="T51" s="52"/>
      <c r="U51" s="52"/>
      <c r="V51" s="52"/>
      <c r="W51" s="52"/>
      <c r="X51" s="52"/>
      <c r="Y51" s="53"/>
      <c r="Z51" s="52"/>
      <c r="AA51" s="52"/>
      <c r="AB51" s="54"/>
      <c r="AV51" t="s">
        <v>176</v>
      </c>
      <c r="AW51" s="20"/>
      <c r="AX51" s="20"/>
      <c r="AY51" s="20"/>
      <c r="AZ51" s="20"/>
      <c r="BA51" s="20"/>
      <c r="BT51"/>
      <c r="BU51"/>
      <c r="BV51" s="23"/>
      <c r="BW51"/>
      <c r="BX51"/>
    </row>
    <row r="52" spans="1:76" ht="16" x14ac:dyDescent="0.35">
      <c r="A52" s="92"/>
      <c r="B52" s="67"/>
      <c r="C52" s="67"/>
      <c r="D52" s="73"/>
      <c r="E52" s="67"/>
      <c r="F52" s="67"/>
      <c r="G52" t="s">
        <v>184</v>
      </c>
      <c r="H52" s="68"/>
      <c r="I52" s="68"/>
      <c r="J52" s="68"/>
      <c r="L52" s="68"/>
      <c r="M52" s="67"/>
      <c r="N52" s="67"/>
      <c r="O52" s="67"/>
      <c r="Q52" s="83">
        <v>0</v>
      </c>
      <c r="R52" s="48"/>
      <c r="S52" s="48"/>
      <c r="T52" s="48"/>
      <c r="U52" s="48"/>
      <c r="V52" s="48"/>
      <c r="W52" s="48"/>
      <c r="X52" s="48"/>
      <c r="Y52" s="49"/>
      <c r="Z52" s="48"/>
      <c r="AA52" s="48"/>
      <c r="AB52" s="50"/>
      <c r="AV52" t="s">
        <v>173</v>
      </c>
      <c r="AW52" s="20"/>
      <c r="AX52" s="20"/>
      <c r="AY52" s="20"/>
      <c r="AZ52" s="20"/>
      <c r="BA52" s="20"/>
      <c r="BT52"/>
      <c r="BU52"/>
      <c r="BV52" s="23"/>
      <c r="BW52"/>
      <c r="BX52"/>
    </row>
    <row r="53" spans="1:76" ht="16" x14ac:dyDescent="0.35">
      <c r="A53" s="93"/>
      <c r="B53" s="31"/>
      <c r="C53" s="31"/>
      <c r="D53" s="94"/>
      <c r="E53" s="31"/>
      <c r="F53" s="31"/>
      <c r="G53" t="s">
        <v>176</v>
      </c>
      <c r="H53" s="32"/>
      <c r="I53" s="32"/>
      <c r="J53" s="32"/>
      <c r="L53" s="32"/>
      <c r="M53" s="31"/>
      <c r="N53" s="31"/>
      <c r="O53" s="31"/>
      <c r="Q53" s="83">
        <v>0</v>
      </c>
      <c r="R53" s="52"/>
      <c r="S53" s="52"/>
      <c r="T53" s="52"/>
      <c r="U53" s="52"/>
      <c r="V53" s="52"/>
      <c r="W53" s="52"/>
      <c r="X53" s="52"/>
      <c r="Y53" s="53"/>
      <c r="Z53" s="52"/>
      <c r="AA53" s="52"/>
      <c r="AB53" s="54"/>
      <c r="AV53" t="s">
        <v>216</v>
      </c>
      <c r="AW53" s="20"/>
      <c r="AX53" s="20"/>
      <c r="AY53" s="20"/>
      <c r="AZ53" s="20"/>
      <c r="BA53" s="20"/>
      <c r="BT53"/>
      <c r="BU53"/>
      <c r="BV53" s="23"/>
      <c r="BW53"/>
      <c r="BX53"/>
    </row>
    <row r="54" spans="1:76" ht="16" x14ac:dyDescent="0.35">
      <c r="A54" s="92"/>
      <c r="B54" s="67"/>
      <c r="C54" s="67"/>
      <c r="D54" s="73"/>
      <c r="E54" s="67"/>
      <c r="F54" s="67"/>
      <c r="G54" t="s">
        <v>180</v>
      </c>
      <c r="H54" s="68"/>
      <c r="I54" s="68"/>
      <c r="J54" s="68"/>
      <c r="L54" s="68"/>
      <c r="M54" s="67"/>
      <c r="N54" s="67"/>
      <c r="O54" s="67"/>
      <c r="Q54" s="83">
        <v>0</v>
      </c>
      <c r="R54" s="48"/>
      <c r="S54" s="48"/>
      <c r="T54" s="48"/>
      <c r="U54" s="48"/>
      <c r="V54" s="48"/>
      <c r="W54" s="48"/>
      <c r="X54" s="48"/>
      <c r="Y54" s="49"/>
      <c r="Z54" s="48"/>
      <c r="AA54" s="48"/>
      <c r="AB54" s="50"/>
      <c r="AV54" t="s">
        <v>204</v>
      </c>
      <c r="AW54" s="20"/>
      <c r="AX54" s="20"/>
      <c r="AY54" s="20"/>
      <c r="AZ54" s="20"/>
      <c r="BA54" s="20"/>
      <c r="BT54"/>
      <c r="BU54"/>
      <c r="BV54" s="23"/>
      <c r="BW54"/>
      <c r="BX54"/>
    </row>
    <row r="55" spans="1:76" ht="16" x14ac:dyDescent="0.35">
      <c r="A55" s="93"/>
      <c r="B55" s="31"/>
      <c r="C55" s="31"/>
      <c r="D55" s="94"/>
      <c r="E55" s="31"/>
      <c r="F55" s="31"/>
      <c r="G55" t="s">
        <v>180</v>
      </c>
      <c r="H55" s="32"/>
      <c r="I55" s="32"/>
      <c r="J55" s="32"/>
      <c r="L55" s="32"/>
      <c r="M55" s="31"/>
      <c r="N55" s="31"/>
      <c r="O55" s="31"/>
      <c r="Q55" s="83">
        <v>0</v>
      </c>
      <c r="R55" s="52"/>
      <c r="S55" s="52"/>
      <c r="T55" s="52"/>
      <c r="U55" s="52"/>
      <c r="V55" s="52"/>
      <c r="W55" s="52"/>
      <c r="X55" s="52"/>
      <c r="Y55" s="53"/>
      <c r="Z55" s="52"/>
      <c r="AA55" s="52"/>
      <c r="AB55" s="54"/>
      <c r="AV55" t="s">
        <v>167</v>
      </c>
      <c r="AW55" s="20"/>
      <c r="AX55" s="20"/>
      <c r="AY55" s="20"/>
      <c r="AZ55" s="20"/>
      <c r="BA55" s="20"/>
      <c r="BT55"/>
      <c r="BU55"/>
      <c r="BW55"/>
      <c r="BX55"/>
    </row>
    <row r="56" spans="1:76" ht="16" x14ac:dyDescent="0.35">
      <c r="A56" s="92"/>
      <c r="B56" s="67"/>
      <c r="C56" s="67"/>
      <c r="D56" s="73"/>
      <c r="E56" s="67"/>
      <c r="F56" s="67"/>
      <c r="G56" t="s">
        <v>175</v>
      </c>
      <c r="H56" s="68"/>
      <c r="I56" s="68"/>
      <c r="J56" s="68"/>
      <c r="L56" s="68"/>
      <c r="M56" s="67"/>
      <c r="N56" s="67"/>
      <c r="O56" s="67"/>
      <c r="Q56" s="83">
        <v>0</v>
      </c>
      <c r="R56" s="48"/>
      <c r="S56" s="48"/>
      <c r="T56" s="48"/>
      <c r="U56" s="48"/>
      <c r="V56" s="48"/>
      <c r="W56" s="48"/>
      <c r="X56" s="48"/>
      <c r="Y56" s="49"/>
      <c r="Z56" s="48"/>
      <c r="AA56" s="48"/>
      <c r="AB56" s="50"/>
      <c r="AV56" t="s">
        <v>177</v>
      </c>
      <c r="AW56" s="20"/>
      <c r="AX56" s="20"/>
      <c r="AY56" s="20"/>
      <c r="AZ56" s="20"/>
      <c r="BA56" s="20"/>
      <c r="BT56"/>
      <c r="BU56"/>
      <c r="BW56"/>
      <c r="BX56"/>
    </row>
    <row r="57" spans="1:76" ht="16" x14ac:dyDescent="0.35">
      <c r="A57" s="93"/>
      <c r="B57" s="31"/>
      <c r="C57" s="31"/>
      <c r="D57" s="94"/>
      <c r="E57" s="31"/>
      <c r="F57" s="31"/>
      <c r="G57" t="s">
        <v>175</v>
      </c>
      <c r="H57" s="32"/>
      <c r="I57" s="32"/>
      <c r="J57" s="32"/>
      <c r="L57" s="32"/>
      <c r="M57" s="31"/>
      <c r="N57" s="31"/>
      <c r="O57" s="31"/>
      <c r="Q57" s="83">
        <v>0</v>
      </c>
      <c r="R57" s="52"/>
      <c r="S57" s="52"/>
      <c r="T57" s="52"/>
      <c r="U57" s="52"/>
      <c r="V57" s="52"/>
      <c r="W57" s="52"/>
      <c r="X57" s="52"/>
      <c r="Y57" s="53"/>
      <c r="Z57" s="52"/>
      <c r="AA57" s="52"/>
      <c r="AB57" s="54"/>
      <c r="AV57" t="s">
        <v>184</v>
      </c>
      <c r="AW57" s="20"/>
      <c r="AX57" s="20"/>
      <c r="AY57" s="20"/>
      <c r="AZ57" s="20"/>
      <c r="BA57" s="20"/>
      <c r="BT57"/>
      <c r="BU57"/>
      <c r="BW57"/>
      <c r="BX57"/>
    </row>
    <row r="58" spans="1:76" ht="16" x14ac:dyDescent="0.35">
      <c r="A58" s="92"/>
      <c r="B58" s="67"/>
      <c r="C58" s="67"/>
      <c r="D58" s="73"/>
      <c r="E58" s="67"/>
      <c r="F58" s="67"/>
      <c r="G58" t="s">
        <v>175</v>
      </c>
      <c r="H58" s="68"/>
      <c r="I58" s="68"/>
      <c r="J58" s="68"/>
      <c r="L58" s="68"/>
      <c r="M58" s="67"/>
      <c r="N58" s="67"/>
      <c r="O58" s="67"/>
      <c r="Q58" s="83">
        <v>0</v>
      </c>
      <c r="R58" s="48"/>
      <c r="S58" s="48"/>
      <c r="T58" s="48"/>
      <c r="U58" s="48"/>
      <c r="V58" s="48"/>
      <c r="W58" s="48"/>
      <c r="X58" s="48"/>
      <c r="Y58" s="49"/>
      <c r="Z58" s="48"/>
      <c r="AA58" s="48"/>
      <c r="AB58" s="50"/>
      <c r="AV58" t="s">
        <v>175</v>
      </c>
      <c r="AW58" s="20"/>
      <c r="AX58" s="20"/>
      <c r="AY58" s="20"/>
      <c r="AZ58" s="20"/>
      <c r="BA58" s="20"/>
      <c r="BT58"/>
      <c r="BU58"/>
      <c r="BW58"/>
      <c r="BX58"/>
    </row>
    <row r="59" spans="1:76" ht="16" x14ac:dyDescent="0.35">
      <c r="A59" s="93"/>
      <c r="B59" s="31"/>
      <c r="C59" s="31"/>
      <c r="D59" s="94"/>
      <c r="E59" s="31"/>
      <c r="F59" s="31"/>
      <c r="G59" t="s">
        <v>168</v>
      </c>
      <c r="H59" s="32"/>
      <c r="I59" s="32"/>
      <c r="J59" s="32"/>
      <c r="L59" s="32"/>
      <c r="M59" s="31"/>
      <c r="N59" s="31"/>
      <c r="O59" s="31"/>
      <c r="Q59" s="83">
        <v>0</v>
      </c>
      <c r="R59" s="52"/>
      <c r="S59" s="52"/>
      <c r="T59" s="52"/>
      <c r="U59" s="52"/>
      <c r="V59" s="52"/>
      <c r="W59" s="52"/>
      <c r="X59" s="52"/>
      <c r="Y59" s="53"/>
      <c r="Z59" s="52"/>
      <c r="AA59" s="52"/>
      <c r="AB59" s="54"/>
      <c r="AV59" t="s">
        <v>167</v>
      </c>
      <c r="AW59" s="20"/>
      <c r="AX59" s="20"/>
      <c r="AY59" s="20"/>
      <c r="AZ59" s="20"/>
      <c r="BA59" s="20"/>
      <c r="BT59"/>
      <c r="BU59"/>
      <c r="BW59"/>
      <c r="BX59"/>
    </row>
    <row r="60" spans="1:76" ht="16" x14ac:dyDescent="0.35">
      <c r="A60" s="92"/>
      <c r="B60" s="67"/>
      <c r="C60" s="67"/>
      <c r="D60" s="73"/>
      <c r="E60" s="67"/>
      <c r="F60" s="67"/>
      <c r="G60" t="s">
        <v>189</v>
      </c>
      <c r="H60" s="68"/>
      <c r="I60" s="68"/>
      <c r="J60" s="68"/>
      <c r="L60" s="68"/>
      <c r="M60" s="67"/>
      <c r="N60" s="67"/>
      <c r="O60" s="67"/>
      <c r="Q60" s="83">
        <v>0</v>
      </c>
      <c r="R60" s="48"/>
      <c r="S60" s="48"/>
      <c r="T60" s="48"/>
      <c r="U60" s="48"/>
      <c r="V60" s="48"/>
      <c r="W60" s="48"/>
      <c r="X60" s="48"/>
      <c r="Y60" s="49"/>
      <c r="Z60" s="48"/>
      <c r="AA60" s="48"/>
      <c r="AB60" s="50"/>
      <c r="AV60" t="s">
        <v>173</v>
      </c>
      <c r="AW60" s="20"/>
      <c r="AX60" s="20"/>
      <c r="AY60" s="20"/>
      <c r="AZ60" s="20"/>
      <c r="BA60" s="20"/>
      <c r="BT60"/>
      <c r="BU60"/>
    </row>
    <row r="61" spans="1:76" ht="16" x14ac:dyDescent="0.35">
      <c r="A61" s="93"/>
      <c r="B61" s="31"/>
      <c r="C61" s="31"/>
      <c r="D61" s="94"/>
      <c r="E61" s="31"/>
      <c r="F61" s="31"/>
      <c r="G61" t="s">
        <v>175</v>
      </c>
      <c r="H61" s="32"/>
      <c r="I61" s="32"/>
      <c r="J61" s="32"/>
      <c r="L61" s="32"/>
      <c r="M61" s="31"/>
      <c r="N61" s="31"/>
      <c r="O61" s="31"/>
      <c r="Q61" s="83">
        <v>0</v>
      </c>
      <c r="R61" s="52"/>
      <c r="S61" s="52"/>
      <c r="T61" s="52"/>
      <c r="U61" s="52"/>
      <c r="V61" s="52"/>
      <c r="W61" s="52"/>
      <c r="X61" s="52"/>
      <c r="Y61" s="53"/>
      <c r="Z61" s="52"/>
      <c r="AA61" s="52"/>
      <c r="AB61" s="54"/>
      <c r="AV61" t="s">
        <v>175</v>
      </c>
      <c r="AW61" s="20"/>
      <c r="AX61" s="20"/>
      <c r="AY61" s="20"/>
      <c r="AZ61" s="20"/>
      <c r="BA61" s="20"/>
    </row>
    <row r="62" spans="1:76" ht="16" x14ac:dyDescent="0.35">
      <c r="A62" s="92"/>
      <c r="B62" s="67"/>
      <c r="C62" s="67"/>
      <c r="D62" s="73"/>
      <c r="E62" s="67"/>
      <c r="F62" s="67"/>
      <c r="G62" t="s">
        <v>175</v>
      </c>
      <c r="H62" s="68"/>
      <c r="I62" s="68"/>
      <c r="J62" s="68"/>
      <c r="L62" s="68"/>
      <c r="M62" s="67"/>
      <c r="N62" s="67"/>
      <c r="O62" s="67"/>
      <c r="Q62" s="83">
        <v>0</v>
      </c>
      <c r="R62" s="48"/>
      <c r="S62" s="48"/>
      <c r="T62" s="48"/>
      <c r="U62" s="48"/>
      <c r="V62" s="48"/>
      <c r="W62" s="48"/>
      <c r="X62" s="48"/>
      <c r="Y62" s="49"/>
      <c r="Z62" s="48"/>
      <c r="AA62" s="48"/>
      <c r="AB62" s="50"/>
      <c r="AV62" t="s">
        <v>173</v>
      </c>
      <c r="AW62" s="20"/>
      <c r="AX62" s="20"/>
      <c r="AY62" s="20"/>
      <c r="AZ62" s="20"/>
      <c r="BA62" s="20"/>
    </row>
    <row r="63" spans="1:76" ht="16" x14ac:dyDescent="0.35">
      <c r="A63" s="93"/>
      <c r="B63" s="31"/>
      <c r="C63" s="31"/>
      <c r="D63" s="94"/>
      <c r="E63" s="31"/>
      <c r="F63" s="31"/>
      <c r="G63" t="s">
        <v>184</v>
      </c>
      <c r="H63" s="32"/>
      <c r="I63" s="32"/>
      <c r="J63" s="32"/>
      <c r="L63" s="32"/>
      <c r="M63" s="31"/>
      <c r="N63" s="31"/>
      <c r="O63" s="31"/>
      <c r="Q63" s="83">
        <v>0</v>
      </c>
      <c r="R63" s="52"/>
      <c r="S63" s="52"/>
      <c r="T63" s="52"/>
      <c r="U63" s="52"/>
      <c r="V63" s="52"/>
      <c r="W63" s="52"/>
      <c r="X63" s="52"/>
      <c r="Y63" s="53"/>
      <c r="Z63" s="52"/>
      <c r="AA63" s="52"/>
      <c r="AB63" s="54"/>
      <c r="AV63" t="s">
        <v>167</v>
      </c>
      <c r="AW63" s="20"/>
      <c r="AX63" s="20"/>
      <c r="AY63" s="20"/>
      <c r="AZ63" s="20"/>
      <c r="BA63" s="20"/>
    </row>
    <row r="64" spans="1:76" ht="16" x14ac:dyDescent="0.35">
      <c r="A64" s="92"/>
      <c r="B64" s="67"/>
      <c r="C64" s="67"/>
      <c r="D64" s="73"/>
      <c r="E64" s="67"/>
      <c r="F64" s="67"/>
      <c r="G64" t="s">
        <v>180</v>
      </c>
      <c r="H64" s="68"/>
      <c r="I64" s="68"/>
      <c r="J64" s="68"/>
      <c r="L64" s="68"/>
      <c r="M64" s="67"/>
      <c r="N64" s="67"/>
      <c r="O64" s="67"/>
      <c r="Q64" s="83">
        <v>0</v>
      </c>
      <c r="R64" s="48"/>
      <c r="S64" s="48"/>
      <c r="T64" s="48"/>
      <c r="U64" s="48"/>
      <c r="V64" s="48"/>
      <c r="W64" s="48"/>
      <c r="X64" s="48"/>
      <c r="Y64" s="49"/>
      <c r="Z64" s="48"/>
      <c r="AA64" s="48"/>
      <c r="AB64" s="50"/>
      <c r="AV64" t="s">
        <v>175</v>
      </c>
      <c r="AW64" s="20"/>
      <c r="AX64" s="20"/>
      <c r="AY64" s="20"/>
      <c r="AZ64" s="20"/>
      <c r="BA64" s="20"/>
    </row>
    <row r="65" spans="1:53" ht="16" x14ac:dyDescent="0.35">
      <c r="A65" s="93"/>
      <c r="B65" s="31"/>
      <c r="C65" s="31"/>
      <c r="D65" s="94"/>
      <c r="E65" s="31"/>
      <c r="F65" s="31"/>
      <c r="G65" t="s">
        <v>183</v>
      </c>
      <c r="H65" s="32"/>
      <c r="I65" s="32"/>
      <c r="J65" s="32"/>
      <c r="L65" s="32"/>
      <c r="M65" s="31"/>
      <c r="N65" s="31"/>
      <c r="O65" s="31"/>
      <c r="Q65" s="83">
        <v>0</v>
      </c>
      <c r="R65" s="52"/>
      <c r="S65" s="52"/>
      <c r="T65" s="52"/>
      <c r="U65" s="52"/>
      <c r="V65" s="52"/>
      <c r="W65" s="52"/>
      <c r="X65" s="52"/>
      <c r="Y65" s="53"/>
      <c r="Z65" s="52"/>
      <c r="AA65" s="52"/>
      <c r="AB65" s="54"/>
      <c r="AV65" t="s">
        <v>173</v>
      </c>
      <c r="AW65" s="20"/>
      <c r="AX65" s="20"/>
      <c r="AY65" s="20"/>
      <c r="AZ65" s="20"/>
      <c r="BA65" s="20"/>
    </row>
    <row r="66" spans="1:53" ht="16" x14ac:dyDescent="0.35">
      <c r="A66"/>
      <c r="B66" s="48"/>
      <c r="C66" s="48"/>
      <c r="D66"/>
      <c r="E66" s="48"/>
      <c r="F66" s="48"/>
      <c r="G66" t="s">
        <v>165</v>
      </c>
      <c r="H66" s="49"/>
      <c r="I66" s="49"/>
      <c r="J66" s="49"/>
      <c r="L66" s="49"/>
      <c r="M66" s="48"/>
      <c r="N66" s="48"/>
      <c r="O66" s="48"/>
      <c r="Q66" s="83">
        <v>0</v>
      </c>
      <c r="R66" s="48"/>
      <c r="S66" s="48"/>
      <c r="T66" s="48"/>
      <c r="U66" s="48"/>
      <c r="V66" s="48"/>
      <c r="W66" s="48"/>
      <c r="X66" s="48"/>
      <c r="Y66" s="49"/>
      <c r="Z66" s="48"/>
      <c r="AA66" s="48"/>
      <c r="AB66" s="50"/>
      <c r="AV66" t="s">
        <v>176</v>
      </c>
      <c r="AW66" s="20"/>
      <c r="AX66" s="20"/>
      <c r="AY66" s="20"/>
      <c r="AZ66" s="20"/>
      <c r="BA66" s="20"/>
    </row>
    <row r="67" spans="1:53" ht="16" x14ac:dyDescent="0.35">
      <c r="A67"/>
      <c r="B67" s="52"/>
      <c r="C67" s="52"/>
      <c r="D67"/>
      <c r="E67" s="52"/>
      <c r="F67" s="52"/>
      <c r="G67" t="s">
        <v>176</v>
      </c>
      <c r="H67" s="53"/>
      <c r="I67" s="53"/>
      <c r="J67" s="53"/>
      <c r="L67" s="53"/>
      <c r="M67" s="52"/>
      <c r="N67" s="52"/>
      <c r="O67" s="52"/>
      <c r="Q67" s="83">
        <v>0</v>
      </c>
      <c r="R67" s="52"/>
      <c r="S67" s="52"/>
      <c r="T67" s="52"/>
      <c r="U67" s="52"/>
      <c r="V67" s="52"/>
      <c r="W67" s="52"/>
      <c r="X67" s="52"/>
      <c r="Y67" s="53"/>
      <c r="Z67" s="52"/>
      <c r="AA67" s="52"/>
      <c r="AB67" s="54"/>
      <c r="AV67" t="s">
        <v>175</v>
      </c>
      <c r="AW67" s="20"/>
      <c r="AX67" s="20"/>
      <c r="AY67" s="20"/>
      <c r="AZ67" s="20"/>
      <c r="BA67" s="20"/>
    </row>
    <row r="68" spans="1:53" ht="16" x14ac:dyDescent="0.35">
      <c r="A68"/>
      <c r="B68" s="48"/>
      <c r="C68" s="48"/>
      <c r="D68"/>
      <c r="E68" s="48"/>
      <c r="F68" s="48"/>
      <c r="G68" t="s">
        <v>170</v>
      </c>
      <c r="H68" s="49"/>
      <c r="I68" s="49"/>
      <c r="J68" s="49"/>
      <c r="L68" s="49"/>
      <c r="M68" s="48"/>
      <c r="N68" s="48"/>
      <c r="O68" s="48"/>
      <c r="Q68" s="83">
        <v>1</v>
      </c>
      <c r="R68" s="48"/>
      <c r="S68" s="48"/>
      <c r="T68" s="48"/>
      <c r="U68" s="48"/>
      <c r="V68" s="48"/>
      <c r="W68" s="48"/>
      <c r="X68" s="48"/>
      <c r="Y68" s="49"/>
      <c r="Z68" s="48"/>
      <c r="AA68" s="48"/>
      <c r="AB68" s="50"/>
      <c r="AV68" t="s">
        <v>178</v>
      </c>
      <c r="AW68" s="20"/>
      <c r="AX68" s="20"/>
      <c r="AY68" s="20"/>
      <c r="AZ68" s="20"/>
      <c r="BA68" s="20"/>
    </row>
    <row r="69" spans="1:53" ht="16" x14ac:dyDescent="0.35">
      <c r="A69"/>
      <c r="B69" s="52"/>
      <c r="C69" s="52"/>
      <c r="D69"/>
      <c r="E69" s="52"/>
      <c r="F69" s="52"/>
      <c r="G69" t="s">
        <v>175</v>
      </c>
      <c r="H69" s="53"/>
      <c r="I69" s="53"/>
      <c r="J69" s="53"/>
      <c r="L69" s="53"/>
      <c r="M69" s="52"/>
      <c r="N69" s="52"/>
      <c r="O69" s="52"/>
      <c r="Q69" s="83">
        <v>0</v>
      </c>
      <c r="R69" s="52"/>
      <c r="S69" s="52"/>
      <c r="T69" s="52"/>
      <c r="U69" s="52"/>
      <c r="V69" s="52"/>
      <c r="W69" s="52"/>
      <c r="X69" s="52"/>
      <c r="Y69" s="53"/>
      <c r="Z69" s="52"/>
      <c r="AA69" s="52"/>
      <c r="AB69" s="54"/>
      <c r="AV69" t="s">
        <v>175</v>
      </c>
      <c r="AW69" s="20"/>
      <c r="AX69" s="20"/>
      <c r="AY69" s="20"/>
      <c r="AZ69" s="20"/>
      <c r="BA69" s="20"/>
    </row>
    <row r="70" spans="1:53" ht="16" x14ac:dyDescent="0.35">
      <c r="A70"/>
      <c r="B70" s="48"/>
      <c r="C70" s="48"/>
      <c r="D70"/>
      <c r="E70" s="48"/>
      <c r="F70" s="48"/>
      <c r="G70" t="s">
        <v>183</v>
      </c>
      <c r="H70" s="49"/>
      <c r="I70" s="49"/>
      <c r="J70" s="49"/>
      <c r="L70" s="49"/>
      <c r="M70" s="48"/>
      <c r="N70" s="48"/>
      <c r="O70" s="48"/>
      <c r="Q70" s="83">
        <v>0</v>
      </c>
      <c r="R70" s="48"/>
      <c r="S70" s="48"/>
      <c r="T70" s="48"/>
      <c r="U70" s="48"/>
      <c r="V70" s="48"/>
      <c r="W70" s="48"/>
      <c r="X70" s="48"/>
      <c r="Y70" s="49"/>
      <c r="Z70" s="48"/>
      <c r="AA70" s="48"/>
      <c r="AB70" s="50"/>
      <c r="AV70" t="s">
        <v>167</v>
      </c>
      <c r="AW70" s="20"/>
      <c r="AX70" s="20"/>
      <c r="AY70" s="20"/>
      <c r="AZ70" s="20"/>
      <c r="BA70" s="20"/>
    </row>
    <row r="71" spans="1:53" ht="16" x14ac:dyDescent="0.35">
      <c r="A71"/>
      <c r="B71" s="52"/>
      <c r="C71" s="52"/>
      <c r="D71"/>
      <c r="E71" s="52"/>
      <c r="F71" s="52"/>
      <c r="G71" t="s">
        <v>183</v>
      </c>
      <c r="H71" s="53"/>
      <c r="I71" s="53"/>
      <c r="J71" s="53"/>
      <c r="L71" s="53"/>
      <c r="M71" s="52"/>
      <c r="N71" s="52"/>
      <c r="O71" s="52"/>
      <c r="Q71" s="83">
        <v>0</v>
      </c>
      <c r="R71" s="52"/>
      <c r="S71" s="52"/>
      <c r="T71" s="52"/>
      <c r="U71" s="52"/>
      <c r="V71" s="52"/>
      <c r="W71" s="52"/>
      <c r="X71" s="52"/>
      <c r="Y71" s="53"/>
      <c r="Z71" s="52"/>
      <c r="AA71" s="52"/>
      <c r="AB71" s="54"/>
      <c r="AV71" t="s">
        <v>168</v>
      </c>
      <c r="AW71" s="20"/>
      <c r="AX71" s="20"/>
      <c r="AY71" s="20"/>
      <c r="AZ71" s="20"/>
      <c r="BA71" s="20"/>
    </row>
    <row r="72" spans="1:53" ht="16" x14ac:dyDescent="0.35">
      <c r="A72"/>
      <c r="B72" s="48"/>
      <c r="C72" s="48"/>
      <c r="D72"/>
      <c r="E72" s="48"/>
      <c r="F72" s="48"/>
      <c r="G72" t="s">
        <v>189</v>
      </c>
      <c r="H72" s="49"/>
      <c r="I72" s="49"/>
      <c r="J72" s="49"/>
      <c r="L72" s="49"/>
      <c r="M72" s="48"/>
      <c r="N72" s="48"/>
      <c r="O72" s="48"/>
      <c r="Q72" s="83">
        <v>0</v>
      </c>
      <c r="R72" s="48"/>
      <c r="S72" s="48"/>
      <c r="T72" s="48"/>
      <c r="U72" s="48"/>
      <c r="V72" s="48"/>
      <c r="W72" s="48"/>
      <c r="X72" s="48"/>
      <c r="Y72" s="49"/>
      <c r="Z72" s="48"/>
      <c r="AA72" s="48"/>
      <c r="AB72" s="50"/>
      <c r="AV72" t="s">
        <v>168</v>
      </c>
      <c r="AW72" s="20"/>
      <c r="AX72" s="20"/>
      <c r="AY72" s="20"/>
      <c r="AZ72" s="20"/>
      <c r="BA72" s="20"/>
    </row>
    <row r="73" spans="1:53" ht="16" x14ac:dyDescent="0.35">
      <c r="A73"/>
      <c r="B73" s="52"/>
      <c r="C73" s="52"/>
      <c r="D73"/>
      <c r="E73" s="52"/>
      <c r="F73" s="52"/>
      <c r="G73" t="s">
        <v>167</v>
      </c>
      <c r="H73" s="53"/>
      <c r="I73" s="53"/>
      <c r="J73" s="53"/>
      <c r="L73" s="53"/>
      <c r="M73" s="52"/>
      <c r="N73" s="52"/>
      <c r="O73" s="52"/>
      <c r="Q73" s="83">
        <v>0</v>
      </c>
      <c r="R73" s="52"/>
      <c r="S73" s="52"/>
      <c r="T73" s="52"/>
      <c r="U73" s="52"/>
      <c r="V73" s="52"/>
      <c r="W73" s="52"/>
      <c r="X73" s="52"/>
      <c r="Y73" s="53"/>
      <c r="Z73" s="52"/>
      <c r="AA73" s="52"/>
      <c r="AB73" s="54"/>
      <c r="AV73" t="s">
        <v>173</v>
      </c>
      <c r="AW73" s="20"/>
      <c r="AX73" s="20"/>
      <c r="AY73" s="20"/>
      <c r="AZ73" s="20"/>
      <c r="BA73" s="20"/>
    </row>
    <row r="74" spans="1:53" ht="16" x14ac:dyDescent="0.35">
      <c r="A74"/>
      <c r="B74" s="48"/>
      <c r="C74" s="48"/>
      <c r="D74"/>
      <c r="E74" s="48"/>
      <c r="F74" s="48"/>
      <c r="G74" t="s">
        <v>180</v>
      </c>
      <c r="H74" s="49"/>
      <c r="I74" s="49"/>
      <c r="J74" s="49"/>
      <c r="L74" s="49"/>
      <c r="M74" s="48"/>
      <c r="N74" s="48"/>
      <c r="O74" s="48"/>
      <c r="Q74" s="83">
        <v>0</v>
      </c>
      <c r="R74" s="48"/>
      <c r="S74" s="48"/>
      <c r="T74" s="48"/>
      <c r="U74" s="48"/>
      <c r="V74" s="48"/>
      <c r="W74" s="48"/>
      <c r="X74" s="48"/>
      <c r="Y74" s="49"/>
      <c r="Z74" s="48"/>
      <c r="AA74" s="48"/>
      <c r="AB74" s="50"/>
      <c r="AV74" t="s">
        <v>183</v>
      </c>
      <c r="AW74" s="20"/>
      <c r="AX74" s="20"/>
      <c r="AY74" s="20"/>
      <c r="AZ74" s="20"/>
      <c r="BA74" s="20"/>
    </row>
    <row r="75" spans="1:53" ht="16" x14ac:dyDescent="0.35">
      <c r="A75"/>
      <c r="B75" s="52"/>
      <c r="C75" s="52"/>
      <c r="D75"/>
      <c r="E75" s="52"/>
      <c r="F75" s="52"/>
      <c r="G75" t="s">
        <v>167</v>
      </c>
      <c r="H75" s="53"/>
      <c r="I75" s="53"/>
      <c r="J75" s="53"/>
      <c r="L75" s="53"/>
      <c r="M75" s="52"/>
      <c r="N75" s="52"/>
      <c r="O75" s="52"/>
      <c r="Q75" s="83">
        <v>2</v>
      </c>
      <c r="R75" s="52"/>
      <c r="S75" s="52"/>
      <c r="T75" s="52"/>
      <c r="U75" s="52"/>
      <c r="V75" s="52"/>
      <c r="W75" s="52"/>
      <c r="X75" s="52"/>
      <c r="Y75" s="53"/>
      <c r="Z75" s="52"/>
      <c r="AA75" s="52"/>
      <c r="AB75" s="54"/>
      <c r="AV75" t="s">
        <v>180</v>
      </c>
      <c r="AW75" s="20"/>
      <c r="AX75" s="20"/>
      <c r="AY75" s="20"/>
      <c r="AZ75" s="20"/>
      <c r="BA75" s="20"/>
    </row>
    <row r="76" spans="1:53" ht="16" x14ac:dyDescent="0.35">
      <c r="A76"/>
      <c r="B76" s="48"/>
      <c r="C76" s="48"/>
      <c r="D76"/>
      <c r="E76" s="48"/>
      <c r="F76" s="48"/>
      <c r="G76" t="s">
        <v>189</v>
      </c>
      <c r="H76" s="49"/>
      <c r="I76" s="49"/>
      <c r="J76" s="49"/>
      <c r="L76" s="49"/>
      <c r="M76" s="48"/>
      <c r="N76" s="48"/>
      <c r="O76" s="48"/>
      <c r="Q76" s="83">
        <v>0</v>
      </c>
      <c r="R76" s="48"/>
      <c r="S76" s="48"/>
      <c r="T76" s="48"/>
      <c r="U76" s="48"/>
      <c r="V76" s="48"/>
      <c r="W76" s="48"/>
      <c r="X76" s="48"/>
      <c r="Y76" s="49"/>
      <c r="Z76" s="48"/>
      <c r="AA76" s="48"/>
      <c r="AB76" s="50"/>
      <c r="AV76" t="s">
        <v>175</v>
      </c>
      <c r="AW76" s="20"/>
      <c r="AX76" s="20"/>
      <c r="AY76" s="20"/>
      <c r="AZ76" s="20"/>
      <c r="BA76" s="20"/>
    </row>
    <row r="77" spans="1:53" ht="16" x14ac:dyDescent="0.35">
      <c r="A77"/>
      <c r="B77" s="52"/>
      <c r="C77" s="52"/>
      <c r="D77"/>
      <c r="E77" s="52"/>
      <c r="F77" s="52"/>
      <c r="G77" t="s">
        <v>177</v>
      </c>
      <c r="H77" s="53"/>
      <c r="I77" s="53"/>
      <c r="J77" s="53"/>
      <c r="L77" s="53"/>
      <c r="M77" s="52"/>
      <c r="N77" s="52"/>
      <c r="O77" s="52"/>
      <c r="Q77" s="83">
        <v>0</v>
      </c>
      <c r="R77" s="52"/>
      <c r="S77" s="52"/>
      <c r="T77" s="52"/>
      <c r="U77" s="52"/>
      <c r="V77" s="52"/>
      <c r="W77" s="52"/>
      <c r="X77" s="52"/>
      <c r="Y77" s="53"/>
      <c r="Z77" s="52"/>
      <c r="AA77" s="52"/>
      <c r="AB77" s="54"/>
      <c r="AV77" t="s">
        <v>167</v>
      </c>
      <c r="AW77" s="20"/>
      <c r="AX77" s="20"/>
      <c r="AY77" s="20"/>
      <c r="AZ77" s="20"/>
      <c r="BA77" s="20"/>
    </row>
    <row r="78" spans="1:53" ht="16" x14ac:dyDescent="0.35">
      <c r="A78"/>
      <c r="B78" s="48"/>
      <c r="C78" s="48"/>
      <c r="D78"/>
      <c r="E78" s="48"/>
      <c r="F78" s="48"/>
      <c r="G78" t="s">
        <v>167</v>
      </c>
      <c r="H78" s="49"/>
      <c r="I78" s="49"/>
      <c r="J78" s="49"/>
      <c r="L78" s="49"/>
      <c r="M78" s="48"/>
      <c r="N78" s="48"/>
      <c r="O78" s="48"/>
      <c r="Q78" s="83">
        <v>1</v>
      </c>
      <c r="R78" s="48"/>
      <c r="S78" s="48"/>
      <c r="T78" s="48"/>
      <c r="U78" s="48"/>
      <c r="V78" s="48"/>
      <c r="W78" s="48"/>
      <c r="X78" s="48"/>
      <c r="Y78" s="49"/>
      <c r="Z78" s="48"/>
      <c r="AA78" s="48"/>
      <c r="AB78" s="50"/>
      <c r="AV78" t="s">
        <v>167</v>
      </c>
      <c r="AW78" s="20"/>
      <c r="AX78" s="20"/>
      <c r="AY78" s="20"/>
      <c r="AZ78" s="20"/>
      <c r="BA78" s="20"/>
    </row>
    <row r="79" spans="1:53" ht="16" x14ac:dyDescent="0.35">
      <c r="A79"/>
      <c r="B79" s="52"/>
      <c r="C79" s="52"/>
      <c r="D79"/>
      <c r="E79" s="52"/>
      <c r="F79" s="52"/>
      <c r="G79" t="s">
        <v>167</v>
      </c>
      <c r="H79" s="53"/>
      <c r="I79" s="53"/>
      <c r="J79" s="53"/>
      <c r="L79" s="53"/>
      <c r="M79" s="52"/>
      <c r="N79" s="52"/>
      <c r="O79" s="52"/>
      <c r="Q79" s="83">
        <v>0</v>
      </c>
      <c r="R79" s="52"/>
      <c r="S79" s="52"/>
      <c r="T79" s="52"/>
      <c r="U79" s="52"/>
      <c r="V79" s="52"/>
      <c r="W79" s="52"/>
      <c r="X79" s="52"/>
      <c r="Y79" s="53"/>
      <c r="Z79" s="52"/>
      <c r="AA79" s="52"/>
      <c r="AB79" s="54"/>
      <c r="AV79" t="s">
        <v>167</v>
      </c>
      <c r="AW79" s="20"/>
      <c r="AX79" s="20"/>
      <c r="AY79" s="20"/>
      <c r="AZ79" s="20"/>
      <c r="BA79" s="20"/>
    </row>
    <row r="80" spans="1:53" ht="16" x14ac:dyDescent="0.35">
      <c r="A80"/>
      <c r="B80" s="48"/>
      <c r="C80" s="48"/>
      <c r="D80"/>
      <c r="E80" s="48"/>
      <c r="F80" s="48"/>
      <c r="G80" t="s">
        <v>189</v>
      </c>
      <c r="H80" s="49"/>
      <c r="I80" s="49"/>
      <c r="J80" s="49"/>
      <c r="L80" s="49"/>
      <c r="M80" s="48"/>
      <c r="N80" s="48"/>
      <c r="O80" s="48"/>
      <c r="Q80" s="83">
        <v>0</v>
      </c>
      <c r="R80" s="48"/>
      <c r="S80" s="48"/>
      <c r="T80" s="48"/>
      <c r="U80" s="48"/>
      <c r="V80" s="48"/>
      <c r="W80" s="48"/>
      <c r="X80" s="48"/>
      <c r="Y80" s="49"/>
      <c r="Z80" s="48"/>
      <c r="AA80" s="48"/>
      <c r="AB80" s="50"/>
      <c r="AV80" t="s">
        <v>176</v>
      </c>
      <c r="AW80" s="20"/>
      <c r="AX80" s="20"/>
      <c r="AY80" s="20"/>
      <c r="AZ80" s="20"/>
      <c r="BA80" s="20"/>
    </row>
    <row r="81" spans="1:53" ht="16" x14ac:dyDescent="0.35">
      <c r="A81"/>
      <c r="B81" s="52"/>
      <c r="C81" s="52"/>
      <c r="D81"/>
      <c r="E81" s="52"/>
      <c r="F81" s="52"/>
      <c r="G81" t="s">
        <v>183</v>
      </c>
      <c r="H81" s="53"/>
      <c r="I81" s="53"/>
      <c r="J81" s="53"/>
      <c r="L81" s="53"/>
      <c r="M81" s="52"/>
      <c r="N81" s="52"/>
      <c r="O81" s="52"/>
      <c r="Q81" s="83">
        <v>0</v>
      </c>
      <c r="R81" s="52"/>
      <c r="S81" s="52"/>
      <c r="T81" s="52"/>
      <c r="U81" s="52"/>
      <c r="V81" s="52"/>
      <c r="W81" s="52"/>
      <c r="X81" s="52"/>
      <c r="Y81" s="53"/>
      <c r="Z81" s="52"/>
      <c r="AA81" s="52"/>
      <c r="AB81" s="54"/>
      <c r="AV81" t="s">
        <v>217</v>
      </c>
      <c r="AW81" s="20"/>
      <c r="AX81" s="20"/>
      <c r="AY81" s="20"/>
      <c r="AZ81" s="20"/>
      <c r="BA81" s="20"/>
    </row>
    <row r="82" spans="1:53" ht="16" x14ac:dyDescent="0.35">
      <c r="A82"/>
      <c r="B82" s="48"/>
      <c r="C82" s="48"/>
      <c r="D82"/>
      <c r="E82" s="48"/>
      <c r="F82" s="48"/>
      <c r="G82" t="s">
        <v>173</v>
      </c>
      <c r="H82" s="49"/>
      <c r="I82" s="49"/>
      <c r="J82" s="49"/>
      <c r="L82" s="49"/>
      <c r="M82" s="48"/>
      <c r="N82" s="48"/>
      <c r="O82" s="48"/>
      <c r="Q82" s="83">
        <v>0</v>
      </c>
      <c r="R82" s="48"/>
      <c r="S82" s="48"/>
      <c r="T82" s="48"/>
      <c r="U82" s="48"/>
      <c r="V82" s="48"/>
      <c r="W82" s="48"/>
      <c r="X82" s="48"/>
      <c r="Y82" s="49"/>
      <c r="Z82" s="48"/>
      <c r="AA82" s="48"/>
      <c r="AB82" s="50"/>
      <c r="AV82" t="s">
        <v>176</v>
      </c>
      <c r="AW82" s="20"/>
      <c r="AX82" s="20"/>
      <c r="AY82" s="20"/>
      <c r="AZ82" s="20"/>
      <c r="BA82" s="20"/>
    </row>
    <row r="83" spans="1:53" ht="16" x14ac:dyDescent="0.35">
      <c r="A83"/>
      <c r="B83" s="52"/>
      <c r="C83" s="52"/>
      <c r="D83"/>
      <c r="E83" s="52"/>
      <c r="F83" s="52"/>
      <c r="G83" t="s">
        <v>167</v>
      </c>
      <c r="H83" s="53"/>
      <c r="I83" s="53"/>
      <c r="J83" s="53"/>
      <c r="L83" s="53"/>
      <c r="M83" s="52"/>
      <c r="N83" s="52"/>
      <c r="O83" s="52"/>
      <c r="Q83" s="83">
        <v>0</v>
      </c>
      <c r="R83" s="52"/>
      <c r="S83" s="52"/>
      <c r="T83" s="52"/>
      <c r="U83" s="52"/>
      <c r="V83" s="52"/>
      <c r="W83" s="52"/>
      <c r="X83" s="52"/>
      <c r="Y83" s="53"/>
      <c r="Z83" s="52"/>
      <c r="AA83" s="52"/>
      <c r="AB83" s="54"/>
      <c r="AV83" t="s">
        <v>178</v>
      </c>
      <c r="AW83" s="20"/>
      <c r="AX83" s="20"/>
      <c r="AY83" s="20"/>
      <c r="AZ83" s="20"/>
      <c r="BA83" s="20"/>
    </row>
    <row r="84" spans="1:53" ht="16" x14ac:dyDescent="0.35">
      <c r="A84"/>
      <c r="B84" s="48"/>
      <c r="C84" s="48"/>
      <c r="D84"/>
      <c r="E84" s="48"/>
      <c r="F84" s="48"/>
      <c r="G84" t="s">
        <v>180</v>
      </c>
      <c r="H84" s="49"/>
      <c r="I84" s="49"/>
      <c r="J84" s="49"/>
      <c r="L84" s="49"/>
      <c r="M84" s="48"/>
      <c r="N84" s="48"/>
      <c r="O84" s="48"/>
      <c r="Q84" s="83">
        <v>0</v>
      </c>
      <c r="R84" s="48"/>
      <c r="S84" s="48"/>
      <c r="T84" s="48"/>
      <c r="U84" s="48"/>
      <c r="V84" s="48"/>
      <c r="W84" s="48"/>
      <c r="X84" s="48"/>
      <c r="Y84" s="49"/>
      <c r="Z84" s="48"/>
      <c r="AA84" s="48"/>
      <c r="AB84" s="50"/>
      <c r="AV84" t="s">
        <v>175</v>
      </c>
      <c r="AW84" s="20"/>
      <c r="AX84" s="20"/>
      <c r="AY84" s="20"/>
      <c r="AZ84" s="20"/>
      <c r="BA84" s="20"/>
    </row>
    <row r="85" spans="1:53" ht="16" x14ac:dyDescent="0.35">
      <c r="A85"/>
      <c r="B85" s="52"/>
      <c r="C85" s="52"/>
      <c r="D85"/>
      <c r="E85" s="52"/>
      <c r="F85" s="52"/>
      <c r="G85" t="s">
        <v>189</v>
      </c>
      <c r="H85" s="53"/>
      <c r="I85" s="53"/>
      <c r="J85" s="53"/>
      <c r="L85" s="53"/>
      <c r="M85" s="52"/>
      <c r="N85" s="52"/>
      <c r="O85" s="52"/>
      <c r="Q85" s="83">
        <v>0</v>
      </c>
      <c r="R85" s="52"/>
      <c r="S85" s="52"/>
      <c r="T85" s="52"/>
      <c r="U85" s="52"/>
      <c r="V85" s="52"/>
      <c r="W85" s="52"/>
      <c r="X85" s="52"/>
      <c r="Y85" s="53"/>
      <c r="Z85" s="52"/>
      <c r="AA85" s="52"/>
      <c r="AB85" s="54"/>
      <c r="AV85" t="s">
        <v>178</v>
      </c>
      <c r="AW85" s="20"/>
      <c r="AX85" s="20"/>
      <c r="AY85" s="20"/>
      <c r="AZ85" s="20"/>
      <c r="BA85" s="20"/>
    </row>
    <row r="86" spans="1:53" ht="16" x14ac:dyDescent="0.35">
      <c r="A86"/>
      <c r="B86" s="48"/>
      <c r="C86" s="48"/>
      <c r="D86"/>
      <c r="E86" s="48"/>
      <c r="F86" s="48"/>
      <c r="G86" t="s">
        <v>167</v>
      </c>
      <c r="H86" s="49"/>
      <c r="I86" s="49"/>
      <c r="J86" s="49"/>
      <c r="L86" s="49"/>
      <c r="M86" s="48"/>
      <c r="N86" s="48"/>
      <c r="O86" s="48"/>
      <c r="Q86" s="83">
        <v>0</v>
      </c>
      <c r="R86" s="48"/>
      <c r="S86" s="48"/>
      <c r="T86" s="48"/>
      <c r="U86" s="48"/>
      <c r="V86" s="48"/>
      <c r="W86" s="48"/>
      <c r="X86" s="48"/>
      <c r="Y86" s="49"/>
      <c r="Z86" s="48"/>
      <c r="AA86" s="48"/>
      <c r="AB86" s="50"/>
      <c r="AV86" t="s">
        <v>176</v>
      </c>
      <c r="AW86" s="20"/>
      <c r="AX86" s="20"/>
      <c r="AY86" s="20"/>
      <c r="AZ86" s="20"/>
      <c r="BA86" s="20"/>
    </row>
    <row r="87" spans="1:53" ht="16" x14ac:dyDescent="0.35">
      <c r="A87"/>
      <c r="B87" s="52"/>
      <c r="C87" s="52"/>
      <c r="D87"/>
      <c r="E87" s="52"/>
      <c r="F87" s="52"/>
      <c r="G87" t="s">
        <v>173</v>
      </c>
      <c r="H87" s="53"/>
      <c r="I87" s="53"/>
      <c r="J87" s="53"/>
      <c r="L87" s="53"/>
      <c r="M87" s="52"/>
      <c r="N87" s="52"/>
      <c r="O87" s="52"/>
      <c r="Q87" s="83">
        <v>17</v>
      </c>
      <c r="R87" s="52"/>
      <c r="S87" s="52"/>
      <c r="T87" s="52"/>
      <c r="U87" s="52"/>
      <c r="V87" s="52"/>
      <c r="W87" s="52"/>
      <c r="X87" s="52"/>
      <c r="Y87" s="53"/>
      <c r="Z87" s="52"/>
      <c r="AA87" s="52"/>
      <c r="AB87" s="54"/>
      <c r="AV87" t="s">
        <v>180</v>
      </c>
      <c r="AW87" s="20"/>
      <c r="AX87" s="20"/>
      <c r="AY87" s="20"/>
      <c r="AZ87" s="20"/>
      <c r="BA87" s="20"/>
    </row>
    <row r="88" spans="1:53" ht="16" x14ac:dyDescent="0.35">
      <c r="A88"/>
      <c r="B88" s="48"/>
      <c r="C88" s="48"/>
      <c r="D88"/>
      <c r="E88" s="48"/>
      <c r="F88" s="48"/>
      <c r="G88" t="s">
        <v>184</v>
      </c>
      <c r="H88" s="49"/>
      <c r="I88" s="49"/>
      <c r="J88" s="49"/>
      <c r="L88" s="49"/>
      <c r="M88" s="48"/>
      <c r="N88" s="48"/>
      <c r="O88" s="48"/>
      <c r="Q88" s="83">
        <v>1</v>
      </c>
      <c r="R88" s="48"/>
      <c r="S88" s="48"/>
      <c r="T88" s="48"/>
      <c r="U88" s="48"/>
      <c r="V88" s="48"/>
      <c r="W88" s="48"/>
      <c r="X88" s="48"/>
      <c r="Y88" s="49"/>
      <c r="Z88" s="48"/>
      <c r="AA88" s="48"/>
      <c r="AB88" s="50"/>
      <c r="AV88" t="s">
        <v>178</v>
      </c>
      <c r="AW88" s="20"/>
      <c r="AX88" s="20"/>
      <c r="AY88" s="20"/>
      <c r="AZ88" s="20"/>
      <c r="BA88" s="20"/>
    </row>
    <row r="89" spans="1:53" ht="16" x14ac:dyDescent="0.35">
      <c r="A89"/>
      <c r="B89" s="52"/>
      <c r="C89" s="52"/>
      <c r="D89"/>
      <c r="E89" s="52"/>
      <c r="F89" s="52"/>
      <c r="G89" t="s">
        <v>174</v>
      </c>
      <c r="H89" s="53"/>
      <c r="I89" s="53"/>
      <c r="J89" s="53"/>
      <c r="L89" s="53"/>
      <c r="M89" s="52"/>
      <c r="N89" s="52"/>
      <c r="O89" s="52"/>
      <c r="Q89" s="83">
        <v>0</v>
      </c>
      <c r="R89" s="52"/>
      <c r="S89" s="52"/>
      <c r="T89" s="52"/>
      <c r="U89" s="52"/>
      <c r="V89" s="52"/>
      <c r="W89" s="52"/>
      <c r="X89" s="52"/>
      <c r="Y89" s="53"/>
      <c r="Z89" s="52"/>
      <c r="AA89" s="52"/>
      <c r="AB89" s="54"/>
      <c r="AV89" t="s">
        <v>180</v>
      </c>
      <c r="AW89" s="20"/>
      <c r="AX89" s="20"/>
      <c r="AY89" s="20"/>
      <c r="AZ89" s="20"/>
      <c r="BA89" s="20"/>
    </row>
    <row r="90" spans="1:53" ht="16" x14ac:dyDescent="0.35">
      <c r="A90"/>
      <c r="B90" s="48"/>
      <c r="C90" s="48"/>
      <c r="D90"/>
      <c r="E90" s="48"/>
      <c r="F90" s="48"/>
      <c r="G90" t="s">
        <v>176</v>
      </c>
      <c r="H90" s="49"/>
      <c r="I90" s="49"/>
      <c r="J90" s="49"/>
      <c r="L90" s="49"/>
      <c r="M90" s="48"/>
      <c r="N90" s="48"/>
      <c r="O90" s="48"/>
      <c r="Q90" s="83">
        <v>17</v>
      </c>
      <c r="R90" s="48"/>
      <c r="S90" s="48"/>
      <c r="T90" s="48"/>
      <c r="U90" s="48"/>
      <c r="V90" s="48"/>
      <c r="W90" s="48"/>
      <c r="X90" s="48"/>
      <c r="Y90" s="49"/>
      <c r="Z90" s="48"/>
      <c r="AA90" s="48"/>
      <c r="AB90" s="50"/>
      <c r="AV90" t="s">
        <v>180</v>
      </c>
      <c r="AW90" s="20"/>
      <c r="AX90" s="20"/>
      <c r="AY90" s="20"/>
      <c r="AZ90" s="20"/>
      <c r="BA90" s="20"/>
    </row>
    <row r="91" spans="1:53" ht="16" x14ac:dyDescent="0.35">
      <c r="A91"/>
      <c r="B91" s="52"/>
      <c r="C91" s="52"/>
      <c r="D91"/>
      <c r="E91" s="52"/>
      <c r="F91" s="52"/>
      <c r="G91" t="s">
        <v>167</v>
      </c>
      <c r="H91" s="53"/>
      <c r="I91" s="53"/>
      <c r="J91" s="53"/>
      <c r="L91" s="53"/>
      <c r="M91" s="52"/>
      <c r="N91" s="52"/>
      <c r="O91" s="52"/>
      <c r="Q91" s="83">
        <v>1</v>
      </c>
      <c r="R91" s="52"/>
      <c r="S91" s="52"/>
      <c r="T91" s="52"/>
      <c r="U91" s="52"/>
      <c r="V91" s="52"/>
      <c r="W91" s="52"/>
      <c r="X91" s="52"/>
      <c r="Y91" s="53"/>
      <c r="Z91" s="52"/>
      <c r="AA91" s="52"/>
      <c r="AB91" s="54"/>
      <c r="AV91" t="s">
        <v>176</v>
      </c>
      <c r="AW91" s="20"/>
      <c r="AX91" s="20"/>
      <c r="AY91" s="20"/>
      <c r="AZ91" s="20"/>
      <c r="BA91" s="20"/>
    </row>
    <row r="92" spans="1:53" ht="16" x14ac:dyDescent="0.35">
      <c r="A92"/>
      <c r="B92" s="48"/>
      <c r="C92" s="48"/>
      <c r="D92"/>
      <c r="E92" s="48"/>
      <c r="F92" s="48"/>
      <c r="G92" t="s">
        <v>175</v>
      </c>
      <c r="H92" s="49"/>
      <c r="I92" s="49"/>
      <c r="J92" s="49"/>
      <c r="L92" s="49"/>
      <c r="M92" s="48"/>
      <c r="N92" s="48"/>
      <c r="O92" s="48"/>
      <c r="Q92" s="83">
        <v>0</v>
      </c>
      <c r="R92" s="48"/>
      <c r="S92" s="48"/>
      <c r="T92" s="48"/>
      <c r="U92" s="48"/>
      <c r="V92" s="48"/>
      <c r="W92" s="48"/>
      <c r="X92" s="48"/>
      <c r="Y92" s="49"/>
      <c r="Z92" s="48"/>
      <c r="AA92" s="48"/>
      <c r="AB92" s="50"/>
      <c r="AV92" t="s">
        <v>167</v>
      </c>
      <c r="AW92" s="20"/>
      <c r="AX92" s="20"/>
      <c r="AY92" s="20"/>
      <c r="AZ92" s="20"/>
      <c r="BA92" s="20"/>
    </row>
    <row r="93" spans="1:53" ht="16" x14ac:dyDescent="0.35">
      <c r="A93"/>
      <c r="B93" s="52"/>
      <c r="C93" s="52"/>
      <c r="D93"/>
      <c r="E93" s="52"/>
      <c r="F93" s="52"/>
      <c r="G93" t="s">
        <v>189</v>
      </c>
      <c r="H93" s="53"/>
      <c r="I93" s="53"/>
      <c r="J93" s="53"/>
      <c r="L93" s="53"/>
      <c r="M93" s="52"/>
      <c r="N93" s="52"/>
      <c r="O93" s="52"/>
      <c r="Q93" s="83">
        <v>0</v>
      </c>
      <c r="R93" s="52"/>
      <c r="S93" s="52"/>
      <c r="T93" s="52"/>
      <c r="U93" s="52"/>
      <c r="V93" s="52"/>
      <c r="W93" s="52"/>
      <c r="X93" s="52"/>
      <c r="Y93" s="53"/>
      <c r="Z93" s="52"/>
      <c r="AA93" s="52"/>
      <c r="AB93" s="54"/>
      <c r="AV93" t="s">
        <v>175</v>
      </c>
      <c r="AW93" s="20"/>
      <c r="AX93" s="20"/>
      <c r="AY93" s="20"/>
      <c r="AZ93" s="20"/>
      <c r="BA93" s="20"/>
    </row>
    <row r="94" spans="1:53" ht="16" x14ac:dyDescent="0.35">
      <c r="A94"/>
      <c r="B94" s="48"/>
      <c r="C94" s="48"/>
      <c r="D94"/>
      <c r="E94" s="48"/>
      <c r="F94" s="48"/>
      <c r="G94" t="s">
        <v>167</v>
      </c>
      <c r="H94" s="49"/>
      <c r="I94" s="49"/>
      <c r="J94" s="49"/>
      <c r="L94" s="49"/>
      <c r="M94" s="48"/>
      <c r="N94" s="48"/>
      <c r="O94" s="48"/>
      <c r="Q94" s="83">
        <v>0</v>
      </c>
      <c r="R94" s="48"/>
      <c r="S94" s="48"/>
      <c r="T94" s="48"/>
      <c r="U94" s="48"/>
      <c r="V94" s="48"/>
      <c r="W94" s="48"/>
      <c r="X94" s="48"/>
      <c r="Y94" s="49"/>
      <c r="Z94" s="48"/>
      <c r="AA94" s="48"/>
      <c r="AB94" s="50"/>
      <c r="AV94" t="s">
        <v>170</v>
      </c>
      <c r="AW94" s="20"/>
      <c r="AX94" s="20"/>
      <c r="AY94" s="20"/>
      <c r="AZ94" s="20"/>
      <c r="BA94" s="20"/>
    </row>
    <row r="95" spans="1:53" ht="16" x14ac:dyDescent="0.35">
      <c r="A95"/>
      <c r="B95" s="52"/>
      <c r="C95" s="52"/>
      <c r="D95"/>
      <c r="E95" s="52"/>
      <c r="F95" s="52"/>
      <c r="G95" t="s">
        <v>176</v>
      </c>
      <c r="H95" s="53"/>
      <c r="I95" s="53"/>
      <c r="J95" s="53"/>
      <c r="L95" s="53"/>
      <c r="M95" s="52"/>
      <c r="N95" s="52"/>
      <c r="O95" s="52"/>
      <c r="Q95" s="83">
        <v>0</v>
      </c>
      <c r="R95" s="52"/>
      <c r="S95" s="52"/>
      <c r="T95" s="52"/>
      <c r="U95" s="52"/>
      <c r="V95" s="52"/>
      <c r="W95" s="52"/>
      <c r="X95" s="52"/>
      <c r="Y95" s="53"/>
      <c r="Z95" s="52"/>
      <c r="AA95" s="52"/>
      <c r="AB95" s="54"/>
      <c r="AV95" t="s">
        <v>167</v>
      </c>
      <c r="AW95" s="20"/>
      <c r="AX95" s="20"/>
      <c r="AY95" s="20"/>
      <c r="AZ95" s="20"/>
      <c r="BA95" s="20"/>
    </row>
    <row r="96" spans="1:53" ht="16" x14ac:dyDescent="0.35">
      <c r="A96"/>
      <c r="B96" s="48"/>
      <c r="C96" s="48"/>
      <c r="D96"/>
      <c r="E96" s="48"/>
      <c r="F96" s="48"/>
      <c r="G96" t="s">
        <v>168</v>
      </c>
      <c r="H96" s="49"/>
      <c r="I96" s="49"/>
      <c r="J96" s="49"/>
      <c r="L96" s="49"/>
      <c r="M96" s="48"/>
      <c r="N96" s="48"/>
      <c r="O96" s="48"/>
      <c r="Q96" s="83">
        <v>0</v>
      </c>
      <c r="R96" s="48"/>
      <c r="S96" s="48"/>
      <c r="T96" s="48"/>
      <c r="U96" s="48"/>
      <c r="V96" s="48"/>
      <c r="W96" s="48"/>
      <c r="X96" s="48"/>
      <c r="Y96" s="49"/>
      <c r="Z96" s="48"/>
      <c r="AA96" s="48"/>
      <c r="AB96" s="50"/>
      <c r="AV96" t="s">
        <v>176</v>
      </c>
      <c r="AW96" s="20"/>
      <c r="AX96" s="20"/>
      <c r="AY96" s="20"/>
      <c r="AZ96" s="20"/>
      <c r="BA96" s="20"/>
    </row>
    <row r="97" spans="1:53" ht="16" x14ac:dyDescent="0.35">
      <c r="A97"/>
      <c r="B97" s="52"/>
      <c r="C97" s="52"/>
      <c r="D97"/>
      <c r="E97" s="52"/>
      <c r="F97" s="52"/>
      <c r="G97" t="s">
        <v>189</v>
      </c>
      <c r="H97" s="53"/>
      <c r="I97" s="53"/>
      <c r="J97" s="53"/>
      <c r="L97" s="53"/>
      <c r="M97" s="52"/>
      <c r="N97" s="52"/>
      <c r="O97" s="52"/>
      <c r="Q97" s="83">
        <v>0</v>
      </c>
      <c r="R97" s="52"/>
      <c r="S97" s="52"/>
      <c r="T97" s="52"/>
      <c r="U97" s="52"/>
      <c r="V97" s="52"/>
      <c r="W97" s="52"/>
      <c r="X97" s="52"/>
      <c r="Y97" s="53"/>
      <c r="Z97" s="52"/>
      <c r="AA97" s="52"/>
      <c r="AB97" s="54"/>
      <c r="AV97" t="s">
        <v>167</v>
      </c>
      <c r="AW97" s="20"/>
      <c r="AX97" s="20"/>
      <c r="AY97" s="20"/>
      <c r="AZ97" s="20"/>
      <c r="BA97" s="20"/>
    </row>
    <row r="98" spans="1:53" ht="16" x14ac:dyDescent="0.35">
      <c r="A98"/>
      <c r="B98" s="48"/>
      <c r="C98" s="48"/>
      <c r="D98"/>
      <c r="E98" s="48"/>
      <c r="F98" s="48"/>
      <c r="G98" t="s">
        <v>205</v>
      </c>
      <c r="H98" s="49"/>
      <c r="I98" s="49"/>
      <c r="J98" s="49"/>
      <c r="L98" s="49"/>
      <c r="M98" s="48"/>
      <c r="N98" s="48"/>
      <c r="O98" s="48"/>
      <c r="Q98" s="83">
        <v>0</v>
      </c>
      <c r="R98" s="48"/>
      <c r="S98" s="48"/>
      <c r="T98" s="48"/>
      <c r="U98" s="48"/>
      <c r="V98" s="48"/>
      <c r="W98" s="48"/>
      <c r="X98" s="48"/>
      <c r="Y98" s="49"/>
      <c r="Z98" s="48"/>
      <c r="AA98" s="48"/>
      <c r="AB98" s="50"/>
      <c r="AV98" t="s">
        <v>175</v>
      </c>
      <c r="AW98" s="20"/>
      <c r="AX98" s="20"/>
      <c r="AY98" s="20"/>
      <c r="AZ98" s="20"/>
      <c r="BA98" s="20"/>
    </row>
    <row r="99" spans="1:53" ht="16" x14ac:dyDescent="0.35">
      <c r="A99"/>
      <c r="B99" s="52"/>
      <c r="C99" s="52"/>
      <c r="D99"/>
      <c r="E99" s="52"/>
      <c r="F99" s="52"/>
      <c r="G99" t="s">
        <v>175</v>
      </c>
      <c r="H99" s="53"/>
      <c r="I99" s="53"/>
      <c r="J99" s="53"/>
      <c r="L99" s="53"/>
      <c r="M99" s="52"/>
      <c r="N99" s="52"/>
      <c r="O99" s="52"/>
      <c r="Q99" s="83">
        <v>0</v>
      </c>
      <c r="R99" s="52"/>
      <c r="S99" s="52"/>
      <c r="T99" s="52"/>
      <c r="U99" s="52"/>
      <c r="V99" s="52"/>
      <c r="W99" s="52"/>
      <c r="X99" s="52"/>
      <c r="Y99" s="53"/>
      <c r="Z99" s="52"/>
      <c r="AA99" s="52"/>
      <c r="AB99" s="54"/>
      <c r="AV99" t="s">
        <v>167</v>
      </c>
      <c r="AW99" s="20"/>
      <c r="AX99" s="20"/>
      <c r="AY99" s="20"/>
      <c r="AZ99" s="20"/>
      <c r="BA99" s="20"/>
    </row>
    <row r="100" spans="1:53" ht="16" x14ac:dyDescent="0.35">
      <c r="A100"/>
      <c r="B100" s="48"/>
      <c r="C100" s="48"/>
      <c r="D100"/>
      <c r="E100" s="48"/>
      <c r="F100" s="48"/>
      <c r="G100" t="s">
        <v>183</v>
      </c>
      <c r="H100" s="49"/>
      <c r="I100" s="49"/>
      <c r="J100" s="49"/>
      <c r="L100" s="49"/>
      <c r="M100" s="48"/>
      <c r="N100" s="48"/>
      <c r="O100" s="48"/>
      <c r="Q100" s="83">
        <v>0</v>
      </c>
      <c r="R100" s="48"/>
      <c r="S100" s="48"/>
      <c r="T100" s="48"/>
      <c r="U100" s="48"/>
      <c r="V100" s="48"/>
      <c r="W100" s="48"/>
      <c r="X100" s="48"/>
      <c r="Y100" s="49"/>
      <c r="Z100" s="48"/>
      <c r="AA100" s="48"/>
      <c r="AB100" s="50"/>
      <c r="AV100" t="s">
        <v>189</v>
      </c>
      <c r="AW100" s="20"/>
      <c r="AX100" s="20"/>
      <c r="AY100" s="20"/>
      <c r="AZ100" s="20"/>
      <c r="BA100" s="20"/>
    </row>
    <row r="101" spans="1:53" ht="16" x14ac:dyDescent="0.35">
      <c r="A101"/>
      <c r="B101" s="52"/>
      <c r="C101" s="52"/>
      <c r="D101"/>
      <c r="E101" s="52"/>
      <c r="F101" s="52"/>
      <c r="G101" t="s">
        <v>205</v>
      </c>
      <c r="H101" s="53"/>
      <c r="I101" s="53"/>
      <c r="J101" s="53"/>
      <c r="L101" s="53"/>
      <c r="M101" s="52"/>
      <c r="N101" s="52"/>
      <c r="O101" s="52"/>
      <c r="Q101" s="83">
        <v>0</v>
      </c>
      <c r="R101" s="52"/>
      <c r="S101" s="52"/>
      <c r="T101" s="52"/>
      <c r="U101" s="52"/>
      <c r="V101" s="52"/>
      <c r="W101" s="52"/>
      <c r="X101" s="52"/>
      <c r="Y101" s="53"/>
      <c r="Z101" s="52"/>
      <c r="AA101" s="52"/>
      <c r="AB101" s="54"/>
      <c r="AV101" t="s">
        <v>176</v>
      </c>
      <c r="AW101" s="20"/>
      <c r="AX101" s="20"/>
      <c r="AY101" s="20"/>
      <c r="AZ101" s="20"/>
      <c r="BA101" s="20"/>
    </row>
    <row r="102" spans="1:53" ht="16" x14ac:dyDescent="0.35">
      <c r="A102"/>
      <c r="B102" s="48"/>
      <c r="C102" s="48"/>
      <c r="D102"/>
      <c r="E102" s="48"/>
      <c r="F102" s="48"/>
      <c r="G102" t="s">
        <v>175</v>
      </c>
      <c r="H102" s="49"/>
      <c r="I102" s="49"/>
      <c r="J102" s="49"/>
      <c r="L102" s="49"/>
      <c r="M102" s="48"/>
      <c r="N102" s="48"/>
      <c r="O102" s="48"/>
      <c r="Q102" s="83">
        <v>0</v>
      </c>
      <c r="R102" s="48"/>
      <c r="S102" s="48"/>
      <c r="T102" s="48"/>
      <c r="U102" s="48"/>
      <c r="V102" s="48"/>
      <c r="W102" s="48"/>
      <c r="X102" s="48"/>
      <c r="Y102" s="49"/>
      <c r="Z102" s="48"/>
      <c r="AA102" s="48"/>
      <c r="AB102" s="50"/>
      <c r="AV102" t="s">
        <v>165</v>
      </c>
      <c r="AW102" s="20"/>
      <c r="AX102" s="20"/>
      <c r="AY102" s="20"/>
      <c r="AZ102" s="20"/>
      <c r="BA102" s="20"/>
    </row>
    <row r="103" spans="1:53" ht="16" x14ac:dyDescent="0.35">
      <c r="A103"/>
      <c r="B103" s="52"/>
      <c r="C103" s="52"/>
      <c r="D103"/>
      <c r="E103" s="52"/>
      <c r="F103" s="52"/>
      <c r="G103"/>
      <c r="H103" s="53"/>
      <c r="I103" s="53"/>
      <c r="J103" s="53"/>
      <c r="K103" s="53"/>
      <c r="L103" s="53"/>
      <c r="M103" s="52"/>
      <c r="N103" s="52"/>
      <c r="O103" s="52"/>
      <c r="Q103" s="83">
        <v>2</v>
      </c>
      <c r="R103" s="52"/>
      <c r="S103" s="52"/>
      <c r="T103" s="52"/>
      <c r="U103" s="52"/>
      <c r="V103" s="52"/>
      <c r="W103" s="52"/>
      <c r="X103" s="52"/>
      <c r="Y103" s="53"/>
      <c r="Z103" s="52"/>
      <c r="AA103" s="52"/>
      <c r="AB103" s="54"/>
      <c r="AV103" t="s">
        <v>173</v>
      </c>
      <c r="AW103" s="20"/>
      <c r="AX103" s="20"/>
      <c r="AY103" s="20"/>
      <c r="AZ103" s="20"/>
      <c r="BA103" s="20"/>
    </row>
    <row r="104" spans="1:53" ht="16" x14ac:dyDescent="0.35">
      <c r="A104"/>
      <c r="B104" s="48"/>
      <c r="C104" s="48"/>
      <c r="D104"/>
      <c r="E104" s="48"/>
      <c r="F104" s="48"/>
      <c r="G104"/>
      <c r="H104" s="49"/>
      <c r="I104" s="49"/>
      <c r="J104" s="49"/>
      <c r="K104" s="49"/>
      <c r="L104" s="49"/>
      <c r="M104" s="48"/>
      <c r="N104" s="48"/>
      <c r="O104" s="48"/>
      <c r="Q104" s="83">
        <v>1</v>
      </c>
      <c r="R104" s="48"/>
      <c r="S104" s="48"/>
      <c r="T104" s="48"/>
      <c r="U104" s="48"/>
      <c r="V104" s="48"/>
      <c r="W104" s="48"/>
      <c r="X104" s="48"/>
      <c r="Y104" s="49"/>
      <c r="Z104" s="48"/>
      <c r="AA104" s="48"/>
      <c r="AB104" s="50"/>
      <c r="AV104" t="s">
        <v>176</v>
      </c>
      <c r="AW104" s="20"/>
      <c r="AX104" s="20"/>
      <c r="AY104" s="20"/>
      <c r="AZ104" s="20"/>
      <c r="BA104" s="20"/>
    </row>
    <row r="105" spans="1:53" ht="16" x14ac:dyDescent="0.35">
      <c r="A105"/>
      <c r="B105" s="52"/>
      <c r="C105" s="52"/>
      <c r="D105"/>
      <c r="E105" s="52"/>
      <c r="F105" s="52"/>
      <c r="G105"/>
      <c r="H105" s="53"/>
      <c r="I105" s="53"/>
      <c r="J105" s="53"/>
      <c r="K105" s="53"/>
      <c r="L105" s="53"/>
      <c r="M105" s="52"/>
      <c r="N105" s="52"/>
      <c r="O105" s="52"/>
      <c r="Q105" s="83">
        <v>1</v>
      </c>
      <c r="R105" s="52"/>
      <c r="S105" s="52"/>
      <c r="T105" s="52"/>
      <c r="U105" s="52"/>
      <c r="V105" s="52"/>
      <c r="W105" s="52"/>
      <c r="X105" s="52"/>
      <c r="Y105" s="53"/>
      <c r="Z105" s="52"/>
      <c r="AA105" s="52"/>
      <c r="AB105" s="54"/>
      <c r="AV105" t="s">
        <v>175</v>
      </c>
      <c r="AW105" s="20"/>
      <c r="AX105" s="20"/>
      <c r="AY105" s="20"/>
      <c r="AZ105" s="20"/>
      <c r="BA105" s="20"/>
    </row>
    <row r="106" spans="1:53" ht="16" x14ac:dyDescent="0.35">
      <c r="A106"/>
      <c r="B106" s="48"/>
      <c r="C106" s="48"/>
      <c r="D106"/>
      <c r="E106" s="48"/>
      <c r="F106" s="48"/>
      <c r="G106"/>
      <c r="H106" s="49"/>
      <c r="I106" s="49"/>
      <c r="J106" s="49"/>
      <c r="K106" s="49"/>
      <c r="L106" s="49"/>
      <c r="M106" s="48"/>
      <c r="N106" s="48"/>
      <c r="O106" s="48"/>
      <c r="Q106" s="83">
        <v>1</v>
      </c>
      <c r="R106" s="48"/>
      <c r="S106" s="48"/>
      <c r="T106" s="48"/>
      <c r="U106" s="48"/>
      <c r="V106" s="48"/>
      <c r="W106" s="48"/>
      <c r="X106" s="48"/>
      <c r="Y106" s="49"/>
      <c r="Z106" s="48"/>
      <c r="AA106" s="48"/>
      <c r="AB106" s="50"/>
      <c r="AV106" t="s">
        <v>205</v>
      </c>
      <c r="AW106" s="20"/>
      <c r="AX106" s="20"/>
      <c r="AY106" s="20"/>
      <c r="AZ106" s="20"/>
      <c r="BA106" s="20"/>
    </row>
    <row r="107" spans="1:53" ht="16" x14ac:dyDescent="0.35">
      <c r="A107"/>
      <c r="B107" s="52"/>
      <c r="C107" s="52"/>
      <c r="D107"/>
      <c r="E107" s="52"/>
      <c r="F107" s="52"/>
      <c r="G107"/>
      <c r="H107" s="53"/>
      <c r="I107" s="53"/>
      <c r="J107" s="53"/>
      <c r="K107" s="53"/>
      <c r="L107" s="53"/>
      <c r="M107" s="52"/>
      <c r="N107" s="52"/>
      <c r="O107" s="52"/>
      <c r="Q107" s="83">
        <v>0</v>
      </c>
      <c r="R107" s="52"/>
      <c r="S107" s="52"/>
      <c r="T107" s="52"/>
      <c r="U107" s="52"/>
      <c r="V107" s="52"/>
      <c r="W107" s="52"/>
      <c r="X107" s="52"/>
      <c r="Y107" s="53"/>
      <c r="Z107" s="52"/>
      <c r="AA107" s="52"/>
      <c r="AB107" s="54"/>
      <c r="AV107" t="s">
        <v>167</v>
      </c>
      <c r="AW107" s="20"/>
      <c r="AX107" s="20"/>
      <c r="AY107" s="20"/>
      <c r="AZ107" s="20"/>
      <c r="BA107" s="20"/>
    </row>
    <row r="108" spans="1:53" ht="16" x14ac:dyDescent="0.35">
      <c r="A108"/>
      <c r="B108" s="48"/>
      <c r="C108" s="48"/>
      <c r="D108"/>
      <c r="E108" s="48"/>
      <c r="F108" s="48"/>
      <c r="G108"/>
      <c r="H108" s="49"/>
      <c r="I108" s="49"/>
      <c r="J108" s="49"/>
      <c r="K108" s="49"/>
      <c r="L108" s="49"/>
      <c r="M108" s="48"/>
      <c r="N108" s="48"/>
      <c r="O108" s="48"/>
      <c r="Q108" s="83">
        <v>1</v>
      </c>
      <c r="R108" s="48"/>
      <c r="S108" s="48"/>
      <c r="T108" s="48"/>
      <c r="U108" s="48"/>
      <c r="V108" s="48"/>
      <c r="W108" s="48"/>
      <c r="X108" s="48"/>
      <c r="Y108" s="49"/>
      <c r="Z108" s="48"/>
      <c r="AA108" s="48"/>
      <c r="AB108" s="50"/>
      <c r="AV108" t="s">
        <v>167</v>
      </c>
      <c r="AW108" s="20"/>
      <c r="AX108" s="20"/>
      <c r="AY108" s="20"/>
      <c r="AZ108" s="20"/>
      <c r="BA108" s="20"/>
    </row>
    <row r="109" spans="1:53" ht="16" x14ac:dyDescent="0.35">
      <c r="A109"/>
      <c r="B109" s="52"/>
      <c r="C109" s="52"/>
      <c r="D109"/>
      <c r="E109" s="52"/>
      <c r="F109" s="52"/>
      <c r="G109"/>
      <c r="H109" s="53"/>
      <c r="I109" s="53"/>
      <c r="J109" s="53"/>
      <c r="K109" s="53"/>
      <c r="L109" s="53"/>
      <c r="M109" s="52"/>
      <c r="N109" s="52"/>
      <c r="O109" s="52"/>
      <c r="Q109" s="83">
        <v>0</v>
      </c>
      <c r="R109" s="52"/>
      <c r="S109" s="52"/>
      <c r="T109" s="52"/>
      <c r="U109" s="52"/>
      <c r="V109" s="52"/>
      <c r="W109" s="52"/>
      <c r="X109" s="52"/>
      <c r="Y109" s="53"/>
      <c r="Z109" s="52"/>
      <c r="AA109" s="52"/>
      <c r="AB109" s="54"/>
      <c r="AV109" t="s">
        <v>167</v>
      </c>
      <c r="AW109" s="20"/>
      <c r="AX109" s="20"/>
      <c r="AY109" s="20"/>
      <c r="AZ109" s="20"/>
      <c r="BA109" s="20"/>
    </row>
    <row r="110" spans="1:53" ht="16" x14ac:dyDescent="0.35">
      <c r="A110"/>
      <c r="B110" s="48"/>
      <c r="C110" s="48"/>
      <c r="D110"/>
      <c r="E110" s="48"/>
      <c r="F110" s="48"/>
      <c r="G110"/>
      <c r="H110" s="49"/>
      <c r="I110" s="49"/>
      <c r="J110" s="49"/>
      <c r="K110" s="49"/>
      <c r="L110" s="49"/>
      <c r="M110" s="48"/>
      <c r="N110" s="48"/>
      <c r="O110" s="48"/>
      <c r="Q110" s="83">
        <v>1</v>
      </c>
      <c r="R110" s="48"/>
      <c r="S110" s="48"/>
      <c r="T110" s="48"/>
      <c r="U110" s="48"/>
      <c r="V110" s="48"/>
      <c r="W110" s="48"/>
      <c r="X110" s="48"/>
      <c r="Y110" s="49"/>
      <c r="Z110" s="48"/>
      <c r="AA110" s="48"/>
      <c r="AB110" s="50"/>
      <c r="AV110" t="s">
        <v>167</v>
      </c>
      <c r="AW110" s="20"/>
      <c r="AX110" s="20"/>
      <c r="AY110" s="20"/>
      <c r="AZ110" s="20"/>
      <c r="BA110" s="20"/>
    </row>
    <row r="111" spans="1:53" ht="16" x14ac:dyDescent="0.35">
      <c r="A111"/>
      <c r="B111" s="52"/>
      <c r="C111" s="52"/>
      <c r="D111"/>
      <c r="E111" s="52"/>
      <c r="F111" s="52"/>
      <c r="G111"/>
      <c r="H111" s="53"/>
      <c r="I111" s="53"/>
      <c r="J111" s="53"/>
      <c r="K111" s="53"/>
      <c r="L111" s="53"/>
      <c r="M111" s="52"/>
      <c r="N111" s="52"/>
      <c r="O111" s="52"/>
      <c r="Q111" s="83">
        <v>1</v>
      </c>
      <c r="R111" s="52"/>
      <c r="S111" s="52"/>
      <c r="T111" s="52"/>
      <c r="U111" s="52"/>
      <c r="V111" s="52"/>
      <c r="W111" s="52"/>
      <c r="X111" s="52"/>
      <c r="Y111" s="53"/>
      <c r="Z111" s="52"/>
      <c r="AA111" s="52"/>
      <c r="AB111" s="54"/>
      <c r="AV111" t="s">
        <v>180</v>
      </c>
      <c r="AW111" s="20"/>
      <c r="AX111" s="20"/>
      <c r="AY111" s="20"/>
      <c r="AZ111" s="20"/>
      <c r="BA111" s="20"/>
    </row>
    <row r="112" spans="1:53" ht="16" x14ac:dyDescent="0.35">
      <c r="A112"/>
      <c r="B112" s="48"/>
      <c r="C112" s="48"/>
      <c r="D112"/>
      <c r="E112" s="48"/>
      <c r="F112" s="48"/>
      <c r="G112"/>
      <c r="H112" s="49"/>
      <c r="I112" s="49"/>
      <c r="J112" s="49"/>
      <c r="K112" s="49"/>
      <c r="L112" s="49"/>
      <c r="M112" s="48"/>
      <c r="N112" s="48"/>
      <c r="O112" s="48"/>
      <c r="Q112" s="83">
        <v>1</v>
      </c>
      <c r="R112" s="48"/>
      <c r="S112" s="48"/>
      <c r="T112" s="48"/>
      <c r="U112" s="48"/>
      <c r="V112" s="48"/>
      <c r="W112" s="48"/>
      <c r="X112" s="48"/>
      <c r="Y112" s="49"/>
      <c r="Z112" s="48"/>
      <c r="AA112" s="48"/>
      <c r="AB112" s="50"/>
      <c r="AV112" t="s">
        <v>167</v>
      </c>
      <c r="AW112" s="20"/>
      <c r="AX112" s="20"/>
      <c r="AY112" s="20"/>
      <c r="AZ112" s="20"/>
      <c r="BA112" s="20"/>
    </row>
    <row r="113" spans="1:58" ht="16" x14ac:dyDescent="0.35">
      <c r="A113"/>
      <c r="B113" s="52"/>
      <c r="C113" s="52"/>
      <c r="D113"/>
      <c r="E113" s="52"/>
      <c r="F113" s="52"/>
      <c r="G113"/>
      <c r="H113" s="53"/>
      <c r="I113" s="53"/>
      <c r="J113" s="53"/>
      <c r="K113" s="53"/>
      <c r="L113" s="53"/>
      <c r="M113" s="52"/>
      <c r="N113" s="52"/>
      <c r="O113" s="52"/>
      <c r="Q113" s="83">
        <v>1</v>
      </c>
      <c r="R113" s="52"/>
      <c r="S113" s="52"/>
      <c r="T113" s="52"/>
      <c r="U113" s="52"/>
      <c r="V113" s="52"/>
      <c r="W113" s="52"/>
      <c r="X113" s="52"/>
      <c r="Y113" s="53"/>
      <c r="Z113" s="52"/>
      <c r="AA113" s="52"/>
      <c r="AB113" s="54"/>
      <c r="AV113" t="s">
        <v>167</v>
      </c>
      <c r="AW113" s="20"/>
      <c r="AX113" s="20"/>
      <c r="AY113" s="20"/>
      <c r="AZ113" s="20"/>
      <c r="BA113" s="20"/>
    </row>
    <row r="114" spans="1:58" ht="16" x14ac:dyDescent="0.35">
      <c r="A114"/>
      <c r="B114" s="48"/>
      <c r="C114" s="48"/>
      <c r="D114"/>
      <c r="E114" s="48"/>
      <c r="F114" s="48"/>
      <c r="G114"/>
      <c r="H114" s="49"/>
      <c r="I114" s="49"/>
      <c r="J114" s="49"/>
      <c r="K114" s="49"/>
      <c r="L114" s="49"/>
      <c r="M114" s="48"/>
      <c r="N114" s="48"/>
      <c r="O114" s="48"/>
      <c r="Q114" s="83">
        <v>1</v>
      </c>
      <c r="R114" s="48"/>
      <c r="S114" s="48"/>
      <c r="T114" s="48"/>
      <c r="U114" s="48"/>
      <c r="V114" s="48"/>
      <c r="W114" s="48"/>
      <c r="X114" s="48"/>
      <c r="Y114" s="49"/>
      <c r="Z114" s="48"/>
      <c r="AA114" s="48"/>
      <c r="AB114" s="50"/>
      <c r="AV114" t="s">
        <v>216</v>
      </c>
      <c r="AW114" s="20"/>
      <c r="AX114" s="20"/>
      <c r="AY114" s="20"/>
      <c r="AZ114" s="20"/>
      <c r="BA114" s="20"/>
    </row>
    <row r="115" spans="1:58" ht="16" x14ac:dyDescent="0.35">
      <c r="A115"/>
      <c r="B115" s="52"/>
      <c r="C115" s="52"/>
      <c r="D115"/>
      <c r="E115" s="52"/>
      <c r="F115" s="52"/>
      <c r="G115"/>
      <c r="H115" s="53"/>
      <c r="I115" s="53"/>
      <c r="J115" s="53"/>
      <c r="K115" s="53"/>
      <c r="L115" s="53"/>
      <c r="M115" s="52"/>
      <c r="N115" s="52"/>
      <c r="O115" s="52"/>
      <c r="Q115" s="83">
        <v>0</v>
      </c>
      <c r="R115" s="52"/>
      <c r="S115" s="52"/>
      <c r="T115" s="52"/>
      <c r="U115" s="52"/>
      <c r="V115" s="52"/>
      <c r="W115" s="52"/>
      <c r="X115" s="52"/>
      <c r="Y115" s="53"/>
      <c r="Z115" s="52"/>
      <c r="AA115" s="52"/>
      <c r="AB115" s="54"/>
      <c r="AV115" t="s">
        <v>217</v>
      </c>
      <c r="AW115" s="20"/>
      <c r="AX115" s="20"/>
      <c r="AY115" s="20"/>
      <c r="AZ115" s="20"/>
      <c r="BA115" s="20"/>
    </row>
    <row r="116" spans="1:58" ht="16" x14ac:dyDescent="0.35">
      <c r="A116"/>
      <c r="B116" s="48"/>
      <c r="C116" s="48"/>
      <c r="D116"/>
      <c r="E116" s="48"/>
      <c r="F116" s="48"/>
      <c r="G116"/>
      <c r="H116" s="49"/>
      <c r="I116" s="49"/>
      <c r="J116" s="49"/>
      <c r="K116" s="49"/>
      <c r="L116" s="49"/>
      <c r="M116" s="48"/>
      <c r="N116" s="48"/>
      <c r="O116" s="48"/>
      <c r="Q116" s="83">
        <v>2</v>
      </c>
      <c r="R116" s="48"/>
      <c r="S116" s="48"/>
      <c r="T116" s="48"/>
      <c r="U116" s="48"/>
      <c r="V116" s="48"/>
      <c r="W116" s="48"/>
      <c r="X116" s="48"/>
      <c r="Y116" s="49"/>
      <c r="Z116" s="48"/>
      <c r="AA116" s="48"/>
      <c r="AB116" s="50"/>
      <c r="AV116" t="s">
        <v>173</v>
      </c>
      <c r="AW116" s="20"/>
      <c r="AX116" s="20"/>
      <c r="AY116" s="20"/>
      <c r="AZ116" s="20"/>
      <c r="BA116" s="20"/>
    </row>
    <row r="117" spans="1:58" ht="16" x14ac:dyDescent="0.35">
      <c r="A117"/>
      <c r="B117" s="52"/>
      <c r="C117" s="52"/>
      <c r="D117"/>
      <c r="E117" s="52"/>
      <c r="F117" s="52"/>
      <c r="G117"/>
      <c r="H117" s="53"/>
      <c r="I117" s="53"/>
      <c r="J117" s="53"/>
      <c r="K117" s="53"/>
      <c r="L117" s="53"/>
      <c r="M117" s="52"/>
      <c r="N117" s="52"/>
      <c r="O117" s="52"/>
      <c r="Q117" s="83">
        <v>1</v>
      </c>
      <c r="R117" s="52"/>
      <c r="S117" s="52"/>
      <c r="T117" s="52"/>
      <c r="U117" s="52"/>
      <c r="V117" s="52"/>
      <c r="W117" s="52"/>
      <c r="X117" s="52"/>
      <c r="Y117" s="53"/>
      <c r="Z117" s="52"/>
      <c r="AA117" s="52"/>
      <c r="AB117" s="54"/>
      <c r="AV117" t="s">
        <v>173</v>
      </c>
      <c r="AW117" s="20"/>
      <c r="AX117" s="20"/>
      <c r="AY117" s="20"/>
      <c r="AZ117" s="20"/>
      <c r="BA117" s="20"/>
    </row>
    <row r="118" spans="1:58" ht="16" x14ac:dyDescent="0.35">
      <c r="A118"/>
      <c r="B118" s="48"/>
      <c r="C118" s="48"/>
      <c r="D118"/>
      <c r="E118" s="48"/>
      <c r="F118" s="48"/>
      <c r="G118"/>
      <c r="H118" s="49"/>
      <c r="I118" s="49"/>
      <c r="J118" s="49"/>
      <c r="K118" s="49"/>
      <c r="L118" s="49"/>
      <c r="M118" s="48"/>
      <c r="N118" s="48"/>
      <c r="O118" s="48"/>
      <c r="Q118" s="83">
        <v>0</v>
      </c>
      <c r="R118" s="48"/>
      <c r="S118" s="48"/>
      <c r="T118" s="48"/>
      <c r="U118" s="48"/>
      <c r="V118" s="48"/>
      <c r="W118" s="48"/>
      <c r="X118" s="48"/>
      <c r="Y118" s="49"/>
      <c r="Z118" s="48"/>
      <c r="AA118" s="48"/>
      <c r="AB118" s="50"/>
      <c r="AV118" t="s">
        <v>175</v>
      </c>
      <c r="AW118" s="20"/>
      <c r="AX118" s="20"/>
      <c r="AY118" s="20"/>
      <c r="AZ118" s="20"/>
      <c r="BA118" s="20"/>
    </row>
    <row r="119" spans="1:58" ht="16" x14ac:dyDescent="0.35">
      <c r="A119"/>
      <c r="B119" s="52"/>
      <c r="C119" s="52"/>
      <c r="D119"/>
      <c r="E119" s="52"/>
      <c r="F119" s="52"/>
      <c r="G119"/>
      <c r="H119" s="53"/>
      <c r="I119" s="53"/>
      <c r="J119" s="53"/>
      <c r="K119" s="53"/>
      <c r="L119" s="53"/>
      <c r="M119" s="52"/>
      <c r="N119" s="52"/>
      <c r="O119" s="52"/>
      <c r="Q119" s="83">
        <v>0</v>
      </c>
      <c r="R119" s="52"/>
      <c r="S119" s="52"/>
      <c r="T119" s="52"/>
      <c r="U119" s="52"/>
      <c r="V119" s="52"/>
      <c r="W119" s="52"/>
      <c r="X119" s="52"/>
      <c r="Y119" s="53"/>
      <c r="Z119" s="52"/>
      <c r="AA119" s="52"/>
      <c r="AB119" s="54"/>
      <c r="AV119" t="s">
        <v>176</v>
      </c>
      <c r="AW119" s="20"/>
      <c r="AX119" s="20"/>
      <c r="AY119" s="20"/>
      <c r="AZ119" s="20"/>
      <c r="BA119" s="20"/>
    </row>
    <row r="120" spans="1:58" ht="16" x14ac:dyDescent="0.35">
      <c r="A120"/>
      <c r="B120" s="48"/>
      <c r="C120" s="48"/>
      <c r="D120"/>
      <c r="E120" s="48"/>
      <c r="F120" s="48"/>
      <c r="G120"/>
      <c r="H120" s="49"/>
      <c r="I120" s="49"/>
      <c r="J120" s="49"/>
      <c r="K120" s="49"/>
      <c r="L120" s="49"/>
      <c r="M120" s="48"/>
      <c r="N120" s="48"/>
      <c r="O120" s="48"/>
      <c r="Q120" s="83">
        <v>3</v>
      </c>
      <c r="R120" s="48"/>
      <c r="S120" s="48"/>
      <c r="T120" s="48"/>
      <c r="U120" s="48"/>
      <c r="V120" s="48"/>
      <c r="W120" s="48"/>
      <c r="X120" s="48"/>
      <c r="Y120" s="49"/>
      <c r="Z120" s="48"/>
      <c r="AA120" s="48"/>
      <c r="AB120" s="50"/>
      <c r="AV120" t="s">
        <v>185</v>
      </c>
      <c r="AW120" s="20"/>
      <c r="AX120" s="20"/>
      <c r="AY120" s="20"/>
      <c r="AZ120" s="20"/>
      <c r="BA120" s="20"/>
    </row>
    <row r="121" spans="1:58" ht="16" x14ac:dyDescent="0.35">
      <c r="A121"/>
      <c r="B121" s="52"/>
      <c r="C121" s="52"/>
      <c r="D121"/>
      <c r="E121" s="52"/>
      <c r="F121" s="52"/>
      <c r="G121"/>
      <c r="H121" s="53"/>
      <c r="I121" s="53"/>
      <c r="J121" s="53"/>
      <c r="K121" s="53"/>
      <c r="L121" s="53"/>
      <c r="M121" s="52"/>
      <c r="N121" s="52"/>
      <c r="O121" s="52"/>
      <c r="Q121" s="83">
        <v>0</v>
      </c>
      <c r="R121" s="52"/>
      <c r="S121" s="52"/>
      <c r="T121" s="52"/>
      <c r="U121" s="52"/>
      <c r="V121" s="52"/>
      <c r="W121" s="52"/>
      <c r="X121" s="52"/>
      <c r="Y121" s="53"/>
      <c r="Z121" s="52"/>
      <c r="AA121" s="52"/>
      <c r="AB121" s="54"/>
      <c r="AV121" t="s">
        <v>167</v>
      </c>
      <c r="AW121" s="20"/>
      <c r="AX121" s="20"/>
      <c r="AY121" s="20"/>
      <c r="AZ121" s="20"/>
      <c r="BA121" s="20"/>
    </row>
    <row r="122" spans="1:58" ht="16" x14ac:dyDescent="0.35">
      <c r="A122"/>
      <c r="B122" s="48"/>
      <c r="C122" s="48"/>
      <c r="D122"/>
      <c r="E122" s="48"/>
      <c r="F122" s="48"/>
      <c r="G122"/>
      <c r="H122" s="49"/>
      <c r="I122" s="49"/>
      <c r="J122" s="49"/>
      <c r="K122" s="49"/>
      <c r="L122" s="49"/>
      <c r="M122" s="48"/>
      <c r="N122" s="48"/>
      <c r="O122" s="48"/>
      <c r="Q122" s="83">
        <v>0</v>
      </c>
      <c r="R122" s="48"/>
      <c r="S122" s="48"/>
      <c r="T122" s="48"/>
      <c r="U122" s="48"/>
      <c r="V122" s="48"/>
      <c r="W122" s="48"/>
      <c r="X122" s="48"/>
      <c r="Y122" s="49"/>
      <c r="Z122" s="48"/>
      <c r="AA122" s="48"/>
      <c r="AB122" s="50"/>
      <c r="AV122" t="s">
        <v>175</v>
      </c>
      <c r="AW122" s="20"/>
      <c r="AX122" s="20"/>
      <c r="AY122" s="20"/>
      <c r="AZ122" s="20"/>
      <c r="BA122" s="20"/>
    </row>
    <row r="123" spans="1:58" ht="16" x14ac:dyDescent="0.35">
      <c r="A123"/>
      <c r="B123" s="52"/>
      <c r="C123" s="52"/>
      <c r="D123"/>
      <c r="E123" s="52"/>
      <c r="F123" s="52"/>
      <c r="G123"/>
      <c r="H123" s="53"/>
      <c r="I123" s="53"/>
      <c r="J123" s="53"/>
      <c r="K123" s="53"/>
      <c r="L123" s="53"/>
      <c r="M123" s="52"/>
      <c r="N123" s="52"/>
      <c r="O123" s="52"/>
      <c r="P123" s="52"/>
      <c r="Q123" s="83">
        <v>0</v>
      </c>
      <c r="R123" s="52"/>
      <c r="S123" s="52"/>
      <c r="T123" s="52"/>
      <c r="U123" s="52"/>
      <c r="V123" s="52"/>
      <c r="W123" s="52"/>
      <c r="X123" s="52"/>
      <c r="Y123" s="53"/>
      <c r="Z123" s="52"/>
      <c r="AA123" s="52"/>
      <c r="AB123" s="54"/>
      <c r="AO123" s="19" t="s">
        <v>235</v>
      </c>
      <c r="AV123" t="s">
        <v>186</v>
      </c>
      <c r="AW123" s="68"/>
      <c r="AX123" s="68"/>
      <c r="AY123" s="68"/>
      <c r="BA123" s="68"/>
      <c r="BB123" s="67"/>
      <c r="BC123" s="67"/>
      <c r="BD123" s="67"/>
      <c r="BF123" s="83">
        <v>1</v>
      </c>
    </row>
    <row r="124" spans="1:58" ht="16" x14ac:dyDescent="0.35">
      <c r="A124"/>
      <c r="B124" s="48"/>
      <c r="C124" s="48"/>
      <c r="D124"/>
      <c r="E124" s="48"/>
      <c r="F124" s="48"/>
      <c r="G124"/>
      <c r="H124" s="49"/>
      <c r="I124" s="49"/>
      <c r="J124" s="49"/>
      <c r="K124" s="49"/>
      <c r="L124" s="49"/>
      <c r="M124" s="48"/>
      <c r="N124" s="48"/>
      <c r="O124" s="48"/>
      <c r="P124" s="48"/>
      <c r="Q124" s="83">
        <v>0</v>
      </c>
      <c r="R124" s="48"/>
      <c r="S124" s="48"/>
      <c r="T124" s="48"/>
      <c r="U124" s="48"/>
      <c r="V124" s="48"/>
      <c r="W124" s="48"/>
      <c r="X124" s="48"/>
      <c r="Y124" s="49"/>
      <c r="Z124" s="48"/>
      <c r="AA124" s="48"/>
      <c r="AB124" s="50"/>
      <c r="AV124" t="s">
        <v>175</v>
      </c>
      <c r="AW124" s="32"/>
      <c r="AX124" s="32"/>
      <c r="AY124" s="32"/>
      <c r="BA124" s="32"/>
      <c r="BB124" s="31"/>
      <c r="BC124" s="31"/>
      <c r="BD124" s="31"/>
      <c r="BF124" s="83">
        <v>0</v>
      </c>
    </row>
    <row r="125" spans="1:58" ht="16" x14ac:dyDescent="0.35">
      <c r="A125"/>
      <c r="B125" s="52"/>
      <c r="C125" s="52"/>
      <c r="D125"/>
      <c r="E125" s="52"/>
      <c r="F125" s="52"/>
      <c r="G125"/>
      <c r="H125" s="53"/>
      <c r="I125" s="53"/>
      <c r="J125" s="53"/>
      <c r="K125" s="53"/>
      <c r="L125" s="53"/>
      <c r="M125" s="52"/>
      <c r="N125" s="52"/>
      <c r="O125" s="52"/>
      <c r="P125" s="52"/>
      <c r="Q125" s="83">
        <v>0</v>
      </c>
      <c r="R125" s="52"/>
      <c r="S125" s="52"/>
      <c r="T125" s="52"/>
      <c r="U125" s="52"/>
      <c r="V125" s="52"/>
      <c r="W125" s="52"/>
      <c r="X125" s="52"/>
      <c r="Y125" s="53"/>
      <c r="Z125" s="52"/>
      <c r="AA125" s="52"/>
      <c r="AB125" s="54"/>
      <c r="AV125" t="s">
        <v>175</v>
      </c>
      <c r="AW125" s="68"/>
      <c r="AX125" s="68"/>
      <c r="AY125" s="68"/>
      <c r="BA125" s="68"/>
      <c r="BB125" s="67"/>
      <c r="BC125" s="67"/>
      <c r="BD125" s="67"/>
      <c r="BF125" s="83">
        <v>0</v>
      </c>
    </row>
    <row r="126" spans="1:58" ht="16" x14ac:dyDescent="0.35">
      <c r="A126"/>
      <c r="B126" s="48"/>
      <c r="C126" s="48"/>
      <c r="D126"/>
      <c r="E126" s="48"/>
      <c r="F126" s="48"/>
      <c r="G126"/>
      <c r="H126" s="49"/>
      <c r="I126" s="49"/>
      <c r="J126" s="49"/>
      <c r="K126" s="49"/>
      <c r="L126" s="49"/>
      <c r="M126" s="48"/>
      <c r="N126" s="48"/>
      <c r="O126" s="48"/>
      <c r="P126" s="48"/>
      <c r="Q126" s="83">
        <v>0</v>
      </c>
      <c r="R126" s="48"/>
      <c r="S126" s="48"/>
      <c r="T126" s="48"/>
      <c r="U126" s="48"/>
      <c r="V126" s="48"/>
      <c r="W126" s="48"/>
      <c r="X126" s="48"/>
      <c r="Y126" s="49"/>
      <c r="Z126" s="48"/>
      <c r="AA126" s="48"/>
      <c r="AB126" s="50"/>
      <c r="AV126" t="s">
        <v>177</v>
      </c>
      <c r="AW126" s="32"/>
      <c r="AX126" s="32"/>
      <c r="AY126" s="32"/>
      <c r="BA126" s="32"/>
      <c r="BB126" s="31"/>
      <c r="BC126" s="31"/>
      <c r="BD126" s="31"/>
      <c r="BF126" s="83">
        <v>0</v>
      </c>
    </row>
    <row r="127" spans="1:58" ht="16" x14ac:dyDescent="0.35">
      <c r="A127"/>
      <c r="B127" s="52"/>
      <c r="C127" s="52"/>
      <c r="D127"/>
      <c r="E127" s="52"/>
      <c r="F127" s="52"/>
      <c r="G127"/>
      <c r="H127" s="53"/>
      <c r="I127" s="53"/>
      <c r="J127" s="53"/>
      <c r="K127" s="53"/>
      <c r="L127" s="53"/>
      <c r="M127" s="52"/>
      <c r="N127" s="52"/>
      <c r="O127" s="52"/>
      <c r="P127" s="52"/>
      <c r="Q127" s="83">
        <v>0</v>
      </c>
      <c r="R127" s="52"/>
      <c r="S127" s="52"/>
      <c r="T127" s="52"/>
      <c r="U127" s="52"/>
      <c r="V127" s="52"/>
      <c r="W127" s="52"/>
      <c r="X127" s="52"/>
      <c r="Y127" s="53"/>
      <c r="Z127" s="52"/>
      <c r="AA127" s="52"/>
      <c r="AB127" s="54"/>
      <c r="AV127" t="s">
        <v>180</v>
      </c>
      <c r="AW127" s="68"/>
      <c r="AX127" s="68"/>
      <c r="AY127" s="68"/>
      <c r="BA127" s="68"/>
      <c r="BB127" s="67"/>
      <c r="BC127" s="67"/>
      <c r="BD127" s="67"/>
      <c r="BF127" s="83">
        <v>0</v>
      </c>
    </row>
    <row r="128" spans="1:58" ht="16" x14ac:dyDescent="0.35">
      <c r="A128"/>
      <c r="B128" s="48"/>
      <c r="C128" s="48"/>
      <c r="D128"/>
      <c r="E128" s="48"/>
      <c r="F128" s="48"/>
      <c r="G128"/>
      <c r="H128" s="49"/>
      <c r="I128" s="49"/>
      <c r="J128" s="49"/>
      <c r="K128" s="49"/>
      <c r="L128" s="49"/>
      <c r="M128" s="48"/>
      <c r="N128" s="48"/>
      <c r="O128" s="48"/>
      <c r="P128" s="48"/>
      <c r="Q128" s="83">
        <v>0</v>
      </c>
      <c r="R128" s="48"/>
      <c r="S128" s="48"/>
      <c r="T128" s="48"/>
      <c r="U128" s="48"/>
      <c r="V128" s="48"/>
      <c r="W128" s="48"/>
      <c r="X128" s="48"/>
      <c r="Y128" s="49"/>
      <c r="Z128" s="48"/>
      <c r="AA128" s="48"/>
      <c r="AB128" s="50"/>
      <c r="AV128" t="s">
        <v>175</v>
      </c>
      <c r="AW128" s="32"/>
      <c r="AX128" s="32"/>
      <c r="AY128" s="32"/>
      <c r="BA128" s="32"/>
      <c r="BB128" s="31"/>
      <c r="BC128" s="31"/>
      <c r="BD128" s="31"/>
      <c r="BF128" s="83">
        <v>0</v>
      </c>
    </row>
    <row r="129" spans="1:58" ht="16" x14ac:dyDescent="0.35">
      <c r="A129"/>
      <c r="B129" s="52"/>
      <c r="C129" s="52"/>
      <c r="D129"/>
      <c r="E129" s="52"/>
      <c r="F129" s="52"/>
      <c r="G129"/>
      <c r="H129" s="53"/>
      <c r="I129" s="53"/>
      <c r="J129" s="53"/>
      <c r="K129" s="53"/>
      <c r="L129" s="53"/>
      <c r="M129" s="52"/>
      <c r="N129" s="52"/>
      <c r="O129" s="52"/>
      <c r="P129" s="52"/>
      <c r="Q129" s="83">
        <v>1</v>
      </c>
      <c r="R129" s="52"/>
      <c r="S129" s="52"/>
      <c r="T129" s="52"/>
      <c r="U129" s="52"/>
      <c r="V129" s="52"/>
      <c r="W129" s="52"/>
      <c r="X129" s="52"/>
      <c r="Y129" s="53"/>
      <c r="Z129" s="52"/>
      <c r="AA129" s="52"/>
      <c r="AB129" s="54"/>
      <c r="AV129" t="s">
        <v>165</v>
      </c>
      <c r="AW129" s="68"/>
      <c r="AX129" s="68"/>
      <c r="AY129" s="68"/>
      <c r="BA129" s="68"/>
      <c r="BB129" s="67"/>
      <c r="BC129" s="67"/>
      <c r="BD129" s="67"/>
      <c r="BF129" s="83">
        <v>0</v>
      </c>
    </row>
    <row r="130" spans="1:58" ht="16" x14ac:dyDescent="0.35">
      <c r="A130"/>
      <c r="B130" s="48"/>
      <c r="C130" s="48"/>
      <c r="D130"/>
      <c r="E130" s="48"/>
      <c r="F130" s="48"/>
      <c r="G130"/>
      <c r="H130" s="49"/>
      <c r="I130" s="49"/>
      <c r="J130" s="49"/>
      <c r="K130" s="49"/>
      <c r="L130" s="49"/>
      <c r="M130" s="48"/>
      <c r="N130" s="48"/>
      <c r="O130" s="48"/>
      <c r="P130" s="48"/>
      <c r="Q130" s="83">
        <v>1</v>
      </c>
      <c r="R130" s="48"/>
      <c r="S130" s="48"/>
      <c r="T130" s="48"/>
      <c r="U130" s="48"/>
      <c r="V130" s="48"/>
      <c r="W130" s="48"/>
      <c r="X130" s="48"/>
      <c r="Y130" s="49"/>
      <c r="Z130" s="48"/>
      <c r="AA130" s="48"/>
      <c r="AB130" s="50"/>
      <c r="AV130" t="s">
        <v>205</v>
      </c>
      <c r="AW130" s="32"/>
      <c r="AX130" s="32"/>
      <c r="AY130" s="32"/>
      <c r="BA130" s="32"/>
      <c r="BB130" s="31"/>
      <c r="BC130" s="31"/>
      <c r="BD130" s="31"/>
      <c r="BF130" s="83">
        <v>0</v>
      </c>
    </row>
    <row r="131" spans="1:58" ht="16" x14ac:dyDescent="0.35">
      <c r="A131"/>
      <c r="B131" s="52"/>
      <c r="C131" s="52"/>
      <c r="D131"/>
      <c r="E131" s="52"/>
      <c r="F131" s="52"/>
      <c r="G131"/>
      <c r="H131" s="53"/>
      <c r="I131" s="53"/>
      <c r="J131" s="53"/>
      <c r="K131" s="53"/>
      <c r="L131" s="53"/>
      <c r="M131" s="52"/>
      <c r="N131" s="52"/>
      <c r="O131" s="52"/>
      <c r="P131" s="52"/>
      <c r="Q131" s="83">
        <v>0</v>
      </c>
      <c r="R131" s="52"/>
      <c r="S131" s="52"/>
      <c r="T131" s="52"/>
      <c r="U131" s="52"/>
      <c r="V131" s="52"/>
      <c r="W131" s="52"/>
      <c r="X131" s="52"/>
      <c r="Y131" s="53"/>
      <c r="Z131" s="52"/>
      <c r="AA131" s="52"/>
      <c r="AB131" s="54"/>
      <c r="AV131" t="s">
        <v>175</v>
      </c>
      <c r="AW131" s="68"/>
      <c r="AX131" s="68"/>
      <c r="AY131" s="68"/>
      <c r="BA131" s="68"/>
      <c r="BB131" s="67"/>
      <c r="BC131" s="67"/>
      <c r="BD131" s="67"/>
      <c r="BF131" s="83">
        <v>0</v>
      </c>
    </row>
    <row r="132" spans="1:58" ht="16" x14ac:dyDescent="0.35">
      <c r="A132"/>
      <c r="B132" s="48"/>
      <c r="C132" s="48"/>
      <c r="D132"/>
      <c r="E132" s="48"/>
      <c r="F132" s="48"/>
      <c r="G132"/>
      <c r="H132" s="49"/>
      <c r="I132" s="49"/>
      <c r="J132" s="49"/>
      <c r="K132" s="49"/>
      <c r="L132" s="49"/>
      <c r="M132" s="48"/>
      <c r="N132" s="48"/>
      <c r="O132" s="48"/>
      <c r="P132" s="48"/>
      <c r="Q132" s="83">
        <v>14</v>
      </c>
      <c r="R132" s="48"/>
      <c r="S132" s="48"/>
      <c r="T132" s="48"/>
      <c r="U132" s="48"/>
      <c r="V132" s="48"/>
      <c r="W132" s="48"/>
      <c r="X132" s="48"/>
      <c r="Y132" s="49"/>
      <c r="Z132" s="48"/>
      <c r="AA132" s="48"/>
      <c r="AB132" s="50"/>
      <c r="AV132" t="s">
        <v>175</v>
      </c>
      <c r="AW132" s="32"/>
      <c r="AX132" s="32"/>
      <c r="AY132" s="32"/>
      <c r="BA132" s="32"/>
      <c r="BB132" s="31"/>
      <c r="BC132" s="31"/>
      <c r="BD132" s="31"/>
      <c r="BF132" s="83">
        <v>0</v>
      </c>
    </row>
    <row r="133" spans="1:58" ht="16" x14ac:dyDescent="0.35">
      <c r="A133"/>
      <c r="B133" s="52"/>
      <c r="C133" s="52"/>
      <c r="D133"/>
      <c r="E133" s="52"/>
      <c r="F133" s="52"/>
      <c r="G133"/>
      <c r="H133" s="53"/>
      <c r="I133" s="53"/>
      <c r="J133" s="53"/>
      <c r="K133" s="53"/>
      <c r="L133" s="53"/>
      <c r="M133" s="52"/>
      <c r="N133" s="52"/>
      <c r="O133" s="52"/>
      <c r="P133" s="52"/>
      <c r="Q133" s="83">
        <v>1</v>
      </c>
      <c r="R133" s="52"/>
      <c r="S133" s="52"/>
      <c r="T133" s="52"/>
      <c r="U133" s="52"/>
      <c r="V133" s="52"/>
      <c r="W133" s="52"/>
      <c r="X133" s="52"/>
      <c r="Y133" s="53"/>
      <c r="Z133" s="52"/>
      <c r="AA133" s="52"/>
      <c r="AB133" s="54"/>
      <c r="AV133" t="s">
        <v>173</v>
      </c>
      <c r="AW133" s="68"/>
      <c r="AX133" s="68"/>
      <c r="AY133" s="68"/>
      <c r="BA133" s="68"/>
      <c r="BB133" s="67"/>
      <c r="BC133" s="67"/>
      <c r="BD133" s="67"/>
      <c r="BF133" s="83">
        <v>0</v>
      </c>
    </row>
    <row r="134" spans="1:58" ht="16" x14ac:dyDescent="0.35">
      <c r="A134"/>
      <c r="B134" s="48"/>
      <c r="C134" s="48"/>
      <c r="D134"/>
      <c r="E134" s="48"/>
      <c r="F134" s="48"/>
      <c r="G134"/>
      <c r="H134" s="49"/>
      <c r="I134" s="49"/>
      <c r="J134" s="49"/>
      <c r="K134" s="49"/>
      <c r="L134" s="49"/>
      <c r="M134" s="48"/>
      <c r="N134" s="48"/>
      <c r="O134" s="48"/>
      <c r="P134" s="48"/>
      <c r="Q134" s="83">
        <v>1</v>
      </c>
      <c r="R134" s="48"/>
      <c r="S134" s="48"/>
      <c r="T134" s="48"/>
      <c r="U134" s="48"/>
      <c r="V134" s="48"/>
      <c r="W134" s="48"/>
      <c r="X134" s="48"/>
      <c r="Y134" s="49"/>
      <c r="Z134" s="48"/>
      <c r="AA134" s="48"/>
      <c r="AB134" s="50"/>
      <c r="AV134" t="s">
        <v>175</v>
      </c>
      <c r="AW134" s="32"/>
      <c r="AX134" s="32"/>
      <c r="AY134" s="32"/>
      <c r="BA134" s="32"/>
      <c r="BB134" s="31"/>
      <c r="BC134" s="31"/>
      <c r="BD134" s="31"/>
      <c r="BF134" s="83">
        <v>0</v>
      </c>
    </row>
    <row r="135" spans="1:58" ht="16" x14ac:dyDescent="0.35">
      <c r="A135"/>
      <c r="B135" s="52"/>
      <c r="C135" s="52"/>
      <c r="D135"/>
      <c r="E135" s="52"/>
      <c r="F135" s="52"/>
      <c r="G135"/>
      <c r="H135" s="53"/>
      <c r="I135" s="53"/>
      <c r="J135" s="53"/>
      <c r="K135" s="53"/>
      <c r="L135" s="53"/>
      <c r="M135" s="52"/>
      <c r="N135" s="52"/>
      <c r="O135" s="52"/>
      <c r="P135" s="52"/>
      <c r="Q135" s="83">
        <v>1</v>
      </c>
      <c r="R135" s="52"/>
      <c r="S135" s="52"/>
      <c r="T135" s="52"/>
      <c r="U135" s="52"/>
      <c r="V135" s="52"/>
      <c r="W135" s="52"/>
      <c r="X135" s="52"/>
      <c r="Y135" s="53"/>
      <c r="Z135" s="52"/>
      <c r="AA135" s="52"/>
      <c r="AB135" s="54"/>
      <c r="AV135" t="s">
        <v>175</v>
      </c>
      <c r="AW135" s="68"/>
      <c r="AX135" s="68"/>
      <c r="AY135" s="68"/>
      <c r="BA135" s="68"/>
      <c r="BB135" s="67"/>
      <c r="BC135" s="67"/>
      <c r="BD135" s="67"/>
      <c r="BF135" s="83">
        <v>0</v>
      </c>
    </row>
    <row r="136" spans="1:58" ht="16" x14ac:dyDescent="0.35">
      <c r="A136"/>
      <c r="B136" s="48"/>
      <c r="C136" s="48"/>
      <c r="D136"/>
      <c r="E136" s="48"/>
      <c r="F136" s="48"/>
      <c r="G136"/>
      <c r="H136" s="49"/>
      <c r="I136" s="49"/>
      <c r="J136" s="49"/>
      <c r="K136" s="49"/>
      <c r="L136" s="49"/>
      <c r="M136" s="48"/>
      <c r="N136" s="48"/>
      <c r="O136" s="48"/>
      <c r="P136" s="48"/>
      <c r="Q136" s="83">
        <v>1</v>
      </c>
      <c r="R136" s="48"/>
      <c r="S136" s="48"/>
      <c r="T136" s="48"/>
      <c r="U136" s="48"/>
      <c r="V136" s="48"/>
      <c r="W136" s="48"/>
      <c r="X136" s="48"/>
      <c r="Y136" s="49"/>
      <c r="Z136" s="48"/>
      <c r="AA136" s="48"/>
      <c r="AB136" s="50"/>
      <c r="AV136" t="s">
        <v>167</v>
      </c>
      <c r="AW136" s="32"/>
      <c r="AX136" s="32"/>
      <c r="AY136" s="32"/>
      <c r="BA136" s="32"/>
      <c r="BB136" s="31"/>
      <c r="BC136" s="31"/>
      <c r="BD136" s="31"/>
      <c r="BF136" s="83">
        <v>0</v>
      </c>
    </row>
    <row r="137" spans="1:58" ht="16" x14ac:dyDescent="0.35">
      <c r="A137"/>
      <c r="B137" s="52"/>
      <c r="C137" s="52"/>
      <c r="D137"/>
      <c r="E137" s="52"/>
      <c r="F137" s="52"/>
      <c r="G137"/>
      <c r="H137" s="53"/>
      <c r="I137" s="53"/>
      <c r="J137" s="53"/>
      <c r="K137" s="53"/>
      <c r="L137" s="53"/>
      <c r="M137" s="52"/>
      <c r="N137" s="52"/>
      <c r="O137" s="52"/>
      <c r="P137" s="52"/>
      <c r="Q137" s="83">
        <v>0</v>
      </c>
      <c r="R137" s="52"/>
      <c r="S137" s="52"/>
      <c r="T137" s="52"/>
      <c r="U137" s="52"/>
      <c r="V137" s="52"/>
      <c r="W137" s="52"/>
      <c r="X137" s="52"/>
      <c r="Y137" s="53"/>
      <c r="Z137" s="52"/>
      <c r="AA137" s="52"/>
      <c r="AB137" s="54"/>
      <c r="AV137" t="s">
        <v>178</v>
      </c>
      <c r="AW137" s="68"/>
      <c r="AX137" s="68"/>
      <c r="AY137" s="68"/>
      <c r="BA137" s="68"/>
      <c r="BB137" s="67"/>
      <c r="BC137" s="67"/>
      <c r="BD137" s="67"/>
      <c r="BF137" s="83">
        <v>0</v>
      </c>
    </row>
    <row r="138" spans="1:58" ht="16" x14ac:dyDescent="0.35">
      <c r="A138"/>
      <c r="B138" s="48"/>
      <c r="C138" s="48"/>
      <c r="D138"/>
      <c r="E138" s="48"/>
      <c r="F138" s="48"/>
      <c r="G138"/>
      <c r="H138" s="49"/>
      <c r="I138" s="49"/>
      <c r="J138" s="49"/>
      <c r="K138" s="49"/>
      <c r="L138" s="49"/>
      <c r="M138" s="48"/>
      <c r="N138" s="48"/>
      <c r="O138" s="48"/>
      <c r="P138" s="48"/>
      <c r="Q138" s="83">
        <v>7</v>
      </c>
      <c r="R138" s="48"/>
      <c r="S138" s="48"/>
      <c r="T138" s="48"/>
      <c r="U138" s="48"/>
      <c r="V138" s="48"/>
      <c r="W138" s="48"/>
      <c r="X138" s="48"/>
      <c r="Y138" s="49"/>
      <c r="Z138" s="48"/>
      <c r="AA138" s="48"/>
      <c r="AB138" s="50"/>
      <c r="AV138" t="s">
        <v>175</v>
      </c>
      <c r="AW138" s="32"/>
      <c r="AX138" s="32"/>
      <c r="AY138" s="32"/>
      <c r="BA138" s="32"/>
      <c r="BB138" s="31"/>
      <c r="BC138" s="31"/>
      <c r="BD138" s="31"/>
      <c r="BF138" s="83">
        <v>0</v>
      </c>
    </row>
    <row r="139" spans="1:58" ht="16" x14ac:dyDescent="0.35">
      <c r="A139"/>
      <c r="B139" s="52"/>
      <c r="C139" s="52"/>
      <c r="D139"/>
      <c r="E139" s="52"/>
      <c r="F139" s="52"/>
      <c r="G139"/>
      <c r="H139" s="53"/>
      <c r="I139" s="53"/>
      <c r="J139" s="53"/>
      <c r="K139" s="53"/>
      <c r="L139" s="53"/>
      <c r="M139" s="52"/>
      <c r="N139" s="52"/>
      <c r="O139" s="52"/>
      <c r="P139" s="52"/>
      <c r="Q139" s="83">
        <v>1</v>
      </c>
      <c r="R139" s="52"/>
      <c r="S139" s="52"/>
      <c r="T139" s="52"/>
      <c r="U139" s="52"/>
      <c r="V139" s="52"/>
      <c r="W139" s="52"/>
      <c r="X139" s="52"/>
      <c r="Y139" s="53"/>
      <c r="Z139" s="52"/>
      <c r="AA139" s="52"/>
      <c r="AB139" s="54"/>
      <c r="AV139" t="s">
        <v>168</v>
      </c>
      <c r="AW139" s="68"/>
      <c r="AX139" s="68"/>
      <c r="AY139" s="68"/>
      <c r="BA139" s="68"/>
      <c r="BB139" s="67"/>
      <c r="BC139" s="67"/>
      <c r="BD139" s="67"/>
      <c r="BF139" s="83">
        <v>0</v>
      </c>
    </row>
    <row r="140" spans="1:58" ht="16" x14ac:dyDescent="0.35">
      <c r="A140"/>
      <c r="B140" s="48"/>
      <c r="C140" s="48"/>
      <c r="D140"/>
      <c r="E140" s="48"/>
      <c r="F140" s="48"/>
      <c r="G140"/>
      <c r="H140" s="49"/>
      <c r="I140" s="49"/>
      <c r="J140" s="49"/>
      <c r="K140" s="49"/>
      <c r="L140" s="49"/>
      <c r="M140" s="48"/>
      <c r="N140" s="48"/>
      <c r="O140" s="48"/>
      <c r="P140" s="48"/>
      <c r="Q140" s="83">
        <v>1</v>
      </c>
      <c r="R140" s="48"/>
      <c r="S140" s="48"/>
      <c r="T140" s="48"/>
      <c r="U140" s="48"/>
      <c r="V140" s="48"/>
      <c r="W140" s="48"/>
      <c r="X140" s="48"/>
      <c r="Y140" s="49"/>
      <c r="Z140" s="48"/>
      <c r="AA140" s="48"/>
      <c r="AB140" s="50"/>
      <c r="AV140" t="s">
        <v>184</v>
      </c>
      <c r="AW140" s="32"/>
      <c r="AX140" s="32"/>
      <c r="AY140" s="32"/>
      <c r="BA140" s="32"/>
      <c r="BB140" s="31"/>
      <c r="BC140" s="31"/>
      <c r="BD140" s="31"/>
      <c r="BF140" s="83">
        <v>0</v>
      </c>
    </row>
    <row r="141" spans="1:58" ht="16" x14ac:dyDescent="0.35">
      <c r="A141"/>
      <c r="B141" s="52"/>
      <c r="C141" s="52"/>
      <c r="D141"/>
      <c r="E141" s="52"/>
      <c r="F141" s="52"/>
      <c r="G141"/>
      <c r="H141" s="53"/>
      <c r="I141" s="53"/>
      <c r="J141" s="53"/>
      <c r="K141" s="53"/>
      <c r="L141" s="53"/>
      <c r="M141" s="52"/>
      <c r="N141" s="52"/>
      <c r="O141" s="52"/>
      <c r="P141" s="52"/>
      <c r="Q141" s="83">
        <v>1</v>
      </c>
      <c r="R141" s="52"/>
      <c r="S141" s="52"/>
      <c r="T141" s="52"/>
      <c r="U141" s="52"/>
      <c r="V141" s="52"/>
      <c r="W141" s="52"/>
      <c r="X141" s="52"/>
      <c r="Y141" s="53"/>
      <c r="Z141" s="52"/>
      <c r="AA141" s="52"/>
      <c r="AB141" s="54"/>
      <c r="AV141" t="s">
        <v>167</v>
      </c>
      <c r="AW141" s="68"/>
      <c r="AX141" s="68"/>
      <c r="AY141" s="68"/>
      <c r="BA141" s="68"/>
      <c r="BB141" s="67"/>
      <c r="BC141" s="67"/>
      <c r="BD141" s="67"/>
      <c r="BF141" s="83">
        <v>5</v>
      </c>
    </row>
    <row r="142" spans="1:58" ht="16" x14ac:dyDescent="0.35">
      <c r="A142" s="47"/>
      <c r="B142" s="48"/>
      <c r="C142" s="48"/>
      <c r="D142" s="48"/>
      <c r="E142" s="48"/>
      <c r="F142" s="48"/>
      <c r="G142"/>
      <c r="H142" s="49"/>
      <c r="I142" s="49"/>
      <c r="J142" s="49"/>
      <c r="K142" s="49"/>
      <c r="L142" s="49"/>
      <c r="M142" s="48"/>
      <c r="N142" s="48"/>
      <c r="O142" s="48"/>
      <c r="P142" s="48"/>
      <c r="Q142" s="83">
        <v>1</v>
      </c>
      <c r="R142" s="48"/>
      <c r="S142" s="48"/>
      <c r="T142" s="48"/>
      <c r="U142" s="48"/>
      <c r="V142" s="48"/>
      <c r="W142" s="48"/>
      <c r="X142" s="48"/>
      <c r="Y142" s="49"/>
      <c r="Z142" s="48"/>
      <c r="AA142" s="48"/>
      <c r="AB142" s="50"/>
      <c r="AV142" t="s">
        <v>165</v>
      </c>
      <c r="AW142" s="32"/>
      <c r="AX142" s="32"/>
      <c r="AY142" s="32"/>
      <c r="BA142" s="32"/>
      <c r="BB142" s="31"/>
      <c r="BC142" s="31"/>
      <c r="BD142" s="31"/>
      <c r="BF142" s="83">
        <v>2</v>
      </c>
    </row>
    <row r="143" spans="1:58" ht="16" x14ac:dyDescent="0.35">
      <c r="A143" s="51"/>
      <c r="B143" s="52"/>
      <c r="C143" s="52"/>
      <c r="D143" s="52"/>
      <c r="E143" s="52"/>
      <c r="F143" s="52"/>
      <c r="G143"/>
      <c r="H143" s="53"/>
      <c r="I143" s="53"/>
      <c r="J143" s="53"/>
      <c r="K143" s="53"/>
      <c r="L143" s="53"/>
      <c r="M143" s="52"/>
      <c r="N143" s="52"/>
      <c r="O143" s="52"/>
      <c r="P143" s="52"/>
      <c r="Q143" s="83">
        <v>1</v>
      </c>
      <c r="R143" s="52"/>
      <c r="S143" s="52"/>
      <c r="T143" s="52"/>
      <c r="U143" s="52"/>
      <c r="V143" s="52"/>
      <c r="W143" s="52"/>
      <c r="X143" s="52"/>
      <c r="Y143" s="53"/>
      <c r="Z143" s="52"/>
      <c r="AA143" s="52"/>
      <c r="AB143" s="54"/>
      <c r="AV143" t="s">
        <v>167</v>
      </c>
      <c r="AW143" s="68"/>
      <c r="AX143" s="68"/>
      <c r="AY143" s="68"/>
      <c r="BA143" s="68"/>
      <c r="BB143" s="67"/>
      <c r="BC143" s="67"/>
      <c r="BD143" s="67"/>
      <c r="BF143" s="83">
        <v>0</v>
      </c>
    </row>
    <row r="144" spans="1:58" ht="16" x14ac:dyDescent="0.35">
      <c r="A144" s="47"/>
      <c r="B144" s="48"/>
      <c r="C144" s="48"/>
      <c r="D144" s="48"/>
      <c r="E144" s="48"/>
      <c r="F144" s="48"/>
      <c r="G144"/>
      <c r="H144" s="49"/>
      <c r="I144" s="49"/>
      <c r="J144" s="49"/>
      <c r="K144" s="49"/>
      <c r="L144" s="49"/>
      <c r="M144" s="48"/>
      <c r="N144" s="48"/>
      <c r="O144" s="48"/>
      <c r="P144" s="48"/>
      <c r="Q144" s="83">
        <v>0</v>
      </c>
      <c r="R144" s="48"/>
      <c r="S144" s="48"/>
      <c r="T144" s="48"/>
      <c r="U144" s="48"/>
      <c r="V144" s="48"/>
      <c r="W144" s="48"/>
      <c r="X144" s="48"/>
      <c r="Y144" s="49"/>
      <c r="Z144" s="48"/>
      <c r="AA144" s="48"/>
      <c r="AB144" s="50"/>
      <c r="AV144" t="s">
        <v>189</v>
      </c>
      <c r="AW144" s="32"/>
      <c r="AX144" s="32"/>
      <c r="AY144" s="32"/>
      <c r="BA144" s="32"/>
      <c r="BB144" s="31"/>
      <c r="BC144" s="31"/>
      <c r="BD144" s="31"/>
      <c r="BF144" s="83">
        <v>0</v>
      </c>
    </row>
    <row r="145" spans="1:58" ht="16" x14ac:dyDescent="0.35">
      <c r="A145" s="51"/>
      <c r="B145" s="52"/>
      <c r="C145" s="52"/>
      <c r="D145" s="52"/>
      <c r="E145" s="52"/>
      <c r="F145" s="52"/>
      <c r="G145"/>
      <c r="H145" s="53"/>
      <c r="I145" s="53"/>
      <c r="J145" s="53"/>
      <c r="K145" s="53"/>
      <c r="L145" s="53"/>
      <c r="M145" s="52"/>
      <c r="N145" s="52"/>
      <c r="O145" s="52"/>
      <c r="P145" s="52"/>
      <c r="Q145" s="83">
        <v>0</v>
      </c>
      <c r="R145" s="52"/>
      <c r="S145" s="52"/>
      <c r="T145" s="52"/>
      <c r="U145" s="52"/>
      <c r="V145" s="52"/>
      <c r="W145" s="52"/>
      <c r="X145" s="52"/>
      <c r="Y145" s="53"/>
      <c r="Z145" s="52"/>
      <c r="AA145" s="52"/>
      <c r="AB145" s="54"/>
      <c r="AV145" t="s">
        <v>178</v>
      </c>
      <c r="AW145" s="68"/>
      <c r="AX145" s="68"/>
      <c r="AY145" s="68"/>
      <c r="BA145" s="68"/>
      <c r="BB145" s="67"/>
      <c r="BC145" s="67"/>
      <c r="BD145" s="67"/>
      <c r="BF145" s="83">
        <v>0</v>
      </c>
    </row>
    <row r="146" spans="1:58" ht="16" x14ac:dyDescent="0.35">
      <c r="A146" s="47"/>
      <c r="B146" s="48"/>
      <c r="C146" s="48"/>
      <c r="D146" s="48"/>
      <c r="E146" s="48"/>
      <c r="F146" s="48"/>
      <c r="G146"/>
      <c r="H146" s="49"/>
      <c r="I146" s="49"/>
      <c r="J146" s="49"/>
      <c r="K146" s="49"/>
      <c r="L146" s="49"/>
      <c r="M146" s="48"/>
      <c r="N146" s="48"/>
      <c r="O146" s="48"/>
      <c r="P146" s="48"/>
      <c r="Q146" s="83">
        <v>1</v>
      </c>
      <c r="R146" s="48"/>
      <c r="S146" s="48"/>
      <c r="T146" s="48"/>
      <c r="U146" s="48"/>
      <c r="V146" s="48"/>
      <c r="W146" s="48"/>
      <c r="X146" s="48"/>
      <c r="Y146" s="49"/>
      <c r="Z146" s="48"/>
      <c r="AA146" s="48"/>
      <c r="AB146" s="50"/>
      <c r="AV146" t="s">
        <v>180</v>
      </c>
      <c r="AW146" s="32"/>
      <c r="AX146" s="32"/>
      <c r="AY146" s="32"/>
      <c r="BA146" s="32"/>
      <c r="BB146" s="31"/>
      <c r="BC146" s="31"/>
      <c r="BD146" s="31"/>
      <c r="BF146" s="83">
        <v>0</v>
      </c>
    </row>
    <row r="147" spans="1:58" ht="16" x14ac:dyDescent="0.35">
      <c r="A147" s="51"/>
      <c r="B147" s="52"/>
      <c r="C147" s="52"/>
      <c r="D147" s="52"/>
      <c r="E147" s="52"/>
      <c r="F147" s="52"/>
      <c r="G147"/>
      <c r="H147" s="53"/>
      <c r="I147" s="53"/>
      <c r="J147" s="53"/>
      <c r="K147" s="53"/>
      <c r="L147" s="53"/>
      <c r="M147" s="52"/>
      <c r="N147" s="52"/>
      <c r="O147" s="52"/>
      <c r="P147" s="52"/>
      <c r="Q147" s="83">
        <v>1</v>
      </c>
      <c r="R147" s="52"/>
      <c r="S147" s="52"/>
      <c r="T147" s="52"/>
      <c r="U147" s="52"/>
      <c r="V147" s="52"/>
      <c r="W147" s="52"/>
      <c r="X147" s="52"/>
      <c r="Y147" s="53"/>
      <c r="Z147" s="52"/>
      <c r="AA147" s="52"/>
      <c r="AB147" s="54"/>
      <c r="AV147" t="s">
        <v>176</v>
      </c>
      <c r="AW147" s="68"/>
      <c r="AX147" s="68"/>
      <c r="AY147" s="68"/>
      <c r="BA147" s="68"/>
      <c r="BB147" s="67"/>
      <c r="BC147" s="67"/>
      <c r="BD147" s="67"/>
      <c r="BF147" s="83">
        <v>0</v>
      </c>
    </row>
    <row r="148" spans="1:58" ht="16" x14ac:dyDescent="0.35">
      <c r="A148" s="47"/>
      <c r="B148" s="48"/>
      <c r="C148" s="48"/>
      <c r="D148" s="48"/>
      <c r="E148" s="48"/>
      <c r="F148" s="48"/>
      <c r="G148"/>
      <c r="H148" s="49"/>
      <c r="I148" s="49"/>
      <c r="J148" s="49"/>
      <c r="K148" s="49"/>
      <c r="L148" s="49"/>
      <c r="M148" s="48"/>
      <c r="N148" s="48"/>
      <c r="O148" s="48"/>
      <c r="P148" s="48"/>
      <c r="Q148" s="83">
        <v>1</v>
      </c>
      <c r="R148" s="48"/>
      <c r="S148" s="48"/>
      <c r="T148" s="48"/>
      <c r="U148" s="48"/>
      <c r="V148" s="48"/>
      <c r="W148" s="48"/>
      <c r="X148" s="48"/>
      <c r="Y148" s="49"/>
      <c r="Z148" s="48"/>
      <c r="AA148" s="48"/>
      <c r="AB148" s="50"/>
      <c r="AV148" t="s">
        <v>176</v>
      </c>
      <c r="AW148" s="32"/>
      <c r="AX148" s="32"/>
      <c r="AY148" s="32"/>
      <c r="BA148" s="32"/>
      <c r="BB148" s="31"/>
      <c r="BC148" s="31"/>
      <c r="BD148" s="31"/>
      <c r="BF148" s="83">
        <v>0</v>
      </c>
    </row>
    <row r="149" spans="1:58" ht="16" x14ac:dyDescent="0.35">
      <c r="A149" s="51"/>
      <c r="B149" s="52"/>
      <c r="C149" s="52"/>
      <c r="D149" s="52"/>
      <c r="E149" s="52"/>
      <c r="F149" s="52"/>
      <c r="G149"/>
      <c r="H149" s="53"/>
      <c r="I149" s="53"/>
      <c r="J149" s="53"/>
      <c r="K149" s="53"/>
      <c r="L149" s="53"/>
      <c r="M149" s="52"/>
      <c r="N149" s="52"/>
      <c r="O149" s="52"/>
      <c r="P149" s="52"/>
      <c r="Q149" s="83">
        <v>1</v>
      </c>
      <c r="R149" s="52"/>
      <c r="S149" s="52"/>
      <c r="T149" s="52"/>
      <c r="U149" s="52"/>
      <c r="V149" s="52"/>
      <c r="W149" s="52"/>
      <c r="X149" s="52"/>
      <c r="Y149" s="53"/>
      <c r="Z149" s="52"/>
      <c r="AA149" s="52"/>
      <c r="AB149" s="54"/>
      <c r="AV149" t="s">
        <v>169</v>
      </c>
      <c r="AW149" s="68"/>
      <c r="AX149" s="68"/>
      <c r="AY149" s="68"/>
      <c r="BA149" s="68"/>
      <c r="BB149" s="67"/>
      <c r="BC149" s="67"/>
      <c r="BD149" s="67"/>
      <c r="BF149" s="83">
        <v>0</v>
      </c>
    </row>
    <row r="150" spans="1:58" ht="16" x14ac:dyDescent="0.35">
      <c r="A150" s="47"/>
      <c r="B150" s="48"/>
      <c r="C150" s="48"/>
      <c r="D150" s="48"/>
      <c r="E150" s="48"/>
      <c r="F150" s="48"/>
      <c r="G150"/>
      <c r="H150" s="49"/>
      <c r="I150" s="49"/>
      <c r="J150" s="49"/>
      <c r="K150" s="49"/>
      <c r="L150" s="49"/>
      <c r="M150" s="48"/>
      <c r="N150" s="48"/>
      <c r="O150" s="48"/>
      <c r="P150" s="48"/>
      <c r="Q150" s="83">
        <v>1</v>
      </c>
      <c r="R150" s="48"/>
      <c r="S150" s="48"/>
      <c r="T150" s="48"/>
      <c r="U150" s="48"/>
      <c r="V150" s="48"/>
      <c r="W150" s="48"/>
      <c r="X150" s="48"/>
      <c r="Y150" s="49"/>
      <c r="Z150" s="48"/>
      <c r="AA150" s="48"/>
      <c r="AB150" s="50"/>
      <c r="AV150" t="s">
        <v>184</v>
      </c>
      <c r="AW150" s="32"/>
      <c r="AX150" s="32"/>
      <c r="AY150" s="32"/>
      <c r="BA150" s="32"/>
      <c r="BB150" s="31"/>
      <c r="BC150" s="31"/>
      <c r="BD150" s="31"/>
      <c r="BF150" s="83">
        <v>2</v>
      </c>
    </row>
    <row r="151" spans="1:58" ht="16" x14ac:dyDescent="0.35">
      <c r="A151" s="51"/>
      <c r="B151" s="52"/>
      <c r="C151" s="52"/>
      <c r="D151" s="52"/>
      <c r="E151" s="52"/>
      <c r="F151" s="52"/>
      <c r="G151"/>
      <c r="H151" s="53"/>
      <c r="I151" s="53"/>
      <c r="J151" s="53"/>
      <c r="K151" s="53"/>
      <c r="L151" s="53"/>
      <c r="M151" s="52"/>
      <c r="N151" s="52"/>
      <c r="O151" s="52"/>
      <c r="P151" s="52"/>
      <c r="Q151" s="83">
        <v>1</v>
      </c>
      <c r="R151" s="52"/>
      <c r="S151" s="52"/>
      <c r="T151" s="52"/>
      <c r="U151" s="52"/>
      <c r="V151" s="52"/>
      <c r="W151" s="52"/>
      <c r="X151" s="52"/>
      <c r="Y151" s="53"/>
      <c r="Z151" s="52"/>
      <c r="AA151" s="52"/>
      <c r="AB151" s="54"/>
      <c r="AV151" t="s">
        <v>165</v>
      </c>
      <c r="AW151" s="68"/>
      <c r="AX151" s="68"/>
      <c r="AY151" s="68"/>
      <c r="BA151" s="68"/>
      <c r="BB151" s="67"/>
      <c r="BC151" s="67"/>
      <c r="BD151" s="67"/>
      <c r="BF151" s="83">
        <v>0</v>
      </c>
    </row>
    <row r="152" spans="1:58" ht="16" x14ac:dyDescent="0.35">
      <c r="A152" s="47"/>
      <c r="B152" s="48"/>
      <c r="C152" s="48"/>
      <c r="D152" s="48"/>
      <c r="E152" s="48"/>
      <c r="F152" s="48"/>
      <c r="G152"/>
      <c r="H152" s="49"/>
      <c r="I152" s="49"/>
      <c r="J152" s="49"/>
      <c r="K152" s="49"/>
      <c r="L152" s="49"/>
      <c r="M152" s="48"/>
      <c r="N152" s="48"/>
      <c r="O152" s="48"/>
      <c r="P152" s="48"/>
      <c r="Q152" s="83">
        <v>1</v>
      </c>
      <c r="R152" s="48"/>
      <c r="S152" s="48"/>
      <c r="T152" s="48"/>
      <c r="U152" s="48"/>
      <c r="V152" s="48"/>
      <c r="W152" s="48"/>
      <c r="X152" s="48"/>
      <c r="Y152" s="49"/>
      <c r="Z152" s="48"/>
      <c r="AA152" s="48"/>
      <c r="AB152" s="50"/>
      <c r="AV152" t="s">
        <v>178</v>
      </c>
      <c r="AW152" s="32"/>
      <c r="AX152" s="32"/>
      <c r="AY152" s="32"/>
      <c r="BA152" s="32"/>
      <c r="BB152" s="31"/>
      <c r="BC152" s="31"/>
      <c r="BD152" s="31"/>
      <c r="BF152" s="83">
        <v>0</v>
      </c>
    </row>
    <row r="153" spans="1:58" ht="16" x14ac:dyDescent="0.35">
      <c r="A153" s="51"/>
      <c r="B153" s="52"/>
      <c r="C153" s="52"/>
      <c r="D153" s="52"/>
      <c r="E153" s="52"/>
      <c r="F153" s="52"/>
      <c r="G153"/>
      <c r="H153" s="53"/>
      <c r="I153" s="53"/>
      <c r="J153" s="53"/>
      <c r="K153" s="53"/>
      <c r="L153" s="53"/>
      <c r="M153" s="52"/>
      <c r="N153" s="52"/>
      <c r="O153" s="52"/>
      <c r="P153" s="52"/>
      <c r="Q153" s="83">
        <v>1</v>
      </c>
      <c r="R153" s="52"/>
      <c r="S153" s="52"/>
      <c r="T153" s="52"/>
      <c r="U153" s="52"/>
      <c r="V153" s="52"/>
      <c r="W153" s="52"/>
      <c r="X153" s="52"/>
      <c r="Y153" s="53"/>
      <c r="Z153" s="52"/>
      <c r="AA153" s="52"/>
      <c r="AB153" s="54"/>
      <c r="AV153" t="s">
        <v>183</v>
      </c>
      <c r="AW153" s="68"/>
      <c r="AX153" s="68"/>
      <c r="AY153" s="68"/>
      <c r="BA153" s="68"/>
      <c r="BB153" s="67"/>
      <c r="BC153" s="67"/>
      <c r="BD153" s="67"/>
      <c r="BF153" s="83">
        <v>0</v>
      </c>
    </row>
    <row r="154" spans="1:58" ht="16" x14ac:dyDescent="0.35">
      <c r="A154" s="47"/>
      <c r="B154" s="48"/>
      <c r="C154" s="48"/>
      <c r="D154" s="48"/>
      <c r="E154" s="48"/>
      <c r="F154" s="48"/>
      <c r="G154"/>
      <c r="H154" s="49"/>
      <c r="I154" s="49"/>
      <c r="J154" s="49"/>
      <c r="K154" s="49"/>
      <c r="L154" s="49"/>
      <c r="M154" s="48"/>
      <c r="N154" s="48"/>
      <c r="O154" s="48"/>
      <c r="P154" s="48"/>
      <c r="Q154" s="83">
        <v>0</v>
      </c>
      <c r="R154" s="48"/>
      <c r="S154" s="48"/>
      <c r="T154" s="48"/>
      <c r="U154" s="48"/>
      <c r="V154" s="48"/>
      <c r="W154" s="48"/>
      <c r="X154" s="48"/>
      <c r="Y154" s="49"/>
      <c r="Z154" s="48"/>
      <c r="AA154" s="48"/>
      <c r="AB154" s="50"/>
      <c r="AV154" t="s">
        <v>183</v>
      </c>
      <c r="AW154" s="32"/>
      <c r="AX154" s="32"/>
      <c r="AY154" s="32"/>
      <c r="BA154" s="32"/>
      <c r="BB154" s="31"/>
      <c r="BC154" s="31"/>
      <c r="BD154" s="31"/>
      <c r="BF154" s="83">
        <v>0</v>
      </c>
    </row>
    <row r="155" spans="1:58" ht="16" x14ac:dyDescent="0.35">
      <c r="A155" s="51"/>
      <c r="B155" s="52"/>
      <c r="C155" s="52"/>
      <c r="D155" s="52"/>
      <c r="E155" s="52"/>
      <c r="F155" s="52"/>
      <c r="G155"/>
      <c r="H155" s="53"/>
      <c r="I155" s="53"/>
      <c r="J155" s="53"/>
      <c r="K155" s="53"/>
      <c r="L155" s="53"/>
      <c r="M155" s="52"/>
      <c r="N155" s="52"/>
      <c r="O155" s="52"/>
      <c r="P155" s="52"/>
      <c r="Q155" s="83">
        <v>0</v>
      </c>
      <c r="R155" s="52"/>
      <c r="S155" s="52"/>
      <c r="T155" s="52"/>
      <c r="U155" s="52"/>
      <c r="V155" s="52"/>
      <c r="W155" s="52"/>
      <c r="X155" s="52"/>
      <c r="Y155" s="53"/>
      <c r="Z155" s="52"/>
      <c r="AA155" s="52"/>
      <c r="AB155" s="54"/>
      <c r="AV155" t="s">
        <v>165</v>
      </c>
      <c r="AW155" s="68"/>
      <c r="AX155" s="68"/>
      <c r="AY155" s="68"/>
      <c r="BA155" s="68"/>
      <c r="BB155" s="67"/>
      <c r="BC155" s="67"/>
      <c r="BD155" s="67"/>
      <c r="BF155" s="83">
        <v>0</v>
      </c>
    </row>
    <row r="156" spans="1:58" ht="16" x14ac:dyDescent="0.35">
      <c r="A156" s="47"/>
      <c r="B156" s="48"/>
      <c r="C156" s="48"/>
      <c r="D156" s="48"/>
      <c r="E156" s="48"/>
      <c r="F156" s="48"/>
      <c r="G156"/>
      <c r="H156" s="49"/>
      <c r="I156" s="49"/>
      <c r="J156" s="49"/>
      <c r="K156" s="49"/>
      <c r="L156" s="49"/>
      <c r="M156" s="48"/>
      <c r="N156" s="48"/>
      <c r="O156" s="48"/>
      <c r="P156" s="48"/>
      <c r="Q156" s="83">
        <v>0</v>
      </c>
      <c r="R156" s="48"/>
      <c r="S156" s="48"/>
      <c r="T156" s="48"/>
      <c r="U156" s="48"/>
      <c r="V156" s="48"/>
      <c r="W156" s="48"/>
      <c r="X156" s="48"/>
      <c r="Y156" s="49"/>
      <c r="Z156" s="48"/>
      <c r="AA156" s="48"/>
      <c r="AB156" s="50"/>
      <c r="AV156" t="s">
        <v>167</v>
      </c>
      <c r="AW156" s="32"/>
      <c r="AX156" s="32"/>
      <c r="AY156" s="32"/>
      <c r="BA156" s="32"/>
      <c r="BB156" s="31"/>
      <c r="BC156" s="31"/>
      <c r="BD156" s="31"/>
      <c r="BF156" s="83">
        <v>2</v>
      </c>
    </row>
    <row r="157" spans="1:58" ht="16" x14ac:dyDescent="0.35">
      <c r="A157" s="51"/>
      <c r="B157" s="52"/>
      <c r="C157" s="52"/>
      <c r="D157" s="52"/>
      <c r="E157" s="52"/>
      <c r="F157" s="52"/>
      <c r="G157"/>
      <c r="H157" s="53"/>
      <c r="I157" s="53"/>
      <c r="J157" s="53"/>
      <c r="K157" s="53"/>
      <c r="L157" s="53"/>
      <c r="M157" s="52"/>
      <c r="N157" s="52"/>
      <c r="O157" s="52"/>
      <c r="P157" s="52"/>
      <c r="Q157" s="83">
        <v>1</v>
      </c>
      <c r="R157" s="52"/>
      <c r="S157" s="52"/>
      <c r="T157" s="52"/>
      <c r="U157" s="52"/>
      <c r="V157" s="52"/>
      <c r="W157" s="52"/>
      <c r="X157" s="52"/>
      <c r="Y157" s="53"/>
      <c r="Z157" s="52"/>
      <c r="AA157" s="52"/>
      <c r="AB157" s="54"/>
      <c r="AV157" t="s">
        <v>178</v>
      </c>
      <c r="AW157" s="68"/>
      <c r="AX157" s="68"/>
      <c r="AY157" s="68"/>
      <c r="BA157" s="68"/>
      <c r="BB157" s="67"/>
      <c r="BC157" s="67"/>
      <c r="BD157" s="67"/>
      <c r="BF157" s="83">
        <v>1</v>
      </c>
    </row>
    <row r="158" spans="1:58" ht="16" x14ac:dyDescent="0.35">
      <c r="A158" s="47"/>
      <c r="B158" s="48"/>
      <c r="C158" s="48"/>
      <c r="D158" s="48"/>
      <c r="E158" s="48"/>
      <c r="F158" s="48"/>
      <c r="G158"/>
      <c r="H158" s="49"/>
      <c r="I158" s="49"/>
      <c r="J158" s="49"/>
      <c r="K158" s="49"/>
      <c r="L158" s="49"/>
      <c r="M158" s="48"/>
      <c r="N158" s="48"/>
      <c r="O158" s="48"/>
      <c r="P158" s="48"/>
      <c r="Q158" s="83">
        <v>1</v>
      </c>
      <c r="R158" s="48"/>
      <c r="S158" s="48"/>
      <c r="T158" s="48"/>
      <c r="U158" s="48"/>
      <c r="V158" s="48"/>
      <c r="W158" s="48"/>
      <c r="X158" s="48"/>
      <c r="Y158" s="49"/>
      <c r="Z158" s="48"/>
      <c r="AA158" s="48"/>
      <c r="AB158" s="50"/>
      <c r="AV158" t="s">
        <v>178</v>
      </c>
      <c r="AW158" s="32"/>
      <c r="AX158" s="32"/>
      <c r="AY158" s="32"/>
      <c r="BA158" s="32"/>
      <c r="BB158" s="31"/>
      <c r="BC158" s="31"/>
      <c r="BD158" s="31"/>
      <c r="BF158" s="83">
        <v>0</v>
      </c>
    </row>
    <row r="159" spans="1:58" ht="16" x14ac:dyDescent="0.35">
      <c r="A159" s="51"/>
      <c r="B159" s="52"/>
      <c r="C159" s="52"/>
      <c r="D159" s="52"/>
      <c r="E159" s="52"/>
      <c r="F159" s="52"/>
      <c r="G159"/>
      <c r="H159" s="53"/>
      <c r="I159" s="53"/>
      <c r="J159" s="53"/>
      <c r="K159" s="53"/>
      <c r="L159" s="53"/>
      <c r="M159" s="52"/>
      <c r="N159" s="52"/>
      <c r="O159" s="52"/>
      <c r="P159" s="52"/>
      <c r="Q159" s="83">
        <v>0</v>
      </c>
      <c r="R159" s="52"/>
      <c r="S159" s="52"/>
      <c r="T159" s="52"/>
      <c r="U159" s="52"/>
      <c r="V159" s="52"/>
      <c r="W159" s="52"/>
      <c r="X159" s="52"/>
      <c r="Y159" s="53"/>
      <c r="Z159" s="52"/>
      <c r="AA159" s="52"/>
      <c r="AB159" s="54"/>
      <c r="AV159" t="s">
        <v>175</v>
      </c>
      <c r="AW159" s="68"/>
      <c r="AX159" s="68"/>
      <c r="AY159" s="68"/>
      <c r="BA159" s="68"/>
      <c r="BB159" s="67"/>
      <c r="BC159" s="67"/>
      <c r="BD159" s="67"/>
      <c r="BF159" s="83">
        <v>0</v>
      </c>
    </row>
    <row r="160" spans="1:58" ht="16" x14ac:dyDescent="0.35">
      <c r="A160" s="47"/>
      <c r="B160" s="48"/>
      <c r="C160" s="48"/>
      <c r="D160" s="48"/>
      <c r="E160" s="48"/>
      <c r="F160" s="48"/>
      <c r="G160"/>
      <c r="H160" s="49"/>
      <c r="I160" s="49"/>
      <c r="J160" s="49"/>
      <c r="K160" s="49"/>
      <c r="L160" s="49"/>
      <c r="M160" s="48"/>
      <c r="N160" s="48"/>
      <c r="O160" s="48"/>
      <c r="P160" s="48"/>
      <c r="Q160" s="83">
        <v>0</v>
      </c>
      <c r="R160" s="48"/>
      <c r="S160" s="48"/>
      <c r="T160" s="48"/>
      <c r="U160" s="48"/>
      <c r="V160" s="48"/>
      <c r="W160" s="48"/>
      <c r="X160" s="48"/>
      <c r="Y160" s="49"/>
      <c r="Z160" s="48"/>
      <c r="AA160" s="48"/>
      <c r="AB160" s="50"/>
      <c r="AV160" t="s">
        <v>176</v>
      </c>
      <c r="AW160" s="32"/>
      <c r="AX160" s="32"/>
      <c r="AY160" s="32"/>
      <c r="BA160" s="32"/>
      <c r="BB160" s="31"/>
      <c r="BC160" s="31"/>
      <c r="BD160" s="31"/>
      <c r="BF160" s="83">
        <v>0</v>
      </c>
    </row>
    <row r="161" spans="1:58" ht="16" x14ac:dyDescent="0.35">
      <c r="A161" s="51"/>
      <c r="B161" s="52"/>
      <c r="C161" s="52"/>
      <c r="D161" s="52"/>
      <c r="E161" s="52"/>
      <c r="F161" s="52"/>
      <c r="G161"/>
      <c r="H161" s="53"/>
      <c r="I161" s="53"/>
      <c r="J161" s="53"/>
      <c r="K161" s="53"/>
      <c r="L161" s="53"/>
      <c r="M161" s="52"/>
      <c r="N161" s="52"/>
      <c r="O161" s="52"/>
      <c r="P161" s="52"/>
      <c r="Q161" s="83">
        <v>0</v>
      </c>
      <c r="R161" s="52"/>
      <c r="S161" s="52"/>
      <c r="T161" s="52"/>
      <c r="U161" s="52"/>
      <c r="V161" s="52"/>
      <c r="W161" s="52"/>
      <c r="X161" s="52"/>
      <c r="Y161" s="53"/>
      <c r="Z161" s="52"/>
      <c r="AA161" s="52"/>
      <c r="AB161" s="54"/>
      <c r="AV161" t="s">
        <v>176</v>
      </c>
      <c r="AW161" s="68"/>
      <c r="AX161" s="68"/>
      <c r="AY161" s="68"/>
      <c r="BA161" s="68"/>
      <c r="BB161" s="67"/>
      <c r="BC161" s="67"/>
      <c r="BD161" s="67"/>
      <c r="BF161" s="83">
        <v>0</v>
      </c>
    </row>
    <row r="162" spans="1:58" ht="16" x14ac:dyDescent="0.35">
      <c r="A162" s="47"/>
      <c r="B162" s="48"/>
      <c r="C162" s="48"/>
      <c r="D162" s="48"/>
      <c r="E162" s="48"/>
      <c r="F162" s="48"/>
      <c r="G162"/>
      <c r="H162" s="49"/>
      <c r="I162" s="49"/>
      <c r="J162" s="49"/>
      <c r="K162" s="49"/>
      <c r="L162" s="49"/>
      <c r="M162" s="48"/>
      <c r="N162" s="48"/>
      <c r="O162" s="48"/>
      <c r="P162" s="48"/>
      <c r="Q162" s="83">
        <v>0</v>
      </c>
      <c r="R162" s="48"/>
      <c r="S162" s="48"/>
      <c r="T162" s="48"/>
      <c r="U162" s="48"/>
      <c r="V162" s="48"/>
      <c r="W162" s="48"/>
      <c r="X162" s="48"/>
      <c r="Y162" s="49"/>
      <c r="Z162" s="48"/>
      <c r="AA162" s="48"/>
      <c r="AB162" s="50"/>
      <c r="AV162" t="s">
        <v>167</v>
      </c>
      <c r="AW162" s="32"/>
      <c r="AX162" s="32"/>
      <c r="AY162" s="32"/>
      <c r="BA162" s="32"/>
      <c r="BB162" s="31"/>
      <c r="BC162" s="31"/>
      <c r="BD162" s="31"/>
      <c r="BF162" s="83">
        <v>1</v>
      </c>
    </row>
    <row r="163" spans="1:58" ht="16" x14ac:dyDescent="0.35">
      <c r="A163" s="51"/>
      <c r="B163" s="52"/>
      <c r="C163" s="52"/>
      <c r="D163" s="52"/>
      <c r="E163" s="52"/>
      <c r="F163" s="52"/>
      <c r="G163"/>
      <c r="H163" s="53"/>
      <c r="I163" s="53"/>
      <c r="J163" s="53"/>
      <c r="K163" s="53"/>
      <c r="L163" s="53"/>
      <c r="M163" s="52"/>
      <c r="N163" s="52"/>
      <c r="O163" s="52"/>
      <c r="P163" s="52"/>
      <c r="Q163" s="83">
        <v>1</v>
      </c>
      <c r="R163" s="52"/>
      <c r="S163" s="52"/>
      <c r="T163" s="52"/>
      <c r="U163" s="52"/>
      <c r="V163" s="52"/>
      <c r="W163" s="52"/>
      <c r="X163" s="52"/>
      <c r="Y163" s="53"/>
      <c r="Z163" s="52"/>
      <c r="AA163" s="52"/>
      <c r="AB163" s="54"/>
      <c r="AV163" t="s">
        <v>183</v>
      </c>
      <c r="AW163" s="68"/>
      <c r="AX163" s="68"/>
      <c r="AY163" s="68"/>
      <c r="BA163" s="68"/>
      <c r="BB163" s="67"/>
      <c r="BC163" s="67"/>
      <c r="BD163" s="67"/>
      <c r="BF163" s="83">
        <v>0</v>
      </c>
    </row>
    <row r="164" spans="1:58" ht="16" x14ac:dyDescent="0.35">
      <c r="A164" s="47"/>
      <c r="B164" s="48"/>
      <c r="C164" s="48"/>
      <c r="D164" s="48"/>
      <c r="E164" s="48"/>
      <c r="F164" s="48"/>
      <c r="G164"/>
      <c r="H164" s="49"/>
      <c r="I164" s="49"/>
      <c r="J164" s="49"/>
      <c r="K164" s="49"/>
      <c r="L164" s="49"/>
      <c r="M164" s="48"/>
      <c r="N164" s="48"/>
      <c r="O164" s="48"/>
      <c r="P164" s="48"/>
      <c r="Q164" s="83">
        <v>0</v>
      </c>
      <c r="R164" s="48"/>
      <c r="S164" s="48"/>
      <c r="T164" s="48"/>
      <c r="U164" s="48"/>
      <c r="V164" s="48"/>
      <c r="W164" s="48"/>
      <c r="X164" s="48"/>
      <c r="Y164" s="49"/>
      <c r="Z164" s="48"/>
      <c r="AA164" s="48"/>
      <c r="AB164" s="50"/>
      <c r="AV164" t="s">
        <v>174</v>
      </c>
      <c r="AW164" s="32"/>
      <c r="AX164" s="32"/>
      <c r="AY164" s="32"/>
      <c r="BA164" s="32"/>
      <c r="BB164" s="31"/>
      <c r="BC164" s="31"/>
      <c r="BD164" s="31"/>
      <c r="BF164" s="83">
        <v>0</v>
      </c>
    </row>
    <row r="165" spans="1:58" ht="16" x14ac:dyDescent="0.35">
      <c r="A165" s="51"/>
      <c r="B165" s="52"/>
      <c r="C165" s="52"/>
      <c r="D165" s="52"/>
      <c r="E165" s="52"/>
      <c r="F165" s="52"/>
      <c r="G165"/>
      <c r="H165" s="53"/>
      <c r="I165" s="53"/>
      <c r="J165" s="53"/>
      <c r="K165" s="53"/>
      <c r="L165" s="53"/>
      <c r="M165" s="52"/>
      <c r="N165" s="52"/>
      <c r="O165" s="52"/>
      <c r="P165" s="52"/>
      <c r="Q165" s="83">
        <v>1</v>
      </c>
      <c r="R165" s="52"/>
      <c r="S165" s="52"/>
      <c r="T165" s="52"/>
      <c r="U165" s="52"/>
      <c r="V165" s="52"/>
      <c r="W165" s="52"/>
      <c r="X165" s="52"/>
      <c r="Y165" s="53"/>
      <c r="Z165" s="52"/>
      <c r="AA165" s="52"/>
      <c r="AB165" s="54"/>
      <c r="AV165" t="s">
        <v>175</v>
      </c>
      <c r="AW165" s="68"/>
      <c r="AX165" s="68"/>
      <c r="AY165" s="68"/>
      <c r="BA165" s="68"/>
      <c r="BB165" s="67"/>
      <c r="BC165" s="67"/>
      <c r="BD165" s="67"/>
      <c r="BF165" s="83">
        <v>0</v>
      </c>
    </row>
    <row r="166" spans="1:58" ht="16" x14ac:dyDescent="0.35">
      <c r="A166" s="47"/>
      <c r="B166" s="48"/>
      <c r="C166" s="48"/>
      <c r="D166" s="48"/>
      <c r="E166" s="48"/>
      <c r="F166" s="48"/>
      <c r="G166"/>
      <c r="H166" s="49"/>
      <c r="I166" s="49"/>
      <c r="J166" s="49"/>
      <c r="K166" s="49"/>
      <c r="L166" s="49"/>
      <c r="M166" s="48"/>
      <c r="N166" s="48"/>
      <c r="O166" s="48"/>
      <c r="P166" s="48"/>
      <c r="Q166" s="83">
        <v>1</v>
      </c>
      <c r="R166" s="48"/>
      <c r="S166" s="48"/>
      <c r="T166" s="48"/>
      <c r="U166" s="48"/>
      <c r="V166" s="48"/>
      <c r="W166" s="48"/>
      <c r="X166" s="48"/>
      <c r="Y166" s="49"/>
      <c r="Z166" s="48"/>
      <c r="AA166" s="48"/>
      <c r="AB166" s="50"/>
      <c r="AV166" t="s">
        <v>167</v>
      </c>
      <c r="AW166" s="32"/>
      <c r="AX166" s="32"/>
      <c r="AY166" s="32"/>
      <c r="BA166" s="32"/>
      <c r="BB166" s="31"/>
      <c r="BC166" s="31"/>
      <c r="BD166" s="31"/>
      <c r="BF166" s="83">
        <v>0</v>
      </c>
    </row>
    <row r="167" spans="1:58" ht="16" x14ac:dyDescent="0.35">
      <c r="A167" s="51"/>
      <c r="B167" s="52"/>
      <c r="C167" s="52"/>
      <c r="D167" s="52"/>
      <c r="E167" s="52"/>
      <c r="F167" s="52"/>
      <c r="G167"/>
      <c r="H167" s="53"/>
      <c r="I167" s="53"/>
      <c r="J167" s="53"/>
      <c r="K167" s="53"/>
      <c r="L167" s="53"/>
      <c r="M167" s="52"/>
      <c r="N167" s="52"/>
      <c r="O167" s="52"/>
      <c r="P167" s="52"/>
      <c r="Q167" s="83">
        <v>1</v>
      </c>
      <c r="R167" s="52"/>
      <c r="S167" s="52"/>
      <c r="T167" s="52"/>
      <c r="U167" s="52"/>
      <c r="V167" s="52"/>
      <c r="W167" s="52"/>
      <c r="X167" s="52"/>
      <c r="Y167" s="53"/>
      <c r="Z167" s="52"/>
      <c r="AA167" s="52"/>
      <c r="AB167" s="54"/>
      <c r="AV167" t="s">
        <v>180</v>
      </c>
      <c r="AW167" s="68"/>
      <c r="AX167" s="68"/>
      <c r="AY167" s="68"/>
      <c r="BA167" s="68"/>
      <c r="BB167" s="67"/>
      <c r="BC167" s="67"/>
      <c r="BD167" s="67"/>
      <c r="BF167" s="83">
        <v>0</v>
      </c>
    </row>
    <row r="168" spans="1:58" ht="16" x14ac:dyDescent="0.35">
      <c r="A168" s="47"/>
      <c r="B168" s="48"/>
      <c r="C168" s="48"/>
      <c r="D168" s="48"/>
      <c r="E168" s="48"/>
      <c r="F168" s="48"/>
      <c r="G168"/>
      <c r="H168" s="49"/>
      <c r="I168" s="49"/>
      <c r="J168" s="49"/>
      <c r="K168" s="49"/>
      <c r="L168" s="49"/>
      <c r="M168" s="48"/>
      <c r="N168" s="48"/>
      <c r="O168" s="48"/>
      <c r="P168" s="48"/>
      <c r="Q168" s="83">
        <v>1</v>
      </c>
      <c r="R168" s="48"/>
      <c r="S168" s="48"/>
      <c r="T168" s="48"/>
      <c r="U168" s="48"/>
      <c r="V168" s="48"/>
      <c r="W168" s="48"/>
      <c r="X168" s="48"/>
      <c r="Y168" s="49"/>
      <c r="Z168" s="48"/>
      <c r="AA168" s="48"/>
      <c r="AB168" s="50"/>
      <c r="AV168" t="s">
        <v>183</v>
      </c>
      <c r="AW168" s="32"/>
      <c r="AX168" s="32"/>
      <c r="AY168" s="32"/>
      <c r="BA168" s="32"/>
      <c r="BB168" s="31"/>
      <c r="BC168" s="31"/>
      <c r="BD168" s="31"/>
      <c r="BF168" s="83">
        <v>0</v>
      </c>
    </row>
    <row r="169" spans="1:58" ht="16" x14ac:dyDescent="0.35">
      <c r="A169" s="51"/>
      <c r="B169" s="52"/>
      <c r="C169" s="52"/>
      <c r="D169" s="52"/>
      <c r="E169" s="52"/>
      <c r="F169" s="52"/>
      <c r="G169"/>
      <c r="H169" s="53"/>
      <c r="I169" s="53"/>
      <c r="J169" s="53"/>
      <c r="K169" s="53"/>
      <c r="L169" s="53"/>
      <c r="M169" s="52"/>
      <c r="N169" s="52"/>
      <c r="O169" s="52"/>
      <c r="P169" s="52"/>
      <c r="Q169" s="83">
        <v>1</v>
      </c>
      <c r="R169" s="52"/>
      <c r="S169" s="52"/>
      <c r="T169" s="52"/>
      <c r="U169" s="52"/>
      <c r="V169" s="52"/>
      <c r="W169" s="52"/>
      <c r="X169" s="52"/>
      <c r="Y169" s="53"/>
      <c r="Z169" s="52"/>
      <c r="AA169" s="52"/>
      <c r="AB169" s="54"/>
      <c r="AV169" t="s">
        <v>180</v>
      </c>
      <c r="AW169" s="68"/>
      <c r="AX169" s="68"/>
      <c r="AY169" s="68"/>
      <c r="BA169" s="68"/>
      <c r="BB169" s="67"/>
      <c r="BC169" s="67"/>
      <c r="BD169" s="67"/>
      <c r="BF169" s="83">
        <v>0</v>
      </c>
    </row>
    <row r="170" spans="1:58" ht="16" x14ac:dyDescent="0.35">
      <c r="A170" s="47"/>
      <c r="B170" s="48"/>
      <c r="C170" s="48"/>
      <c r="D170" s="48"/>
      <c r="E170" s="48"/>
      <c r="F170" s="48"/>
      <c r="G170"/>
      <c r="H170" s="49"/>
      <c r="I170" s="49"/>
      <c r="J170" s="49"/>
      <c r="K170" s="49"/>
      <c r="L170" s="49"/>
      <c r="M170" s="48"/>
      <c r="N170" s="48"/>
      <c r="O170" s="48"/>
      <c r="P170" s="48"/>
      <c r="Q170" s="83">
        <v>1</v>
      </c>
      <c r="R170" s="48"/>
      <c r="S170" s="48"/>
      <c r="T170" s="48"/>
      <c r="U170" s="48"/>
      <c r="V170" s="48"/>
      <c r="W170" s="48"/>
      <c r="X170" s="48"/>
      <c r="Y170" s="49"/>
      <c r="Z170" s="48"/>
      <c r="AA170" s="48"/>
      <c r="AB170" s="50"/>
      <c r="AV170" t="s">
        <v>174</v>
      </c>
      <c r="AW170" s="32"/>
      <c r="AX170" s="32"/>
      <c r="AY170" s="32"/>
      <c r="BA170" s="32"/>
      <c r="BB170" s="31"/>
      <c r="BC170" s="31"/>
      <c r="BD170" s="31"/>
      <c r="BF170" s="83">
        <v>0</v>
      </c>
    </row>
    <row r="171" spans="1:58" ht="16" x14ac:dyDescent="0.35">
      <c r="A171" s="51"/>
      <c r="B171" s="52"/>
      <c r="C171" s="52"/>
      <c r="D171" s="52"/>
      <c r="E171" s="52"/>
      <c r="F171" s="52"/>
      <c r="G171"/>
      <c r="H171" s="53"/>
      <c r="I171" s="53"/>
      <c r="J171" s="53"/>
      <c r="K171" s="53"/>
      <c r="L171" s="53"/>
      <c r="M171" s="52"/>
      <c r="N171" s="52"/>
      <c r="O171" s="52"/>
      <c r="P171" s="52"/>
      <c r="Q171" s="83">
        <v>1</v>
      </c>
      <c r="R171" s="52"/>
      <c r="S171" s="52"/>
      <c r="T171" s="52"/>
      <c r="U171" s="52"/>
      <c r="V171" s="52"/>
      <c r="W171" s="52"/>
      <c r="X171" s="52"/>
      <c r="Y171" s="53"/>
      <c r="Z171" s="52"/>
      <c r="AA171" s="52"/>
      <c r="AB171" s="54"/>
      <c r="AV171" t="s">
        <v>205</v>
      </c>
      <c r="AW171" s="68"/>
      <c r="AX171" s="68"/>
      <c r="AY171" s="68"/>
      <c r="BA171" s="68"/>
      <c r="BB171" s="67"/>
      <c r="BC171" s="67"/>
      <c r="BD171" s="67"/>
      <c r="BF171" s="83">
        <v>3</v>
      </c>
    </row>
    <row r="172" spans="1:58" ht="16" x14ac:dyDescent="0.35">
      <c r="A172" s="47"/>
      <c r="B172" s="48"/>
      <c r="C172" s="48"/>
      <c r="D172" s="48"/>
      <c r="E172" s="48"/>
      <c r="F172" s="48"/>
      <c r="G172"/>
      <c r="H172" s="49"/>
      <c r="I172" s="49"/>
      <c r="J172" s="49"/>
      <c r="K172" s="49"/>
      <c r="L172" s="49"/>
      <c r="M172" s="48"/>
      <c r="N172" s="48"/>
      <c r="O172" s="48"/>
      <c r="P172" s="48"/>
      <c r="Q172" s="83">
        <v>0</v>
      </c>
      <c r="R172" s="48"/>
      <c r="S172" s="48"/>
      <c r="T172" s="48"/>
      <c r="U172" s="48"/>
      <c r="V172" s="48"/>
      <c r="W172" s="48"/>
      <c r="X172" s="48"/>
      <c r="Y172" s="49"/>
      <c r="Z172" s="48"/>
      <c r="AA172" s="48"/>
      <c r="AB172" s="50"/>
      <c r="AV172" t="s">
        <v>205</v>
      </c>
      <c r="AW172" s="32"/>
      <c r="AX172" s="32"/>
      <c r="AY172" s="32"/>
      <c r="BA172" s="32"/>
      <c r="BB172" s="31"/>
      <c r="BC172" s="31"/>
      <c r="BD172" s="31"/>
      <c r="BF172" s="83">
        <v>3</v>
      </c>
    </row>
    <row r="173" spans="1:58" ht="16" x14ac:dyDescent="0.35">
      <c r="A173" s="51"/>
      <c r="B173" s="52"/>
      <c r="C173" s="52"/>
      <c r="D173" s="52"/>
      <c r="E173" s="52"/>
      <c r="F173" s="52"/>
      <c r="G173"/>
      <c r="H173" s="53"/>
      <c r="I173" s="53"/>
      <c r="J173" s="53"/>
      <c r="K173" s="53"/>
      <c r="L173" s="53"/>
      <c r="M173" s="52"/>
      <c r="N173" s="52"/>
      <c r="O173" s="52"/>
      <c r="P173" s="52"/>
      <c r="Q173" s="83">
        <v>0</v>
      </c>
      <c r="R173" s="52"/>
      <c r="S173" s="52"/>
      <c r="T173" s="52"/>
      <c r="U173" s="52"/>
      <c r="V173" s="52"/>
      <c r="W173" s="52"/>
      <c r="X173" s="52"/>
      <c r="Y173" s="53"/>
      <c r="Z173" s="52"/>
      <c r="AA173" s="52"/>
      <c r="AB173" s="54"/>
      <c r="AV173" t="s">
        <v>184</v>
      </c>
      <c r="AW173" s="68"/>
      <c r="AX173" s="68"/>
      <c r="AY173" s="68"/>
      <c r="BA173" s="68"/>
      <c r="BB173" s="67"/>
      <c r="BC173" s="67"/>
      <c r="BD173" s="67"/>
      <c r="BF173" s="83">
        <v>0</v>
      </c>
    </row>
    <row r="174" spans="1:58" ht="16" x14ac:dyDescent="0.35">
      <c r="A174" s="47"/>
      <c r="B174" s="48"/>
      <c r="C174" s="48"/>
      <c r="D174" s="48"/>
      <c r="E174" s="48"/>
      <c r="F174" s="48"/>
      <c r="G174"/>
      <c r="H174" s="49"/>
      <c r="I174" s="49"/>
      <c r="J174" s="49"/>
      <c r="K174" s="49"/>
      <c r="L174" s="49"/>
      <c r="M174" s="48"/>
      <c r="N174" s="48"/>
      <c r="O174" s="48"/>
      <c r="P174" s="48"/>
      <c r="Q174" s="83">
        <v>8</v>
      </c>
      <c r="R174" s="48"/>
      <c r="S174" s="48"/>
      <c r="T174" s="48"/>
      <c r="U174" s="48"/>
      <c r="V174" s="48"/>
      <c r="W174" s="48"/>
      <c r="X174" s="48"/>
      <c r="Y174" s="49"/>
      <c r="Z174" s="48"/>
      <c r="AA174" s="48"/>
      <c r="AB174" s="50"/>
      <c r="AV174" t="s">
        <v>176</v>
      </c>
      <c r="AW174" s="32"/>
      <c r="AX174" s="32"/>
      <c r="AY174" s="32"/>
      <c r="BA174" s="32"/>
      <c r="BB174" s="31"/>
      <c r="BC174" s="31"/>
      <c r="BD174" s="31"/>
      <c r="BF174" s="83">
        <v>0</v>
      </c>
    </row>
    <row r="175" spans="1:58" ht="16" x14ac:dyDescent="0.35">
      <c r="A175" s="51"/>
      <c r="B175" s="52"/>
      <c r="C175" s="52"/>
      <c r="D175" s="52"/>
      <c r="E175" s="52"/>
      <c r="F175" s="52"/>
      <c r="G175"/>
      <c r="H175" s="53"/>
      <c r="I175" s="53"/>
      <c r="J175" s="53"/>
      <c r="K175" s="53"/>
      <c r="L175" s="53"/>
      <c r="M175" s="52"/>
      <c r="N175" s="52"/>
      <c r="O175" s="52"/>
      <c r="P175" s="52"/>
      <c r="Q175" s="83">
        <v>1</v>
      </c>
      <c r="R175" s="52"/>
      <c r="S175" s="52"/>
      <c r="T175" s="52"/>
      <c r="U175" s="52"/>
      <c r="V175" s="52"/>
      <c r="W175" s="52"/>
      <c r="X175" s="52"/>
      <c r="Y175" s="53"/>
      <c r="Z175" s="52"/>
      <c r="AA175" s="52"/>
      <c r="AB175" s="54"/>
      <c r="AV175" t="s">
        <v>180</v>
      </c>
      <c r="AW175" s="68"/>
      <c r="AX175" s="68"/>
      <c r="AY175" s="68"/>
      <c r="BA175" s="68"/>
      <c r="BB175" s="67"/>
      <c r="BC175" s="67"/>
      <c r="BD175" s="67"/>
      <c r="BF175" s="83">
        <v>0</v>
      </c>
    </row>
    <row r="176" spans="1:58" ht="16" x14ac:dyDescent="0.35">
      <c r="A176" s="47"/>
      <c r="B176" s="48"/>
      <c r="C176" s="48"/>
      <c r="D176" s="48"/>
      <c r="E176" s="48"/>
      <c r="F176" s="48"/>
      <c r="G176"/>
      <c r="H176" s="49"/>
      <c r="I176" s="49"/>
      <c r="J176" s="49"/>
      <c r="K176" s="49"/>
      <c r="L176" s="49"/>
      <c r="M176" s="48"/>
      <c r="N176" s="48"/>
      <c r="O176" s="48"/>
      <c r="P176" s="48"/>
      <c r="Q176" s="83">
        <v>1</v>
      </c>
      <c r="R176" s="48"/>
      <c r="S176" s="48"/>
      <c r="T176" s="48"/>
      <c r="U176" s="48"/>
      <c r="V176" s="48"/>
      <c r="W176" s="48"/>
      <c r="X176" s="48"/>
      <c r="Y176" s="49"/>
      <c r="Z176" s="48"/>
      <c r="AA176" s="48"/>
      <c r="AB176" s="50"/>
      <c r="AV176" t="s">
        <v>180</v>
      </c>
      <c r="AW176" s="32"/>
      <c r="AX176" s="32"/>
      <c r="AY176" s="32"/>
      <c r="BA176" s="32"/>
      <c r="BB176" s="31"/>
      <c r="BC176" s="31"/>
      <c r="BD176" s="31"/>
      <c r="BF176" s="83">
        <v>0</v>
      </c>
    </row>
    <row r="177" spans="1:58" ht="16" x14ac:dyDescent="0.35">
      <c r="A177" s="51"/>
      <c r="B177" s="52"/>
      <c r="C177" s="52"/>
      <c r="D177" s="52"/>
      <c r="E177" s="52"/>
      <c r="F177" s="52"/>
      <c r="G177"/>
      <c r="H177" s="53"/>
      <c r="I177" s="53"/>
      <c r="J177" s="53"/>
      <c r="K177" s="53"/>
      <c r="L177" s="53"/>
      <c r="M177" s="52"/>
      <c r="N177" s="52"/>
      <c r="O177" s="52"/>
      <c r="P177" s="52"/>
      <c r="Q177" s="83">
        <v>1</v>
      </c>
      <c r="R177" s="52"/>
      <c r="S177" s="52"/>
      <c r="T177" s="52"/>
      <c r="U177" s="52"/>
      <c r="V177" s="52"/>
      <c r="W177" s="52"/>
      <c r="X177" s="52"/>
      <c r="Y177" s="53"/>
      <c r="Z177" s="52"/>
      <c r="AA177" s="52"/>
      <c r="AB177" s="54"/>
      <c r="AV177" t="s">
        <v>175</v>
      </c>
      <c r="AW177" s="68"/>
      <c r="AX177" s="68"/>
      <c r="AY177" s="68"/>
      <c r="BA177" s="68"/>
      <c r="BB177" s="67"/>
      <c r="BC177" s="67"/>
      <c r="BD177" s="67"/>
      <c r="BF177" s="83">
        <v>0</v>
      </c>
    </row>
    <row r="178" spans="1:58" ht="16" x14ac:dyDescent="0.35">
      <c r="A178" s="47"/>
      <c r="B178" s="48"/>
      <c r="C178" s="48"/>
      <c r="D178" s="48"/>
      <c r="E178" s="48"/>
      <c r="F178" s="48"/>
      <c r="G178"/>
      <c r="H178" s="49"/>
      <c r="I178" s="49"/>
      <c r="J178" s="49"/>
      <c r="K178" s="49"/>
      <c r="L178" s="49"/>
      <c r="M178" s="48"/>
      <c r="N178" s="48"/>
      <c r="O178" s="48"/>
      <c r="P178" s="48"/>
      <c r="Q178" s="83">
        <v>1</v>
      </c>
      <c r="R178" s="48"/>
      <c r="S178" s="48"/>
      <c r="T178" s="48"/>
      <c r="U178" s="48"/>
      <c r="V178" s="48"/>
      <c r="W178" s="48"/>
      <c r="X178" s="48"/>
      <c r="Y178" s="49"/>
      <c r="Z178" s="48"/>
      <c r="AA178" s="48"/>
      <c r="AB178" s="50"/>
      <c r="AV178" t="s">
        <v>175</v>
      </c>
      <c r="AW178" s="32"/>
      <c r="AX178" s="32"/>
      <c r="AY178" s="32"/>
      <c r="BA178" s="32"/>
      <c r="BB178" s="31"/>
      <c r="BC178" s="31"/>
      <c r="BD178" s="31"/>
      <c r="BF178" s="83">
        <v>0</v>
      </c>
    </row>
    <row r="179" spans="1:58" ht="16" x14ac:dyDescent="0.35">
      <c r="A179" s="51"/>
      <c r="B179" s="52"/>
      <c r="C179" s="52"/>
      <c r="D179" s="52"/>
      <c r="E179" s="52"/>
      <c r="F179" s="52"/>
      <c r="G179"/>
      <c r="H179" s="53"/>
      <c r="I179" s="53"/>
      <c r="J179" s="53"/>
      <c r="K179" s="53"/>
      <c r="L179" s="53"/>
      <c r="M179" s="52"/>
      <c r="N179" s="52"/>
      <c r="O179" s="52"/>
      <c r="P179" s="52"/>
      <c r="Q179" s="83">
        <v>1</v>
      </c>
      <c r="R179" s="52"/>
      <c r="S179" s="52"/>
      <c r="T179" s="52"/>
      <c r="U179" s="52"/>
      <c r="V179" s="52"/>
      <c r="W179" s="52"/>
      <c r="X179" s="52"/>
      <c r="Y179" s="53"/>
      <c r="Z179" s="52"/>
      <c r="AA179" s="52"/>
      <c r="AB179" s="54"/>
      <c r="AV179" t="s">
        <v>175</v>
      </c>
      <c r="AW179" s="68"/>
      <c r="AX179" s="68"/>
      <c r="AY179" s="68"/>
      <c r="BA179" s="68"/>
      <c r="BB179" s="67"/>
      <c r="BC179" s="67"/>
      <c r="BD179" s="67"/>
      <c r="BF179" s="83">
        <v>0</v>
      </c>
    </row>
    <row r="180" spans="1:58" ht="16" x14ac:dyDescent="0.35">
      <c r="A180" s="47"/>
      <c r="B180" s="48"/>
      <c r="C180" s="48"/>
      <c r="D180" s="48"/>
      <c r="E180" s="48"/>
      <c r="F180" s="48"/>
      <c r="G180"/>
      <c r="H180" s="49"/>
      <c r="I180" s="49"/>
      <c r="J180" s="49"/>
      <c r="K180" s="49"/>
      <c r="L180" s="49"/>
      <c r="M180" s="48"/>
      <c r="N180" s="48"/>
      <c r="O180" s="48"/>
      <c r="P180" s="48"/>
      <c r="Q180" s="83">
        <v>1</v>
      </c>
      <c r="R180" s="48"/>
      <c r="S180" s="48"/>
      <c r="T180" s="48"/>
      <c r="U180" s="48"/>
      <c r="V180" s="48"/>
      <c r="W180" s="48"/>
      <c r="X180" s="48"/>
      <c r="Y180" s="49"/>
      <c r="Z180" s="48"/>
      <c r="AA180" s="48"/>
      <c r="AB180" s="50"/>
      <c r="AV180" t="s">
        <v>168</v>
      </c>
      <c r="AW180" s="32"/>
      <c r="AX180" s="32"/>
      <c r="AY180" s="32"/>
      <c r="BA180" s="32"/>
      <c r="BB180" s="31"/>
      <c r="BC180" s="31"/>
      <c r="BD180" s="31"/>
      <c r="BF180" s="83">
        <v>0</v>
      </c>
    </row>
    <row r="181" spans="1:58" ht="16" x14ac:dyDescent="0.35">
      <c r="A181" s="51"/>
      <c r="B181" s="52"/>
      <c r="C181" s="52"/>
      <c r="D181" s="52"/>
      <c r="E181" s="52"/>
      <c r="F181" s="52"/>
      <c r="G181"/>
      <c r="H181" s="53"/>
      <c r="I181" s="53"/>
      <c r="J181" s="53"/>
      <c r="K181" s="53"/>
      <c r="L181" s="53"/>
      <c r="M181" s="52"/>
      <c r="N181" s="52"/>
      <c r="O181" s="52"/>
      <c r="P181" s="52"/>
      <c r="Q181" s="83">
        <v>1</v>
      </c>
      <c r="R181" s="52"/>
      <c r="S181" s="52"/>
      <c r="T181" s="52"/>
      <c r="U181" s="52"/>
      <c r="V181" s="52"/>
      <c r="W181" s="52"/>
      <c r="X181" s="52"/>
      <c r="Y181" s="53"/>
      <c r="Z181" s="52"/>
      <c r="AA181" s="52"/>
      <c r="AB181" s="54"/>
      <c r="AV181" t="s">
        <v>189</v>
      </c>
      <c r="AW181" s="68"/>
      <c r="AX181" s="68"/>
      <c r="AY181" s="68"/>
      <c r="BA181" s="68"/>
      <c r="BB181" s="67"/>
      <c r="BC181" s="67"/>
      <c r="BD181" s="67"/>
      <c r="BF181" s="83">
        <v>0</v>
      </c>
    </row>
    <row r="182" spans="1:58" ht="16" x14ac:dyDescent="0.35">
      <c r="A182" s="47"/>
      <c r="B182" s="48"/>
      <c r="C182" s="48"/>
      <c r="D182" s="48"/>
      <c r="E182" s="48"/>
      <c r="F182" s="48"/>
      <c r="G182"/>
      <c r="H182" s="49"/>
      <c r="I182" s="49"/>
      <c r="J182" s="49"/>
      <c r="K182" s="49"/>
      <c r="L182" s="49"/>
      <c r="M182" s="48"/>
      <c r="N182" s="48"/>
      <c r="O182" s="48"/>
      <c r="P182" s="48"/>
      <c r="Q182" s="83">
        <v>1</v>
      </c>
      <c r="R182" s="48"/>
      <c r="S182" s="48"/>
      <c r="T182" s="48"/>
      <c r="U182" s="48"/>
      <c r="V182" s="48"/>
      <c r="W182" s="48"/>
      <c r="X182" s="48"/>
      <c r="Y182" s="49"/>
      <c r="Z182" s="48"/>
      <c r="AA182" s="48"/>
      <c r="AB182" s="50"/>
      <c r="AV182" t="s">
        <v>175</v>
      </c>
      <c r="AW182" s="32"/>
      <c r="AX182" s="32"/>
      <c r="AY182" s="32"/>
      <c r="BA182" s="32"/>
      <c r="BB182" s="31"/>
      <c r="BC182" s="31"/>
      <c r="BD182" s="31"/>
      <c r="BF182" s="83">
        <v>0</v>
      </c>
    </row>
    <row r="183" spans="1:58" ht="16" x14ac:dyDescent="0.35">
      <c r="A183" s="51"/>
      <c r="B183" s="52"/>
      <c r="C183" s="52"/>
      <c r="D183" s="52"/>
      <c r="E183" s="52"/>
      <c r="F183" s="52"/>
      <c r="G183"/>
      <c r="H183" s="53"/>
      <c r="I183" s="53"/>
      <c r="J183" s="53"/>
      <c r="K183" s="53"/>
      <c r="L183" s="53"/>
      <c r="M183" s="52"/>
      <c r="N183" s="52"/>
      <c r="O183" s="52"/>
      <c r="P183" s="52"/>
      <c r="Q183" s="83">
        <v>1</v>
      </c>
      <c r="R183" s="52"/>
      <c r="S183" s="52"/>
      <c r="T183" s="52"/>
      <c r="U183" s="52"/>
      <c r="V183" s="52"/>
      <c r="W183" s="52"/>
      <c r="X183" s="52"/>
      <c r="Y183" s="53"/>
      <c r="Z183" s="52"/>
      <c r="AA183" s="52"/>
      <c r="AB183" s="54"/>
      <c r="AV183" t="s">
        <v>175</v>
      </c>
      <c r="AW183" s="68"/>
      <c r="AX183" s="68"/>
      <c r="AY183" s="68"/>
      <c r="BA183" s="68"/>
      <c r="BB183" s="67"/>
      <c r="BC183" s="67"/>
      <c r="BD183" s="67"/>
      <c r="BF183" s="83">
        <v>0</v>
      </c>
    </row>
    <row r="184" spans="1:58" ht="16" x14ac:dyDescent="0.35">
      <c r="A184" s="47"/>
      <c r="B184" s="48"/>
      <c r="C184" s="48"/>
      <c r="D184" s="48"/>
      <c r="E184" s="48"/>
      <c r="F184" s="48"/>
      <c r="G184"/>
      <c r="H184" s="49"/>
      <c r="I184" s="49"/>
      <c r="J184" s="49"/>
      <c r="K184" s="49"/>
      <c r="L184" s="49"/>
      <c r="M184" s="48"/>
      <c r="N184" s="48"/>
      <c r="O184" s="48"/>
      <c r="P184" s="48"/>
      <c r="Q184" s="83">
        <v>1</v>
      </c>
      <c r="R184" s="48"/>
      <c r="S184" s="48"/>
      <c r="T184" s="48"/>
      <c r="U184" s="48"/>
      <c r="V184" s="48"/>
      <c r="W184" s="48"/>
      <c r="X184" s="48"/>
      <c r="Y184" s="49"/>
      <c r="Z184" s="48"/>
      <c r="AA184" s="48"/>
      <c r="AB184" s="50"/>
      <c r="AV184" t="s">
        <v>184</v>
      </c>
      <c r="AW184" s="32"/>
      <c r="AX184" s="32"/>
      <c r="AY184" s="32"/>
      <c r="BA184" s="32"/>
      <c r="BB184" s="31"/>
      <c r="BC184" s="31"/>
      <c r="BD184" s="31"/>
      <c r="BF184" s="83">
        <v>0</v>
      </c>
    </row>
    <row r="185" spans="1:58" ht="16" x14ac:dyDescent="0.35">
      <c r="A185" s="51"/>
      <c r="B185" s="52"/>
      <c r="C185" s="52"/>
      <c r="D185" s="52"/>
      <c r="E185" s="52"/>
      <c r="F185" s="52"/>
      <c r="G185"/>
      <c r="H185" s="53"/>
      <c r="I185" s="53"/>
      <c r="J185" s="53"/>
      <c r="K185" s="53"/>
      <c r="L185" s="53"/>
      <c r="M185" s="52"/>
      <c r="N185" s="52"/>
      <c r="O185" s="52"/>
      <c r="P185" s="52"/>
      <c r="Q185" s="83">
        <v>1</v>
      </c>
      <c r="R185" s="52"/>
      <c r="S185" s="52"/>
      <c r="T185" s="52"/>
      <c r="U185" s="52"/>
      <c r="V185" s="52"/>
      <c r="W185" s="52"/>
      <c r="X185" s="52"/>
      <c r="Y185" s="53"/>
      <c r="Z185" s="52"/>
      <c r="AA185" s="52"/>
      <c r="AB185" s="54"/>
      <c r="AV185" t="s">
        <v>180</v>
      </c>
      <c r="AW185" s="68"/>
      <c r="AX185" s="68"/>
      <c r="AY185" s="68"/>
      <c r="BA185" s="68"/>
      <c r="BB185" s="67"/>
      <c r="BC185" s="67"/>
      <c r="BD185" s="67"/>
      <c r="BF185" s="83">
        <v>0</v>
      </c>
    </row>
    <row r="186" spans="1:58" ht="16" x14ac:dyDescent="0.35">
      <c r="A186" s="47"/>
      <c r="B186" s="48"/>
      <c r="C186" s="48"/>
      <c r="D186" s="48"/>
      <c r="E186" s="48"/>
      <c r="F186" s="48"/>
      <c r="G186"/>
      <c r="H186" s="49"/>
      <c r="I186" s="49"/>
      <c r="J186" s="49"/>
      <c r="K186" s="49"/>
      <c r="L186" s="49"/>
      <c r="M186" s="48"/>
      <c r="N186" s="48"/>
      <c r="O186" s="48"/>
      <c r="P186" s="48"/>
      <c r="Q186" s="83">
        <v>1</v>
      </c>
      <c r="R186" s="48"/>
      <c r="S186" s="48"/>
      <c r="T186" s="48"/>
      <c r="U186" s="48"/>
      <c r="V186" s="48"/>
      <c r="W186" s="48"/>
      <c r="X186" s="48"/>
      <c r="Y186" s="49"/>
      <c r="Z186" s="48"/>
      <c r="AA186" s="48"/>
      <c r="AB186" s="50"/>
      <c r="AV186" t="s">
        <v>183</v>
      </c>
      <c r="AW186" s="32"/>
      <c r="AX186" s="32"/>
      <c r="AY186" s="32"/>
      <c r="BA186" s="32"/>
      <c r="BB186" s="31"/>
      <c r="BC186" s="31"/>
      <c r="BD186" s="31"/>
      <c r="BF186" s="83">
        <v>0</v>
      </c>
    </row>
    <row r="187" spans="1:58" ht="16" x14ac:dyDescent="0.35">
      <c r="A187" s="51"/>
      <c r="B187" s="52"/>
      <c r="C187" s="52"/>
      <c r="D187" s="52"/>
      <c r="E187" s="52"/>
      <c r="F187" s="52"/>
      <c r="G187"/>
      <c r="H187" s="53"/>
      <c r="I187" s="53"/>
      <c r="J187" s="53"/>
      <c r="K187" s="53"/>
      <c r="L187" s="53"/>
      <c r="M187" s="52"/>
      <c r="N187" s="52"/>
      <c r="O187" s="52"/>
      <c r="P187" s="52"/>
      <c r="Q187" s="83">
        <v>3</v>
      </c>
      <c r="R187" s="52"/>
      <c r="S187" s="52"/>
      <c r="T187" s="52"/>
      <c r="U187" s="52"/>
      <c r="V187" s="52"/>
      <c r="W187" s="52"/>
      <c r="X187" s="52"/>
      <c r="Y187" s="53"/>
      <c r="Z187" s="52"/>
      <c r="AA187" s="52"/>
      <c r="AB187" s="54"/>
      <c r="AV187" t="s">
        <v>165</v>
      </c>
      <c r="AW187" s="49"/>
      <c r="AX187" s="49"/>
      <c r="AY187" s="49"/>
      <c r="BA187" s="49"/>
      <c r="BB187" s="48"/>
      <c r="BC187" s="48"/>
      <c r="BD187" s="48"/>
      <c r="BF187" s="83">
        <v>0</v>
      </c>
    </row>
    <row r="188" spans="1:58" ht="16" x14ac:dyDescent="0.35">
      <c r="A188" s="47"/>
      <c r="B188" s="48"/>
      <c r="C188" s="48"/>
      <c r="D188" s="48"/>
      <c r="E188" s="48"/>
      <c r="F188" s="48"/>
      <c r="G188"/>
      <c r="H188" s="49"/>
      <c r="I188" s="49"/>
      <c r="J188" s="49"/>
      <c r="K188" s="49"/>
      <c r="L188" s="49"/>
      <c r="M188" s="48"/>
      <c r="N188" s="48"/>
      <c r="O188" s="48"/>
      <c r="P188" s="48"/>
      <c r="Q188" s="83">
        <v>1</v>
      </c>
      <c r="R188" s="48"/>
      <c r="S188" s="48"/>
      <c r="T188" s="48"/>
      <c r="U188" s="48"/>
      <c r="V188" s="48"/>
      <c r="W188" s="48"/>
      <c r="X188" s="48"/>
      <c r="Y188" s="49"/>
      <c r="Z188" s="48"/>
      <c r="AA188" s="48"/>
      <c r="AB188" s="50"/>
      <c r="AV188" t="s">
        <v>176</v>
      </c>
      <c r="AW188" s="53"/>
      <c r="AX188" s="53"/>
      <c r="AY188" s="53"/>
      <c r="BA188" s="53"/>
      <c r="BB188" s="52"/>
      <c r="BC188" s="52"/>
      <c r="BD188" s="52"/>
      <c r="BF188" s="83">
        <v>0</v>
      </c>
    </row>
    <row r="189" spans="1:58" ht="16" x14ac:dyDescent="0.35">
      <c r="A189" s="51"/>
      <c r="B189" s="52"/>
      <c r="C189" s="52"/>
      <c r="D189" s="52"/>
      <c r="E189" s="52"/>
      <c r="F189" s="52"/>
      <c r="G189"/>
      <c r="H189" s="53"/>
      <c r="I189" s="53"/>
      <c r="J189" s="53"/>
      <c r="K189" s="53"/>
      <c r="L189" s="53"/>
      <c r="M189" s="52"/>
      <c r="N189" s="52"/>
      <c r="O189" s="52"/>
      <c r="P189" s="52"/>
      <c r="Q189" s="83">
        <v>4</v>
      </c>
      <c r="R189" s="52"/>
      <c r="S189" s="52"/>
      <c r="T189" s="52"/>
      <c r="U189" s="52"/>
      <c r="V189" s="52"/>
      <c r="W189" s="52"/>
      <c r="X189" s="52"/>
      <c r="Y189" s="53"/>
      <c r="Z189" s="52"/>
      <c r="AA189" s="52"/>
      <c r="AB189" s="54"/>
      <c r="AV189" t="s">
        <v>170</v>
      </c>
      <c r="AW189" s="49"/>
      <c r="AX189" s="49"/>
      <c r="AY189" s="49"/>
      <c r="BA189" s="49"/>
      <c r="BB189" s="48"/>
      <c r="BC189" s="48"/>
      <c r="BD189" s="48"/>
      <c r="BF189" s="83">
        <v>1</v>
      </c>
    </row>
    <row r="190" spans="1:58" ht="16" x14ac:dyDescent="0.35">
      <c r="A190" s="47"/>
      <c r="B190" s="48"/>
      <c r="C190" s="48"/>
      <c r="D190" s="48"/>
      <c r="E190" s="48"/>
      <c r="F190" s="48"/>
      <c r="G190"/>
      <c r="H190" s="49"/>
      <c r="I190" s="49"/>
      <c r="J190" s="49"/>
      <c r="K190" s="49"/>
      <c r="L190" s="49"/>
      <c r="M190" s="48"/>
      <c r="N190" s="48"/>
      <c r="O190" s="48"/>
      <c r="P190" s="48"/>
      <c r="Q190" s="83">
        <v>1</v>
      </c>
      <c r="R190" s="48"/>
      <c r="S190" s="48"/>
      <c r="T190" s="48"/>
      <c r="U190" s="48"/>
      <c r="V190" s="48"/>
      <c r="W190" s="48"/>
      <c r="X190" s="48"/>
      <c r="Y190" s="49"/>
      <c r="Z190" s="48"/>
      <c r="AA190" s="48"/>
      <c r="AB190" s="50"/>
      <c r="AV190" t="s">
        <v>175</v>
      </c>
      <c r="AW190" s="53"/>
      <c r="AX190" s="53"/>
      <c r="AY190" s="53"/>
      <c r="BA190" s="53"/>
      <c r="BB190" s="52"/>
      <c r="BC190" s="52"/>
      <c r="BD190" s="52"/>
      <c r="BF190" s="83">
        <v>0</v>
      </c>
    </row>
    <row r="191" spans="1:58" ht="16" x14ac:dyDescent="0.35">
      <c r="A191" s="51"/>
      <c r="B191" s="52"/>
      <c r="C191" s="52"/>
      <c r="D191" s="52"/>
      <c r="E191" s="52"/>
      <c r="F191" s="52"/>
      <c r="G191"/>
      <c r="H191" s="53"/>
      <c r="I191" s="53"/>
      <c r="J191" s="53"/>
      <c r="K191" s="53"/>
      <c r="L191" s="53"/>
      <c r="M191" s="52"/>
      <c r="N191" s="52"/>
      <c r="O191" s="52"/>
      <c r="P191" s="52"/>
      <c r="Q191" s="83">
        <v>1</v>
      </c>
      <c r="R191" s="52"/>
      <c r="S191" s="52"/>
      <c r="T191" s="52"/>
      <c r="U191" s="52"/>
      <c r="V191" s="52"/>
      <c r="W191" s="52"/>
      <c r="X191" s="52"/>
      <c r="Y191" s="53"/>
      <c r="Z191" s="52"/>
      <c r="AA191" s="52"/>
      <c r="AB191" s="54"/>
      <c r="AV191" t="s">
        <v>183</v>
      </c>
      <c r="AW191" s="49"/>
      <c r="AX191" s="49"/>
      <c r="AY191" s="49"/>
      <c r="BA191" s="49"/>
      <c r="BB191" s="48"/>
      <c r="BC191" s="48"/>
      <c r="BD191" s="48"/>
      <c r="BF191" s="83">
        <v>0</v>
      </c>
    </row>
    <row r="192" spans="1:58" ht="16" x14ac:dyDescent="0.35">
      <c r="A192" s="47"/>
      <c r="B192" s="48"/>
      <c r="C192" s="48"/>
      <c r="D192" s="48"/>
      <c r="E192" s="48"/>
      <c r="F192" s="48"/>
      <c r="G192"/>
      <c r="H192" s="49"/>
      <c r="I192" s="49"/>
      <c r="J192" s="49"/>
      <c r="K192" s="49"/>
      <c r="L192" s="49"/>
      <c r="M192" s="48"/>
      <c r="N192" s="48"/>
      <c r="O192" s="48"/>
      <c r="P192" s="48"/>
      <c r="Q192" s="83">
        <v>0</v>
      </c>
      <c r="R192" s="48"/>
      <c r="S192" s="48"/>
      <c r="T192" s="48"/>
      <c r="U192" s="48"/>
      <c r="V192" s="48"/>
      <c r="W192" s="48"/>
      <c r="X192" s="48"/>
      <c r="Y192" s="49"/>
      <c r="Z192" s="48"/>
      <c r="AA192" s="48"/>
      <c r="AB192" s="50"/>
      <c r="AV192" t="s">
        <v>183</v>
      </c>
      <c r="AW192" s="53"/>
      <c r="AX192" s="53"/>
      <c r="AY192" s="53"/>
      <c r="BA192" s="53"/>
      <c r="BB192" s="52"/>
      <c r="BC192" s="52"/>
      <c r="BD192" s="52"/>
      <c r="BF192" s="83">
        <v>0</v>
      </c>
    </row>
    <row r="193" spans="1:58" ht="16" x14ac:dyDescent="0.35">
      <c r="A193" s="51"/>
      <c r="B193" s="52"/>
      <c r="C193" s="52"/>
      <c r="D193" s="52"/>
      <c r="E193" s="52"/>
      <c r="F193" s="52"/>
      <c r="G193"/>
      <c r="H193" s="53"/>
      <c r="I193" s="53"/>
      <c r="J193" s="53"/>
      <c r="K193" s="53"/>
      <c r="L193" s="53"/>
      <c r="M193" s="52"/>
      <c r="N193" s="52"/>
      <c r="O193" s="52"/>
      <c r="P193" s="52"/>
      <c r="Q193" s="83">
        <v>0</v>
      </c>
      <c r="R193" s="52"/>
      <c r="S193" s="52"/>
      <c r="T193" s="52"/>
      <c r="U193" s="52"/>
      <c r="V193" s="52"/>
      <c r="W193" s="52"/>
      <c r="X193" s="52"/>
      <c r="Y193" s="53"/>
      <c r="Z193" s="52"/>
      <c r="AA193" s="52"/>
      <c r="AB193" s="54"/>
      <c r="AV193" t="s">
        <v>189</v>
      </c>
      <c r="AW193" s="49"/>
      <c r="AX193" s="49"/>
      <c r="AY193" s="49"/>
      <c r="BA193" s="49"/>
      <c r="BB193" s="48"/>
      <c r="BC193" s="48"/>
      <c r="BD193" s="48"/>
      <c r="BF193" s="83">
        <v>0</v>
      </c>
    </row>
    <row r="194" spans="1:58" ht="16" x14ac:dyDescent="0.35">
      <c r="A194" s="47"/>
      <c r="B194" s="48"/>
      <c r="C194" s="48"/>
      <c r="D194" s="48"/>
      <c r="E194" s="48"/>
      <c r="F194" s="48"/>
      <c r="G194"/>
      <c r="H194" s="49"/>
      <c r="I194" s="49"/>
      <c r="J194" s="49"/>
      <c r="K194" s="49"/>
      <c r="L194" s="49"/>
      <c r="M194" s="48"/>
      <c r="N194" s="48"/>
      <c r="O194" s="48"/>
      <c r="P194" s="48"/>
      <c r="Q194" s="83">
        <v>0</v>
      </c>
      <c r="R194" s="48"/>
      <c r="S194" s="48"/>
      <c r="T194" s="48"/>
      <c r="U194" s="48"/>
      <c r="V194" s="48"/>
      <c r="W194" s="48"/>
      <c r="X194" s="48"/>
      <c r="Y194" s="49"/>
      <c r="Z194" s="48"/>
      <c r="AA194" s="48"/>
      <c r="AB194" s="50"/>
      <c r="AV194" t="s">
        <v>167</v>
      </c>
      <c r="AW194" s="53"/>
      <c r="AX194" s="53"/>
      <c r="AY194" s="53"/>
      <c r="BA194" s="53"/>
      <c r="BB194" s="52"/>
      <c r="BC194" s="52"/>
      <c r="BD194" s="52"/>
      <c r="BF194" s="83">
        <v>0</v>
      </c>
    </row>
    <row r="195" spans="1:58" ht="16" x14ac:dyDescent="0.35">
      <c r="A195" s="51"/>
      <c r="B195" s="52"/>
      <c r="C195" s="52"/>
      <c r="D195" s="52"/>
      <c r="E195" s="52"/>
      <c r="F195" s="52"/>
      <c r="G195"/>
      <c r="H195" s="53"/>
      <c r="I195" s="53"/>
      <c r="J195" s="53"/>
      <c r="K195" s="53"/>
      <c r="L195" s="53"/>
      <c r="M195" s="52"/>
      <c r="N195" s="52"/>
      <c r="O195" s="52"/>
      <c r="P195" s="52"/>
      <c r="Q195" s="83">
        <v>0</v>
      </c>
      <c r="R195" s="52"/>
      <c r="S195" s="52"/>
      <c r="T195" s="52"/>
      <c r="U195" s="52"/>
      <c r="V195" s="52"/>
      <c r="W195" s="52"/>
      <c r="X195" s="52"/>
      <c r="Y195" s="53"/>
      <c r="Z195" s="52"/>
      <c r="AA195" s="52"/>
      <c r="AB195" s="54"/>
      <c r="AV195" t="s">
        <v>180</v>
      </c>
      <c r="AW195" s="49"/>
      <c r="AX195" s="49"/>
      <c r="AY195" s="49"/>
      <c r="BA195" s="49"/>
      <c r="BB195" s="48"/>
      <c r="BC195" s="48"/>
      <c r="BD195" s="48"/>
      <c r="BF195" s="83">
        <v>0</v>
      </c>
    </row>
    <row r="196" spans="1:58" ht="16" x14ac:dyDescent="0.35">
      <c r="A196" s="47"/>
      <c r="B196" s="48"/>
      <c r="C196" s="48"/>
      <c r="D196" s="48"/>
      <c r="E196" s="48"/>
      <c r="F196" s="48"/>
      <c r="G196"/>
      <c r="H196" s="49"/>
      <c r="I196" s="49"/>
      <c r="J196" s="49"/>
      <c r="K196" s="49"/>
      <c r="L196" s="49"/>
      <c r="M196" s="48"/>
      <c r="N196" s="48"/>
      <c r="O196" s="48"/>
      <c r="P196" s="48"/>
      <c r="Q196" s="83">
        <v>0</v>
      </c>
      <c r="R196" s="48"/>
      <c r="S196" s="48"/>
      <c r="T196" s="48"/>
      <c r="U196" s="48"/>
      <c r="V196" s="48"/>
      <c r="W196" s="48"/>
      <c r="X196" s="48"/>
      <c r="Y196" s="49"/>
      <c r="Z196" s="48"/>
      <c r="AA196" s="48"/>
      <c r="AB196" s="50"/>
      <c r="AV196" t="s">
        <v>167</v>
      </c>
      <c r="AW196" s="53"/>
      <c r="AX196" s="53"/>
      <c r="AY196" s="53"/>
      <c r="BA196" s="53"/>
      <c r="BB196" s="52"/>
      <c r="BC196" s="52"/>
      <c r="BD196" s="52"/>
      <c r="BF196" s="83">
        <v>2</v>
      </c>
    </row>
    <row r="197" spans="1:58" ht="16" x14ac:dyDescent="0.35">
      <c r="A197" s="51"/>
      <c r="B197" s="52"/>
      <c r="C197" s="52"/>
      <c r="D197" s="52"/>
      <c r="E197" s="52"/>
      <c r="F197" s="52"/>
      <c r="G197"/>
      <c r="H197" s="53"/>
      <c r="I197" s="53"/>
      <c r="J197" s="53"/>
      <c r="K197" s="53"/>
      <c r="L197" s="53"/>
      <c r="M197" s="52"/>
      <c r="N197" s="52"/>
      <c r="O197" s="52"/>
      <c r="P197" s="52"/>
      <c r="Q197" s="83">
        <v>0</v>
      </c>
      <c r="R197" s="52"/>
      <c r="S197" s="52"/>
      <c r="T197" s="52"/>
      <c r="U197" s="52"/>
      <c r="V197" s="52"/>
      <c r="W197" s="52"/>
      <c r="X197" s="52"/>
      <c r="Y197" s="53"/>
      <c r="Z197" s="52"/>
      <c r="AA197" s="52"/>
      <c r="AB197" s="54"/>
      <c r="AV197" t="s">
        <v>189</v>
      </c>
      <c r="AW197" s="49"/>
      <c r="AX197" s="49"/>
      <c r="AY197" s="49"/>
      <c r="BA197" s="49"/>
      <c r="BB197" s="48"/>
      <c r="BC197" s="48"/>
      <c r="BD197" s="48"/>
      <c r="BF197" s="83">
        <v>0</v>
      </c>
    </row>
    <row r="198" spans="1:58" ht="16" x14ac:dyDescent="0.35">
      <c r="A198" s="47"/>
      <c r="B198" s="48"/>
      <c r="C198" s="48"/>
      <c r="D198" s="48"/>
      <c r="E198" s="48"/>
      <c r="F198" s="48"/>
      <c r="G198"/>
      <c r="H198" s="49"/>
      <c r="I198" s="49"/>
      <c r="J198" s="49"/>
      <c r="K198" s="49"/>
      <c r="L198" s="49"/>
      <c r="M198" s="48"/>
      <c r="N198" s="48"/>
      <c r="O198" s="48"/>
      <c r="P198" s="48"/>
      <c r="Q198" s="83">
        <v>0</v>
      </c>
      <c r="R198" s="48"/>
      <c r="S198" s="48"/>
      <c r="T198" s="48"/>
      <c r="U198" s="48"/>
      <c r="V198" s="48"/>
      <c r="W198" s="48"/>
      <c r="X198" s="48"/>
      <c r="Y198" s="49"/>
      <c r="Z198" s="48"/>
      <c r="AA198" s="48"/>
      <c r="AB198" s="50"/>
      <c r="AV198" t="s">
        <v>177</v>
      </c>
      <c r="AW198" s="53"/>
      <c r="AX198" s="53"/>
      <c r="AY198" s="53"/>
      <c r="BA198" s="53"/>
      <c r="BB198" s="52"/>
      <c r="BC198" s="52"/>
      <c r="BD198" s="52"/>
      <c r="BF198" s="83">
        <v>0</v>
      </c>
    </row>
    <row r="199" spans="1:58" ht="16" x14ac:dyDescent="0.35">
      <c r="A199" s="51"/>
      <c r="B199" s="52"/>
      <c r="C199" s="52"/>
      <c r="D199" s="52"/>
      <c r="E199" s="52"/>
      <c r="F199" s="52"/>
      <c r="G199"/>
      <c r="H199" s="53"/>
      <c r="I199" s="53"/>
      <c r="J199" s="53"/>
      <c r="K199" s="53"/>
      <c r="L199" s="53"/>
      <c r="M199" s="52"/>
      <c r="N199" s="52"/>
      <c r="O199" s="52"/>
      <c r="P199" s="52"/>
      <c r="Q199" s="83">
        <v>0</v>
      </c>
      <c r="R199" s="52"/>
      <c r="S199" s="52"/>
      <c r="T199" s="52"/>
      <c r="U199" s="52"/>
      <c r="V199" s="52"/>
      <c r="W199" s="52"/>
      <c r="X199" s="52"/>
      <c r="Y199" s="53"/>
      <c r="Z199" s="52"/>
      <c r="AA199" s="52"/>
      <c r="AB199" s="54"/>
      <c r="AV199" t="s">
        <v>167</v>
      </c>
      <c r="AW199" s="49"/>
      <c r="AX199" s="49"/>
      <c r="AY199" s="49"/>
      <c r="BA199" s="49"/>
      <c r="BB199" s="48"/>
      <c r="BC199" s="48"/>
      <c r="BD199" s="48"/>
      <c r="BF199" s="83">
        <v>1</v>
      </c>
    </row>
    <row r="200" spans="1:58" ht="16" x14ac:dyDescent="0.35">
      <c r="A200" s="47"/>
      <c r="B200" s="48"/>
      <c r="C200" s="48"/>
      <c r="D200" s="48"/>
      <c r="E200" s="48"/>
      <c r="F200" s="48"/>
      <c r="G200"/>
      <c r="H200" s="49"/>
      <c r="I200" s="49"/>
      <c r="J200" s="49"/>
      <c r="K200" s="49"/>
      <c r="L200" s="49"/>
      <c r="M200" s="48"/>
      <c r="N200" s="48"/>
      <c r="O200" s="48"/>
      <c r="P200" s="48"/>
      <c r="Q200" s="83">
        <v>0</v>
      </c>
      <c r="R200" s="48"/>
      <c r="S200" s="48"/>
      <c r="T200" s="48"/>
      <c r="U200" s="48"/>
      <c r="V200" s="48"/>
      <c r="W200" s="48"/>
      <c r="X200" s="48"/>
      <c r="Y200" s="49"/>
      <c r="Z200" s="48"/>
      <c r="AA200" s="48"/>
      <c r="AB200" s="50"/>
      <c r="AV200" t="s">
        <v>167</v>
      </c>
      <c r="AW200" s="53"/>
      <c r="AX200" s="53"/>
      <c r="AY200" s="53"/>
      <c r="BA200" s="53"/>
      <c r="BB200" s="52"/>
      <c r="BC200" s="52"/>
      <c r="BD200" s="52"/>
      <c r="BF200" s="83">
        <v>0</v>
      </c>
    </row>
    <row r="201" spans="1:58" ht="16" x14ac:dyDescent="0.35">
      <c r="A201" s="51"/>
      <c r="B201" s="52"/>
      <c r="C201" s="52"/>
      <c r="D201" s="52"/>
      <c r="E201" s="52"/>
      <c r="F201" s="52"/>
      <c r="G201"/>
      <c r="H201" s="53"/>
      <c r="I201" s="53"/>
      <c r="J201" s="53"/>
      <c r="K201" s="53"/>
      <c r="L201" s="53"/>
      <c r="M201" s="52"/>
      <c r="N201" s="52"/>
      <c r="O201" s="52"/>
      <c r="P201" s="52"/>
      <c r="Q201" s="83">
        <v>1</v>
      </c>
      <c r="R201" s="52"/>
      <c r="S201" s="52"/>
      <c r="T201" s="52"/>
      <c r="U201" s="52"/>
      <c r="V201" s="52"/>
      <c r="W201" s="52"/>
      <c r="X201" s="52"/>
      <c r="Y201" s="53"/>
      <c r="Z201" s="52"/>
      <c r="AA201" s="52"/>
      <c r="AB201" s="54"/>
      <c r="AV201" t="s">
        <v>189</v>
      </c>
      <c r="AW201" s="49"/>
      <c r="AX201" s="49"/>
      <c r="AY201" s="49"/>
      <c r="BA201" s="49"/>
      <c r="BB201" s="48"/>
      <c r="BC201" s="48"/>
      <c r="BD201" s="48"/>
      <c r="BF201" s="83">
        <v>0</v>
      </c>
    </row>
    <row r="202" spans="1:58" ht="16" x14ac:dyDescent="0.35">
      <c r="A202" s="47"/>
      <c r="B202" s="48"/>
      <c r="C202" s="48"/>
      <c r="D202" s="48"/>
      <c r="E202" s="48"/>
      <c r="F202" s="48"/>
      <c r="G202"/>
      <c r="H202" s="49"/>
      <c r="I202" s="49"/>
      <c r="J202" s="49"/>
      <c r="K202" s="49"/>
      <c r="L202" s="49"/>
      <c r="M202" s="48"/>
      <c r="N202" s="48"/>
      <c r="O202" s="48"/>
      <c r="P202" s="48"/>
      <c r="Q202" s="83">
        <v>2</v>
      </c>
      <c r="R202" s="48"/>
      <c r="S202" s="48"/>
      <c r="T202" s="48"/>
      <c r="U202" s="48"/>
      <c r="V202" s="48"/>
      <c r="W202" s="48"/>
      <c r="X202" s="48"/>
      <c r="Y202" s="49"/>
      <c r="Z202" s="48"/>
      <c r="AA202" s="48"/>
      <c r="AB202" s="50"/>
      <c r="AV202" t="s">
        <v>183</v>
      </c>
      <c r="AW202" s="53"/>
      <c r="AX202" s="53"/>
      <c r="AY202" s="53"/>
      <c r="BA202" s="53"/>
      <c r="BB202" s="52"/>
      <c r="BC202" s="52"/>
      <c r="BD202" s="52"/>
      <c r="BF202" s="83">
        <v>0</v>
      </c>
    </row>
    <row r="203" spans="1:58" ht="16" x14ac:dyDescent="0.35">
      <c r="A203" s="51"/>
      <c r="B203" s="52"/>
      <c r="C203" s="52"/>
      <c r="D203" s="52"/>
      <c r="E203" s="52"/>
      <c r="F203" s="52"/>
      <c r="G203"/>
      <c r="H203" s="53"/>
      <c r="I203" s="53"/>
      <c r="J203" s="53"/>
      <c r="K203" s="53"/>
      <c r="L203" s="53"/>
      <c r="M203" s="52"/>
      <c r="N203" s="52"/>
      <c r="O203" s="52"/>
      <c r="P203" s="52"/>
      <c r="Q203" s="83">
        <v>0</v>
      </c>
      <c r="R203" s="52"/>
      <c r="S203" s="52"/>
      <c r="T203" s="52"/>
      <c r="U203" s="52"/>
      <c r="V203" s="52"/>
      <c r="W203" s="52"/>
      <c r="X203" s="52"/>
      <c r="Y203" s="53"/>
      <c r="Z203" s="52"/>
      <c r="AA203" s="52"/>
      <c r="AB203" s="54"/>
      <c r="AV203" t="s">
        <v>173</v>
      </c>
      <c r="AW203" s="49"/>
      <c r="AX203" s="49"/>
      <c r="AY203" s="49"/>
      <c r="BA203" s="49"/>
      <c r="BB203" s="48"/>
      <c r="BC203" s="48"/>
      <c r="BD203" s="48"/>
      <c r="BF203" s="83">
        <v>0</v>
      </c>
    </row>
    <row r="204" spans="1:58" ht="16" x14ac:dyDescent="0.35">
      <c r="A204" s="47"/>
      <c r="B204" s="48"/>
      <c r="C204" s="48"/>
      <c r="D204" s="48"/>
      <c r="E204" s="48"/>
      <c r="F204" s="48"/>
      <c r="G204"/>
      <c r="H204" s="49"/>
      <c r="I204" s="49"/>
      <c r="J204" s="49"/>
      <c r="K204" s="49"/>
      <c r="L204" s="49"/>
      <c r="M204" s="48"/>
      <c r="N204" s="48"/>
      <c r="O204" s="48"/>
      <c r="P204" s="48"/>
      <c r="Q204" s="83">
        <v>0</v>
      </c>
      <c r="R204" s="48"/>
      <c r="S204" s="48"/>
      <c r="T204" s="48"/>
      <c r="U204" s="48"/>
      <c r="V204" s="48"/>
      <c r="W204" s="48"/>
      <c r="X204" s="48"/>
      <c r="Y204" s="49"/>
      <c r="Z204" s="48"/>
      <c r="AA204" s="48"/>
      <c r="AB204" s="50"/>
      <c r="AV204" t="s">
        <v>167</v>
      </c>
      <c r="AW204" s="53"/>
      <c r="AX204" s="53"/>
      <c r="AY204" s="53"/>
      <c r="BA204" s="53"/>
      <c r="BB204" s="52"/>
      <c r="BC204" s="52"/>
      <c r="BD204" s="52"/>
      <c r="BF204" s="83">
        <v>0</v>
      </c>
    </row>
    <row r="205" spans="1:58" ht="16" x14ac:dyDescent="0.35">
      <c r="A205" s="51"/>
      <c r="B205" s="52"/>
      <c r="C205" s="52"/>
      <c r="D205" s="52"/>
      <c r="E205" s="52"/>
      <c r="F205" s="52"/>
      <c r="G205"/>
      <c r="H205" s="53"/>
      <c r="I205" s="53"/>
      <c r="J205" s="53"/>
      <c r="K205" s="53"/>
      <c r="L205" s="53"/>
      <c r="M205" s="52"/>
      <c r="N205" s="52"/>
      <c r="O205" s="52"/>
      <c r="P205" s="52"/>
      <c r="Q205" s="83">
        <v>0</v>
      </c>
      <c r="R205" s="52"/>
      <c r="S205" s="52"/>
      <c r="T205" s="52"/>
      <c r="U205" s="52"/>
      <c r="V205" s="52"/>
      <c r="W205" s="52"/>
      <c r="X205" s="52"/>
      <c r="Y205" s="53"/>
      <c r="Z205" s="52"/>
      <c r="AA205" s="52"/>
      <c r="AB205" s="54"/>
      <c r="AV205" t="s">
        <v>180</v>
      </c>
      <c r="AW205" s="49"/>
      <c r="AX205" s="49"/>
      <c r="AY205" s="49"/>
      <c r="BA205" s="49"/>
      <c r="BB205" s="48"/>
      <c r="BC205" s="48"/>
      <c r="BD205" s="48"/>
      <c r="BF205" s="83">
        <v>0</v>
      </c>
    </row>
    <row r="206" spans="1:58" ht="16" x14ac:dyDescent="0.35">
      <c r="A206" s="47"/>
      <c r="B206" s="48"/>
      <c r="C206" s="48"/>
      <c r="D206" s="48"/>
      <c r="E206" s="48"/>
      <c r="F206" s="48"/>
      <c r="G206"/>
      <c r="H206" s="49"/>
      <c r="I206" s="49"/>
      <c r="J206" s="49"/>
      <c r="K206" s="49"/>
      <c r="L206" s="49"/>
      <c r="M206" s="48"/>
      <c r="N206" s="48"/>
      <c r="O206" s="48"/>
      <c r="P206" s="48"/>
      <c r="Q206" s="83">
        <v>0</v>
      </c>
      <c r="R206" s="48"/>
      <c r="S206" s="48"/>
      <c r="T206" s="48"/>
      <c r="U206" s="48"/>
      <c r="V206" s="48"/>
      <c r="W206" s="48"/>
      <c r="X206" s="48"/>
      <c r="Y206" s="49"/>
      <c r="Z206" s="48"/>
      <c r="AA206" s="48"/>
      <c r="AB206" s="50"/>
      <c r="AV206" t="s">
        <v>189</v>
      </c>
      <c r="AW206" s="53"/>
      <c r="AX206" s="53"/>
      <c r="AY206" s="53"/>
      <c r="BA206" s="53"/>
      <c r="BB206" s="52"/>
      <c r="BC206" s="52"/>
      <c r="BD206" s="52"/>
      <c r="BF206" s="83">
        <v>0</v>
      </c>
    </row>
    <row r="207" spans="1:58" ht="16" x14ac:dyDescent="0.35">
      <c r="A207" s="51"/>
      <c r="B207" s="52"/>
      <c r="C207" s="52"/>
      <c r="D207" s="52"/>
      <c r="E207" s="52"/>
      <c r="F207" s="52"/>
      <c r="G207"/>
      <c r="H207" s="53"/>
      <c r="I207" s="53"/>
      <c r="J207" s="53"/>
      <c r="K207" s="53"/>
      <c r="L207" s="53"/>
      <c r="M207" s="52"/>
      <c r="N207" s="52"/>
      <c r="O207" s="52"/>
      <c r="P207" s="52"/>
      <c r="Q207" s="83">
        <v>0</v>
      </c>
      <c r="R207" s="52"/>
      <c r="S207" s="52"/>
      <c r="T207" s="52"/>
      <c r="U207" s="52"/>
      <c r="V207" s="52"/>
      <c r="W207" s="52"/>
      <c r="X207" s="52"/>
      <c r="Y207" s="53"/>
      <c r="Z207" s="52"/>
      <c r="AA207" s="52"/>
      <c r="AB207" s="54"/>
      <c r="AV207" t="s">
        <v>167</v>
      </c>
      <c r="AW207" s="49"/>
      <c r="AX207" s="49"/>
      <c r="AY207" s="49"/>
      <c r="BA207" s="49"/>
      <c r="BB207" s="48"/>
      <c r="BC207" s="48"/>
      <c r="BD207" s="48"/>
      <c r="BF207" s="83">
        <v>0</v>
      </c>
    </row>
    <row r="208" spans="1:58" ht="16" x14ac:dyDescent="0.35">
      <c r="A208" s="47"/>
      <c r="B208" s="48"/>
      <c r="C208" s="48"/>
      <c r="D208" s="48"/>
      <c r="E208" s="48"/>
      <c r="F208" s="48"/>
      <c r="G208"/>
      <c r="H208" s="49"/>
      <c r="I208" s="49"/>
      <c r="J208" s="49"/>
      <c r="K208" s="49"/>
      <c r="L208" s="49"/>
      <c r="M208" s="48"/>
      <c r="N208" s="48"/>
      <c r="O208" s="48"/>
      <c r="P208" s="48"/>
      <c r="Q208" s="83">
        <v>0</v>
      </c>
      <c r="R208" s="48"/>
      <c r="S208" s="48"/>
      <c r="T208" s="48"/>
      <c r="U208" s="48"/>
      <c r="V208" s="48"/>
      <c r="W208" s="48"/>
      <c r="X208" s="48"/>
      <c r="Y208" s="49"/>
      <c r="Z208" s="48"/>
      <c r="AA208" s="48"/>
      <c r="AB208" s="50"/>
      <c r="AV208" t="s">
        <v>173</v>
      </c>
      <c r="AW208" s="53"/>
      <c r="AX208" s="53"/>
      <c r="AY208" s="53"/>
      <c r="BA208" s="53"/>
      <c r="BB208" s="52"/>
      <c r="BC208" s="52"/>
      <c r="BD208" s="52"/>
      <c r="BF208" s="83">
        <v>17</v>
      </c>
    </row>
    <row r="209" spans="1:58" ht="16" x14ac:dyDescent="0.35">
      <c r="A209" s="51"/>
      <c r="B209" s="52"/>
      <c r="C209" s="52"/>
      <c r="D209" s="52"/>
      <c r="E209" s="52"/>
      <c r="F209" s="52"/>
      <c r="G209"/>
      <c r="H209" s="53"/>
      <c r="I209" s="53"/>
      <c r="J209" s="53"/>
      <c r="K209" s="53"/>
      <c r="L209" s="53"/>
      <c r="M209" s="52"/>
      <c r="N209" s="52"/>
      <c r="O209" s="52"/>
      <c r="P209" s="52"/>
      <c r="Q209" s="83">
        <v>0</v>
      </c>
      <c r="R209" s="52"/>
      <c r="S209" s="52"/>
      <c r="T209" s="52"/>
      <c r="U209" s="52"/>
      <c r="V209" s="52"/>
      <c r="W209" s="52"/>
      <c r="X209" s="52"/>
      <c r="Y209" s="53"/>
      <c r="Z209" s="52"/>
      <c r="AA209" s="52"/>
      <c r="AB209" s="54"/>
      <c r="AV209" t="s">
        <v>184</v>
      </c>
      <c r="AW209" s="49"/>
      <c r="AX209" s="49"/>
      <c r="AY209" s="49"/>
      <c r="BA209" s="49"/>
      <c r="BB209" s="48"/>
      <c r="BC209" s="48"/>
      <c r="BD209" s="48"/>
      <c r="BF209" s="83">
        <v>1</v>
      </c>
    </row>
    <row r="210" spans="1:58" ht="16" x14ac:dyDescent="0.35">
      <c r="A210" s="47"/>
      <c r="B210" s="48"/>
      <c r="C210" s="48"/>
      <c r="D210" s="48"/>
      <c r="E210" s="48"/>
      <c r="F210" s="48"/>
      <c r="G210"/>
      <c r="H210" s="49"/>
      <c r="I210" s="49"/>
      <c r="J210" s="49"/>
      <c r="K210" s="49"/>
      <c r="L210" s="49"/>
      <c r="M210" s="48"/>
      <c r="N210" s="48"/>
      <c r="O210" s="48"/>
      <c r="P210" s="48"/>
      <c r="Q210" s="83">
        <v>0</v>
      </c>
      <c r="R210" s="48"/>
      <c r="S210" s="48"/>
      <c r="T210" s="48"/>
      <c r="U210" s="48"/>
      <c r="V210" s="48"/>
      <c r="W210" s="48"/>
      <c r="X210" s="48"/>
      <c r="Y210" s="49"/>
      <c r="Z210" s="48"/>
      <c r="AA210" s="48"/>
      <c r="AB210" s="50"/>
      <c r="AV210" t="s">
        <v>174</v>
      </c>
      <c r="AW210" s="53"/>
      <c r="AX210" s="53"/>
      <c r="AY210" s="53"/>
      <c r="BA210" s="53"/>
      <c r="BB210" s="52"/>
      <c r="BC210" s="52"/>
      <c r="BD210" s="52"/>
      <c r="BF210" s="83">
        <v>0</v>
      </c>
    </row>
    <row r="211" spans="1:58" ht="16" x14ac:dyDescent="0.35">
      <c r="A211" s="51"/>
      <c r="B211" s="52"/>
      <c r="C211" s="52"/>
      <c r="D211" s="52"/>
      <c r="E211" s="52"/>
      <c r="F211" s="52"/>
      <c r="G211"/>
      <c r="H211" s="53"/>
      <c r="I211" s="53"/>
      <c r="J211" s="53"/>
      <c r="K211" s="53"/>
      <c r="L211" s="53"/>
      <c r="M211" s="52"/>
      <c r="N211" s="52"/>
      <c r="O211" s="52"/>
      <c r="P211" s="52"/>
      <c r="Q211" s="83">
        <v>0</v>
      </c>
      <c r="R211" s="52"/>
      <c r="S211" s="52"/>
      <c r="T211" s="52"/>
      <c r="U211" s="52"/>
      <c r="V211" s="52"/>
      <c r="W211" s="52"/>
      <c r="X211" s="52"/>
      <c r="Y211" s="53"/>
      <c r="Z211" s="52"/>
      <c r="AA211" s="52"/>
      <c r="AB211" s="54"/>
      <c r="AV211" t="s">
        <v>176</v>
      </c>
      <c r="AW211" s="49"/>
      <c r="AX211" s="49"/>
      <c r="AY211" s="49"/>
      <c r="BA211" s="49"/>
      <c r="BB211" s="48"/>
      <c r="BC211" s="48"/>
      <c r="BD211" s="48"/>
      <c r="BF211" s="83">
        <v>17</v>
      </c>
    </row>
    <row r="212" spans="1:58" ht="16" x14ac:dyDescent="0.35">
      <c r="A212" s="47"/>
      <c r="B212" s="48"/>
      <c r="C212" s="48"/>
      <c r="D212" s="48"/>
      <c r="E212" s="48"/>
      <c r="F212" s="48"/>
      <c r="G212"/>
      <c r="H212" s="49"/>
      <c r="I212" s="49"/>
      <c r="J212" s="49"/>
      <c r="K212" s="49"/>
      <c r="L212" s="49"/>
      <c r="M212" s="48"/>
      <c r="N212" s="48"/>
      <c r="O212" s="48"/>
      <c r="P212" s="48"/>
      <c r="Q212" s="83">
        <v>0</v>
      </c>
      <c r="R212" s="48"/>
      <c r="S212" s="48"/>
      <c r="T212" s="48"/>
      <c r="U212" s="48"/>
      <c r="V212" s="48"/>
      <c r="W212" s="48"/>
      <c r="X212" s="48"/>
      <c r="Y212" s="49"/>
      <c r="Z212" s="48"/>
      <c r="AA212" s="48"/>
      <c r="AB212" s="50"/>
      <c r="AV212" t="s">
        <v>167</v>
      </c>
      <c r="AW212" s="53"/>
      <c r="AX212" s="53"/>
      <c r="AY212" s="53"/>
      <c r="BA212" s="53"/>
      <c r="BB212" s="52"/>
      <c r="BC212" s="52"/>
      <c r="BD212" s="52"/>
      <c r="BF212" s="83">
        <v>1</v>
      </c>
    </row>
    <row r="213" spans="1:58" ht="16" x14ac:dyDescent="0.35">
      <c r="A213" s="51"/>
      <c r="B213" s="52"/>
      <c r="C213" s="52"/>
      <c r="D213" s="52"/>
      <c r="E213" s="52"/>
      <c r="F213" s="52"/>
      <c r="G213"/>
      <c r="H213" s="53"/>
      <c r="I213" s="53"/>
      <c r="J213" s="53"/>
      <c r="K213" s="53"/>
      <c r="L213" s="53"/>
      <c r="M213" s="52"/>
      <c r="N213" s="52"/>
      <c r="O213" s="52"/>
      <c r="P213" s="52"/>
      <c r="Q213" s="83">
        <v>0</v>
      </c>
      <c r="R213" s="52"/>
      <c r="S213" s="52"/>
      <c r="T213" s="52"/>
      <c r="U213" s="52"/>
      <c r="V213" s="52"/>
      <c r="W213" s="52"/>
      <c r="X213" s="52"/>
      <c r="Y213" s="53"/>
      <c r="Z213" s="52"/>
      <c r="AA213" s="52"/>
      <c r="AB213" s="54"/>
      <c r="AV213" t="s">
        <v>175</v>
      </c>
      <c r="AW213" s="49"/>
      <c r="AX213" s="49"/>
      <c r="AY213" s="49"/>
      <c r="BA213" s="49"/>
      <c r="BB213" s="48"/>
      <c r="BC213" s="48"/>
      <c r="BD213" s="48"/>
      <c r="BF213" s="83">
        <v>0</v>
      </c>
    </row>
    <row r="214" spans="1:58" ht="16" x14ac:dyDescent="0.35">
      <c r="A214" s="47"/>
      <c r="B214" s="48"/>
      <c r="C214" s="48"/>
      <c r="D214" s="48"/>
      <c r="E214" s="48"/>
      <c r="F214" s="48"/>
      <c r="G214"/>
      <c r="H214" s="49"/>
      <c r="I214" s="49"/>
      <c r="J214" s="49"/>
      <c r="K214" s="49"/>
      <c r="L214" s="49"/>
      <c r="M214" s="48"/>
      <c r="N214" s="48"/>
      <c r="O214" s="48"/>
      <c r="P214" s="48"/>
      <c r="Q214" s="83">
        <v>0</v>
      </c>
      <c r="R214" s="48"/>
      <c r="S214" s="48"/>
      <c r="T214" s="48"/>
      <c r="U214" s="48"/>
      <c r="V214" s="48"/>
      <c r="W214" s="48"/>
      <c r="X214" s="48"/>
      <c r="Y214" s="49"/>
      <c r="Z214" s="48"/>
      <c r="AA214" s="48"/>
      <c r="AB214" s="50"/>
      <c r="AV214" t="s">
        <v>189</v>
      </c>
      <c r="AW214" s="53"/>
      <c r="AX214" s="53"/>
      <c r="AY214" s="53"/>
      <c r="BA214" s="53"/>
      <c r="BB214" s="52"/>
      <c r="BC214" s="52"/>
      <c r="BD214" s="52"/>
      <c r="BF214" s="83">
        <v>0</v>
      </c>
    </row>
    <row r="215" spans="1:58" ht="16" x14ac:dyDescent="0.35">
      <c r="A215" s="51"/>
      <c r="B215" s="52"/>
      <c r="C215" s="52"/>
      <c r="D215" s="52"/>
      <c r="E215" s="52"/>
      <c r="F215" s="52"/>
      <c r="G215"/>
      <c r="H215" s="53"/>
      <c r="I215" s="53"/>
      <c r="J215" s="53"/>
      <c r="K215" s="53"/>
      <c r="L215" s="53"/>
      <c r="M215" s="52"/>
      <c r="N215" s="52"/>
      <c r="O215" s="52"/>
      <c r="P215" s="52"/>
      <c r="Q215" s="83">
        <v>0</v>
      </c>
      <c r="R215" s="52"/>
      <c r="S215" s="52"/>
      <c r="T215" s="52"/>
      <c r="U215" s="52"/>
      <c r="V215" s="52"/>
      <c r="W215" s="52"/>
      <c r="X215" s="52"/>
      <c r="Y215" s="53"/>
      <c r="Z215" s="52"/>
      <c r="AA215" s="52"/>
      <c r="AB215" s="54"/>
      <c r="AV215" t="s">
        <v>167</v>
      </c>
      <c r="AW215" s="49"/>
      <c r="AX215" s="49"/>
      <c r="AY215" s="49"/>
      <c r="BA215" s="49"/>
      <c r="BB215" s="48"/>
      <c r="BC215" s="48"/>
      <c r="BD215" s="48"/>
      <c r="BF215" s="83">
        <v>0</v>
      </c>
    </row>
    <row r="216" spans="1:58" ht="16" x14ac:dyDescent="0.35">
      <c r="A216" s="47"/>
      <c r="B216" s="48"/>
      <c r="C216" s="48"/>
      <c r="D216" s="48"/>
      <c r="E216" s="48"/>
      <c r="F216" s="48"/>
      <c r="G216"/>
      <c r="H216" s="49"/>
      <c r="I216" s="49"/>
      <c r="J216" s="49"/>
      <c r="K216" s="49"/>
      <c r="L216" s="49"/>
      <c r="M216" s="48"/>
      <c r="N216" s="48"/>
      <c r="O216" s="48"/>
      <c r="P216" s="48"/>
      <c r="Q216" s="83">
        <v>0</v>
      </c>
      <c r="R216" s="48"/>
      <c r="S216" s="48"/>
      <c r="T216" s="48"/>
      <c r="U216" s="48"/>
      <c r="V216" s="48"/>
      <c r="W216" s="48"/>
      <c r="X216" s="48"/>
      <c r="Y216" s="49"/>
      <c r="Z216" s="48"/>
      <c r="AA216" s="48"/>
      <c r="AB216" s="50"/>
      <c r="AV216" t="s">
        <v>176</v>
      </c>
      <c r="AW216" s="53"/>
      <c r="AX216" s="53"/>
      <c r="AY216" s="53"/>
      <c r="BA216" s="53"/>
      <c r="BB216" s="52"/>
      <c r="BC216" s="52"/>
      <c r="BD216" s="52"/>
      <c r="BF216" s="83">
        <v>0</v>
      </c>
    </row>
    <row r="217" spans="1:58" ht="16" x14ac:dyDescent="0.35">
      <c r="A217" s="51"/>
      <c r="B217" s="52"/>
      <c r="C217" s="52"/>
      <c r="D217" s="52"/>
      <c r="E217" s="52"/>
      <c r="F217" s="52"/>
      <c r="G217"/>
      <c r="H217" s="53"/>
      <c r="I217" s="53"/>
      <c r="J217" s="53"/>
      <c r="K217" s="53"/>
      <c r="L217" s="53"/>
      <c r="M217" s="52"/>
      <c r="N217" s="52"/>
      <c r="O217" s="52"/>
      <c r="P217" s="52"/>
      <c r="Q217" s="83">
        <v>0</v>
      </c>
      <c r="R217" s="52"/>
      <c r="S217" s="52"/>
      <c r="T217" s="52"/>
      <c r="U217" s="52"/>
      <c r="V217" s="52"/>
      <c r="W217" s="52"/>
      <c r="X217" s="52"/>
      <c r="Y217" s="53"/>
      <c r="Z217" s="52"/>
      <c r="AA217" s="52"/>
      <c r="AB217" s="54"/>
      <c r="AV217" t="s">
        <v>168</v>
      </c>
      <c r="AW217" s="49"/>
      <c r="AX217" s="49"/>
      <c r="AY217" s="49"/>
      <c r="BA217" s="49"/>
      <c r="BB217" s="48"/>
      <c r="BC217" s="48"/>
      <c r="BD217" s="48"/>
      <c r="BF217" s="83">
        <v>0</v>
      </c>
    </row>
    <row r="218" spans="1:58" ht="16" x14ac:dyDescent="0.35">
      <c r="A218" s="37"/>
      <c r="B218" s="38"/>
      <c r="C218" s="38"/>
      <c r="D218" s="38"/>
      <c r="E218" s="38"/>
      <c r="F218" s="38"/>
      <c r="G218"/>
      <c r="H218" s="39"/>
      <c r="I218" s="39"/>
      <c r="J218" s="39"/>
      <c r="K218" s="39"/>
      <c r="L218" s="39"/>
      <c r="M218" s="38"/>
      <c r="N218" s="38"/>
      <c r="O218" s="38"/>
      <c r="P218" s="38"/>
      <c r="Q218" s="83">
        <v>0</v>
      </c>
      <c r="R218" s="38"/>
      <c r="S218" s="38"/>
      <c r="T218" s="38"/>
      <c r="U218" s="38"/>
      <c r="V218" s="38"/>
      <c r="W218" s="38"/>
      <c r="X218" s="38"/>
      <c r="Y218" s="39"/>
      <c r="Z218" s="38"/>
      <c r="AA218" s="38"/>
      <c r="AB218" s="40"/>
      <c r="AV218" t="s">
        <v>189</v>
      </c>
      <c r="AW218" s="53"/>
      <c r="AX218" s="53"/>
      <c r="AY218" s="53"/>
      <c r="BA218" s="53"/>
      <c r="BB218" s="52"/>
      <c r="BC218" s="52"/>
      <c r="BD218" s="52"/>
      <c r="BF218" s="83">
        <v>0</v>
      </c>
    </row>
    <row r="219" spans="1:58" ht="16" x14ac:dyDescent="0.35">
      <c r="A219" s="41"/>
      <c r="B219" s="42"/>
      <c r="C219" s="42"/>
      <c r="D219" s="42"/>
      <c r="E219" s="42"/>
      <c r="F219" s="42"/>
      <c r="G219"/>
      <c r="H219" s="43"/>
      <c r="I219" s="43"/>
      <c r="J219" s="43"/>
      <c r="K219" s="43"/>
      <c r="L219" s="43"/>
      <c r="M219" s="42"/>
      <c r="N219" s="42"/>
      <c r="O219" s="42"/>
      <c r="P219" s="42"/>
      <c r="Q219" s="83">
        <v>0</v>
      </c>
      <c r="R219" s="42"/>
      <c r="S219" s="42"/>
      <c r="T219" s="42"/>
      <c r="U219" s="42"/>
      <c r="V219" s="42"/>
      <c r="W219" s="42"/>
      <c r="X219" s="42"/>
      <c r="Y219" s="43"/>
      <c r="Z219" s="42"/>
      <c r="AA219" s="42"/>
      <c r="AB219" s="44"/>
      <c r="AV219" t="s">
        <v>205</v>
      </c>
      <c r="AW219" s="49"/>
      <c r="AX219" s="49"/>
      <c r="AY219" s="49"/>
      <c r="BA219" s="49"/>
      <c r="BB219" s="48"/>
      <c r="BC219" s="48"/>
      <c r="BD219" s="48"/>
      <c r="BF219" s="83">
        <v>0</v>
      </c>
    </row>
    <row r="220" spans="1:58" ht="16" x14ac:dyDescent="0.35">
      <c r="A220" s="37"/>
      <c r="B220" s="38"/>
      <c r="C220" s="38"/>
      <c r="D220" s="38"/>
      <c r="E220" s="38"/>
      <c r="F220" s="38"/>
      <c r="G220"/>
      <c r="H220" s="39"/>
      <c r="I220" s="39"/>
      <c r="J220" s="39"/>
      <c r="K220" s="39"/>
      <c r="L220" s="39"/>
      <c r="M220" s="38"/>
      <c r="N220" s="38"/>
      <c r="O220" s="38"/>
      <c r="P220" s="38"/>
      <c r="Q220" s="83">
        <v>0</v>
      </c>
      <c r="R220" s="38"/>
      <c r="S220" s="38"/>
      <c r="T220" s="38"/>
      <c r="U220" s="38"/>
      <c r="V220" s="38"/>
      <c r="W220" s="38"/>
      <c r="X220" s="38"/>
      <c r="Y220" s="39"/>
      <c r="Z220" s="38"/>
      <c r="AA220" s="38"/>
      <c r="AB220" s="40"/>
      <c r="AV220" t="s">
        <v>175</v>
      </c>
      <c r="AW220" s="53"/>
      <c r="AX220" s="53"/>
      <c r="AY220" s="53"/>
      <c r="BA220" s="53"/>
      <c r="BB220" s="52"/>
      <c r="BC220" s="52"/>
      <c r="BD220" s="52"/>
      <c r="BF220" s="83">
        <v>0</v>
      </c>
    </row>
    <row r="221" spans="1:58" ht="16" x14ac:dyDescent="0.35">
      <c r="A221" s="41"/>
      <c r="B221" s="42"/>
      <c r="C221" s="42"/>
      <c r="D221" s="42"/>
      <c r="E221" s="42"/>
      <c r="F221" s="42"/>
      <c r="G221"/>
      <c r="H221" s="43"/>
      <c r="I221" s="43"/>
      <c r="J221" s="43"/>
      <c r="K221" s="43"/>
      <c r="L221" s="43"/>
      <c r="M221" s="42"/>
      <c r="N221" s="42"/>
      <c r="O221" s="42"/>
      <c r="P221" s="42"/>
      <c r="Q221" s="83">
        <v>0</v>
      </c>
      <c r="R221" s="42"/>
      <c r="S221" s="42"/>
      <c r="T221" s="42"/>
      <c r="U221" s="42"/>
      <c r="V221" s="42"/>
      <c r="W221" s="42"/>
      <c r="X221" s="42"/>
      <c r="Y221" s="43"/>
      <c r="Z221" s="42"/>
      <c r="AA221" s="42"/>
      <c r="AB221" s="44"/>
      <c r="AV221" t="s">
        <v>183</v>
      </c>
      <c r="AW221" s="49"/>
      <c r="AX221" s="49"/>
      <c r="AY221" s="49"/>
      <c r="BA221" s="49"/>
      <c r="BB221" s="48"/>
      <c r="BC221" s="48"/>
      <c r="BD221" s="48"/>
      <c r="BF221" s="83">
        <v>0</v>
      </c>
    </row>
    <row r="222" spans="1:58" ht="16" x14ac:dyDescent="0.35">
      <c r="A222" s="37"/>
      <c r="B222" s="38"/>
      <c r="C222" s="38"/>
      <c r="D222" s="38"/>
      <c r="E222" s="38"/>
      <c r="F222" s="38"/>
      <c r="G222"/>
      <c r="H222" s="39"/>
      <c r="I222" s="39"/>
      <c r="J222" s="39"/>
      <c r="K222" s="39"/>
      <c r="L222" s="39"/>
      <c r="M222" s="38"/>
      <c r="N222" s="38"/>
      <c r="O222" s="38"/>
      <c r="P222" s="38"/>
      <c r="Q222" s="83">
        <v>0</v>
      </c>
      <c r="R222" s="38"/>
      <c r="S222" s="38"/>
      <c r="T222" s="38"/>
      <c r="U222" s="38"/>
      <c r="V222" s="38"/>
      <c r="W222" s="38"/>
      <c r="X222" s="38"/>
      <c r="Y222" s="39"/>
      <c r="Z222" s="38"/>
      <c r="AA222" s="38"/>
      <c r="AB222" s="40"/>
      <c r="AV222" t="s">
        <v>205</v>
      </c>
      <c r="AW222" s="53"/>
      <c r="AX222" s="53"/>
      <c r="AY222" s="53"/>
      <c r="BA222" s="53"/>
      <c r="BB222" s="52"/>
      <c r="BC222" s="52"/>
      <c r="BD222" s="52"/>
      <c r="BF222" s="83">
        <v>0</v>
      </c>
    </row>
    <row r="223" spans="1:58" ht="16" x14ac:dyDescent="0.35">
      <c r="A223" s="41"/>
      <c r="B223" s="42"/>
      <c r="C223" s="42"/>
      <c r="D223" s="42"/>
      <c r="E223" s="42"/>
      <c r="F223" s="42"/>
      <c r="G223"/>
      <c r="H223" s="43"/>
      <c r="I223" s="43"/>
      <c r="J223" s="43"/>
      <c r="K223" s="43"/>
      <c r="L223" s="43"/>
      <c r="M223" s="42"/>
      <c r="N223" s="42"/>
      <c r="O223" s="42"/>
      <c r="P223" s="42"/>
      <c r="Q223" s="83">
        <v>0</v>
      </c>
      <c r="R223" s="42"/>
      <c r="S223" s="42"/>
      <c r="T223" s="42"/>
      <c r="U223" s="42"/>
      <c r="V223" s="42"/>
      <c r="W223" s="42"/>
      <c r="X223" s="42"/>
      <c r="Y223" s="43"/>
      <c r="Z223" s="42"/>
      <c r="AA223" s="42"/>
      <c r="AB223" s="44"/>
      <c r="AP223"/>
      <c r="AQ223" s="48"/>
      <c r="AR223" s="48"/>
      <c r="AS223"/>
      <c r="AT223" s="48"/>
      <c r="AU223" s="48"/>
      <c r="AV223" t="s">
        <v>175</v>
      </c>
      <c r="AW223" s="49"/>
      <c r="AX223" s="49"/>
      <c r="AY223" s="49"/>
      <c r="BA223" s="49"/>
      <c r="BB223" s="48"/>
      <c r="BC223" s="48"/>
      <c r="BD223" s="48"/>
      <c r="BF223" s="83">
        <v>0</v>
      </c>
    </row>
    <row r="224" spans="1:58" ht="16" x14ac:dyDescent="0.35">
      <c r="A224" s="37"/>
      <c r="B224" s="38"/>
      <c r="C224" s="38"/>
      <c r="D224" s="38"/>
      <c r="E224" s="38"/>
      <c r="F224" s="38"/>
      <c r="G224"/>
      <c r="H224" s="39"/>
      <c r="I224" s="39"/>
      <c r="J224" s="39"/>
      <c r="K224" s="39"/>
      <c r="L224" s="39"/>
      <c r="M224" s="38"/>
      <c r="N224" s="38"/>
      <c r="O224" s="38"/>
      <c r="P224" s="38"/>
      <c r="Q224" s="83">
        <v>0</v>
      </c>
      <c r="R224" s="38"/>
      <c r="S224" s="38"/>
      <c r="T224" s="38"/>
      <c r="U224" s="38"/>
      <c r="V224" s="38"/>
      <c r="W224" s="38"/>
      <c r="X224" s="38"/>
      <c r="Y224" s="39"/>
      <c r="Z224" s="38"/>
      <c r="AA224" s="38"/>
      <c r="AB224" s="40"/>
      <c r="AP224"/>
      <c r="AQ224" s="52"/>
      <c r="AR224" s="52"/>
      <c r="AS224"/>
      <c r="AT224" s="52"/>
      <c r="AU224" s="52"/>
      <c r="AV224"/>
      <c r="AW224" s="53"/>
      <c r="AX224" s="53"/>
      <c r="AY224" s="53"/>
      <c r="AZ224" s="53"/>
      <c r="BA224" s="53"/>
      <c r="BB224" s="52"/>
      <c r="BC224" s="52"/>
      <c r="BD224" s="52"/>
      <c r="BF224" s="83">
        <v>2</v>
      </c>
    </row>
    <row r="225" spans="1:58" ht="16" x14ac:dyDescent="0.35">
      <c r="A225" s="41"/>
      <c r="B225" s="42"/>
      <c r="C225" s="42"/>
      <c r="D225" s="42"/>
      <c r="E225" s="42"/>
      <c r="F225" s="42"/>
      <c r="G225"/>
      <c r="H225" s="43"/>
      <c r="I225" s="43"/>
      <c r="J225" s="43"/>
      <c r="K225" s="43"/>
      <c r="L225" s="43"/>
      <c r="M225" s="42"/>
      <c r="N225" s="42"/>
      <c r="O225" s="42"/>
      <c r="P225" s="42"/>
      <c r="Q225" s="83">
        <v>0</v>
      </c>
      <c r="R225" s="42"/>
      <c r="S225" s="42"/>
      <c r="T225" s="42"/>
      <c r="U225" s="42"/>
      <c r="V225" s="42"/>
      <c r="W225" s="42"/>
      <c r="X225" s="42"/>
      <c r="Y225" s="43"/>
      <c r="Z225" s="42"/>
      <c r="AA225" s="42"/>
      <c r="AB225" s="44"/>
      <c r="AP225"/>
      <c r="AQ225" s="48"/>
      <c r="AR225" s="48"/>
      <c r="AS225"/>
      <c r="AT225" s="48"/>
      <c r="AU225" s="48"/>
      <c r="AV225"/>
      <c r="AW225" s="49"/>
      <c r="AX225" s="49"/>
      <c r="AY225" s="49"/>
      <c r="AZ225" s="49"/>
      <c r="BA225" s="49"/>
      <c r="BB225" s="48"/>
      <c r="BC225" s="48"/>
      <c r="BD225" s="48"/>
      <c r="BF225" s="83">
        <v>1</v>
      </c>
    </row>
    <row r="226" spans="1:58" ht="16" x14ac:dyDescent="0.35">
      <c r="A226" s="37"/>
      <c r="B226" s="38"/>
      <c r="C226" s="38"/>
      <c r="D226" s="38"/>
      <c r="E226" s="38"/>
      <c r="F226" s="38"/>
      <c r="G226"/>
      <c r="H226" s="39"/>
      <c r="I226" s="39"/>
      <c r="J226" s="39"/>
      <c r="K226" s="39"/>
      <c r="L226" s="39"/>
      <c r="M226" s="38"/>
      <c r="N226" s="38"/>
      <c r="O226" s="38"/>
      <c r="P226" s="38"/>
      <c r="Q226" s="83">
        <v>0</v>
      </c>
      <c r="R226" s="38"/>
      <c r="S226" s="38"/>
      <c r="T226" s="38"/>
      <c r="U226" s="38"/>
      <c r="V226" s="38"/>
      <c r="W226" s="38"/>
      <c r="X226" s="38"/>
      <c r="Y226" s="39"/>
      <c r="Z226" s="38"/>
      <c r="AA226" s="38"/>
      <c r="AB226" s="40"/>
      <c r="AP226"/>
      <c r="AQ226" s="52"/>
      <c r="AR226" s="52"/>
      <c r="AS226"/>
      <c r="AT226" s="52"/>
      <c r="AU226" s="52"/>
      <c r="AV226"/>
      <c r="AW226" s="53"/>
      <c r="AX226" s="53"/>
      <c r="AY226" s="53"/>
      <c r="AZ226" s="53"/>
      <c r="BA226" s="53"/>
      <c r="BB226" s="52"/>
      <c r="BC226" s="52"/>
      <c r="BD226" s="52"/>
      <c r="BF226" s="83">
        <v>1</v>
      </c>
    </row>
    <row r="227" spans="1:58" ht="16" x14ac:dyDescent="0.35">
      <c r="A227" s="41"/>
      <c r="B227" s="42"/>
      <c r="C227" s="42"/>
      <c r="D227" s="42"/>
      <c r="E227" s="42"/>
      <c r="F227" s="42"/>
      <c r="G227"/>
      <c r="H227" s="43"/>
      <c r="I227" s="43"/>
      <c r="J227" s="43"/>
      <c r="K227" s="43"/>
      <c r="L227" s="43"/>
      <c r="M227" s="42"/>
      <c r="N227" s="42"/>
      <c r="O227" s="42"/>
      <c r="P227" s="42"/>
      <c r="Q227" s="83">
        <v>0</v>
      </c>
      <c r="R227" s="42"/>
      <c r="S227" s="42"/>
      <c r="T227" s="42"/>
      <c r="U227" s="42"/>
      <c r="V227" s="42"/>
      <c r="W227" s="42"/>
      <c r="X227" s="42"/>
      <c r="Y227" s="43"/>
      <c r="Z227" s="42"/>
      <c r="AA227" s="42"/>
      <c r="AB227" s="44"/>
      <c r="AP227"/>
      <c r="AQ227" s="48"/>
      <c r="AR227" s="48"/>
      <c r="AS227"/>
      <c r="AT227" s="48"/>
      <c r="AU227" s="48"/>
      <c r="AV227"/>
      <c r="AW227" s="49"/>
      <c r="AX227" s="49"/>
      <c r="AY227" s="49"/>
      <c r="AZ227" s="49"/>
      <c r="BA227" s="49"/>
      <c r="BB227" s="48"/>
      <c r="BC227" s="48"/>
      <c r="BD227" s="48"/>
      <c r="BF227" s="83">
        <v>1</v>
      </c>
    </row>
    <row r="228" spans="1:58" ht="16" x14ac:dyDescent="0.35">
      <c r="A228" s="37"/>
      <c r="B228" s="38"/>
      <c r="C228" s="38"/>
      <c r="D228" s="38"/>
      <c r="E228" s="38"/>
      <c r="F228" s="38"/>
      <c r="G228"/>
      <c r="H228" s="39"/>
      <c r="I228" s="39"/>
      <c r="J228" s="39"/>
      <c r="K228" s="39"/>
      <c r="L228" s="39"/>
      <c r="M228" s="38"/>
      <c r="N228" s="38"/>
      <c r="O228" s="38"/>
      <c r="P228" s="38"/>
      <c r="Q228" s="83">
        <v>1</v>
      </c>
      <c r="R228" s="38"/>
      <c r="S228" s="38"/>
      <c r="T228" s="38"/>
      <c r="U228" s="38"/>
      <c r="V228" s="38"/>
      <c r="W228" s="38"/>
      <c r="X228" s="38"/>
      <c r="Y228" s="39"/>
      <c r="Z228" s="38"/>
      <c r="AA228" s="38"/>
      <c r="AB228" s="40"/>
      <c r="AP228"/>
      <c r="AQ228" s="52"/>
      <c r="AR228" s="52"/>
      <c r="AS228"/>
      <c r="AT228" s="52"/>
      <c r="AU228" s="52"/>
      <c r="AV228"/>
      <c r="AW228" s="53"/>
      <c r="AX228" s="53"/>
      <c r="AY228" s="53"/>
      <c r="AZ228" s="53"/>
      <c r="BA228" s="53"/>
      <c r="BB228" s="52"/>
      <c r="BC228" s="52"/>
      <c r="BD228" s="52"/>
      <c r="BF228" s="83">
        <v>0</v>
      </c>
    </row>
    <row r="229" spans="1:58" ht="16" x14ac:dyDescent="0.35">
      <c r="A229" s="41"/>
      <c r="B229" s="42"/>
      <c r="C229" s="42"/>
      <c r="D229" s="42"/>
      <c r="E229" s="42"/>
      <c r="F229" s="42"/>
      <c r="G229"/>
      <c r="H229" s="43"/>
      <c r="I229" s="43"/>
      <c r="J229" s="43"/>
      <c r="K229" s="43"/>
      <c r="L229" s="43"/>
      <c r="M229" s="42"/>
      <c r="N229" s="42"/>
      <c r="O229" s="42"/>
      <c r="P229" s="42"/>
      <c r="Q229" s="83">
        <v>1</v>
      </c>
      <c r="R229" s="42"/>
      <c r="S229" s="42"/>
      <c r="T229" s="42"/>
      <c r="U229" s="42"/>
      <c r="V229" s="42"/>
      <c r="W229" s="42"/>
      <c r="X229" s="42"/>
      <c r="Y229" s="43"/>
      <c r="Z229" s="42"/>
      <c r="AA229" s="42"/>
      <c r="AB229" s="44"/>
      <c r="AP229"/>
      <c r="AQ229" s="48"/>
      <c r="AR229" s="48"/>
      <c r="AS229"/>
      <c r="AT229" s="48"/>
      <c r="AU229" s="48"/>
      <c r="AV229"/>
      <c r="AW229" s="49"/>
      <c r="AX229" s="49"/>
      <c r="AY229" s="49"/>
      <c r="AZ229" s="49"/>
      <c r="BA229" s="49"/>
      <c r="BB229" s="48"/>
      <c r="BC229" s="48"/>
      <c r="BD229" s="48"/>
      <c r="BF229" s="83">
        <v>1</v>
      </c>
    </row>
    <row r="230" spans="1:58" ht="16" x14ac:dyDescent="0.35">
      <c r="A230" s="37"/>
      <c r="B230" s="38"/>
      <c r="C230" s="38"/>
      <c r="D230" s="38"/>
      <c r="E230" s="38"/>
      <c r="F230" s="38"/>
      <c r="G230"/>
      <c r="H230" s="39"/>
      <c r="I230" s="39"/>
      <c r="J230" s="39"/>
      <c r="K230" s="39"/>
      <c r="L230" s="39"/>
      <c r="M230" s="38"/>
      <c r="N230" s="38"/>
      <c r="O230" s="38"/>
      <c r="P230" s="38"/>
      <c r="Q230" s="83">
        <v>1</v>
      </c>
      <c r="R230" s="38"/>
      <c r="S230" s="38"/>
      <c r="T230" s="38"/>
      <c r="U230" s="38"/>
      <c r="V230" s="38"/>
      <c r="W230" s="38"/>
      <c r="X230" s="38"/>
      <c r="Y230" s="39"/>
      <c r="Z230" s="38"/>
      <c r="AA230" s="38"/>
      <c r="AB230" s="40"/>
      <c r="AP230"/>
      <c r="AQ230" s="52"/>
      <c r="AR230" s="52"/>
      <c r="AS230"/>
      <c r="AT230" s="52"/>
      <c r="AU230" s="52"/>
      <c r="AV230"/>
      <c r="AW230" s="53"/>
      <c r="AX230" s="53"/>
      <c r="AY230" s="53"/>
      <c r="AZ230" s="53"/>
      <c r="BA230" s="53"/>
      <c r="BB230" s="52"/>
      <c r="BC230" s="52"/>
      <c r="BD230" s="52"/>
      <c r="BF230" s="83">
        <v>0</v>
      </c>
    </row>
    <row r="231" spans="1:58" ht="16" x14ac:dyDescent="0.35">
      <c r="A231" s="41"/>
      <c r="B231" s="42"/>
      <c r="C231" s="42"/>
      <c r="D231" s="42"/>
      <c r="E231" s="42"/>
      <c r="F231" s="42"/>
      <c r="G231"/>
      <c r="H231" s="43"/>
      <c r="I231" s="43"/>
      <c r="J231" s="43"/>
      <c r="K231" s="43"/>
      <c r="L231" s="43"/>
      <c r="M231" s="42"/>
      <c r="N231" s="42"/>
      <c r="O231" s="42"/>
      <c r="P231" s="42"/>
      <c r="Q231" s="83">
        <v>1</v>
      </c>
      <c r="R231" s="42"/>
      <c r="S231" s="42"/>
      <c r="T231" s="42"/>
      <c r="U231" s="42"/>
      <c r="V231" s="42"/>
      <c r="W231" s="42"/>
      <c r="X231" s="42"/>
      <c r="Y231" s="43"/>
      <c r="Z231" s="42"/>
      <c r="AA231" s="42"/>
      <c r="AB231" s="44"/>
      <c r="AP231"/>
      <c r="AQ231" s="48"/>
      <c r="AR231" s="48"/>
      <c r="AS231"/>
      <c r="AT231" s="48"/>
      <c r="AU231" s="48"/>
      <c r="AV231"/>
      <c r="AW231" s="49"/>
      <c r="AX231" s="49"/>
      <c r="AY231" s="49"/>
      <c r="AZ231" s="49"/>
      <c r="BA231" s="49"/>
      <c r="BB231" s="48"/>
      <c r="BC231" s="48"/>
      <c r="BD231" s="48"/>
      <c r="BF231" s="83">
        <v>1</v>
      </c>
    </row>
    <row r="232" spans="1:58" ht="16" x14ac:dyDescent="0.35">
      <c r="A232" s="37"/>
      <c r="B232" s="38"/>
      <c r="C232" s="38"/>
      <c r="D232" s="38"/>
      <c r="E232" s="38"/>
      <c r="F232" s="38"/>
      <c r="G232"/>
      <c r="H232" s="39"/>
      <c r="I232" s="39"/>
      <c r="J232" s="39"/>
      <c r="K232" s="39"/>
      <c r="L232" s="39"/>
      <c r="M232" s="38"/>
      <c r="N232" s="38"/>
      <c r="O232" s="38"/>
      <c r="P232" s="38"/>
      <c r="Q232" s="83">
        <v>0</v>
      </c>
      <c r="R232" s="38"/>
      <c r="S232" s="38"/>
      <c r="T232" s="38"/>
      <c r="U232" s="38"/>
      <c r="V232" s="38"/>
      <c r="W232" s="38"/>
      <c r="X232" s="38"/>
      <c r="Y232" s="39"/>
      <c r="Z232" s="38"/>
      <c r="AA232" s="38"/>
      <c r="AB232" s="40"/>
      <c r="AP232"/>
      <c r="AQ232" s="52"/>
      <c r="AR232" s="52"/>
      <c r="AS232"/>
      <c r="AT232" s="52"/>
      <c r="AU232" s="52"/>
      <c r="AV232"/>
      <c r="AW232" s="53"/>
      <c r="AX232" s="53"/>
      <c r="AY232" s="53"/>
      <c r="AZ232" s="53"/>
      <c r="BA232" s="53"/>
      <c r="BB232" s="52"/>
      <c r="BC232" s="52"/>
      <c r="BD232" s="52"/>
      <c r="BF232" s="83">
        <v>1</v>
      </c>
    </row>
    <row r="233" spans="1:58" ht="16" x14ac:dyDescent="0.35">
      <c r="A233" s="41"/>
      <c r="B233" s="42"/>
      <c r="C233" s="42"/>
      <c r="D233" s="42"/>
      <c r="E233" s="42"/>
      <c r="F233" s="42"/>
      <c r="G233"/>
      <c r="H233" s="43"/>
      <c r="I233" s="43"/>
      <c r="J233" s="43"/>
      <c r="K233" s="43"/>
      <c r="L233" s="43"/>
      <c r="M233" s="42"/>
      <c r="N233" s="42"/>
      <c r="O233" s="42"/>
      <c r="P233" s="42"/>
      <c r="Q233" s="83">
        <v>0</v>
      </c>
      <c r="R233" s="42"/>
      <c r="S233" s="42"/>
      <c r="T233" s="42"/>
      <c r="U233" s="42"/>
      <c r="V233" s="42"/>
      <c r="W233" s="42"/>
      <c r="X233" s="42"/>
      <c r="Y233" s="43"/>
      <c r="Z233" s="42"/>
      <c r="AA233" s="42"/>
      <c r="AB233" s="44"/>
      <c r="AP233"/>
      <c r="AQ233" s="48"/>
      <c r="AR233" s="48"/>
      <c r="AS233"/>
      <c r="AT233" s="48"/>
      <c r="AU233" s="48"/>
      <c r="AV233"/>
      <c r="AW233" s="49"/>
      <c r="AX233" s="49"/>
      <c r="AY233" s="49"/>
      <c r="AZ233" s="49"/>
      <c r="BA233" s="49"/>
      <c r="BB233" s="48"/>
      <c r="BC233" s="48"/>
      <c r="BD233" s="48"/>
      <c r="BF233" s="83">
        <v>1</v>
      </c>
    </row>
    <row r="234" spans="1:58" ht="16" x14ac:dyDescent="0.35">
      <c r="A234" s="37"/>
      <c r="B234" s="38"/>
      <c r="C234" s="38"/>
      <c r="D234" s="38"/>
      <c r="E234" s="38"/>
      <c r="F234" s="38"/>
      <c r="G234"/>
      <c r="H234" s="39"/>
      <c r="I234" s="39"/>
      <c r="J234" s="39"/>
      <c r="K234" s="39"/>
      <c r="L234" s="39"/>
      <c r="M234" s="38"/>
      <c r="N234" s="38"/>
      <c r="O234" s="38"/>
      <c r="P234" s="38"/>
      <c r="Q234" s="83">
        <v>0</v>
      </c>
      <c r="R234" s="38"/>
      <c r="S234" s="38"/>
      <c r="T234" s="38"/>
      <c r="U234" s="38"/>
      <c r="V234" s="38"/>
      <c r="W234" s="38"/>
      <c r="X234" s="38"/>
      <c r="Y234" s="39"/>
      <c r="Z234" s="38"/>
      <c r="AA234" s="38"/>
      <c r="AB234" s="40"/>
      <c r="AP234"/>
      <c r="AQ234" s="52"/>
      <c r="AR234" s="52"/>
      <c r="AS234"/>
      <c r="AT234" s="52"/>
      <c r="AU234" s="52"/>
      <c r="AV234"/>
      <c r="AW234" s="53"/>
      <c r="AX234" s="53"/>
      <c r="AY234" s="53"/>
      <c r="AZ234" s="53"/>
      <c r="BA234" s="53"/>
      <c r="BB234" s="52"/>
      <c r="BC234" s="52"/>
      <c r="BD234" s="52"/>
      <c r="BF234" s="83">
        <v>1</v>
      </c>
    </row>
    <row r="235" spans="1:58" ht="16" x14ac:dyDescent="0.35">
      <c r="A235" s="41"/>
      <c r="B235" s="42"/>
      <c r="C235" s="42"/>
      <c r="D235" s="42"/>
      <c r="E235" s="42"/>
      <c r="F235" s="42"/>
      <c r="G235"/>
      <c r="H235" s="43"/>
      <c r="I235" s="43"/>
      <c r="J235" s="43"/>
      <c r="K235" s="43"/>
      <c r="L235" s="43"/>
      <c r="M235" s="42"/>
      <c r="N235" s="42"/>
      <c r="O235" s="42"/>
      <c r="P235" s="42"/>
      <c r="Q235" s="83">
        <v>0</v>
      </c>
      <c r="R235" s="42"/>
      <c r="S235" s="42"/>
      <c r="T235" s="42"/>
      <c r="U235" s="42"/>
      <c r="V235" s="42"/>
      <c r="W235" s="42"/>
      <c r="X235" s="42"/>
      <c r="Y235" s="43"/>
      <c r="Z235" s="42"/>
      <c r="AA235" s="42"/>
      <c r="AB235" s="44"/>
      <c r="AP235"/>
      <c r="AQ235" s="48"/>
      <c r="AR235" s="48"/>
      <c r="AS235"/>
      <c r="AT235" s="48"/>
      <c r="AU235" s="48"/>
      <c r="AV235"/>
      <c r="AW235" s="49"/>
      <c r="AX235" s="49"/>
      <c r="AY235" s="49"/>
      <c r="AZ235" s="49"/>
      <c r="BA235" s="49"/>
      <c r="BB235" s="48"/>
      <c r="BC235" s="48"/>
      <c r="BD235" s="48"/>
      <c r="BF235" s="83">
        <v>1</v>
      </c>
    </row>
    <row r="236" spans="1:58" ht="16" x14ac:dyDescent="0.35">
      <c r="A236" s="37"/>
      <c r="B236" s="38"/>
      <c r="C236" s="38"/>
      <c r="D236" s="38"/>
      <c r="E236" s="38"/>
      <c r="F236" s="38"/>
      <c r="G236"/>
      <c r="H236" s="39"/>
      <c r="I236" s="39"/>
      <c r="J236" s="39"/>
      <c r="K236" s="39"/>
      <c r="L236" s="39"/>
      <c r="M236" s="38"/>
      <c r="N236" s="38"/>
      <c r="O236" s="38"/>
      <c r="P236" s="38"/>
      <c r="Q236" s="83">
        <v>0</v>
      </c>
      <c r="R236" s="38"/>
      <c r="S236" s="38"/>
      <c r="T236" s="38"/>
      <c r="U236" s="38"/>
      <c r="V236" s="38"/>
      <c r="W236" s="38"/>
      <c r="X236" s="38"/>
      <c r="Y236" s="39"/>
      <c r="Z236" s="38"/>
      <c r="AA236" s="38"/>
      <c r="AB236" s="40"/>
      <c r="AP236"/>
      <c r="AQ236" s="52"/>
      <c r="AR236" s="52"/>
      <c r="AS236"/>
      <c r="AT236" s="52"/>
      <c r="AU236" s="52"/>
      <c r="AV236"/>
      <c r="AW236" s="53"/>
      <c r="AX236" s="53"/>
      <c r="AY236" s="53"/>
      <c r="AZ236" s="53"/>
      <c r="BA236" s="53"/>
      <c r="BB236" s="52"/>
      <c r="BC236" s="52"/>
      <c r="BD236" s="52"/>
      <c r="BF236" s="83">
        <v>0</v>
      </c>
    </row>
    <row r="237" spans="1:58" ht="16" x14ac:dyDescent="0.35">
      <c r="A237" s="41"/>
      <c r="B237" s="42"/>
      <c r="C237" s="42"/>
      <c r="D237" s="42"/>
      <c r="E237" s="42"/>
      <c r="F237" s="42"/>
      <c r="G237"/>
      <c r="H237" s="43"/>
      <c r="I237" s="43"/>
      <c r="J237" s="43"/>
      <c r="K237" s="43"/>
      <c r="L237" s="43"/>
      <c r="M237" s="42"/>
      <c r="N237" s="42"/>
      <c r="O237" s="42"/>
      <c r="P237" s="42"/>
      <c r="Q237" s="83">
        <v>0</v>
      </c>
      <c r="R237" s="42"/>
      <c r="S237" s="42"/>
      <c r="T237" s="42"/>
      <c r="U237" s="42"/>
      <c r="V237" s="42"/>
      <c r="W237" s="42"/>
      <c r="X237" s="42"/>
      <c r="Y237" s="43"/>
      <c r="Z237" s="42"/>
      <c r="AA237" s="42"/>
      <c r="AB237" s="44"/>
      <c r="AP237"/>
      <c r="AQ237" s="48"/>
      <c r="AR237" s="48"/>
      <c r="AS237"/>
      <c r="AT237" s="48"/>
      <c r="AU237" s="48"/>
      <c r="AV237"/>
      <c r="AW237" s="49"/>
      <c r="AX237" s="49"/>
      <c r="AY237" s="49"/>
      <c r="AZ237" s="49"/>
      <c r="BA237" s="49"/>
      <c r="BB237" s="48"/>
      <c r="BC237" s="48"/>
      <c r="BD237" s="48"/>
      <c r="BF237" s="83">
        <v>2</v>
      </c>
    </row>
    <row r="238" spans="1:58" ht="16" x14ac:dyDescent="0.35">
      <c r="A238" s="37"/>
      <c r="B238" s="38"/>
      <c r="C238" s="38"/>
      <c r="D238" s="38"/>
      <c r="E238" s="38"/>
      <c r="F238" s="38"/>
      <c r="G238"/>
      <c r="H238" s="39"/>
      <c r="I238" s="39"/>
      <c r="J238" s="39"/>
      <c r="K238" s="39"/>
      <c r="L238" s="39"/>
      <c r="M238" s="38"/>
      <c r="N238" s="38"/>
      <c r="O238" s="38"/>
      <c r="P238" s="38"/>
      <c r="Q238" s="83">
        <v>0</v>
      </c>
      <c r="R238" s="38"/>
      <c r="S238" s="38"/>
      <c r="T238" s="38"/>
      <c r="U238" s="38"/>
      <c r="V238" s="38"/>
      <c r="W238" s="38"/>
      <c r="X238" s="38"/>
      <c r="Y238" s="39"/>
      <c r="Z238" s="38"/>
      <c r="AA238" s="38"/>
      <c r="AB238" s="40"/>
      <c r="AP238"/>
      <c r="AQ238" s="52"/>
      <c r="AR238" s="52"/>
      <c r="AS238"/>
      <c r="AT238" s="52"/>
      <c r="AU238" s="52"/>
      <c r="AV238"/>
      <c r="AW238" s="53"/>
      <c r="AX238" s="53"/>
      <c r="AY238" s="53"/>
      <c r="AZ238" s="53"/>
      <c r="BA238" s="53"/>
      <c r="BB238" s="52"/>
      <c r="BC238" s="52"/>
      <c r="BD238" s="52"/>
      <c r="BF238" s="83">
        <v>1</v>
      </c>
    </row>
    <row r="239" spans="1:58" ht="16" x14ac:dyDescent="0.35">
      <c r="A239" s="41"/>
      <c r="B239" s="42"/>
      <c r="C239" s="42"/>
      <c r="D239" s="42"/>
      <c r="E239" s="42"/>
      <c r="F239" s="42"/>
      <c r="G239"/>
      <c r="H239" s="43"/>
      <c r="I239" s="43"/>
      <c r="J239" s="43"/>
      <c r="K239" s="43"/>
      <c r="L239" s="43"/>
      <c r="M239" s="42"/>
      <c r="N239" s="42"/>
      <c r="O239" s="42"/>
      <c r="P239" s="42"/>
      <c r="Q239" s="83">
        <v>0</v>
      </c>
      <c r="R239" s="42"/>
      <c r="S239" s="42"/>
      <c r="T239" s="42"/>
      <c r="U239" s="42"/>
      <c r="V239" s="42"/>
      <c r="W239" s="42"/>
      <c r="X239" s="42"/>
      <c r="Y239" s="43"/>
      <c r="Z239" s="42"/>
      <c r="AA239" s="42"/>
      <c r="AB239" s="44"/>
      <c r="AP239"/>
      <c r="AQ239" s="48"/>
      <c r="AR239" s="48"/>
      <c r="AS239"/>
      <c r="AT239" s="48"/>
      <c r="AU239" s="48"/>
      <c r="AV239"/>
      <c r="AW239" s="49"/>
      <c r="AX239" s="49"/>
      <c r="AY239" s="49"/>
      <c r="AZ239" s="49"/>
      <c r="BA239" s="49"/>
      <c r="BB239" s="48"/>
      <c r="BC239" s="48"/>
      <c r="BD239" s="48"/>
      <c r="BF239" s="83">
        <v>0</v>
      </c>
    </row>
    <row r="240" spans="1:58" ht="16" x14ac:dyDescent="0.35">
      <c r="A240" s="37"/>
      <c r="B240" s="38"/>
      <c r="C240" s="38"/>
      <c r="D240" s="38"/>
      <c r="E240" s="38"/>
      <c r="F240" s="38"/>
      <c r="G240"/>
      <c r="H240" s="39"/>
      <c r="I240" s="39"/>
      <c r="J240" s="39"/>
      <c r="K240" s="39"/>
      <c r="L240" s="39"/>
      <c r="M240" s="38"/>
      <c r="N240" s="38"/>
      <c r="O240" s="38"/>
      <c r="P240" s="38"/>
      <c r="Q240" s="83">
        <v>0</v>
      </c>
      <c r="R240" s="38"/>
      <c r="S240" s="38"/>
      <c r="T240" s="38"/>
      <c r="U240" s="38"/>
      <c r="V240" s="38"/>
      <c r="W240" s="38"/>
      <c r="X240" s="38"/>
      <c r="Y240" s="39"/>
      <c r="Z240" s="38"/>
      <c r="AA240" s="38"/>
      <c r="AB240" s="40"/>
      <c r="AP240"/>
      <c r="AQ240" s="52"/>
      <c r="AR240" s="52"/>
      <c r="AS240"/>
      <c r="AT240" s="52"/>
      <c r="AU240" s="52"/>
      <c r="AV240"/>
      <c r="AW240" s="53"/>
      <c r="AX240" s="53"/>
      <c r="AY240" s="53"/>
      <c r="AZ240" s="53"/>
      <c r="BA240" s="53"/>
      <c r="BB240" s="52"/>
      <c r="BC240" s="52"/>
      <c r="BD240" s="52"/>
      <c r="BF240" s="83">
        <v>0</v>
      </c>
    </row>
    <row r="241" spans="1:58" ht="16" x14ac:dyDescent="0.35">
      <c r="A241" s="41"/>
      <c r="B241" s="42"/>
      <c r="C241" s="42"/>
      <c r="D241" s="42"/>
      <c r="E241" s="42"/>
      <c r="F241" s="42"/>
      <c r="G241"/>
      <c r="H241" s="43"/>
      <c r="I241" s="43"/>
      <c r="J241" s="43"/>
      <c r="K241" s="43"/>
      <c r="L241" s="43"/>
      <c r="M241" s="42"/>
      <c r="N241" s="42"/>
      <c r="O241" s="42"/>
      <c r="P241" s="42"/>
      <c r="Q241" s="83">
        <v>0</v>
      </c>
      <c r="R241" s="42"/>
      <c r="S241" s="42"/>
      <c r="T241" s="42"/>
      <c r="U241" s="42"/>
      <c r="V241" s="42"/>
      <c r="W241" s="42"/>
      <c r="X241" s="42"/>
      <c r="Y241" s="43"/>
      <c r="Z241" s="42"/>
      <c r="AA241" s="42"/>
      <c r="AB241" s="44"/>
      <c r="AP241"/>
      <c r="AQ241" s="48"/>
      <c r="AR241" s="48"/>
      <c r="AS241"/>
      <c r="AT241" s="48"/>
      <c r="AU241" s="48"/>
      <c r="AV241"/>
      <c r="AW241" s="49"/>
      <c r="AX241" s="49"/>
      <c r="AY241" s="49"/>
      <c r="AZ241" s="49"/>
      <c r="BA241" s="49"/>
      <c r="BB241" s="48"/>
      <c r="BC241" s="48"/>
      <c r="BD241" s="48"/>
      <c r="BF241" s="83">
        <v>3</v>
      </c>
    </row>
    <row r="242" spans="1:58" ht="16" x14ac:dyDescent="0.35">
      <c r="A242" s="37"/>
      <c r="B242" s="38"/>
      <c r="C242" s="38"/>
      <c r="D242" s="38"/>
      <c r="E242" s="38"/>
      <c r="F242" s="38"/>
      <c r="G242"/>
      <c r="H242" s="39"/>
      <c r="I242" s="39"/>
      <c r="J242" s="39"/>
      <c r="K242" s="39"/>
      <c r="L242" s="39"/>
      <c r="M242" s="38"/>
      <c r="N242" s="38"/>
      <c r="O242" s="38"/>
      <c r="P242" s="38"/>
      <c r="Q242" s="83">
        <v>0</v>
      </c>
      <c r="R242" s="38"/>
      <c r="S242" s="38"/>
      <c r="T242" s="38"/>
      <c r="U242" s="38"/>
      <c r="V242" s="38"/>
      <c r="W242" s="38"/>
      <c r="X242" s="38"/>
      <c r="Y242" s="39"/>
      <c r="Z242" s="38"/>
      <c r="AA242" s="38"/>
      <c r="AB242" s="40"/>
      <c r="AP242"/>
      <c r="AQ242" s="52"/>
      <c r="AR242" s="52"/>
      <c r="AS242"/>
      <c r="AT242" s="52"/>
      <c r="AU242" s="52"/>
      <c r="AV242"/>
      <c r="AW242" s="53"/>
      <c r="AX242" s="53"/>
      <c r="AY242" s="53"/>
      <c r="AZ242" s="53"/>
      <c r="BA242" s="53"/>
      <c r="BB242" s="52"/>
      <c r="BC242" s="52"/>
      <c r="BD242" s="52"/>
      <c r="BF242" s="83">
        <v>0</v>
      </c>
    </row>
    <row r="243" spans="1:58" ht="16" x14ac:dyDescent="0.35">
      <c r="A243" s="41"/>
      <c r="B243" s="42"/>
      <c r="C243" s="42"/>
      <c r="D243" s="42"/>
      <c r="E243" s="42"/>
      <c r="F243" s="42"/>
      <c r="G243"/>
      <c r="H243" s="43"/>
      <c r="I243" s="43"/>
      <c r="J243" s="43"/>
      <c r="K243" s="43"/>
      <c r="L243" s="43"/>
      <c r="M243" s="42"/>
      <c r="N243" s="42"/>
      <c r="O243" s="42"/>
      <c r="P243" s="42"/>
      <c r="Q243" s="83">
        <v>0</v>
      </c>
      <c r="R243" s="42"/>
      <c r="S243" s="42"/>
      <c r="T243" s="42"/>
      <c r="U243" s="42"/>
      <c r="V243" s="42"/>
      <c r="W243" s="42"/>
      <c r="X243" s="42"/>
      <c r="Y243" s="43"/>
      <c r="Z243" s="42"/>
      <c r="AA243" s="42"/>
      <c r="AB243" s="44"/>
      <c r="AP243"/>
      <c r="AQ243" s="48"/>
      <c r="AR243" s="48"/>
      <c r="AS243"/>
      <c r="AT243" s="48"/>
      <c r="AU243" s="48"/>
      <c r="AV243"/>
      <c r="AW243" s="49"/>
      <c r="AX243" s="49"/>
      <c r="AY243" s="49"/>
      <c r="AZ243" s="49"/>
      <c r="BA243" s="49"/>
      <c r="BB243" s="48"/>
      <c r="BC243" s="48"/>
      <c r="BD243" s="48"/>
      <c r="BF243" s="83">
        <v>0</v>
      </c>
    </row>
    <row r="244" spans="1:58" ht="16" x14ac:dyDescent="0.35">
      <c r="A244" s="37"/>
      <c r="B244" s="38"/>
      <c r="C244" s="38"/>
      <c r="D244" s="38"/>
      <c r="E244" s="38"/>
      <c r="F244" s="38"/>
      <c r="G244"/>
      <c r="H244" s="39"/>
      <c r="I244" s="39"/>
      <c r="J244" s="39"/>
      <c r="K244" s="39"/>
      <c r="L244" s="39"/>
      <c r="M244" s="38"/>
      <c r="N244" s="38"/>
      <c r="O244" s="38"/>
      <c r="P244" s="38"/>
      <c r="Q244" s="83">
        <v>0</v>
      </c>
      <c r="R244" s="38"/>
      <c r="S244" s="38"/>
      <c r="T244" s="38"/>
      <c r="U244" s="38"/>
      <c r="V244" s="38"/>
      <c r="W244" s="38"/>
      <c r="X244" s="38"/>
      <c r="Y244" s="39"/>
      <c r="Z244" s="38"/>
      <c r="AA244" s="38"/>
      <c r="AB244" s="40"/>
      <c r="AP244"/>
      <c r="AQ244" s="52"/>
      <c r="AR244" s="52"/>
      <c r="AS244"/>
      <c r="AT244" s="52"/>
      <c r="AU244" s="52"/>
      <c r="AV244"/>
      <c r="AW244" s="53"/>
      <c r="AX244" s="53"/>
      <c r="AY244" s="53"/>
      <c r="AZ244" s="53"/>
      <c r="BA244" s="53"/>
      <c r="BB244" s="52"/>
      <c r="BC244" s="52"/>
      <c r="BD244" s="52"/>
      <c r="BE244" s="52"/>
      <c r="BF244" s="83">
        <v>0</v>
      </c>
    </row>
    <row r="245" spans="1:58" ht="16" x14ac:dyDescent="0.35">
      <c r="A245" s="41"/>
      <c r="B245" s="42"/>
      <c r="C245" s="42"/>
      <c r="D245" s="42"/>
      <c r="E245" s="42"/>
      <c r="F245" s="42"/>
      <c r="G245"/>
      <c r="H245" s="43"/>
      <c r="I245" s="43"/>
      <c r="J245" s="43"/>
      <c r="K245" s="43"/>
      <c r="L245" s="43"/>
      <c r="M245" s="42"/>
      <c r="N245" s="42"/>
      <c r="O245" s="42"/>
      <c r="P245" s="42"/>
      <c r="Q245" s="83">
        <v>0</v>
      </c>
      <c r="R245" s="42"/>
      <c r="S245" s="42"/>
      <c r="T245" s="42"/>
      <c r="U245" s="42"/>
      <c r="V245" s="42"/>
      <c r="W245" s="42"/>
      <c r="X245" s="42"/>
      <c r="Y245" s="43"/>
      <c r="Z245" s="42"/>
      <c r="AA245" s="42"/>
      <c r="AB245" s="44"/>
      <c r="AP245"/>
      <c r="AQ245" s="48"/>
      <c r="AR245" s="48"/>
      <c r="AS245"/>
      <c r="AT245" s="48"/>
      <c r="AU245" s="48"/>
      <c r="AV245"/>
      <c r="AW245" s="49"/>
      <c r="AX245" s="49"/>
      <c r="AY245" s="49"/>
      <c r="AZ245" s="49"/>
      <c r="BA245" s="49"/>
      <c r="BB245" s="48"/>
      <c r="BC245" s="48"/>
      <c r="BD245" s="48"/>
      <c r="BE245" s="48"/>
      <c r="BF245" s="83">
        <v>0</v>
      </c>
    </row>
    <row r="246" spans="1:58" ht="16" x14ac:dyDescent="0.35">
      <c r="A246" s="37"/>
      <c r="B246" s="38"/>
      <c r="C246" s="38"/>
      <c r="D246" s="38"/>
      <c r="E246" s="38"/>
      <c r="F246" s="38"/>
      <c r="G246"/>
      <c r="H246" s="39"/>
      <c r="I246" s="39"/>
      <c r="J246" s="39"/>
      <c r="K246" s="39"/>
      <c r="L246" s="39"/>
      <c r="M246" s="38"/>
      <c r="N246" s="38"/>
      <c r="O246" s="38"/>
      <c r="P246" s="38"/>
      <c r="Q246" s="83">
        <v>0</v>
      </c>
      <c r="R246" s="38"/>
      <c r="S246" s="38"/>
      <c r="T246" s="38"/>
      <c r="U246" s="38"/>
      <c r="V246" s="38"/>
      <c r="W246" s="38"/>
      <c r="X246" s="38"/>
      <c r="Y246" s="39"/>
      <c r="Z246" s="38"/>
      <c r="AA246" s="38"/>
      <c r="AB246" s="40"/>
      <c r="AP246"/>
      <c r="AQ246" s="52"/>
      <c r="AR246" s="52"/>
      <c r="AS246"/>
      <c r="AT246" s="52"/>
      <c r="AU246" s="52"/>
      <c r="AV246"/>
      <c r="AW246" s="53"/>
      <c r="AX246" s="53"/>
      <c r="AY246" s="53"/>
      <c r="AZ246" s="53"/>
      <c r="BA246" s="53"/>
      <c r="BB246" s="52"/>
      <c r="BC246" s="52"/>
      <c r="BD246" s="52"/>
      <c r="BE246" s="52"/>
      <c r="BF246" s="83">
        <v>0</v>
      </c>
    </row>
    <row r="247" spans="1:58" ht="16" x14ac:dyDescent="0.35">
      <c r="A247" s="41"/>
      <c r="B247" s="42"/>
      <c r="C247" s="42"/>
      <c r="D247" s="42"/>
      <c r="E247" s="42"/>
      <c r="F247" s="42"/>
      <c r="G247"/>
      <c r="H247" s="43"/>
      <c r="I247" s="43"/>
      <c r="J247" s="43"/>
      <c r="K247" s="43"/>
      <c r="L247" s="43"/>
      <c r="M247" s="42"/>
      <c r="N247" s="42"/>
      <c r="O247" s="42"/>
      <c r="P247" s="42"/>
      <c r="Q247" s="83">
        <v>0</v>
      </c>
      <c r="R247" s="42"/>
      <c r="S247" s="42"/>
      <c r="T247" s="42"/>
      <c r="U247" s="42"/>
      <c r="V247" s="42"/>
      <c r="W247" s="42"/>
      <c r="X247" s="42"/>
      <c r="Y247" s="43"/>
      <c r="Z247" s="42"/>
      <c r="AA247" s="42"/>
      <c r="AB247" s="44"/>
      <c r="AP247"/>
      <c r="AQ247" s="48"/>
      <c r="AR247" s="48"/>
      <c r="AS247"/>
      <c r="AT247" s="48"/>
      <c r="AU247" s="48"/>
      <c r="AV247"/>
      <c r="AW247" s="49"/>
      <c r="AX247" s="49"/>
      <c r="AY247" s="49"/>
      <c r="AZ247" s="49"/>
      <c r="BA247" s="49"/>
      <c r="BB247" s="48"/>
      <c r="BC247" s="48"/>
      <c r="BD247" s="48"/>
      <c r="BE247" s="48"/>
      <c r="BF247" s="83">
        <v>0</v>
      </c>
    </row>
    <row r="248" spans="1:58" ht="16" x14ac:dyDescent="0.35">
      <c r="A248" s="37"/>
      <c r="B248" s="38"/>
      <c r="C248" s="38"/>
      <c r="D248" s="38"/>
      <c r="E248" s="38"/>
      <c r="F248" s="38"/>
      <c r="G248"/>
      <c r="H248" s="39"/>
      <c r="I248" s="39"/>
      <c r="J248" s="39"/>
      <c r="K248" s="39"/>
      <c r="L248" s="39"/>
      <c r="M248" s="38"/>
      <c r="N248" s="38"/>
      <c r="O248" s="38"/>
      <c r="P248" s="38"/>
      <c r="Q248" s="83">
        <v>0</v>
      </c>
      <c r="R248" s="38"/>
      <c r="S248" s="38"/>
      <c r="T248" s="38"/>
      <c r="U248" s="38"/>
      <c r="V248" s="38"/>
      <c r="W248" s="38"/>
      <c r="X248" s="38"/>
      <c r="Y248" s="39"/>
      <c r="Z248" s="38"/>
      <c r="AA248" s="38"/>
      <c r="AB248" s="40"/>
      <c r="AP248"/>
      <c r="AQ248" s="52"/>
      <c r="AR248" s="52"/>
      <c r="AS248"/>
      <c r="AT248" s="52"/>
      <c r="AU248" s="52"/>
      <c r="AV248"/>
      <c r="AW248" s="53"/>
      <c r="AX248" s="53"/>
      <c r="AY248" s="53"/>
      <c r="AZ248" s="53"/>
      <c r="BA248" s="53"/>
      <c r="BB248" s="52"/>
      <c r="BC248" s="52"/>
      <c r="BD248" s="52"/>
      <c r="BE248" s="52"/>
      <c r="BF248" s="83">
        <v>0</v>
      </c>
    </row>
    <row r="249" spans="1:58" ht="16" x14ac:dyDescent="0.35">
      <c r="A249" s="41"/>
      <c r="B249" s="42"/>
      <c r="C249" s="42"/>
      <c r="D249" s="42"/>
      <c r="E249" s="42"/>
      <c r="F249" s="42"/>
      <c r="G249"/>
      <c r="H249" s="43"/>
      <c r="I249" s="43"/>
      <c r="J249" s="43"/>
      <c r="K249" s="43"/>
      <c r="L249" s="43"/>
      <c r="M249" s="42"/>
      <c r="N249" s="42"/>
      <c r="O249" s="42"/>
      <c r="P249" s="42"/>
      <c r="Q249" s="83">
        <v>0</v>
      </c>
      <c r="R249" s="42"/>
      <c r="S249" s="42"/>
      <c r="T249" s="42"/>
      <c r="U249" s="42"/>
      <c r="V249" s="42"/>
      <c r="W249" s="42"/>
      <c r="X249" s="42"/>
      <c r="Y249" s="43"/>
      <c r="Z249" s="42"/>
      <c r="AA249" s="42"/>
      <c r="AB249" s="44"/>
      <c r="AP249"/>
      <c r="AQ249" s="48"/>
      <c r="AR249" s="48"/>
      <c r="AS249"/>
      <c r="AT249" s="48"/>
      <c r="AU249" s="48"/>
      <c r="AV249"/>
      <c r="AW249" s="49"/>
      <c r="AX249" s="49"/>
      <c r="AY249" s="49"/>
      <c r="AZ249" s="49"/>
      <c r="BA249" s="49"/>
      <c r="BB249" s="48"/>
      <c r="BC249" s="48"/>
      <c r="BD249" s="48"/>
      <c r="BE249" s="48"/>
      <c r="BF249" s="83">
        <v>0</v>
      </c>
    </row>
    <row r="250" spans="1:58" ht="16" x14ac:dyDescent="0.35">
      <c r="A250" s="37"/>
      <c r="B250" s="38"/>
      <c r="C250" s="38"/>
      <c r="D250" s="38"/>
      <c r="E250" s="38"/>
      <c r="F250" s="38"/>
      <c r="G250"/>
      <c r="H250" s="39"/>
      <c r="I250" s="39"/>
      <c r="J250" s="39"/>
      <c r="K250" s="39"/>
      <c r="L250" s="39"/>
      <c r="M250" s="38"/>
      <c r="N250" s="38"/>
      <c r="O250" s="38"/>
      <c r="P250" s="38"/>
      <c r="Q250" s="83">
        <v>0</v>
      </c>
      <c r="R250" s="38"/>
      <c r="S250" s="38"/>
      <c r="T250" s="38"/>
      <c r="U250" s="38"/>
      <c r="V250" s="38"/>
      <c r="W250" s="38"/>
      <c r="X250" s="38"/>
      <c r="Y250" s="39"/>
      <c r="Z250" s="38"/>
      <c r="AA250" s="38"/>
      <c r="AB250" s="40"/>
      <c r="AP250"/>
      <c r="AQ250" s="52"/>
      <c r="AR250" s="52"/>
      <c r="AS250"/>
      <c r="AT250" s="52"/>
      <c r="AU250" s="52"/>
      <c r="AV250"/>
      <c r="AW250" s="53"/>
      <c r="AX250" s="53"/>
      <c r="AY250" s="53"/>
      <c r="AZ250" s="53"/>
      <c r="BA250" s="53"/>
      <c r="BB250" s="52"/>
      <c r="BC250" s="52"/>
      <c r="BD250" s="52"/>
      <c r="BE250" s="52"/>
      <c r="BF250" s="83">
        <v>1</v>
      </c>
    </row>
    <row r="251" spans="1:58" ht="16" x14ac:dyDescent="0.35">
      <c r="A251" s="41"/>
      <c r="B251" s="42"/>
      <c r="C251" s="42"/>
      <c r="D251" s="42"/>
      <c r="E251" s="42"/>
      <c r="F251" s="42"/>
      <c r="G251"/>
      <c r="H251" s="43"/>
      <c r="I251" s="43"/>
      <c r="J251" s="43"/>
      <c r="K251" s="43"/>
      <c r="L251" s="43"/>
      <c r="M251" s="42"/>
      <c r="N251" s="42"/>
      <c r="O251" s="42"/>
      <c r="P251" s="42"/>
      <c r="Q251" s="83">
        <v>0</v>
      </c>
      <c r="R251" s="42"/>
      <c r="S251" s="42"/>
      <c r="T251" s="42"/>
      <c r="U251" s="42"/>
      <c r="V251" s="42"/>
      <c r="W251" s="42"/>
      <c r="X251" s="42"/>
      <c r="Y251" s="43"/>
      <c r="Z251" s="42"/>
      <c r="AA251" s="42"/>
      <c r="AB251" s="44"/>
      <c r="AP251"/>
      <c r="AQ251" s="48"/>
      <c r="AR251" s="48"/>
      <c r="AS251"/>
      <c r="AT251" s="48"/>
      <c r="AU251" s="48"/>
      <c r="AV251"/>
      <c r="AW251" s="49"/>
      <c r="AX251" s="49"/>
      <c r="AY251" s="49"/>
      <c r="AZ251" s="49"/>
      <c r="BA251" s="49"/>
      <c r="BB251" s="48"/>
      <c r="BC251" s="48"/>
      <c r="BD251" s="48"/>
      <c r="BE251" s="48"/>
      <c r="BF251" s="83">
        <v>1</v>
      </c>
    </row>
    <row r="252" spans="1:58" ht="16" x14ac:dyDescent="0.35">
      <c r="A252" s="37"/>
      <c r="B252" s="38"/>
      <c r="C252" s="38"/>
      <c r="D252" s="38"/>
      <c r="E252" s="38"/>
      <c r="F252" s="38"/>
      <c r="G252"/>
      <c r="H252" s="39"/>
      <c r="I252" s="39"/>
      <c r="J252" s="39"/>
      <c r="K252" s="39"/>
      <c r="L252" s="39"/>
      <c r="M252" s="38"/>
      <c r="N252" s="38"/>
      <c r="O252" s="38"/>
      <c r="P252" s="38"/>
      <c r="Q252" s="83">
        <v>0</v>
      </c>
      <c r="R252" s="38"/>
      <c r="S252" s="38"/>
      <c r="T252" s="38"/>
      <c r="U252" s="38"/>
      <c r="V252" s="38"/>
      <c r="W252" s="38"/>
      <c r="X252" s="38"/>
      <c r="Y252" s="39"/>
      <c r="Z252" s="38"/>
      <c r="AA252" s="38"/>
      <c r="AB252" s="40"/>
      <c r="AP252"/>
      <c r="AQ252" s="52"/>
      <c r="AR252" s="52"/>
      <c r="AS252"/>
      <c r="AT252" s="52"/>
      <c r="AU252" s="52"/>
      <c r="AV252"/>
      <c r="AW252" s="53"/>
      <c r="AX252" s="53"/>
      <c r="AY252" s="53"/>
      <c r="AZ252" s="53"/>
      <c r="BA252" s="53"/>
      <c r="BB252" s="52"/>
      <c r="BC252" s="52"/>
      <c r="BD252" s="52"/>
      <c r="BE252" s="52"/>
      <c r="BF252" s="83">
        <v>0</v>
      </c>
    </row>
    <row r="253" spans="1:58" ht="16" x14ac:dyDescent="0.35">
      <c r="A253" s="41"/>
      <c r="B253" s="42"/>
      <c r="C253" s="42"/>
      <c r="D253" s="42"/>
      <c r="E253" s="42"/>
      <c r="F253" s="42"/>
      <c r="G253"/>
      <c r="H253" s="43"/>
      <c r="I253" s="43"/>
      <c r="J253" s="43"/>
      <c r="K253" s="43"/>
      <c r="L253" s="43"/>
      <c r="M253" s="42"/>
      <c r="N253" s="42"/>
      <c r="O253" s="42"/>
      <c r="P253" s="42"/>
      <c r="Q253" s="83">
        <v>0</v>
      </c>
      <c r="R253" s="42"/>
      <c r="S253" s="42"/>
      <c r="T253" s="42"/>
      <c r="U253" s="42"/>
      <c r="V253" s="42"/>
      <c r="W253" s="42"/>
      <c r="X253" s="42"/>
      <c r="Y253" s="43"/>
      <c r="Z253" s="42"/>
      <c r="AA253" s="42"/>
      <c r="AB253" s="44"/>
      <c r="AP253"/>
      <c r="AQ253" s="48"/>
      <c r="AR253" s="48"/>
      <c r="AS253"/>
      <c r="AT253" s="48"/>
      <c r="AU253" s="48"/>
      <c r="AV253"/>
      <c r="AW253" s="49"/>
      <c r="AX253" s="49"/>
      <c r="AY253" s="49"/>
      <c r="AZ253" s="49"/>
      <c r="BA253" s="49"/>
      <c r="BB253" s="48"/>
      <c r="BC253" s="48"/>
      <c r="BD253" s="48"/>
      <c r="BE253" s="48"/>
      <c r="BF253" s="83">
        <v>14</v>
      </c>
    </row>
    <row r="254" spans="1:58" ht="16" x14ac:dyDescent="0.35">
      <c r="A254" s="37"/>
      <c r="B254" s="38"/>
      <c r="C254" s="38"/>
      <c r="D254" s="38"/>
      <c r="E254" s="38"/>
      <c r="F254" s="38"/>
      <c r="G254"/>
      <c r="H254" s="39"/>
      <c r="I254" s="39"/>
      <c r="J254" s="39"/>
      <c r="K254" s="39"/>
      <c r="L254" s="39"/>
      <c r="M254" s="38"/>
      <c r="N254" s="38"/>
      <c r="O254" s="38"/>
      <c r="P254" s="38"/>
      <c r="Q254" s="83">
        <v>0</v>
      </c>
      <c r="R254" s="38"/>
      <c r="S254" s="38"/>
      <c r="T254" s="38"/>
      <c r="U254" s="38"/>
      <c r="V254" s="38"/>
      <c r="W254" s="38"/>
      <c r="X254" s="38"/>
      <c r="Y254" s="39"/>
      <c r="Z254" s="38"/>
      <c r="AA254" s="38"/>
      <c r="AB254" s="40"/>
      <c r="AP254"/>
      <c r="AQ254" s="52"/>
      <c r="AR254" s="52"/>
      <c r="AS254"/>
      <c r="AT254" s="52"/>
      <c r="AU254" s="52"/>
      <c r="AV254"/>
      <c r="AW254" s="53"/>
      <c r="AX254" s="53"/>
      <c r="AY254" s="53"/>
      <c r="AZ254" s="53"/>
      <c r="BA254" s="53"/>
      <c r="BB254" s="52"/>
      <c r="BC254" s="52"/>
      <c r="BD254" s="52"/>
      <c r="BE254" s="52"/>
      <c r="BF254" s="83">
        <v>1</v>
      </c>
    </row>
    <row r="255" spans="1:58" ht="16" x14ac:dyDescent="0.35">
      <c r="A255" s="41"/>
      <c r="B255" s="42"/>
      <c r="C255" s="42"/>
      <c r="D255" s="42"/>
      <c r="E255" s="42"/>
      <c r="F255" s="42"/>
      <c r="G255"/>
      <c r="H255" s="43"/>
      <c r="I255" s="43"/>
      <c r="J255" s="43"/>
      <c r="K255" s="43"/>
      <c r="L255" s="43"/>
      <c r="M255" s="42"/>
      <c r="N255" s="42"/>
      <c r="O255" s="42"/>
      <c r="P255" s="42"/>
      <c r="Q255" s="83">
        <v>0</v>
      </c>
      <c r="R255" s="42"/>
      <c r="S255" s="42"/>
      <c r="T255" s="42"/>
      <c r="U255" s="42"/>
      <c r="V255" s="42"/>
      <c r="W255" s="42"/>
      <c r="X255" s="42"/>
      <c r="Y255" s="43"/>
      <c r="Z255" s="42"/>
      <c r="AA255" s="42"/>
      <c r="AB255" s="44"/>
      <c r="AP255"/>
      <c r="AQ255" s="48"/>
      <c r="AR255" s="48"/>
      <c r="AS255"/>
      <c r="AT255" s="48"/>
      <c r="AU255" s="48"/>
      <c r="AV255"/>
      <c r="AW255" s="49"/>
      <c r="AX255" s="49"/>
      <c r="AY255" s="49"/>
      <c r="AZ255" s="49"/>
      <c r="BA255" s="49"/>
      <c r="BB255" s="48"/>
      <c r="BC255" s="48"/>
      <c r="BD255" s="48"/>
      <c r="BE255" s="48"/>
      <c r="BF255" s="83">
        <v>1</v>
      </c>
    </row>
    <row r="256" spans="1:58" ht="16" x14ac:dyDescent="0.35">
      <c r="A256" s="37"/>
      <c r="B256" s="38"/>
      <c r="C256" s="38"/>
      <c r="D256" s="38"/>
      <c r="E256" s="38"/>
      <c r="F256" s="38"/>
      <c r="G256"/>
      <c r="H256" s="39"/>
      <c r="I256" s="39"/>
      <c r="J256" s="39"/>
      <c r="K256" s="39"/>
      <c r="L256" s="39"/>
      <c r="M256" s="38"/>
      <c r="N256" s="38"/>
      <c r="O256" s="38"/>
      <c r="P256" s="38"/>
      <c r="Q256" s="83">
        <v>0</v>
      </c>
      <c r="R256" s="38"/>
      <c r="S256" s="38"/>
      <c r="T256" s="38"/>
      <c r="U256" s="38"/>
      <c r="V256" s="38"/>
      <c r="W256" s="38"/>
      <c r="X256" s="38"/>
      <c r="Y256" s="39"/>
      <c r="Z256" s="38"/>
      <c r="AA256" s="38"/>
      <c r="AB256" s="40"/>
      <c r="AP256"/>
      <c r="AQ256" s="52"/>
      <c r="AR256" s="52"/>
      <c r="AS256"/>
      <c r="AT256" s="52"/>
      <c r="AU256" s="52"/>
      <c r="AV256"/>
      <c r="AW256" s="53"/>
      <c r="AX256" s="53"/>
      <c r="AY256" s="53"/>
      <c r="AZ256" s="53"/>
      <c r="BA256" s="53"/>
      <c r="BB256" s="52"/>
      <c r="BC256" s="52"/>
      <c r="BD256" s="52"/>
      <c r="BE256" s="52"/>
      <c r="BF256" s="83">
        <v>1</v>
      </c>
    </row>
    <row r="257" spans="1:58" ht="16" x14ac:dyDescent="0.35">
      <c r="A257" s="41"/>
      <c r="B257" s="42"/>
      <c r="C257" s="42"/>
      <c r="D257" s="42"/>
      <c r="E257" s="42"/>
      <c r="F257" s="42"/>
      <c r="G257"/>
      <c r="H257" s="43"/>
      <c r="I257" s="43"/>
      <c r="J257" s="43"/>
      <c r="K257" s="43"/>
      <c r="L257" s="43"/>
      <c r="M257" s="42"/>
      <c r="N257" s="42"/>
      <c r="O257" s="42"/>
      <c r="P257" s="42"/>
      <c r="Q257" s="83">
        <v>0</v>
      </c>
      <c r="R257" s="42"/>
      <c r="S257" s="42"/>
      <c r="T257" s="42"/>
      <c r="U257" s="42"/>
      <c r="V257" s="42"/>
      <c r="W257" s="42"/>
      <c r="X257" s="42"/>
      <c r="Y257" s="43"/>
      <c r="Z257" s="42"/>
      <c r="AA257" s="42"/>
      <c r="AB257" s="44"/>
      <c r="AP257"/>
      <c r="AQ257" s="48"/>
      <c r="AR257" s="48"/>
      <c r="AS257"/>
      <c r="AT257" s="48"/>
      <c r="AU257" s="48"/>
      <c r="AV257"/>
      <c r="AW257" s="49"/>
      <c r="AX257" s="49"/>
      <c r="AY257" s="49"/>
      <c r="AZ257" s="49"/>
      <c r="BA257" s="49"/>
      <c r="BB257" s="48"/>
      <c r="BC257" s="48"/>
      <c r="BD257" s="48"/>
      <c r="BE257" s="48"/>
      <c r="BF257" s="83">
        <v>1</v>
      </c>
    </row>
    <row r="258" spans="1:58" ht="16" x14ac:dyDescent="0.35">
      <c r="A258" s="37"/>
      <c r="B258" s="38"/>
      <c r="C258" s="38"/>
      <c r="D258" s="38"/>
      <c r="E258" s="38"/>
      <c r="F258" s="38"/>
      <c r="G258"/>
      <c r="H258" s="39"/>
      <c r="I258" s="39"/>
      <c r="J258" s="39"/>
      <c r="K258" s="39"/>
      <c r="L258" s="39"/>
      <c r="M258" s="38"/>
      <c r="N258" s="38"/>
      <c r="O258" s="38"/>
      <c r="P258" s="38"/>
      <c r="Q258" s="83">
        <v>0</v>
      </c>
      <c r="R258" s="38"/>
      <c r="S258" s="38"/>
      <c r="T258" s="38"/>
      <c r="U258" s="38"/>
      <c r="V258" s="38"/>
      <c r="W258" s="38"/>
      <c r="X258" s="38"/>
      <c r="Y258" s="39"/>
      <c r="Z258" s="38"/>
      <c r="AA258" s="38"/>
      <c r="AB258" s="40"/>
      <c r="AP258"/>
      <c r="AQ258" s="52"/>
      <c r="AR258" s="52"/>
      <c r="AS258"/>
      <c r="AT258" s="52"/>
      <c r="AU258" s="52"/>
      <c r="AV258"/>
      <c r="AW258" s="53"/>
      <c r="AX258" s="53"/>
      <c r="AY258" s="53"/>
      <c r="AZ258" s="53"/>
      <c r="BA258" s="53"/>
      <c r="BB258" s="52"/>
      <c r="BC258" s="52"/>
      <c r="BD258" s="52"/>
      <c r="BE258" s="52"/>
      <c r="BF258" s="83">
        <v>0</v>
      </c>
    </row>
    <row r="259" spans="1:58" ht="16" x14ac:dyDescent="0.35">
      <c r="A259" s="41"/>
      <c r="B259" s="42"/>
      <c r="C259" s="42"/>
      <c r="D259" s="42"/>
      <c r="E259" s="42"/>
      <c r="F259" s="42"/>
      <c r="G259"/>
      <c r="H259" s="43"/>
      <c r="I259" s="43"/>
      <c r="J259" s="43"/>
      <c r="K259" s="43"/>
      <c r="L259" s="43"/>
      <c r="M259" s="42"/>
      <c r="N259" s="42"/>
      <c r="O259" s="42"/>
      <c r="P259" s="42"/>
      <c r="Q259" s="83">
        <v>0</v>
      </c>
      <c r="R259" s="42"/>
      <c r="S259" s="42"/>
      <c r="T259" s="42"/>
      <c r="U259" s="42"/>
      <c r="V259" s="42"/>
      <c r="W259" s="42"/>
      <c r="X259" s="42"/>
      <c r="Y259" s="43"/>
      <c r="Z259" s="42"/>
      <c r="AA259" s="42"/>
      <c r="AB259" s="44"/>
      <c r="AP259"/>
      <c r="AQ259" s="48"/>
      <c r="AR259" s="48"/>
      <c r="AS259"/>
      <c r="AT259" s="48"/>
      <c r="AU259" s="48"/>
      <c r="AV259"/>
      <c r="AW259" s="49"/>
      <c r="AX259" s="49"/>
      <c r="AY259" s="49"/>
      <c r="AZ259" s="49"/>
      <c r="BA259" s="49"/>
      <c r="BB259" s="48"/>
      <c r="BC259" s="48"/>
      <c r="BD259" s="48"/>
      <c r="BE259" s="48"/>
      <c r="BF259" s="83">
        <v>7</v>
      </c>
    </row>
    <row r="260" spans="1:58" ht="16" x14ac:dyDescent="0.35">
      <c r="A260" s="37"/>
      <c r="B260" s="38"/>
      <c r="C260" s="38"/>
      <c r="D260" s="38"/>
      <c r="E260" s="38"/>
      <c r="F260" s="38"/>
      <c r="G260"/>
      <c r="H260" s="39"/>
      <c r="I260" s="39"/>
      <c r="J260" s="39"/>
      <c r="K260" s="39"/>
      <c r="L260" s="39"/>
      <c r="M260" s="38"/>
      <c r="N260" s="38"/>
      <c r="O260" s="38"/>
      <c r="P260" s="38"/>
      <c r="Q260" s="83">
        <v>0</v>
      </c>
      <c r="R260" s="38"/>
      <c r="S260" s="38"/>
      <c r="T260" s="38"/>
      <c r="U260" s="38"/>
      <c r="V260" s="38"/>
      <c r="W260" s="38"/>
      <c r="X260" s="38"/>
      <c r="Y260" s="39"/>
      <c r="Z260" s="38"/>
      <c r="AA260" s="38"/>
      <c r="AB260" s="40"/>
      <c r="AP260"/>
      <c r="AQ260" s="52"/>
      <c r="AR260" s="52"/>
      <c r="AS260"/>
      <c r="AT260" s="52"/>
      <c r="AU260" s="52"/>
      <c r="AV260"/>
      <c r="AW260" s="53"/>
      <c r="AX260" s="53"/>
      <c r="AY260" s="53"/>
      <c r="AZ260" s="53"/>
      <c r="BA260" s="53"/>
      <c r="BB260" s="52"/>
      <c r="BC260" s="52"/>
      <c r="BD260" s="52"/>
      <c r="BE260" s="52"/>
      <c r="BF260" s="83">
        <v>1</v>
      </c>
    </row>
    <row r="261" spans="1:58" ht="16" x14ac:dyDescent="0.35">
      <c r="A261" s="41"/>
      <c r="B261" s="42"/>
      <c r="C261" s="42"/>
      <c r="D261" s="42"/>
      <c r="E261" s="42"/>
      <c r="F261" s="42"/>
      <c r="G261"/>
      <c r="H261" s="43"/>
      <c r="I261" s="43"/>
      <c r="J261" s="43"/>
      <c r="K261" s="43"/>
      <c r="L261" s="43"/>
      <c r="M261" s="42"/>
      <c r="N261" s="42"/>
      <c r="O261" s="42"/>
      <c r="P261" s="42"/>
      <c r="Q261" s="83">
        <v>0</v>
      </c>
      <c r="R261" s="42"/>
      <c r="S261" s="42"/>
      <c r="T261" s="42"/>
      <c r="U261" s="42"/>
      <c r="V261" s="42"/>
      <c r="W261" s="42"/>
      <c r="X261" s="42"/>
      <c r="Y261" s="43"/>
      <c r="Z261" s="42"/>
      <c r="AA261" s="42"/>
      <c r="AB261" s="44"/>
      <c r="AP261"/>
      <c r="AQ261" s="48"/>
      <c r="AR261" s="48"/>
      <c r="AS261"/>
      <c r="AT261" s="48"/>
      <c r="AU261" s="48"/>
      <c r="AV261"/>
      <c r="AW261" s="49"/>
      <c r="AX261" s="49"/>
      <c r="AY261" s="49"/>
      <c r="AZ261" s="49"/>
      <c r="BA261" s="49"/>
      <c r="BB261" s="48"/>
      <c r="BC261" s="48"/>
      <c r="BD261" s="48"/>
      <c r="BE261" s="48"/>
      <c r="BF261" s="83">
        <v>1</v>
      </c>
    </row>
    <row r="262" spans="1:58" ht="16" x14ac:dyDescent="0.35">
      <c r="A262" s="37"/>
      <c r="B262" s="38"/>
      <c r="C262" s="38"/>
      <c r="D262" s="38"/>
      <c r="E262" s="38"/>
      <c r="F262" s="38"/>
      <c r="G262"/>
      <c r="H262" s="39"/>
      <c r="I262" s="39"/>
      <c r="J262" s="39"/>
      <c r="K262" s="39"/>
      <c r="L262" s="39"/>
      <c r="M262" s="38"/>
      <c r="N262" s="38"/>
      <c r="O262" s="38"/>
      <c r="P262" s="38"/>
      <c r="Q262" s="83">
        <v>0</v>
      </c>
      <c r="R262" s="38"/>
      <c r="S262" s="38"/>
      <c r="T262" s="38"/>
      <c r="U262" s="38"/>
      <c r="V262" s="38"/>
      <c r="W262" s="38"/>
      <c r="X262" s="38"/>
      <c r="Y262" s="39"/>
      <c r="Z262" s="38"/>
      <c r="AA262" s="38"/>
      <c r="AB262" s="40"/>
      <c r="AP262"/>
      <c r="AQ262" s="52"/>
      <c r="AR262" s="52"/>
      <c r="AS262"/>
      <c r="AT262" s="52"/>
      <c r="AU262" s="52"/>
      <c r="AV262"/>
      <c r="AW262" s="53"/>
      <c r="AX262" s="53"/>
      <c r="AY262" s="53"/>
      <c r="AZ262" s="53"/>
      <c r="BA262" s="53"/>
      <c r="BB262" s="52"/>
      <c r="BC262" s="52"/>
      <c r="BD262" s="52"/>
      <c r="BE262" s="52"/>
      <c r="BF262" s="83">
        <v>1</v>
      </c>
    </row>
    <row r="263" spans="1:58" ht="16" x14ac:dyDescent="0.35">
      <c r="A263" s="41"/>
      <c r="B263" s="42"/>
      <c r="C263" s="42"/>
      <c r="D263" s="42"/>
      <c r="E263" s="42"/>
      <c r="F263" s="42"/>
      <c r="G263"/>
      <c r="H263" s="43"/>
      <c r="I263" s="43"/>
      <c r="J263" s="43"/>
      <c r="K263" s="43"/>
      <c r="L263" s="43"/>
      <c r="M263" s="42"/>
      <c r="N263" s="42"/>
      <c r="O263" s="42"/>
      <c r="P263" s="42"/>
      <c r="Q263" s="83">
        <v>0</v>
      </c>
      <c r="R263" s="42"/>
      <c r="S263" s="42"/>
      <c r="T263" s="42"/>
      <c r="U263" s="42"/>
      <c r="V263" s="42"/>
      <c r="W263" s="42"/>
      <c r="X263" s="42"/>
      <c r="Y263" s="43"/>
      <c r="Z263" s="42"/>
      <c r="AA263" s="42"/>
      <c r="AB263" s="44"/>
      <c r="AP263"/>
      <c r="AQ263" s="48"/>
      <c r="AR263" s="48"/>
      <c r="AS263"/>
      <c r="AT263" s="48"/>
      <c r="AU263" s="48"/>
      <c r="AV263"/>
      <c r="AW263" s="49"/>
      <c r="AX263" s="49"/>
      <c r="AY263" s="49"/>
      <c r="AZ263" s="49"/>
      <c r="BA263" s="49"/>
      <c r="BB263" s="48"/>
      <c r="BC263" s="48"/>
      <c r="BD263" s="48"/>
      <c r="BE263" s="48"/>
      <c r="BF263" s="83">
        <v>1</v>
      </c>
    </row>
    <row r="264" spans="1:58" ht="16" x14ac:dyDescent="0.35">
      <c r="A264" s="37"/>
      <c r="B264" s="38"/>
      <c r="C264" s="38"/>
      <c r="D264" s="38"/>
      <c r="E264" s="38"/>
      <c r="F264" s="38"/>
      <c r="G264"/>
      <c r="H264" s="39"/>
      <c r="I264" s="39"/>
      <c r="J264" s="39"/>
      <c r="K264" s="39"/>
      <c r="L264" s="39"/>
      <c r="M264" s="38"/>
      <c r="N264" s="38"/>
      <c r="O264" s="38"/>
      <c r="P264" s="38"/>
      <c r="Q264" s="83">
        <v>0</v>
      </c>
      <c r="R264" s="38"/>
      <c r="S264" s="38"/>
      <c r="T264" s="38"/>
      <c r="U264" s="38"/>
      <c r="V264" s="38"/>
      <c r="W264" s="38"/>
      <c r="X264" s="38"/>
      <c r="Y264" s="39"/>
      <c r="Z264" s="38"/>
      <c r="AA264" s="38"/>
      <c r="AB264" s="40"/>
      <c r="AP264"/>
      <c r="AQ264" s="52"/>
      <c r="AR264" s="52"/>
      <c r="AS264"/>
      <c r="AT264" s="52"/>
      <c r="AU264" s="52"/>
      <c r="AV264"/>
      <c r="AW264" s="53"/>
      <c r="AX264" s="53"/>
      <c r="AY264" s="53"/>
      <c r="AZ264" s="53"/>
      <c r="BA264" s="53"/>
      <c r="BB264" s="52"/>
      <c r="BC264" s="52"/>
      <c r="BD264" s="52"/>
      <c r="BE264" s="52"/>
      <c r="BF264" s="83">
        <v>1</v>
      </c>
    </row>
    <row r="265" spans="1:58" ht="16" x14ac:dyDescent="0.35">
      <c r="A265" s="41"/>
      <c r="B265" s="42"/>
      <c r="C265" s="42"/>
      <c r="D265" s="42"/>
      <c r="E265" s="42"/>
      <c r="F265" s="42"/>
      <c r="G265"/>
      <c r="H265" s="43"/>
      <c r="I265" s="43"/>
      <c r="J265" s="43"/>
      <c r="K265" s="43"/>
      <c r="L265" s="43"/>
      <c r="M265" s="42"/>
      <c r="N265" s="42"/>
      <c r="O265" s="42"/>
      <c r="P265" s="42"/>
      <c r="Q265" s="83">
        <v>0</v>
      </c>
      <c r="R265" s="42"/>
      <c r="S265" s="42"/>
      <c r="T265" s="42"/>
      <c r="U265" s="42"/>
      <c r="V265" s="42"/>
      <c r="W265" s="42"/>
      <c r="X265" s="42"/>
      <c r="Y265" s="43"/>
      <c r="Z265" s="42"/>
      <c r="AA265" s="42"/>
      <c r="AB265" s="44"/>
      <c r="AP265"/>
      <c r="AQ265" s="48"/>
      <c r="AR265" s="48"/>
      <c r="AS265"/>
      <c r="AT265" s="48"/>
      <c r="AU265" s="48"/>
      <c r="AV265"/>
      <c r="AW265" s="49"/>
      <c r="AX265" s="49"/>
      <c r="AY265" s="49"/>
      <c r="AZ265" s="49"/>
      <c r="BA265" s="49"/>
      <c r="BB265" s="48"/>
      <c r="BC265" s="48"/>
      <c r="BD265" s="48"/>
      <c r="BE265" s="48"/>
      <c r="BF265" s="83">
        <v>0</v>
      </c>
    </row>
    <row r="266" spans="1:58" ht="16" x14ac:dyDescent="0.35">
      <c r="A266" s="37"/>
      <c r="B266" s="38"/>
      <c r="C266" s="38"/>
      <c r="D266" s="38"/>
      <c r="E266" s="38"/>
      <c r="F266" s="38"/>
      <c r="G266"/>
      <c r="H266" s="39"/>
      <c r="I266" s="39"/>
      <c r="J266" s="39"/>
      <c r="K266" s="39"/>
      <c r="L266" s="39"/>
      <c r="M266" s="38"/>
      <c r="N266" s="38"/>
      <c r="O266" s="38"/>
      <c r="P266" s="38"/>
      <c r="Q266" s="83">
        <v>0</v>
      </c>
      <c r="R266" s="38"/>
      <c r="S266" s="38"/>
      <c r="T266" s="38"/>
      <c r="U266" s="38"/>
      <c r="V266" s="38"/>
      <c r="W266" s="38"/>
      <c r="X266" s="38"/>
      <c r="Y266" s="39"/>
      <c r="Z266" s="38"/>
      <c r="AA266" s="38"/>
      <c r="AB266" s="40"/>
      <c r="AP266"/>
      <c r="AQ266" s="52"/>
      <c r="AR266" s="52"/>
      <c r="AS266"/>
      <c r="AT266" s="52"/>
      <c r="AU266" s="52"/>
      <c r="AV266"/>
      <c r="AW266" s="53"/>
      <c r="AX266" s="53"/>
      <c r="AY266" s="53"/>
      <c r="AZ266" s="53"/>
      <c r="BA266" s="53"/>
      <c r="BB266" s="52"/>
      <c r="BC266" s="52"/>
      <c r="BD266" s="52"/>
      <c r="BE266" s="52"/>
      <c r="BF266" s="83">
        <v>0</v>
      </c>
    </row>
    <row r="267" spans="1:58" ht="16" x14ac:dyDescent="0.35">
      <c r="A267" s="41"/>
      <c r="B267" s="42"/>
      <c r="C267" s="42"/>
      <c r="D267" s="42"/>
      <c r="E267" s="42"/>
      <c r="F267" s="42"/>
      <c r="G267"/>
      <c r="H267" s="43"/>
      <c r="I267" s="43"/>
      <c r="J267" s="43"/>
      <c r="K267" s="43"/>
      <c r="L267" s="43"/>
      <c r="M267" s="42"/>
      <c r="N267" s="42"/>
      <c r="O267" s="42"/>
      <c r="P267" s="42"/>
      <c r="Q267" s="83">
        <v>0</v>
      </c>
      <c r="R267" s="42"/>
      <c r="S267" s="42"/>
      <c r="T267" s="42"/>
      <c r="U267" s="42"/>
      <c r="V267" s="42"/>
      <c r="W267" s="42"/>
      <c r="X267" s="42"/>
      <c r="Y267" s="43"/>
      <c r="Z267" s="42"/>
      <c r="AA267" s="42"/>
      <c r="AB267" s="44"/>
      <c r="AP267"/>
      <c r="AQ267" s="48"/>
      <c r="AR267" s="48"/>
      <c r="AS267"/>
      <c r="AT267" s="48"/>
      <c r="AU267" s="48"/>
      <c r="AV267"/>
      <c r="AW267" s="49"/>
      <c r="AX267" s="49"/>
      <c r="AY267" s="49"/>
      <c r="AZ267" s="49"/>
      <c r="BA267" s="49"/>
      <c r="BB267" s="48"/>
      <c r="BC267" s="48"/>
      <c r="BD267" s="48"/>
      <c r="BE267" s="48"/>
      <c r="BF267" s="83">
        <v>1</v>
      </c>
    </row>
    <row r="268" spans="1:58" ht="16" x14ac:dyDescent="0.35">
      <c r="A268" s="37"/>
      <c r="B268" s="38"/>
      <c r="C268" s="38"/>
      <c r="D268" s="38"/>
      <c r="E268" s="38"/>
      <c r="F268" s="38"/>
      <c r="G268"/>
      <c r="H268" s="39"/>
      <c r="I268" s="39"/>
      <c r="J268" s="39"/>
      <c r="K268" s="39"/>
      <c r="L268" s="39"/>
      <c r="M268" s="38"/>
      <c r="N268" s="38"/>
      <c r="O268" s="38"/>
      <c r="P268" s="38"/>
      <c r="Q268" s="83">
        <v>0</v>
      </c>
      <c r="R268" s="38"/>
      <c r="S268" s="38"/>
      <c r="T268" s="38"/>
      <c r="U268" s="38"/>
      <c r="V268" s="38"/>
      <c r="W268" s="38"/>
      <c r="X268" s="38"/>
      <c r="Y268" s="39"/>
      <c r="Z268" s="38"/>
      <c r="AA268" s="38"/>
      <c r="AB268" s="40"/>
      <c r="AP268"/>
      <c r="AQ268" s="52"/>
      <c r="AR268" s="52"/>
      <c r="AS268"/>
      <c r="AT268" s="52"/>
      <c r="AU268" s="52"/>
      <c r="AV268"/>
      <c r="AW268" s="53"/>
      <c r="AX268" s="53"/>
      <c r="AY268" s="53"/>
      <c r="AZ268" s="53"/>
      <c r="BA268" s="53"/>
      <c r="BB268" s="52"/>
      <c r="BC268" s="52"/>
      <c r="BD268" s="52"/>
      <c r="BE268" s="52"/>
      <c r="BF268" s="83">
        <v>1</v>
      </c>
    </row>
    <row r="269" spans="1:58" ht="16" x14ac:dyDescent="0.35">
      <c r="A269" s="41"/>
      <c r="B269" s="42"/>
      <c r="C269" s="42"/>
      <c r="D269" s="42"/>
      <c r="E269" s="42"/>
      <c r="F269" s="42"/>
      <c r="G269"/>
      <c r="H269" s="43"/>
      <c r="I269" s="43"/>
      <c r="J269" s="43"/>
      <c r="K269" s="43"/>
      <c r="L269" s="43"/>
      <c r="M269" s="42"/>
      <c r="N269" s="42"/>
      <c r="O269" s="42"/>
      <c r="P269" s="42"/>
      <c r="Q269" s="83">
        <v>0</v>
      </c>
      <c r="R269" s="42"/>
      <c r="S269" s="42"/>
      <c r="T269" s="42"/>
      <c r="U269" s="42"/>
      <c r="V269" s="42"/>
      <c r="W269" s="42"/>
      <c r="X269" s="42"/>
      <c r="Y269" s="43"/>
      <c r="Z269" s="42"/>
      <c r="AA269" s="42"/>
      <c r="AB269" s="44"/>
      <c r="AP269"/>
      <c r="AQ269" s="48"/>
      <c r="AR269" s="48"/>
      <c r="AS269"/>
      <c r="AT269" s="48"/>
      <c r="AU269" s="48"/>
      <c r="AV269"/>
      <c r="AW269" s="49"/>
      <c r="AX269" s="49"/>
      <c r="AY269" s="49"/>
      <c r="AZ269" s="49"/>
      <c r="BA269" s="49"/>
      <c r="BB269" s="48"/>
      <c r="BC269" s="48"/>
      <c r="BD269" s="48"/>
      <c r="BE269" s="48"/>
      <c r="BF269" s="83">
        <v>1</v>
      </c>
    </row>
    <row r="270" spans="1:58" ht="16" x14ac:dyDescent="0.35">
      <c r="A270" s="37"/>
      <c r="B270" s="38"/>
      <c r="C270" s="38"/>
      <c r="D270" s="38"/>
      <c r="E270" s="38"/>
      <c r="F270" s="38"/>
      <c r="G270"/>
      <c r="H270" s="39"/>
      <c r="I270" s="39"/>
      <c r="J270" s="39"/>
      <c r="K270" s="39"/>
      <c r="L270" s="39"/>
      <c r="M270" s="38"/>
      <c r="N270" s="38"/>
      <c r="O270" s="38"/>
      <c r="P270" s="38"/>
      <c r="Q270" s="83">
        <v>0</v>
      </c>
      <c r="R270" s="38"/>
      <c r="S270" s="38"/>
      <c r="T270" s="38"/>
      <c r="U270" s="38"/>
      <c r="V270" s="38"/>
      <c r="W270" s="38"/>
      <c r="X270" s="38"/>
      <c r="Y270" s="39"/>
      <c r="Z270" s="38"/>
      <c r="AA270" s="38"/>
      <c r="AB270" s="40"/>
      <c r="AP270"/>
      <c r="AQ270" s="52"/>
      <c r="AR270" s="52"/>
      <c r="AS270"/>
      <c r="AT270" s="52"/>
      <c r="AU270" s="52"/>
      <c r="AV270"/>
      <c r="AW270" s="53"/>
      <c r="AX270" s="53"/>
      <c r="AY270" s="53"/>
      <c r="AZ270" s="53"/>
      <c r="BA270" s="53"/>
      <c r="BB270" s="52"/>
      <c r="BC270" s="52"/>
      <c r="BD270" s="52"/>
      <c r="BE270" s="52"/>
      <c r="BF270" s="83">
        <v>1</v>
      </c>
    </row>
    <row r="271" spans="1:58" ht="16" x14ac:dyDescent="0.35">
      <c r="A271" s="41"/>
      <c r="B271" s="42"/>
      <c r="C271" s="42"/>
      <c r="D271" s="42"/>
      <c r="E271" s="42"/>
      <c r="F271" s="42"/>
      <c r="G271"/>
      <c r="H271" s="43"/>
      <c r="I271" s="43"/>
      <c r="J271" s="43"/>
      <c r="K271" s="43"/>
      <c r="L271" s="43"/>
      <c r="M271" s="42"/>
      <c r="N271" s="42"/>
      <c r="O271" s="42"/>
      <c r="P271" s="42"/>
      <c r="Q271" s="83">
        <v>1</v>
      </c>
      <c r="R271" s="42"/>
      <c r="S271" s="42"/>
      <c r="T271" s="42"/>
      <c r="U271" s="42"/>
      <c r="V271" s="42"/>
      <c r="W271" s="42"/>
      <c r="X271" s="42"/>
      <c r="Y271" s="43"/>
      <c r="Z271" s="42"/>
      <c r="AA271" s="42"/>
      <c r="AB271" s="44"/>
      <c r="AP271"/>
      <c r="AQ271" s="48"/>
      <c r="AR271" s="48"/>
      <c r="AS271"/>
      <c r="AT271" s="48"/>
      <c r="AU271" s="48"/>
      <c r="AV271"/>
      <c r="AW271" s="49"/>
      <c r="AX271" s="49"/>
      <c r="AY271" s="49"/>
      <c r="AZ271" s="49"/>
      <c r="BA271" s="49"/>
      <c r="BB271" s="48"/>
      <c r="BC271" s="48"/>
      <c r="BD271" s="48"/>
      <c r="BE271" s="48"/>
      <c r="BF271" s="83">
        <v>1</v>
      </c>
    </row>
    <row r="272" spans="1:58" ht="16" x14ac:dyDescent="0.35">
      <c r="A272" s="37"/>
      <c r="B272" s="38"/>
      <c r="C272" s="38"/>
      <c r="D272" s="38"/>
      <c r="E272" s="38"/>
      <c r="F272" s="38"/>
      <c r="G272"/>
      <c r="H272" s="39"/>
      <c r="I272" s="39"/>
      <c r="J272" s="39"/>
      <c r="K272" s="39"/>
      <c r="L272" s="39"/>
      <c r="M272" s="38"/>
      <c r="N272" s="38"/>
      <c r="O272" s="38"/>
      <c r="P272" s="38"/>
      <c r="Q272" s="83">
        <v>0</v>
      </c>
      <c r="R272" s="38"/>
      <c r="S272" s="38"/>
      <c r="T272" s="38"/>
      <c r="U272" s="38"/>
      <c r="V272" s="38"/>
      <c r="W272" s="38"/>
      <c r="X272" s="38"/>
      <c r="Y272" s="39"/>
      <c r="Z272" s="38"/>
      <c r="AA272" s="38"/>
      <c r="AB272" s="40"/>
      <c r="AP272"/>
      <c r="AQ272" s="52"/>
      <c r="AR272" s="52"/>
      <c r="AS272"/>
      <c r="AT272" s="52"/>
      <c r="AU272" s="52"/>
      <c r="AV272"/>
      <c r="AW272" s="53"/>
      <c r="AX272" s="53"/>
      <c r="AY272" s="53"/>
      <c r="AZ272" s="53"/>
      <c r="BA272" s="53"/>
      <c r="BB272" s="52"/>
      <c r="BC272" s="52"/>
      <c r="BD272" s="52"/>
      <c r="BE272" s="52"/>
      <c r="BF272" s="83">
        <v>1</v>
      </c>
    </row>
    <row r="273" spans="1:58" ht="16" x14ac:dyDescent="0.35">
      <c r="A273" s="41"/>
      <c r="B273" s="42"/>
      <c r="C273" s="42"/>
      <c r="D273" s="42"/>
      <c r="E273" s="42"/>
      <c r="F273" s="42"/>
      <c r="G273"/>
      <c r="H273" s="43"/>
      <c r="I273" s="43"/>
      <c r="J273" s="43"/>
      <c r="K273" s="43"/>
      <c r="L273" s="43"/>
      <c r="M273" s="42"/>
      <c r="N273" s="42"/>
      <c r="O273" s="42"/>
      <c r="P273" s="42"/>
      <c r="Q273" s="83">
        <v>0</v>
      </c>
      <c r="R273" s="42"/>
      <c r="S273" s="42"/>
      <c r="T273" s="42"/>
      <c r="U273" s="42"/>
      <c r="V273" s="42"/>
      <c r="W273" s="42"/>
      <c r="X273" s="42"/>
      <c r="Y273" s="43"/>
      <c r="Z273" s="42"/>
      <c r="AA273" s="42"/>
      <c r="AB273" s="44"/>
      <c r="AP273"/>
      <c r="AQ273" s="48"/>
      <c r="AR273" s="48"/>
      <c r="AS273"/>
      <c r="AT273" s="48"/>
      <c r="AU273" s="48"/>
      <c r="AV273"/>
      <c r="AW273" s="49"/>
      <c r="AX273" s="49"/>
      <c r="AY273" s="49"/>
      <c r="AZ273" s="49"/>
      <c r="BA273" s="49"/>
      <c r="BB273" s="48"/>
      <c r="BC273" s="48"/>
      <c r="BD273" s="48"/>
      <c r="BE273" s="48"/>
      <c r="BF273" s="83">
        <v>1</v>
      </c>
    </row>
    <row r="274" spans="1:58" ht="16" x14ac:dyDescent="0.35">
      <c r="A274" s="37"/>
      <c r="B274" s="38"/>
      <c r="C274" s="38"/>
      <c r="D274" s="38"/>
      <c r="E274" s="38"/>
      <c r="F274" s="38"/>
      <c r="G274"/>
      <c r="H274" s="39"/>
      <c r="I274" s="39"/>
      <c r="J274" s="39"/>
      <c r="K274" s="39"/>
      <c r="L274" s="39"/>
      <c r="M274" s="38"/>
      <c r="N274" s="38"/>
      <c r="O274" s="38"/>
      <c r="P274" s="38"/>
      <c r="Q274" s="83">
        <v>0</v>
      </c>
      <c r="R274" s="38"/>
      <c r="S274" s="38"/>
      <c r="T274" s="38"/>
      <c r="U274" s="38"/>
      <c r="V274" s="38"/>
      <c r="W274" s="38"/>
      <c r="X274" s="38"/>
      <c r="Y274" s="39"/>
      <c r="Z274" s="38"/>
      <c r="AA274" s="38"/>
      <c r="AB274" s="40"/>
      <c r="AP274"/>
      <c r="AQ274" s="52"/>
      <c r="AR274" s="52"/>
      <c r="AS274"/>
      <c r="AT274" s="52"/>
      <c r="AU274" s="52"/>
      <c r="AV274"/>
      <c r="AW274" s="53"/>
      <c r="AX274" s="53"/>
      <c r="AY274" s="53"/>
      <c r="AZ274" s="53"/>
      <c r="BA274" s="53"/>
      <c r="BB274" s="52"/>
      <c r="BC274" s="52"/>
      <c r="BD274" s="52"/>
      <c r="BE274" s="52"/>
      <c r="BF274" s="83">
        <v>1</v>
      </c>
    </row>
    <row r="275" spans="1:58" ht="16" x14ac:dyDescent="0.35">
      <c r="A275" s="41"/>
      <c r="B275" s="42"/>
      <c r="C275" s="42"/>
      <c r="D275" s="42"/>
      <c r="E275" s="42"/>
      <c r="F275" s="42"/>
      <c r="G275"/>
      <c r="H275" s="43"/>
      <c r="I275" s="43"/>
      <c r="J275" s="43"/>
      <c r="K275" s="43"/>
      <c r="L275" s="43"/>
      <c r="M275" s="42"/>
      <c r="N275" s="42"/>
      <c r="O275" s="42"/>
      <c r="P275" s="42"/>
      <c r="Q275" s="83">
        <v>0</v>
      </c>
      <c r="R275" s="42"/>
      <c r="S275" s="42"/>
      <c r="T275" s="42"/>
      <c r="U275" s="42"/>
      <c r="V275" s="42"/>
      <c r="W275" s="42"/>
      <c r="X275" s="42"/>
      <c r="Y275" s="43"/>
      <c r="Z275" s="42"/>
      <c r="AA275" s="42"/>
      <c r="AB275" s="44"/>
      <c r="AP275"/>
      <c r="AQ275" s="48"/>
      <c r="AR275" s="48"/>
      <c r="AS275"/>
      <c r="AT275" s="48"/>
      <c r="AU275" s="48"/>
      <c r="AV275"/>
      <c r="AW275" s="49"/>
      <c r="AX275" s="49"/>
      <c r="AY275" s="49"/>
      <c r="AZ275" s="49"/>
      <c r="BA275" s="49"/>
      <c r="BB275" s="48"/>
      <c r="BC275" s="48"/>
      <c r="BD275" s="48"/>
      <c r="BE275" s="48"/>
      <c r="BF275" s="83">
        <v>0</v>
      </c>
    </row>
    <row r="276" spans="1:58" ht="16" x14ac:dyDescent="0.35">
      <c r="A276" s="37"/>
      <c r="B276" s="38"/>
      <c r="C276" s="38"/>
      <c r="D276" s="38"/>
      <c r="E276" s="38"/>
      <c r="F276" s="38"/>
      <c r="G276"/>
      <c r="H276" s="39"/>
      <c r="I276" s="39"/>
      <c r="J276" s="39"/>
      <c r="K276" s="39"/>
      <c r="L276" s="39"/>
      <c r="M276" s="38"/>
      <c r="N276" s="38"/>
      <c r="O276" s="38"/>
      <c r="P276" s="38"/>
      <c r="Q276" s="83">
        <v>0</v>
      </c>
      <c r="R276" s="38"/>
      <c r="S276" s="38"/>
      <c r="T276" s="38"/>
      <c r="U276" s="38"/>
      <c r="V276" s="38"/>
      <c r="W276" s="38"/>
      <c r="X276" s="38"/>
      <c r="Y276" s="39"/>
      <c r="Z276" s="38"/>
      <c r="AA276" s="38"/>
      <c r="AB276" s="40"/>
      <c r="AP276"/>
      <c r="AQ276" s="52"/>
      <c r="AR276" s="52"/>
      <c r="AS276"/>
      <c r="AT276" s="52"/>
      <c r="AU276" s="52"/>
      <c r="AV276"/>
      <c r="AW276" s="53"/>
      <c r="AX276" s="53"/>
      <c r="AY276" s="53"/>
      <c r="AZ276" s="53"/>
      <c r="BA276" s="53"/>
      <c r="BB276" s="52"/>
      <c r="BC276" s="52"/>
      <c r="BD276" s="52"/>
      <c r="BE276" s="52"/>
      <c r="BF276" s="83">
        <v>0</v>
      </c>
    </row>
    <row r="277" spans="1:58" ht="16" x14ac:dyDescent="0.35">
      <c r="A277" s="41"/>
      <c r="B277" s="42"/>
      <c r="C277" s="42"/>
      <c r="D277" s="42"/>
      <c r="E277" s="42"/>
      <c r="F277" s="42"/>
      <c r="G277"/>
      <c r="H277" s="43"/>
      <c r="I277" s="43"/>
      <c r="J277" s="43"/>
      <c r="K277" s="43"/>
      <c r="L277" s="43"/>
      <c r="M277" s="42"/>
      <c r="N277" s="42"/>
      <c r="O277" s="42"/>
      <c r="P277" s="42"/>
      <c r="Q277" s="83">
        <v>0</v>
      </c>
      <c r="R277" s="42"/>
      <c r="S277" s="42"/>
      <c r="T277" s="42"/>
      <c r="U277" s="42"/>
      <c r="V277" s="42"/>
      <c r="W277" s="42"/>
      <c r="X277" s="42"/>
      <c r="Y277" s="43"/>
      <c r="Z277" s="42"/>
      <c r="AA277" s="42"/>
      <c r="AB277" s="44"/>
      <c r="AP277"/>
      <c r="AQ277" s="48"/>
      <c r="AR277" s="48"/>
      <c r="AS277"/>
      <c r="AT277" s="48"/>
      <c r="AU277" s="48"/>
      <c r="AV277"/>
      <c r="AW277" s="49"/>
      <c r="AX277" s="49"/>
      <c r="AY277" s="49"/>
      <c r="AZ277" s="49"/>
      <c r="BA277" s="49"/>
      <c r="BB277" s="48"/>
      <c r="BC277" s="48"/>
      <c r="BD277" s="48"/>
      <c r="BE277" s="48"/>
      <c r="BF277" s="83">
        <v>0</v>
      </c>
    </row>
    <row r="278" spans="1:58" ht="16" x14ac:dyDescent="0.35">
      <c r="A278" s="37"/>
      <c r="B278" s="38"/>
      <c r="C278" s="38"/>
      <c r="D278" s="38"/>
      <c r="E278" s="38"/>
      <c r="F278" s="38"/>
      <c r="G278"/>
      <c r="H278" s="39"/>
      <c r="I278" s="39"/>
      <c r="J278" s="39"/>
      <c r="K278" s="39"/>
      <c r="L278" s="39"/>
      <c r="M278" s="38"/>
      <c r="N278" s="38"/>
      <c r="O278" s="38"/>
      <c r="P278" s="38"/>
      <c r="Q278" s="83">
        <v>0</v>
      </c>
      <c r="R278" s="38"/>
      <c r="S278" s="38"/>
      <c r="T278" s="38"/>
      <c r="U278" s="38"/>
      <c r="V278" s="38"/>
      <c r="W278" s="38"/>
      <c r="X278" s="38"/>
      <c r="Y278" s="39"/>
      <c r="Z278" s="38"/>
      <c r="AA278" s="38"/>
      <c r="AB278" s="40"/>
      <c r="AP278"/>
      <c r="AQ278" s="52"/>
      <c r="AR278" s="52"/>
      <c r="AS278"/>
      <c r="AT278" s="52"/>
      <c r="AU278" s="52"/>
      <c r="AV278"/>
      <c r="AW278" s="53"/>
      <c r="AX278" s="53"/>
      <c r="AY278" s="53"/>
      <c r="AZ278" s="53"/>
      <c r="BA278" s="53"/>
      <c r="BB278" s="52"/>
      <c r="BC278" s="52"/>
      <c r="BD278" s="52"/>
      <c r="BE278" s="52"/>
      <c r="BF278" s="83">
        <v>1</v>
      </c>
    </row>
    <row r="279" spans="1:58" ht="16" x14ac:dyDescent="0.35">
      <c r="A279" s="41"/>
      <c r="B279" s="42"/>
      <c r="C279" s="42"/>
      <c r="D279" s="42"/>
      <c r="E279" s="42"/>
      <c r="F279" s="42"/>
      <c r="G279"/>
      <c r="H279" s="43"/>
      <c r="I279" s="43"/>
      <c r="J279" s="43"/>
      <c r="K279" s="43"/>
      <c r="L279" s="43"/>
      <c r="M279" s="42"/>
      <c r="N279" s="42"/>
      <c r="O279" s="42"/>
      <c r="P279" s="42"/>
      <c r="Q279" s="83">
        <v>0</v>
      </c>
      <c r="R279" s="42"/>
      <c r="S279" s="42"/>
      <c r="T279" s="42"/>
      <c r="U279" s="42"/>
      <c r="V279" s="42"/>
      <c r="W279" s="42"/>
      <c r="X279" s="42"/>
      <c r="Y279" s="43"/>
      <c r="Z279" s="42"/>
      <c r="AA279" s="42"/>
      <c r="AB279" s="44"/>
      <c r="AP279"/>
      <c r="AQ279" s="48"/>
      <c r="AR279" s="48"/>
      <c r="AS279"/>
      <c r="AT279" s="48"/>
      <c r="AU279" s="48"/>
      <c r="AV279"/>
      <c r="AW279" s="49"/>
      <c r="AX279" s="49"/>
      <c r="AY279" s="49"/>
      <c r="AZ279" s="49"/>
      <c r="BA279" s="49"/>
      <c r="BB279" s="48"/>
      <c r="BC279" s="48"/>
      <c r="BD279" s="48"/>
      <c r="BE279" s="48"/>
      <c r="BF279" s="83">
        <v>1</v>
      </c>
    </row>
    <row r="280" spans="1:58" ht="16" x14ac:dyDescent="0.35">
      <c r="A280" s="37"/>
      <c r="B280" s="38"/>
      <c r="C280" s="38"/>
      <c r="D280" s="38"/>
      <c r="E280" s="38"/>
      <c r="F280" s="38"/>
      <c r="G280"/>
      <c r="H280" s="39"/>
      <c r="I280" s="39"/>
      <c r="J280" s="39"/>
      <c r="K280" s="39"/>
      <c r="L280" s="39"/>
      <c r="M280" s="38"/>
      <c r="N280" s="38"/>
      <c r="O280" s="38"/>
      <c r="P280" s="38"/>
      <c r="Q280" s="83">
        <v>0</v>
      </c>
      <c r="R280" s="38"/>
      <c r="S280" s="38"/>
      <c r="T280" s="38"/>
      <c r="U280" s="38"/>
      <c r="V280" s="38"/>
      <c r="W280" s="38"/>
      <c r="X280" s="38"/>
      <c r="Y280" s="39"/>
      <c r="Z280" s="38"/>
      <c r="AA280" s="38"/>
      <c r="AB280" s="40"/>
      <c r="AP280"/>
      <c r="AQ280" s="52"/>
      <c r="AR280" s="52"/>
      <c r="AS280"/>
      <c r="AT280" s="52"/>
      <c r="AU280" s="52"/>
      <c r="AV280"/>
      <c r="AW280" s="53"/>
      <c r="AX280" s="53"/>
      <c r="AY280" s="53"/>
      <c r="AZ280" s="53"/>
      <c r="BA280" s="53"/>
      <c r="BB280" s="52"/>
      <c r="BC280" s="52"/>
      <c r="BD280" s="52"/>
      <c r="BE280" s="52"/>
      <c r="BF280" s="83">
        <v>0</v>
      </c>
    </row>
    <row r="281" spans="1:58" ht="16" x14ac:dyDescent="0.35">
      <c r="A281" s="41"/>
      <c r="B281" s="42"/>
      <c r="C281" s="42"/>
      <c r="D281" s="42"/>
      <c r="E281" s="42"/>
      <c r="F281" s="42"/>
      <c r="G281"/>
      <c r="H281" s="43"/>
      <c r="I281" s="43"/>
      <c r="J281" s="43"/>
      <c r="K281" s="43"/>
      <c r="L281" s="43"/>
      <c r="M281" s="42"/>
      <c r="N281" s="42"/>
      <c r="O281" s="42"/>
      <c r="P281" s="42"/>
      <c r="Q281" s="83">
        <v>0</v>
      </c>
      <c r="R281" s="42"/>
      <c r="S281" s="42"/>
      <c r="T281" s="42"/>
      <c r="U281" s="42"/>
      <c r="V281" s="42"/>
      <c r="W281" s="42"/>
      <c r="X281" s="42"/>
      <c r="Y281" s="43"/>
      <c r="Z281" s="42"/>
      <c r="AA281" s="42"/>
      <c r="AB281" s="44"/>
      <c r="AP281"/>
      <c r="AQ281" s="48"/>
      <c r="AR281" s="48"/>
      <c r="AS281"/>
      <c r="AT281" s="48"/>
      <c r="AU281" s="48"/>
      <c r="AV281"/>
      <c r="AW281" s="49"/>
      <c r="AX281" s="49"/>
      <c r="AY281" s="49"/>
      <c r="AZ281" s="49"/>
      <c r="BA281" s="49"/>
      <c r="BB281" s="48"/>
      <c r="BC281" s="48"/>
      <c r="BD281" s="48"/>
      <c r="BE281" s="48"/>
      <c r="BF281" s="83">
        <v>0</v>
      </c>
    </row>
    <row r="282" spans="1:58" ht="16" x14ac:dyDescent="0.35">
      <c r="A282" s="37"/>
      <c r="B282" s="38"/>
      <c r="C282" s="38"/>
      <c r="D282" s="38"/>
      <c r="E282" s="38"/>
      <c r="F282" s="38"/>
      <c r="G282"/>
      <c r="H282" s="39"/>
      <c r="I282" s="39"/>
      <c r="J282" s="39"/>
      <c r="K282" s="39"/>
      <c r="L282" s="39"/>
      <c r="M282" s="38"/>
      <c r="N282" s="38"/>
      <c r="O282" s="38"/>
      <c r="P282" s="38"/>
      <c r="Q282" s="83">
        <v>0</v>
      </c>
      <c r="R282" s="38"/>
      <c r="S282" s="38"/>
      <c r="T282" s="38"/>
      <c r="U282" s="38"/>
      <c r="V282" s="38"/>
      <c r="W282" s="38"/>
      <c r="X282" s="38"/>
      <c r="Y282" s="39"/>
      <c r="Z282" s="38"/>
      <c r="AA282" s="38"/>
      <c r="AB282" s="40"/>
      <c r="AP282"/>
      <c r="AQ282" s="52"/>
      <c r="AR282" s="52"/>
      <c r="AS282"/>
      <c r="AT282" s="52"/>
      <c r="AU282" s="52"/>
      <c r="AV282"/>
      <c r="AW282" s="53"/>
      <c r="AX282" s="53"/>
      <c r="AY282" s="53"/>
      <c r="AZ282" s="53"/>
      <c r="BA282" s="53"/>
      <c r="BB282" s="52"/>
      <c r="BC282" s="52"/>
      <c r="BD282" s="52"/>
      <c r="BE282" s="52"/>
      <c r="BF282" s="83">
        <v>0</v>
      </c>
    </row>
    <row r="283" spans="1:58" ht="16" x14ac:dyDescent="0.35">
      <c r="A283" s="41"/>
      <c r="B283" s="42"/>
      <c r="C283" s="42"/>
      <c r="D283" s="42"/>
      <c r="E283" s="42"/>
      <c r="F283" s="42"/>
      <c r="G283"/>
      <c r="H283" s="43"/>
      <c r="I283" s="43"/>
      <c r="J283" s="43"/>
      <c r="K283" s="43"/>
      <c r="L283" s="43"/>
      <c r="M283" s="42"/>
      <c r="N283" s="42"/>
      <c r="O283" s="42"/>
      <c r="P283" s="42"/>
      <c r="Q283" s="83">
        <v>0</v>
      </c>
      <c r="R283" s="42"/>
      <c r="S283" s="42"/>
      <c r="T283" s="42"/>
      <c r="U283" s="42"/>
      <c r="V283" s="42"/>
      <c r="W283" s="42"/>
      <c r="X283" s="42"/>
      <c r="Y283" s="43"/>
      <c r="Z283" s="42"/>
      <c r="AA283" s="42"/>
      <c r="AB283" s="44"/>
      <c r="AP283"/>
      <c r="AQ283" s="48"/>
      <c r="AR283" s="48"/>
      <c r="AS283"/>
      <c r="AT283" s="48"/>
      <c r="AU283" s="48"/>
      <c r="AV283"/>
      <c r="AW283" s="49"/>
      <c r="AX283" s="49"/>
      <c r="AY283" s="49"/>
      <c r="AZ283" s="49"/>
      <c r="BA283" s="49"/>
      <c r="BB283" s="48"/>
      <c r="BC283" s="48"/>
      <c r="BD283" s="48"/>
      <c r="BE283" s="48"/>
      <c r="BF283" s="83">
        <v>0</v>
      </c>
    </row>
    <row r="284" spans="1:58" ht="16" x14ac:dyDescent="0.35">
      <c r="A284" s="37"/>
      <c r="B284" s="38"/>
      <c r="C284" s="38"/>
      <c r="D284" s="38"/>
      <c r="E284" s="38"/>
      <c r="F284" s="38"/>
      <c r="G284"/>
      <c r="H284" s="39"/>
      <c r="I284" s="39"/>
      <c r="J284" s="39"/>
      <c r="K284" s="39"/>
      <c r="L284" s="39"/>
      <c r="M284" s="38"/>
      <c r="N284" s="38"/>
      <c r="O284" s="38"/>
      <c r="P284" s="38"/>
      <c r="Q284" s="83">
        <v>0</v>
      </c>
      <c r="R284" s="38"/>
      <c r="S284" s="38"/>
      <c r="T284" s="38"/>
      <c r="U284" s="38"/>
      <c r="V284" s="38"/>
      <c r="W284" s="38"/>
      <c r="X284" s="38"/>
      <c r="Y284" s="39"/>
      <c r="Z284" s="38"/>
      <c r="AA284" s="38"/>
      <c r="AB284" s="40"/>
      <c r="AP284"/>
      <c r="AQ284" s="52"/>
      <c r="AR284" s="52"/>
      <c r="AS284"/>
      <c r="AT284" s="52"/>
      <c r="AU284" s="52"/>
      <c r="AV284"/>
      <c r="AW284" s="53"/>
      <c r="AX284" s="53"/>
      <c r="AY284" s="53"/>
      <c r="AZ284" s="53"/>
      <c r="BA284" s="53"/>
      <c r="BB284" s="52"/>
      <c r="BC284" s="52"/>
      <c r="BD284" s="52"/>
      <c r="BE284" s="52"/>
      <c r="BF284" s="83">
        <v>1</v>
      </c>
    </row>
    <row r="285" spans="1:58" ht="16" x14ac:dyDescent="0.35">
      <c r="A285" s="41"/>
      <c r="B285" s="42"/>
      <c r="C285" s="42"/>
      <c r="D285" s="42"/>
      <c r="E285" s="42"/>
      <c r="F285" s="42"/>
      <c r="G285"/>
      <c r="H285" s="43"/>
      <c r="I285" s="43"/>
      <c r="J285" s="43"/>
      <c r="K285" s="43"/>
      <c r="L285" s="43"/>
      <c r="M285" s="42"/>
      <c r="N285" s="42"/>
      <c r="O285" s="42"/>
      <c r="P285" s="42"/>
      <c r="Q285" s="83">
        <v>3</v>
      </c>
      <c r="R285" s="42"/>
      <c r="S285" s="42"/>
      <c r="T285" s="42"/>
      <c r="U285" s="42"/>
      <c r="V285" s="42"/>
      <c r="W285" s="42"/>
      <c r="X285" s="42"/>
      <c r="Y285" s="43"/>
      <c r="Z285" s="42"/>
      <c r="AA285" s="42"/>
      <c r="AB285" s="44"/>
      <c r="AP285"/>
      <c r="AQ285" s="48"/>
      <c r="AR285" s="48"/>
      <c r="AS285"/>
      <c r="AT285" s="48"/>
      <c r="AU285" s="48"/>
      <c r="AV285"/>
      <c r="AW285" s="49"/>
      <c r="AX285" s="49"/>
      <c r="AY285" s="49"/>
      <c r="AZ285" s="49"/>
      <c r="BA285" s="49"/>
      <c r="BB285" s="48"/>
      <c r="BC285" s="48"/>
      <c r="BD285" s="48"/>
      <c r="BE285" s="48"/>
      <c r="BF285" s="83">
        <v>0</v>
      </c>
    </row>
    <row r="286" spans="1:58" ht="16" x14ac:dyDescent="0.35">
      <c r="A286" s="37"/>
      <c r="B286" s="38"/>
      <c r="C286" s="38"/>
      <c r="D286" s="38"/>
      <c r="E286" s="38"/>
      <c r="F286" s="38"/>
      <c r="G286"/>
      <c r="H286" s="39"/>
      <c r="I286" s="39"/>
      <c r="J286" s="39"/>
      <c r="K286" s="39"/>
      <c r="L286" s="39"/>
      <c r="M286" s="38"/>
      <c r="N286" s="38"/>
      <c r="O286" s="38"/>
      <c r="P286" s="38"/>
      <c r="Q286" s="83">
        <v>3</v>
      </c>
      <c r="R286" s="38"/>
      <c r="S286" s="38"/>
      <c r="T286" s="38"/>
      <c r="U286" s="38"/>
      <c r="V286" s="38"/>
      <c r="W286" s="38"/>
      <c r="X286" s="38"/>
      <c r="Y286" s="39"/>
      <c r="Z286" s="38"/>
      <c r="AA286" s="38"/>
      <c r="AB286" s="40"/>
      <c r="AP286"/>
      <c r="AQ286" s="52"/>
      <c r="AR286" s="52"/>
      <c r="AS286"/>
      <c r="AT286" s="52"/>
      <c r="AU286" s="52"/>
      <c r="AV286"/>
      <c r="AW286" s="53"/>
      <c r="AX286" s="53"/>
      <c r="AY286" s="53"/>
      <c r="AZ286" s="53"/>
      <c r="BA286" s="53"/>
      <c r="BB286" s="52"/>
      <c r="BC286" s="52"/>
      <c r="BD286" s="52"/>
      <c r="BE286" s="52"/>
      <c r="BF286" s="83">
        <v>1</v>
      </c>
    </row>
    <row r="287" spans="1:58" ht="16" x14ac:dyDescent="0.35">
      <c r="A287" s="41"/>
      <c r="B287" s="42"/>
      <c r="C287" s="42"/>
      <c r="D287" s="42"/>
      <c r="E287" s="42"/>
      <c r="F287" s="42"/>
      <c r="G287"/>
      <c r="H287" s="43"/>
      <c r="I287" s="43"/>
      <c r="J287" s="43"/>
      <c r="K287" s="43"/>
      <c r="L287" s="43"/>
      <c r="M287" s="42"/>
      <c r="N287" s="42"/>
      <c r="O287" s="42"/>
      <c r="P287" s="42"/>
      <c r="Q287" s="83">
        <v>3</v>
      </c>
      <c r="R287" s="42"/>
      <c r="S287" s="42"/>
      <c r="T287" s="42"/>
      <c r="U287" s="42"/>
      <c r="V287" s="42"/>
      <c r="W287" s="42"/>
      <c r="X287" s="42"/>
      <c r="Y287" s="43"/>
      <c r="Z287" s="42"/>
      <c r="AA287" s="42"/>
      <c r="AB287" s="44"/>
      <c r="AP287"/>
      <c r="AQ287" s="48"/>
      <c r="AR287" s="48"/>
      <c r="AS287"/>
      <c r="AT287" s="48"/>
      <c r="AU287" s="48"/>
      <c r="AV287"/>
      <c r="AW287" s="49"/>
      <c r="AX287" s="49"/>
      <c r="AY287" s="49"/>
      <c r="AZ287" s="49"/>
      <c r="BA287" s="49"/>
      <c r="BB287" s="48"/>
      <c r="BC287" s="48"/>
      <c r="BD287" s="48"/>
      <c r="BE287" s="48"/>
      <c r="BF287" s="83">
        <v>1</v>
      </c>
    </row>
    <row r="288" spans="1:58" ht="16" x14ac:dyDescent="0.35">
      <c r="A288" s="37"/>
      <c r="B288" s="38"/>
      <c r="C288" s="38"/>
      <c r="D288" s="38"/>
      <c r="E288" s="38"/>
      <c r="F288" s="38"/>
      <c r="G288"/>
      <c r="H288" s="39"/>
      <c r="I288" s="39"/>
      <c r="J288" s="39"/>
      <c r="K288" s="39"/>
      <c r="L288" s="39"/>
      <c r="M288" s="38"/>
      <c r="N288" s="38"/>
      <c r="O288" s="38"/>
      <c r="P288" s="38"/>
      <c r="Q288" s="83">
        <v>3</v>
      </c>
      <c r="R288" s="38"/>
      <c r="S288" s="38"/>
      <c r="T288" s="38"/>
      <c r="U288" s="38"/>
      <c r="V288" s="38"/>
      <c r="W288" s="38"/>
      <c r="X288" s="38"/>
      <c r="Y288" s="39"/>
      <c r="Z288" s="38"/>
      <c r="AA288" s="38"/>
      <c r="AB288" s="40"/>
      <c r="AP288"/>
      <c r="AQ288" s="52"/>
      <c r="AR288" s="52"/>
      <c r="AS288"/>
      <c r="AT288" s="52"/>
      <c r="AU288" s="52"/>
      <c r="AV288"/>
      <c r="AW288" s="53"/>
      <c r="AX288" s="53"/>
      <c r="AY288" s="53"/>
      <c r="AZ288" s="53"/>
      <c r="BA288" s="53"/>
      <c r="BB288" s="52"/>
      <c r="BC288" s="52"/>
      <c r="BD288" s="52"/>
      <c r="BE288" s="52"/>
      <c r="BF288" s="83">
        <v>1</v>
      </c>
    </row>
    <row r="289" spans="1:58" ht="16" x14ac:dyDescent="0.35">
      <c r="A289" s="41"/>
      <c r="B289" s="42"/>
      <c r="C289" s="42"/>
      <c r="D289" s="42"/>
      <c r="E289" s="42"/>
      <c r="F289" s="42"/>
      <c r="G289"/>
      <c r="H289" s="43"/>
      <c r="I289" s="43"/>
      <c r="J289" s="43"/>
      <c r="K289" s="43"/>
      <c r="L289" s="43"/>
      <c r="M289" s="42"/>
      <c r="N289" s="42"/>
      <c r="O289" s="42"/>
      <c r="P289" s="42"/>
      <c r="Q289" s="83">
        <v>3</v>
      </c>
      <c r="R289" s="42"/>
      <c r="S289" s="42"/>
      <c r="T289" s="42"/>
      <c r="U289" s="42"/>
      <c r="V289" s="42"/>
      <c r="W289" s="42"/>
      <c r="X289" s="42"/>
      <c r="Y289" s="43"/>
      <c r="Z289" s="42"/>
      <c r="AA289" s="42"/>
      <c r="AB289" s="44"/>
      <c r="AP289"/>
      <c r="AQ289" s="48"/>
      <c r="AR289" s="48"/>
      <c r="AS289"/>
      <c r="AT289" s="48"/>
      <c r="AU289" s="48"/>
      <c r="AV289"/>
      <c r="AW289" s="49"/>
      <c r="AX289" s="49"/>
      <c r="AY289" s="49"/>
      <c r="AZ289" s="49"/>
      <c r="BA289" s="49"/>
      <c r="BB289" s="48"/>
      <c r="BC289" s="48"/>
      <c r="BD289" s="48"/>
      <c r="BE289" s="48"/>
      <c r="BF289" s="83">
        <v>1</v>
      </c>
    </row>
    <row r="290" spans="1:58" ht="16" x14ac:dyDescent="0.35">
      <c r="A290" s="37"/>
      <c r="B290" s="38"/>
      <c r="C290" s="38"/>
      <c r="D290" s="38"/>
      <c r="E290" s="38"/>
      <c r="F290" s="38"/>
      <c r="G290"/>
      <c r="H290" s="39"/>
      <c r="I290" s="39"/>
      <c r="J290" s="39"/>
      <c r="K290" s="39"/>
      <c r="L290" s="39"/>
      <c r="M290" s="38"/>
      <c r="N290" s="38"/>
      <c r="O290" s="38"/>
      <c r="P290" s="38"/>
      <c r="Q290" s="83">
        <v>3</v>
      </c>
      <c r="R290" s="38"/>
      <c r="S290" s="38"/>
      <c r="T290" s="38"/>
      <c r="U290" s="38"/>
      <c r="V290" s="38"/>
      <c r="W290" s="38"/>
      <c r="X290" s="38"/>
      <c r="Y290" s="39"/>
      <c r="Z290" s="38"/>
      <c r="AA290" s="38"/>
      <c r="AB290" s="40"/>
      <c r="AP290"/>
      <c r="AQ290" s="52"/>
      <c r="AR290" s="52"/>
      <c r="AS290"/>
      <c r="AT290" s="52"/>
      <c r="AU290" s="52"/>
      <c r="AV290"/>
      <c r="AW290" s="53"/>
      <c r="AX290" s="53"/>
      <c r="AY290" s="53"/>
      <c r="AZ290" s="53"/>
      <c r="BA290" s="53"/>
      <c r="BB290" s="52"/>
      <c r="BC290" s="52"/>
      <c r="BD290" s="52"/>
      <c r="BE290" s="52"/>
      <c r="BF290" s="83">
        <v>1</v>
      </c>
    </row>
    <row r="291" spans="1:58" ht="16" x14ac:dyDescent="0.35">
      <c r="A291" s="41"/>
      <c r="B291" s="42"/>
      <c r="C291" s="42"/>
      <c r="D291" s="42"/>
      <c r="E291" s="42"/>
      <c r="F291" s="42"/>
      <c r="G291"/>
      <c r="H291" s="43"/>
      <c r="I291" s="43"/>
      <c r="J291" s="43"/>
      <c r="K291" s="43"/>
      <c r="L291" s="43"/>
      <c r="M291" s="42"/>
      <c r="N291" s="42"/>
      <c r="O291" s="42"/>
      <c r="P291" s="42"/>
      <c r="Q291" s="83">
        <v>0</v>
      </c>
      <c r="R291" s="42"/>
      <c r="S291" s="42"/>
      <c r="T291" s="42"/>
      <c r="U291" s="42"/>
      <c r="V291" s="42"/>
      <c r="W291" s="42"/>
      <c r="X291" s="42"/>
      <c r="Y291" s="43"/>
      <c r="Z291" s="42"/>
      <c r="AA291" s="42"/>
      <c r="AB291" s="44"/>
      <c r="AP291"/>
      <c r="AQ291" s="48"/>
      <c r="AR291" s="48"/>
      <c r="AS291"/>
      <c r="AT291" s="48"/>
      <c r="AU291" s="48"/>
      <c r="AV291"/>
      <c r="AW291" s="49"/>
      <c r="AX291" s="49"/>
      <c r="AY291" s="49"/>
      <c r="AZ291" s="49"/>
      <c r="BA291" s="49"/>
      <c r="BB291" s="48"/>
      <c r="BC291" s="48"/>
      <c r="BD291" s="48"/>
      <c r="BE291" s="48"/>
      <c r="BF291" s="83">
        <v>1</v>
      </c>
    </row>
    <row r="292" spans="1:58" ht="16" x14ac:dyDescent="0.35">
      <c r="A292" s="37"/>
      <c r="B292" s="38"/>
      <c r="C292" s="38"/>
      <c r="D292" s="38"/>
      <c r="E292" s="38"/>
      <c r="F292" s="38"/>
      <c r="G292"/>
      <c r="H292" s="39"/>
      <c r="I292" s="39"/>
      <c r="J292" s="39"/>
      <c r="K292" s="39"/>
      <c r="L292" s="39"/>
      <c r="M292" s="38"/>
      <c r="N292" s="38"/>
      <c r="O292" s="38"/>
      <c r="P292" s="38"/>
      <c r="Q292" s="83">
        <v>0</v>
      </c>
      <c r="R292" s="38"/>
      <c r="S292" s="38"/>
      <c r="T292" s="38"/>
      <c r="U292" s="38"/>
      <c r="V292" s="38"/>
      <c r="W292" s="38"/>
      <c r="X292" s="38"/>
      <c r="Y292" s="39"/>
      <c r="Z292" s="38"/>
      <c r="AA292" s="38"/>
      <c r="AB292" s="40"/>
      <c r="AP292"/>
      <c r="AQ292" s="52"/>
      <c r="AR292" s="52"/>
      <c r="AS292"/>
      <c r="AT292" s="52"/>
      <c r="AU292" s="52"/>
      <c r="AV292"/>
      <c r="AW292" s="53"/>
      <c r="AX292" s="53"/>
      <c r="AY292" s="53"/>
      <c r="AZ292" s="53"/>
      <c r="BA292" s="53"/>
      <c r="BB292" s="52"/>
      <c r="BC292" s="52"/>
      <c r="BD292" s="52"/>
      <c r="BE292" s="52"/>
      <c r="BF292" s="83">
        <v>1</v>
      </c>
    </row>
    <row r="293" spans="1:58" ht="16" x14ac:dyDescent="0.35">
      <c r="A293" s="41"/>
      <c r="B293" s="42"/>
      <c r="C293" s="42"/>
      <c r="D293" s="42"/>
      <c r="E293" s="42"/>
      <c r="F293" s="42"/>
      <c r="G293"/>
      <c r="H293" s="43"/>
      <c r="I293" s="43"/>
      <c r="J293" s="43"/>
      <c r="K293" s="43"/>
      <c r="L293" s="43"/>
      <c r="M293" s="42"/>
      <c r="N293" s="42"/>
      <c r="O293" s="42"/>
      <c r="P293" s="42"/>
      <c r="Q293" s="83">
        <v>0</v>
      </c>
      <c r="R293" s="42"/>
      <c r="S293" s="42"/>
      <c r="T293" s="42"/>
      <c r="U293" s="42"/>
      <c r="V293" s="42"/>
      <c r="W293" s="42"/>
      <c r="X293" s="42"/>
      <c r="Y293" s="43"/>
      <c r="Z293" s="42"/>
      <c r="AA293" s="42"/>
      <c r="AB293" s="44"/>
      <c r="AP293"/>
      <c r="AQ293" s="48"/>
      <c r="AR293" s="48"/>
      <c r="AS293"/>
      <c r="AT293" s="48"/>
      <c r="AU293" s="48"/>
      <c r="AV293"/>
      <c r="AW293" s="49"/>
      <c r="AX293" s="49"/>
      <c r="AY293" s="49"/>
      <c r="AZ293" s="49"/>
      <c r="BA293" s="49"/>
      <c r="BB293" s="48"/>
      <c r="BC293" s="48"/>
      <c r="BD293" s="48"/>
      <c r="BE293" s="48"/>
      <c r="BF293" s="83">
        <v>0</v>
      </c>
    </row>
    <row r="294" spans="1:58" ht="16" x14ac:dyDescent="0.35">
      <c r="A294" s="37"/>
      <c r="B294" s="38"/>
      <c r="C294" s="38"/>
      <c r="D294" s="38"/>
      <c r="E294" s="38"/>
      <c r="F294" s="38"/>
      <c r="G294"/>
      <c r="H294" s="39"/>
      <c r="I294" s="39"/>
      <c r="J294" s="39"/>
      <c r="K294" s="39"/>
      <c r="L294" s="39"/>
      <c r="M294" s="38"/>
      <c r="N294" s="38"/>
      <c r="O294" s="38"/>
      <c r="P294" s="38"/>
      <c r="Q294" s="83">
        <v>1</v>
      </c>
      <c r="R294" s="38"/>
      <c r="S294" s="38"/>
      <c r="T294" s="38"/>
      <c r="U294" s="38"/>
      <c r="V294" s="38"/>
      <c r="W294" s="38"/>
      <c r="X294" s="38"/>
      <c r="Y294" s="39"/>
      <c r="Z294" s="38"/>
      <c r="AA294" s="38"/>
      <c r="AB294" s="40"/>
      <c r="AP294"/>
      <c r="AQ294" s="52"/>
      <c r="AR294" s="52"/>
      <c r="AS294"/>
      <c r="AT294" s="52"/>
      <c r="AU294" s="52"/>
      <c r="AV294"/>
      <c r="AW294" s="53"/>
      <c r="AX294" s="53"/>
      <c r="AY294" s="53"/>
      <c r="AZ294" s="53"/>
      <c r="BA294" s="53"/>
      <c r="BB294" s="52"/>
      <c r="BC294" s="52"/>
      <c r="BD294" s="52"/>
      <c r="BE294" s="52"/>
      <c r="BF294" s="83">
        <v>0</v>
      </c>
    </row>
    <row r="295" spans="1:58" ht="16" x14ac:dyDescent="0.35">
      <c r="A295" s="41"/>
      <c r="B295" s="42"/>
      <c r="C295" s="42"/>
      <c r="D295" s="42"/>
      <c r="E295" s="42"/>
      <c r="F295" s="42"/>
      <c r="G295"/>
      <c r="H295" s="43"/>
      <c r="I295" s="43"/>
      <c r="J295" s="43"/>
      <c r="K295" s="43"/>
      <c r="L295" s="43"/>
      <c r="M295" s="42"/>
      <c r="N295" s="42"/>
      <c r="O295" s="42"/>
      <c r="P295" s="42"/>
      <c r="Q295" s="83">
        <v>0</v>
      </c>
      <c r="R295" s="42"/>
      <c r="S295" s="42"/>
      <c r="T295" s="42"/>
      <c r="U295" s="42"/>
      <c r="V295" s="42"/>
      <c r="W295" s="42"/>
      <c r="X295" s="42"/>
      <c r="Y295" s="43"/>
      <c r="Z295" s="42"/>
      <c r="AA295" s="42"/>
      <c r="AB295" s="44"/>
      <c r="AP295"/>
      <c r="AQ295" s="48"/>
      <c r="AR295" s="48"/>
      <c r="AS295"/>
      <c r="AT295" s="48"/>
      <c r="AU295" s="48"/>
      <c r="AV295"/>
      <c r="AW295" s="49"/>
      <c r="AX295" s="49"/>
      <c r="AY295" s="49"/>
      <c r="AZ295" s="49"/>
      <c r="BA295" s="49"/>
      <c r="BB295" s="48"/>
      <c r="BC295" s="48"/>
      <c r="BD295" s="48"/>
      <c r="BE295" s="48"/>
      <c r="BF295" s="83">
        <v>8</v>
      </c>
    </row>
    <row r="296" spans="1:58" ht="16" x14ac:dyDescent="0.35">
      <c r="A296" s="37"/>
      <c r="B296" s="38"/>
      <c r="C296" s="38"/>
      <c r="D296" s="38"/>
      <c r="E296" s="38"/>
      <c r="F296" s="38"/>
      <c r="G296"/>
      <c r="H296" s="39"/>
      <c r="I296" s="39"/>
      <c r="J296" s="39"/>
      <c r="K296" s="39"/>
      <c r="L296" s="39"/>
      <c r="M296" s="38"/>
      <c r="N296" s="38"/>
      <c r="O296" s="38"/>
      <c r="P296" s="38"/>
      <c r="Q296" s="83">
        <v>0</v>
      </c>
      <c r="R296" s="38"/>
      <c r="S296" s="38"/>
      <c r="T296" s="38"/>
      <c r="U296" s="38"/>
      <c r="V296" s="38"/>
      <c r="W296" s="38"/>
      <c r="X296" s="38"/>
      <c r="Y296" s="39"/>
      <c r="Z296" s="38"/>
      <c r="AA296" s="38"/>
      <c r="AB296" s="40"/>
      <c r="AP296"/>
      <c r="AQ296" s="52"/>
      <c r="AR296" s="52"/>
      <c r="AS296"/>
      <c r="AT296" s="52"/>
      <c r="AU296" s="52"/>
      <c r="AV296"/>
      <c r="AW296" s="53"/>
      <c r="AX296" s="53"/>
      <c r="AY296" s="53"/>
      <c r="AZ296" s="53"/>
      <c r="BA296" s="53"/>
      <c r="BB296" s="52"/>
      <c r="BC296" s="52"/>
      <c r="BD296" s="52"/>
      <c r="BE296" s="52"/>
      <c r="BF296" s="83">
        <v>1</v>
      </c>
    </row>
    <row r="297" spans="1:58" ht="16" x14ac:dyDescent="0.35">
      <c r="A297" s="41"/>
      <c r="B297" s="42"/>
      <c r="C297" s="42"/>
      <c r="D297" s="42"/>
      <c r="E297" s="42"/>
      <c r="F297" s="42"/>
      <c r="G297"/>
      <c r="H297" s="43"/>
      <c r="I297" s="43"/>
      <c r="J297" s="43"/>
      <c r="K297" s="43"/>
      <c r="L297" s="43"/>
      <c r="M297" s="42"/>
      <c r="N297" s="42"/>
      <c r="O297" s="42"/>
      <c r="P297" s="42"/>
      <c r="Q297" s="83">
        <v>0</v>
      </c>
      <c r="R297" s="42"/>
      <c r="S297" s="42"/>
      <c r="T297" s="42"/>
      <c r="U297" s="42"/>
      <c r="V297" s="42"/>
      <c r="W297" s="42"/>
      <c r="X297" s="42"/>
      <c r="Y297" s="43"/>
      <c r="Z297" s="42"/>
      <c r="AA297" s="42"/>
      <c r="AB297" s="44"/>
      <c r="AP297"/>
      <c r="AQ297" s="48"/>
      <c r="AR297" s="48"/>
      <c r="AS297"/>
      <c r="AT297" s="48"/>
      <c r="AU297" s="48"/>
      <c r="AV297"/>
      <c r="AW297" s="49"/>
      <c r="AX297" s="49"/>
      <c r="AY297" s="49"/>
      <c r="AZ297" s="49"/>
      <c r="BA297" s="49"/>
      <c r="BB297" s="48"/>
      <c r="BC297" s="48"/>
      <c r="BD297" s="48"/>
      <c r="BE297" s="48"/>
      <c r="BF297" s="83">
        <v>1</v>
      </c>
    </row>
    <row r="298" spans="1:58" ht="16" x14ac:dyDescent="0.35">
      <c r="A298" s="37"/>
      <c r="B298" s="38"/>
      <c r="C298" s="38"/>
      <c r="D298" s="38"/>
      <c r="E298" s="38"/>
      <c r="F298" s="38"/>
      <c r="G298"/>
      <c r="H298" s="39"/>
      <c r="I298" s="39"/>
      <c r="J298" s="39"/>
      <c r="K298" s="39"/>
      <c r="L298" s="39"/>
      <c r="M298" s="38"/>
      <c r="N298" s="38"/>
      <c r="O298" s="38"/>
      <c r="P298" s="38"/>
      <c r="Q298" s="83">
        <v>0</v>
      </c>
      <c r="R298" s="38"/>
      <c r="S298" s="38"/>
      <c r="T298" s="38"/>
      <c r="U298" s="38"/>
      <c r="V298" s="38"/>
      <c r="W298" s="38"/>
      <c r="X298" s="38"/>
      <c r="Y298" s="39"/>
      <c r="Z298" s="38"/>
      <c r="AA298" s="38"/>
      <c r="AB298" s="40"/>
      <c r="AP298"/>
      <c r="AQ298" s="52"/>
      <c r="AR298" s="52"/>
      <c r="AS298"/>
      <c r="AT298" s="52"/>
      <c r="AU298" s="52"/>
      <c r="AV298"/>
      <c r="AW298" s="53"/>
      <c r="AX298" s="53"/>
      <c r="AY298" s="53"/>
      <c r="AZ298" s="53"/>
      <c r="BA298" s="53"/>
      <c r="BB298" s="52"/>
      <c r="BC298" s="52"/>
      <c r="BD298" s="52"/>
      <c r="BE298" s="52"/>
      <c r="BF298" s="83">
        <v>1</v>
      </c>
    </row>
    <row r="299" spans="1:58" ht="16" x14ac:dyDescent="0.35">
      <c r="A299" s="41"/>
      <c r="B299" s="42"/>
      <c r="C299" s="42"/>
      <c r="D299" s="42"/>
      <c r="E299" s="42"/>
      <c r="F299" s="42"/>
      <c r="G299"/>
      <c r="H299" s="43"/>
      <c r="I299" s="43"/>
      <c r="J299" s="43"/>
      <c r="K299" s="43"/>
      <c r="L299" s="43"/>
      <c r="M299" s="42"/>
      <c r="N299" s="42"/>
      <c r="O299" s="42"/>
      <c r="P299" s="42"/>
      <c r="Q299" s="83">
        <v>0</v>
      </c>
      <c r="R299" s="42"/>
      <c r="S299" s="42"/>
      <c r="T299" s="42"/>
      <c r="U299" s="42"/>
      <c r="V299" s="42"/>
      <c r="W299" s="42"/>
      <c r="X299" s="42"/>
      <c r="Y299" s="43"/>
      <c r="Z299" s="42"/>
      <c r="AA299" s="42"/>
      <c r="AB299" s="44"/>
      <c r="AP299"/>
      <c r="AQ299" s="48"/>
      <c r="AR299" s="48"/>
      <c r="AS299"/>
      <c r="AT299" s="48"/>
      <c r="AU299" s="48"/>
      <c r="AV299"/>
      <c r="AW299" s="49"/>
      <c r="AX299" s="49"/>
      <c r="AY299" s="49"/>
      <c r="AZ299" s="49"/>
      <c r="BA299" s="49"/>
      <c r="BB299" s="48"/>
      <c r="BC299" s="48"/>
      <c r="BD299" s="48"/>
      <c r="BE299" s="48"/>
      <c r="BF299" s="83">
        <v>1</v>
      </c>
    </row>
    <row r="300" spans="1:58" ht="16" x14ac:dyDescent="0.35">
      <c r="A300" s="37"/>
      <c r="B300" s="38"/>
      <c r="C300" s="38"/>
      <c r="D300" s="38"/>
      <c r="E300" s="38"/>
      <c r="F300" s="38"/>
      <c r="G300"/>
      <c r="H300" s="39"/>
      <c r="I300" s="39"/>
      <c r="J300" s="39"/>
      <c r="K300" s="39"/>
      <c r="L300" s="39"/>
      <c r="M300" s="38"/>
      <c r="N300" s="38"/>
      <c r="O300" s="38"/>
      <c r="P300" s="38"/>
      <c r="Q300" s="83">
        <v>0</v>
      </c>
      <c r="R300" s="38"/>
      <c r="S300" s="38"/>
      <c r="T300" s="38"/>
      <c r="U300" s="38"/>
      <c r="V300" s="38"/>
      <c r="W300" s="38"/>
      <c r="X300" s="38"/>
      <c r="Y300" s="39"/>
      <c r="Z300" s="38"/>
      <c r="AA300" s="38"/>
      <c r="AB300" s="40"/>
      <c r="AP300"/>
      <c r="AQ300" s="52"/>
      <c r="AR300" s="52"/>
      <c r="AS300"/>
      <c r="AT300" s="52"/>
      <c r="AU300" s="52"/>
      <c r="AV300"/>
      <c r="AW300" s="53"/>
      <c r="AX300" s="53"/>
      <c r="AY300" s="53"/>
      <c r="AZ300" s="53"/>
      <c r="BA300" s="53"/>
      <c r="BB300" s="52"/>
      <c r="BC300" s="52"/>
      <c r="BD300" s="52"/>
      <c r="BE300" s="52"/>
      <c r="BF300" s="83">
        <v>1</v>
      </c>
    </row>
    <row r="301" spans="1:58" ht="16" x14ac:dyDescent="0.35">
      <c r="A301" s="41"/>
      <c r="B301" s="42"/>
      <c r="C301" s="42"/>
      <c r="D301" s="42"/>
      <c r="E301" s="42"/>
      <c r="F301" s="42"/>
      <c r="G301"/>
      <c r="H301" s="43"/>
      <c r="I301" s="43"/>
      <c r="J301" s="43"/>
      <c r="K301" s="43"/>
      <c r="L301" s="43"/>
      <c r="M301" s="42"/>
      <c r="N301" s="42"/>
      <c r="O301" s="42"/>
      <c r="P301" s="42"/>
      <c r="Q301" s="83">
        <v>0</v>
      </c>
      <c r="R301" s="42"/>
      <c r="S301" s="42"/>
      <c r="T301" s="42"/>
      <c r="U301" s="42"/>
      <c r="V301" s="42"/>
      <c r="W301" s="42"/>
      <c r="X301" s="42"/>
      <c r="Y301" s="43"/>
      <c r="Z301" s="42"/>
      <c r="AA301" s="42"/>
      <c r="AB301" s="44"/>
      <c r="AP301"/>
      <c r="AQ301" s="48"/>
      <c r="AR301" s="48"/>
      <c r="AS301"/>
      <c r="AT301" s="48"/>
      <c r="AU301" s="48"/>
      <c r="AV301"/>
      <c r="AW301" s="49"/>
      <c r="AX301" s="49"/>
      <c r="AY301" s="49"/>
      <c r="AZ301" s="49"/>
      <c r="BA301" s="49"/>
      <c r="BB301" s="48"/>
      <c r="BC301" s="48"/>
      <c r="BD301" s="48"/>
      <c r="BE301" s="48"/>
      <c r="BF301" s="83">
        <v>1</v>
      </c>
    </row>
    <row r="302" spans="1:58" ht="16" x14ac:dyDescent="0.35">
      <c r="A302" s="37"/>
      <c r="B302" s="38"/>
      <c r="C302" s="38"/>
      <c r="D302" s="38"/>
      <c r="E302" s="38"/>
      <c r="F302" s="38"/>
      <c r="G302"/>
      <c r="H302" s="39"/>
      <c r="I302" s="39"/>
      <c r="J302" s="39"/>
      <c r="K302" s="39"/>
      <c r="L302" s="39"/>
      <c r="M302" s="38"/>
      <c r="N302" s="38"/>
      <c r="O302" s="38"/>
      <c r="P302" s="38"/>
      <c r="Q302" s="83">
        <v>0</v>
      </c>
      <c r="R302" s="38"/>
      <c r="S302" s="38"/>
      <c r="T302" s="38"/>
      <c r="U302" s="38"/>
      <c r="V302" s="38"/>
      <c r="W302" s="38"/>
      <c r="X302" s="38"/>
      <c r="Y302" s="39"/>
      <c r="Z302" s="38"/>
      <c r="AA302" s="38"/>
      <c r="AB302" s="40"/>
      <c r="AP302"/>
      <c r="AQ302" s="52"/>
      <c r="AR302" s="52"/>
      <c r="AS302"/>
      <c r="AT302" s="52"/>
      <c r="AU302" s="52"/>
      <c r="AV302"/>
      <c r="AW302" s="53"/>
      <c r="AX302" s="53"/>
      <c r="AY302" s="53"/>
      <c r="AZ302" s="53"/>
      <c r="BA302" s="53"/>
      <c r="BB302" s="52"/>
      <c r="BC302" s="52"/>
      <c r="BD302" s="52"/>
      <c r="BE302" s="52"/>
      <c r="BF302" s="83">
        <v>1</v>
      </c>
    </row>
    <row r="303" spans="1:58" ht="16" x14ac:dyDescent="0.35">
      <c r="A303" s="41"/>
      <c r="B303" s="42"/>
      <c r="C303" s="42"/>
      <c r="D303" s="42"/>
      <c r="E303" s="42"/>
      <c r="F303" s="42"/>
      <c r="G303"/>
      <c r="H303" s="43"/>
      <c r="I303" s="43"/>
      <c r="J303" s="43"/>
      <c r="K303" s="43"/>
      <c r="L303" s="43"/>
      <c r="M303" s="42"/>
      <c r="N303" s="42"/>
      <c r="O303" s="42"/>
      <c r="P303" s="42"/>
      <c r="Q303" s="83">
        <v>0</v>
      </c>
      <c r="R303" s="42"/>
      <c r="S303" s="42"/>
      <c r="T303" s="42"/>
      <c r="U303" s="42"/>
      <c r="V303" s="42"/>
      <c r="W303" s="42"/>
      <c r="X303" s="42"/>
      <c r="Y303" s="43"/>
      <c r="Z303" s="42"/>
      <c r="AA303" s="42"/>
      <c r="AB303" s="44"/>
      <c r="AP303"/>
      <c r="AQ303" s="48"/>
      <c r="AR303" s="48"/>
      <c r="AS303"/>
      <c r="AT303" s="48"/>
      <c r="AU303" s="48"/>
      <c r="AV303"/>
      <c r="AW303" s="49"/>
      <c r="AX303" s="49"/>
      <c r="AY303" s="49"/>
      <c r="AZ303" s="49"/>
      <c r="BA303" s="49"/>
      <c r="BB303" s="48"/>
      <c r="BC303" s="48"/>
      <c r="BD303" s="48"/>
      <c r="BE303" s="48"/>
      <c r="BF303" s="83">
        <v>1</v>
      </c>
    </row>
    <row r="304" spans="1:58" ht="16" x14ac:dyDescent="0.35">
      <c r="A304" s="37"/>
      <c r="B304" s="38"/>
      <c r="C304" s="38"/>
      <c r="D304" s="38"/>
      <c r="E304" s="38"/>
      <c r="F304" s="38"/>
      <c r="G304"/>
      <c r="H304" s="39"/>
      <c r="I304" s="39"/>
      <c r="J304" s="39"/>
      <c r="K304" s="39"/>
      <c r="L304" s="39"/>
      <c r="M304" s="38"/>
      <c r="N304" s="38"/>
      <c r="O304" s="38"/>
      <c r="P304" s="38"/>
      <c r="Q304" s="83">
        <v>0</v>
      </c>
      <c r="R304" s="38"/>
      <c r="S304" s="38"/>
      <c r="T304" s="38"/>
      <c r="U304" s="38"/>
      <c r="V304" s="38"/>
      <c r="W304" s="38"/>
      <c r="X304" s="38"/>
      <c r="Y304" s="39"/>
      <c r="Z304" s="38"/>
      <c r="AA304" s="38"/>
      <c r="AB304" s="40"/>
      <c r="AP304"/>
      <c r="AQ304" s="52"/>
      <c r="AR304" s="52"/>
      <c r="AS304"/>
      <c r="AT304" s="52"/>
      <c r="AU304" s="52"/>
      <c r="AV304"/>
      <c r="AW304" s="53"/>
      <c r="AX304" s="53"/>
      <c r="AY304" s="53"/>
      <c r="AZ304" s="53"/>
      <c r="BA304" s="53"/>
      <c r="BB304" s="52"/>
      <c r="BC304" s="52"/>
      <c r="BD304" s="52"/>
      <c r="BE304" s="52"/>
      <c r="BF304" s="83">
        <v>1</v>
      </c>
    </row>
    <row r="305" spans="1:58" ht="16" x14ac:dyDescent="0.35">
      <c r="A305" s="41"/>
      <c r="B305" s="42"/>
      <c r="C305" s="42"/>
      <c r="D305" s="42"/>
      <c r="E305" s="42"/>
      <c r="F305" s="42"/>
      <c r="G305"/>
      <c r="H305" s="43"/>
      <c r="I305" s="43"/>
      <c r="J305" s="43"/>
      <c r="K305" s="43"/>
      <c r="L305" s="43"/>
      <c r="M305" s="42"/>
      <c r="N305" s="42"/>
      <c r="O305" s="42"/>
      <c r="P305" s="42"/>
      <c r="Q305" s="83">
        <v>0</v>
      </c>
      <c r="R305" s="42"/>
      <c r="S305" s="42"/>
      <c r="T305" s="42"/>
      <c r="U305" s="42"/>
      <c r="V305" s="42"/>
      <c r="W305" s="42"/>
      <c r="X305" s="42"/>
      <c r="Y305" s="43"/>
      <c r="Z305" s="42"/>
      <c r="AA305" s="42"/>
      <c r="AB305" s="44"/>
      <c r="AP305"/>
      <c r="AQ305" s="48"/>
      <c r="AR305" s="48"/>
      <c r="AS305"/>
      <c r="AT305" s="48"/>
      <c r="AU305" s="48"/>
      <c r="AV305"/>
      <c r="AW305" s="49"/>
      <c r="AX305" s="49"/>
      <c r="AY305" s="49"/>
      <c r="AZ305" s="49"/>
      <c r="BA305" s="49"/>
      <c r="BB305" s="48"/>
      <c r="BC305" s="48"/>
      <c r="BD305" s="48"/>
      <c r="BE305" s="48"/>
      <c r="BF305" s="83">
        <v>1</v>
      </c>
    </row>
    <row r="306" spans="1:58" ht="16" x14ac:dyDescent="0.35">
      <c r="A306" s="37"/>
      <c r="B306" s="38"/>
      <c r="C306" s="38"/>
      <c r="D306" s="38"/>
      <c r="E306" s="38"/>
      <c r="F306" s="38"/>
      <c r="G306"/>
      <c r="H306" s="39"/>
      <c r="I306" s="39"/>
      <c r="J306" s="39"/>
      <c r="K306" s="39"/>
      <c r="L306" s="39"/>
      <c r="M306" s="38"/>
      <c r="N306" s="38"/>
      <c r="O306" s="38"/>
      <c r="P306" s="38"/>
      <c r="Q306" s="83">
        <v>0</v>
      </c>
      <c r="R306" s="38"/>
      <c r="S306" s="38"/>
      <c r="T306" s="38"/>
      <c r="U306" s="38"/>
      <c r="V306" s="38"/>
      <c r="W306" s="38"/>
      <c r="X306" s="38"/>
      <c r="Y306" s="39"/>
      <c r="Z306" s="38"/>
      <c r="AA306" s="38"/>
      <c r="AB306" s="40"/>
      <c r="AP306"/>
      <c r="AQ306" s="52"/>
      <c r="AR306" s="52"/>
      <c r="AS306"/>
      <c r="AT306" s="52"/>
      <c r="AU306" s="52"/>
      <c r="AV306"/>
      <c r="AW306" s="53"/>
      <c r="AX306" s="53"/>
      <c r="AY306" s="53"/>
      <c r="AZ306" s="53"/>
      <c r="BA306" s="53"/>
      <c r="BB306" s="52"/>
      <c r="BC306" s="52"/>
      <c r="BD306" s="52"/>
      <c r="BE306" s="52"/>
      <c r="BF306" s="83">
        <v>1</v>
      </c>
    </row>
    <row r="307" spans="1:58" ht="16" x14ac:dyDescent="0.35">
      <c r="A307" s="41"/>
      <c r="B307" s="42"/>
      <c r="C307" s="42"/>
      <c r="D307" s="42"/>
      <c r="E307" s="42"/>
      <c r="F307" s="42"/>
      <c r="G307"/>
      <c r="H307" s="43"/>
      <c r="I307" s="43"/>
      <c r="J307" s="43"/>
      <c r="K307" s="43"/>
      <c r="L307" s="43"/>
      <c r="M307" s="42"/>
      <c r="N307" s="42"/>
      <c r="O307" s="42"/>
      <c r="P307" s="42"/>
      <c r="Q307" s="83">
        <v>0</v>
      </c>
      <c r="R307" s="42"/>
      <c r="S307" s="42"/>
      <c r="T307" s="42"/>
      <c r="U307" s="42"/>
      <c r="V307" s="42"/>
      <c r="W307" s="42"/>
      <c r="X307" s="42"/>
      <c r="Y307" s="43"/>
      <c r="Z307" s="42"/>
      <c r="AA307" s="42"/>
      <c r="AB307" s="44"/>
      <c r="AP307"/>
      <c r="AQ307" s="48"/>
      <c r="AR307" s="48"/>
      <c r="AS307"/>
      <c r="AT307" s="48"/>
      <c r="AU307" s="48"/>
      <c r="AV307"/>
      <c r="AW307" s="49"/>
      <c r="AX307" s="49"/>
      <c r="AY307" s="49"/>
      <c r="AZ307" s="49"/>
      <c r="BA307" s="49"/>
      <c r="BB307" s="48"/>
      <c r="BC307" s="48"/>
      <c r="BD307" s="48"/>
      <c r="BE307" s="48"/>
      <c r="BF307" s="83">
        <v>1</v>
      </c>
    </row>
    <row r="308" spans="1:58" ht="16" x14ac:dyDescent="0.35">
      <c r="A308" s="37"/>
      <c r="B308" s="38"/>
      <c r="C308" s="38"/>
      <c r="D308" s="38"/>
      <c r="E308" s="38"/>
      <c r="F308" s="38"/>
      <c r="G308"/>
      <c r="H308" s="39"/>
      <c r="I308" s="39"/>
      <c r="J308" s="39"/>
      <c r="K308" s="39"/>
      <c r="L308" s="39"/>
      <c r="M308" s="38"/>
      <c r="N308" s="38"/>
      <c r="O308" s="38"/>
      <c r="P308" s="38"/>
      <c r="Q308" s="83">
        <v>0</v>
      </c>
      <c r="R308" s="38"/>
      <c r="S308" s="38"/>
      <c r="T308" s="38"/>
      <c r="U308" s="38"/>
      <c r="V308" s="38"/>
      <c r="W308" s="38"/>
      <c r="X308" s="38"/>
      <c r="Y308" s="39"/>
      <c r="Z308" s="38"/>
      <c r="AA308" s="38"/>
      <c r="AB308" s="40"/>
      <c r="AP308"/>
      <c r="AQ308" s="52"/>
      <c r="AR308" s="52"/>
      <c r="AS308"/>
      <c r="AT308" s="52"/>
      <c r="AU308" s="52"/>
      <c r="AV308"/>
      <c r="AW308" s="53"/>
      <c r="AX308" s="53"/>
      <c r="AY308" s="53"/>
      <c r="AZ308" s="53"/>
      <c r="BA308" s="53"/>
      <c r="BB308" s="52"/>
      <c r="BC308" s="52"/>
      <c r="BD308" s="52"/>
      <c r="BE308" s="52"/>
      <c r="BF308" s="83">
        <v>3</v>
      </c>
    </row>
    <row r="309" spans="1:58" ht="16" x14ac:dyDescent="0.35">
      <c r="A309" s="41"/>
      <c r="B309" s="42"/>
      <c r="C309" s="42"/>
      <c r="D309" s="42"/>
      <c r="E309" s="42"/>
      <c r="F309" s="42"/>
      <c r="G309"/>
      <c r="H309" s="43"/>
      <c r="I309" s="43"/>
      <c r="J309" s="43"/>
      <c r="K309" s="43"/>
      <c r="L309" s="43"/>
      <c r="M309" s="42"/>
      <c r="N309" s="42"/>
      <c r="O309" s="42"/>
      <c r="P309" s="42"/>
      <c r="Q309" s="83">
        <v>0</v>
      </c>
      <c r="R309" s="42"/>
      <c r="S309" s="42"/>
      <c r="T309" s="42"/>
      <c r="U309" s="42"/>
      <c r="V309" s="42"/>
      <c r="W309" s="42"/>
      <c r="X309" s="42"/>
      <c r="Y309" s="43"/>
      <c r="Z309" s="42"/>
      <c r="AA309" s="42"/>
      <c r="AB309" s="44"/>
      <c r="AP309"/>
      <c r="AQ309" s="48"/>
      <c r="AR309" s="48"/>
      <c r="AS309"/>
      <c r="AT309" s="48"/>
      <c r="AU309" s="48"/>
      <c r="AV309"/>
      <c r="AW309" s="49"/>
      <c r="AX309" s="49"/>
      <c r="AY309" s="49"/>
      <c r="AZ309" s="49"/>
      <c r="BA309" s="49"/>
      <c r="BB309" s="48"/>
      <c r="BC309" s="48"/>
      <c r="BD309" s="48"/>
      <c r="BE309" s="48"/>
      <c r="BF309" s="83">
        <v>1</v>
      </c>
    </row>
    <row r="310" spans="1:58" ht="16" x14ac:dyDescent="0.35">
      <c r="A310" s="37"/>
      <c r="B310" s="38"/>
      <c r="C310" s="38"/>
      <c r="D310" s="38"/>
      <c r="E310" s="38"/>
      <c r="F310" s="38"/>
      <c r="G310"/>
      <c r="H310" s="39"/>
      <c r="I310" s="39"/>
      <c r="J310" s="39"/>
      <c r="K310" s="39"/>
      <c r="L310" s="39"/>
      <c r="M310" s="38"/>
      <c r="N310" s="38"/>
      <c r="O310" s="38"/>
      <c r="P310" s="38"/>
      <c r="Q310" s="83">
        <v>0</v>
      </c>
      <c r="R310" s="38"/>
      <c r="S310" s="38"/>
      <c r="T310" s="38"/>
      <c r="U310" s="38"/>
      <c r="V310" s="38"/>
      <c r="W310" s="38"/>
      <c r="X310" s="38"/>
      <c r="Y310" s="39"/>
      <c r="Z310" s="38"/>
      <c r="AA310" s="38"/>
      <c r="AB310" s="40"/>
      <c r="AP310"/>
      <c r="AQ310" s="52"/>
      <c r="AR310" s="52"/>
      <c r="AS310"/>
      <c r="AT310" s="52"/>
      <c r="AU310" s="52"/>
      <c r="AV310"/>
      <c r="AW310" s="53"/>
      <c r="AX310" s="53"/>
      <c r="AY310" s="53"/>
      <c r="AZ310" s="53"/>
      <c r="BA310" s="53"/>
      <c r="BB310" s="52"/>
      <c r="BC310" s="52"/>
      <c r="BD310" s="52"/>
      <c r="BE310" s="52"/>
      <c r="BF310" s="83">
        <v>4</v>
      </c>
    </row>
    <row r="311" spans="1:58" ht="16" x14ac:dyDescent="0.35">
      <c r="A311" s="41"/>
      <c r="B311" s="42"/>
      <c r="C311" s="42"/>
      <c r="D311" s="42"/>
      <c r="E311" s="42"/>
      <c r="F311" s="42"/>
      <c r="G311"/>
      <c r="H311" s="43"/>
      <c r="I311" s="43"/>
      <c r="J311" s="43"/>
      <c r="K311" s="43"/>
      <c r="L311" s="43"/>
      <c r="M311" s="42"/>
      <c r="N311" s="42"/>
      <c r="O311" s="42"/>
      <c r="P311" s="42"/>
      <c r="Q311" s="83">
        <v>0</v>
      </c>
      <c r="R311" s="42"/>
      <c r="S311" s="42"/>
      <c r="T311" s="42"/>
      <c r="U311" s="42"/>
      <c r="V311" s="42"/>
      <c r="W311" s="42"/>
      <c r="X311" s="42"/>
      <c r="Y311" s="43"/>
      <c r="Z311" s="42"/>
      <c r="AA311" s="42"/>
      <c r="AB311" s="44"/>
      <c r="AP311"/>
      <c r="AQ311" s="48"/>
      <c r="AR311" s="48"/>
      <c r="AS311"/>
      <c r="AT311" s="48"/>
      <c r="AU311" s="48"/>
      <c r="AV311"/>
      <c r="AW311" s="49"/>
      <c r="AX311" s="49"/>
      <c r="AY311" s="49"/>
      <c r="AZ311" s="49"/>
      <c r="BA311" s="49"/>
      <c r="BB311" s="48"/>
      <c r="BC311" s="48"/>
      <c r="BD311" s="48"/>
      <c r="BE311" s="48"/>
      <c r="BF311" s="83">
        <v>1</v>
      </c>
    </row>
    <row r="312" spans="1:58" ht="16" x14ac:dyDescent="0.35">
      <c r="A312" s="37"/>
      <c r="B312" s="38"/>
      <c r="C312" s="38"/>
      <c r="D312" s="38"/>
      <c r="E312" s="38"/>
      <c r="F312" s="38"/>
      <c r="G312"/>
      <c r="H312" s="39"/>
      <c r="I312" s="39"/>
      <c r="J312" s="39"/>
      <c r="K312" s="39"/>
      <c r="L312" s="39"/>
      <c r="M312" s="38"/>
      <c r="N312" s="38"/>
      <c r="O312" s="38"/>
      <c r="P312" s="38"/>
      <c r="Q312" s="83">
        <v>0</v>
      </c>
      <c r="R312" s="38"/>
      <c r="S312" s="38"/>
      <c r="T312" s="38"/>
      <c r="U312" s="38"/>
      <c r="V312" s="38"/>
      <c r="W312" s="38"/>
      <c r="X312" s="38"/>
      <c r="Y312" s="39"/>
      <c r="Z312" s="38"/>
      <c r="AA312" s="38"/>
      <c r="AB312" s="40"/>
      <c r="AP312"/>
      <c r="AQ312" s="52"/>
      <c r="AR312" s="52"/>
      <c r="AS312"/>
      <c r="AT312" s="52"/>
      <c r="AU312" s="52"/>
      <c r="AV312"/>
      <c r="AW312" s="53"/>
      <c r="AX312" s="53"/>
      <c r="AY312" s="53"/>
      <c r="AZ312" s="53"/>
      <c r="BA312" s="53"/>
      <c r="BB312" s="52"/>
      <c r="BC312" s="52"/>
      <c r="BD312" s="52"/>
      <c r="BE312" s="52"/>
      <c r="BF312" s="83">
        <v>1</v>
      </c>
    </row>
    <row r="313" spans="1:58" ht="16" x14ac:dyDescent="0.35">
      <c r="A313" s="41"/>
      <c r="B313" s="42"/>
      <c r="C313" s="42"/>
      <c r="D313" s="42"/>
      <c r="E313" s="42"/>
      <c r="F313" s="42"/>
      <c r="G313"/>
      <c r="H313" s="43"/>
      <c r="I313" s="43"/>
      <c r="J313" s="43"/>
      <c r="K313" s="43"/>
      <c r="L313" s="43"/>
      <c r="M313" s="42"/>
      <c r="N313" s="42"/>
      <c r="O313" s="42"/>
      <c r="P313" s="42"/>
      <c r="Q313" s="83">
        <v>0</v>
      </c>
      <c r="R313" s="42"/>
      <c r="S313" s="42"/>
      <c r="T313" s="42"/>
      <c r="U313" s="42"/>
      <c r="V313" s="42"/>
      <c r="W313" s="42"/>
      <c r="X313" s="42"/>
      <c r="Y313" s="43"/>
      <c r="Z313" s="42"/>
      <c r="AA313" s="42"/>
      <c r="AB313" s="44"/>
      <c r="AP313"/>
      <c r="AQ313" s="48"/>
      <c r="AR313" s="48"/>
      <c r="AS313"/>
      <c r="AT313" s="48"/>
      <c r="AU313" s="48"/>
      <c r="AV313"/>
      <c r="AW313" s="49"/>
      <c r="AX313" s="49"/>
      <c r="AY313" s="49"/>
      <c r="AZ313" s="49"/>
      <c r="BA313" s="49"/>
      <c r="BB313" s="48"/>
      <c r="BC313" s="48"/>
      <c r="BD313" s="48"/>
      <c r="BE313" s="48"/>
      <c r="BF313" s="83">
        <v>0</v>
      </c>
    </row>
    <row r="314" spans="1:58" ht="16" x14ac:dyDescent="0.35">
      <c r="A314" s="37"/>
      <c r="B314" s="38"/>
      <c r="C314" s="38"/>
      <c r="D314" s="38"/>
      <c r="E314" s="38"/>
      <c r="F314" s="38"/>
      <c r="G314"/>
      <c r="H314" s="39"/>
      <c r="I314" s="39"/>
      <c r="J314" s="39"/>
      <c r="K314" s="39"/>
      <c r="L314" s="39"/>
      <c r="M314" s="38"/>
      <c r="N314" s="38"/>
      <c r="O314" s="38"/>
      <c r="P314" s="38"/>
      <c r="Q314" s="83">
        <v>0</v>
      </c>
      <c r="R314" s="38"/>
      <c r="S314" s="38"/>
      <c r="T314" s="38"/>
      <c r="U314" s="38"/>
      <c r="V314" s="38"/>
      <c r="W314" s="38"/>
      <c r="X314" s="38"/>
      <c r="Y314" s="39"/>
      <c r="Z314" s="38"/>
      <c r="AA314" s="38"/>
      <c r="AB314" s="40"/>
      <c r="AP314"/>
      <c r="AQ314" s="52"/>
      <c r="AR314" s="52"/>
      <c r="AS314"/>
      <c r="AT314" s="52"/>
      <c r="AU314" s="52"/>
      <c r="AV314"/>
      <c r="AW314" s="53"/>
      <c r="AX314" s="53"/>
      <c r="AY314" s="53"/>
      <c r="AZ314" s="53"/>
      <c r="BA314" s="53"/>
      <c r="BB314" s="52"/>
      <c r="BC314" s="52"/>
      <c r="BD314" s="52"/>
      <c r="BE314" s="52"/>
      <c r="BF314" s="83">
        <v>0</v>
      </c>
    </row>
    <row r="315" spans="1:58" ht="16" x14ac:dyDescent="0.35">
      <c r="A315" s="41"/>
      <c r="B315" s="42"/>
      <c r="C315" s="42"/>
      <c r="D315" s="42"/>
      <c r="E315" s="42"/>
      <c r="F315" s="42"/>
      <c r="G315"/>
      <c r="H315" s="43"/>
      <c r="I315" s="43"/>
      <c r="J315" s="43"/>
      <c r="K315" s="43"/>
      <c r="L315" s="43"/>
      <c r="M315" s="42"/>
      <c r="N315" s="42"/>
      <c r="O315" s="42"/>
      <c r="P315" s="42"/>
      <c r="Q315" s="83">
        <v>0</v>
      </c>
      <c r="R315" s="42"/>
      <c r="S315" s="42"/>
      <c r="T315" s="42"/>
      <c r="U315" s="42"/>
      <c r="V315" s="42"/>
      <c r="W315" s="42"/>
      <c r="X315" s="42"/>
      <c r="Y315" s="43"/>
      <c r="Z315" s="42"/>
      <c r="AA315" s="42"/>
      <c r="AB315" s="44"/>
      <c r="AP315"/>
      <c r="AQ315" s="48"/>
      <c r="AR315" s="48"/>
      <c r="AS315"/>
      <c r="AT315" s="48"/>
      <c r="AU315" s="48"/>
      <c r="AV315"/>
      <c r="AW315" s="49"/>
      <c r="AX315" s="49"/>
      <c r="AY315" s="49"/>
      <c r="AZ315" s="49"/>
      <c r="BA315" s="49"/>
      <c r="BB315" s="48"/>
      <c r="BC315" s="48"/>
      <c r="BD315" s="48"/>
      <c r="BE315" s="48"/>
      <c r="BF315" s="83">
        <v>0</v>
      </c>
    </row>
    <row r="316" spans="1:58" ht="16" x14ac:dyDescent="0.35">
      <c r="A316" s="37"/>
      <c r="B316" s="38"/>
      <c r="C316" s="38"/>
      <c r="D316" s="38"/>
      <c r="E316" s="38"/>
      <c r="F316" s="38"/>
      <c r="G316"/>
      <c r="H316" s="39"/>
      <c r="I316" s="39"/>
      <c r="J316" s="39"/>
      <c r="K316" s="39"/>
      <c r="L316" s="39"/>
      <c r="M316" s="38"/>
      <c r="N316" s="38"/>
      <c r="O316" s="38"/>
      <c r="P316" s="38"/>
      <c r="Q316" s="83">
        <v>0</v>
      </c>
      <c r="R316" s="38"/>
      <c r="S316" s="38"/>
      <c r="T316" s="38"/>
      <c r="U316" s="38"/>
      <c r="V316" s="38"/>
      <c r="W316" s="38"/>
      <c r="X316" s="38"/>
      <c r="Y316" s="39"/>
      <c r="Z316" s="38"/>
      <c r="AA316" s="38"/>
      <c r="AB316" s="40"/>
      <c r="AP316"/>
      <c r="AQ316" s="52"/>
      <c r="AR316" s="52"/>
      <c r="AS316"/>
      <c r="AT316" s="52"/>
      <c r="AU316" s="52"/>
      <c r="AV316"/>
      <c r="AW316" s="53"/>
      <c r="AX316" s="53"/>
      <c r="AY316" s="53"/>
      <c r="AZ316" s="53"/>
      <c r="BA316" s="53"/>
      <c r="BB316" s="52"/>
      <c r="BC316" s="52"/>
      <c r="BD316" s="52"/>
      <c r="BE316" s="52"/>
      <c r="BF316" s="83">
        <v>0</v>
      </c>
    </row>
    <row r="317" spans="1:58" ht="16" x14ac:dyDescent="0.35">
      <c r="A317" s="41"/>
      <c r="B317" s="42"/>
      <c r="C317" s="42"/>
      <c r="D317" s="42"/>
      <c r="E317" s="42"/>
      <c r="F317" s="42"/>
      <c r="G317"/>
      <c r="H317" s="43"/>
      <c r="I317" s="43"/>
      <c r="J317" s="43"/>
      <c r="K317" s="43"/>
      <c r="L317" s="43"/>
      <c r="M317" s="42"/>
      <c r="N317" s="42"/>
      <c r="O317" s="42"/>
      <c r="P317" s="42"/>
      <c r="Q317" s="83">
        <v>0</v>
      </c>
      <c r="R317" s="42"/>
      <c r="S317" s="42"/>
      <c r="T317" s="42"/>
      <c r="U317" s="42"/>
      <c r="V317" s="42"/>
      <c r="W317" s="42"/>
      <c r="X317" s="42"/>
      <c r="Y317" s="43"/>
      <c r="Z317" s="42"/>
      <c r="AA317" s="42"/>
      <c r="AB317" s="44"/>
      <c r="AP317"/>
      <c r="AQ317" s="48"/>
      <c r="AR317" s="48"/>
      <c r="AS317"/>
      <c r="AT317" s="48"/>
      <c r="AU317" s="48"/>
      <c r="AV317"/>
      <c r="AW317" s="49"/>
      <c r="AX317" s="49"/>
      <c r="AY317" s="49"/>
      <c r="AZ317" s="49"/>
      <c r="BA317" s="49"/>
      <c r="BB317" s="48"/>
      <c r="BC317" s="48"/>
      <c r="BD317" s="48"/>
      <c r="BE317" s="48"/>
      <c r="BF317" s="83">
        <v>0</v>
      </c>
    </row>
    <row r="318" spans="1:58" ht="16" x14ac:dyDescent="0.35">
      <c r="A318" s="37"/>
      <c r="B318" s="38"/>
      <c r="C318" s="38"/>
      <c r="D318" s="38"/>
      <c r="E318" s="38"/>
      <c r="F318" s="38"/>
      <c r="G318"/>
      <c r="H318" s="39"/>
      <c r="I318" s="39"/>
      <c r="J318" s="39"/>
      <c r="K318" s="39"/>
      <c r="L318" s="39"/>
      <c r="M318" s="38"/>
      <c r="N318" s="38"/>
      <c r="O318" s="38"/>
      <c r="P318" s="38"/>
      <c r="Q318" s="83">
        <v>0</v>
      </c>
      <c r="R318" s="38"/>
      <c r="S318" s="38"/>
      <c r="T318" s="38"/>
      <c r="U318" s="38"/>
      <c r="V318" s="38"/>
      <c r="W318" s="38"/>
      <c r="X318" s="38"/>
      <c r="Y318" s="39"/>
      <c r="Z318" s="38"/>
      <c r="AA318" s="38"/>
      <c r="AB318" s="40"/>
      <c r="AP318"/>
      <c r="AQ318" s="52"/>
      <c r="AR318" s="52"/>
      <c r="AS318"/>
      <c r="AT318" s="52"/>
      <c r="AU318" s="52"/>
      <c r="AV318"/>
      <c r="AW318" s="53"/>
      <c r="AX318" s="53"/>
      <c r="AY318" s="53"/>
      <c r="AZ318" s="53"/>
      <c r="BA318" s="53"/>
      <c r="BB318" s="52"/>
      <c r="BC318" s="52"/>
      <c r="BD318" s="52"/>
      <c r="BE318" s="52"/>
      <c r="BF318" s="83">
        <v>0</v>
      </c>
    </row>
    <row r="319" spans="1:58" ht="16" x14ac:dyDescent="0.35">
      <c r="A319" s="41"/>
      <c r="B319" s="42"/>
      <c r="C319" s="42"/>
      <c r="D319" s="42"/>
      <c r="E319" s="42"/>
      <c r="F319" s="42"/>
      <c r="G319"/>
      <c r="H319" s="43"/>
      <c r="I319" s="43"/>
      <c r="J319" s="43"/>
      <c r="K319" s="43"/>
      <c r="L319" s="43"/>
      <c r="M319" s="42"/>
      <c r="N319" s="42"/>
      <c r="O319" s="42"/>
      <c r="P319" s="42"/>
      <c r="Q319" s="83">
        <v>0</v>
      </c>
      <c r="R319" s="42"/>
      <c r="S319" s="42"/>
      <c r="T319" s="42"/>
      <c r="U319" s="42"/>
      <c r="V319" s="42"/>
      <c r="W319" s="42"/>
      <c r="X319" s="42"/>
      <c r="Y319" s="43"/>
      <c r="Z319" s="42"/>
      <c r="AA319" s="42"/>
      <c r="AB319" s="44"/>
      <c r="AP319"/>
      <c r="AQ319" s="48"/>
      <c r="AR319" s="48"/>
      <c r="AS319"/>
      <c r="AT319" s="48"/>
      <c r="AU319" s="48"/>
      <c r="AV319"/>
      <c r="AW319" s="49"/>
      <c r="AX319" s="49"/>
      <c r="AY319" s="49"/>
      <c r="AZ319" s="49"/>
      <c r="BA319" s="49"/>
      <c r="BB319" s="48"/>
      <c r="BC319" s="48"/>
      <c r="BD319" s="48"/>
      <c r="BE319" s="48"/>
      <c r="BF319" s="83">
        <v>0</v>
      </c>
    </row>
    <row r="320" spans="1:58" ht="16" x14ac:dyDescent="0.35">
      <c r="A320" s="37"/>
      <c r="B320" s="38"/>
      <c r="C320" s="38"/>
      <c r="D320" s="38"/>
      <c r="E320" s="38"/>
      <c r="F320" s="38"/>
      <c r="G320"/>
      <c r="H320" s="39"/>
      <c r="I320" s="39"/>
      <c r="J320" s="39"/>
      <c r="K320" s="39"/>
      <c r="L320" s="39"/>
      <c r="M320" s="38"/>
      <c r="N320" s="38"/>
      <c r="O320" s="38"/>
      <c r="P320" s="38"/>
      <c r="Q320" s="83">
        <v>0</v>
      </c>
      <c r="R320" s="38"/>
      <c r="S320" s="38"/>
      <c r="T320" s="38"/>
      <c r="U320" s="38"/>
      <c r="V320" s="38"/>
      <c r="W320" s="38"/>
      <c r="X320" s="38"/>
      <c r="Y320" s="39"/>
      <c r="Z320" s="38"/>
      <c r="AA320" s="38"/>
      <c r="AB320" s="40"/>
      <c r="AP320"/>
      <c r="AQ320" s="52"/>
      <c r="AR320" s="52"/>
      <c r="AS320"/>
      <c r="AT320" s="52"/>
      <c r="AU320" s="52"/>
      <c r="AV320"/>
      <c r="AW320" s="53"/>
      <c r="AX320" s="53"/>
      <c r="AY320" s="53"/>
      <c r="AZ320" s="53"/>
      <c r="BA320" s="53"/>
      <c r="BB320" s="52"/>
      <c r="BC320" s="52"/>
      <c r="BD320" s="52"/>
      <c r="BE320" s="52"/>
      <c r="BF320" s="83">
        <v>0</v>
      </c>
    </row>
    <row r="321" spans="1:58" ht="16" x14ac:dyDescent="0.35">
      <c r="A321" s="41"/>
      <c r="B321" s="42"/>
      <c r="C321" s="42"/>
      <c r="D321" s="42"/>
      <c r="E321" s="42"/>
      <c r="F321" s="42"/>
      <c r="G321"/>
      <c r="H321" s="43"/>
      <c r="I321" s="43"/>
      <c r="J321" s="43"/>
      <c r="K321" s="43"/>
      <c r="L321" s="43"/>
      <c r="M321" s="42"/>
      <c r="N321" s="42"/>
      <c r="O321" s="42"/>
      <c r="P321" s="42"/>
      <c r="Q321" s="83">
        <v>0</v>
      </c>
      <c r="R321" s="42"/>
      <c r="S321" s="42"/>
      <c r="T321" s="42"/>
      <c r="U321" s="42"/>
      <c r="V321" s="42"/>
      <c r="W321" s="42"/>
      <c r="X321" s="42"/>
      <c r="Y321" s="43"/>
      <c r="Z321" s="42"/>
      <c r="AA321" s="42"/>
      <c r="AB321" s="44"/>
      <c r="AP321"/>
      <c r="AQ321" s="48"/>
      <c r="AR321" s="48"/>
      <c r="AS321"/>
      <c r="AT321" s="48"/>
      <c r="AU321" s="48"/>
      <c r="AV321"/>
      <c r="AW321" s="49"/>
      <c r="AX321" s="49"/>
      <c r="AY321" s="49"/>
      <c r="AZ321" s="49"/>
      <c r="BA321" s="49"/>
      <c r="BB321" s="48"/>
      <c r="BC321" s="48"/>
      <c r="BD321" s="48"/>
      <c r="BE321" s="48"/>
      <c r="BF321" s="83">
        <v>0</v>
      </c>
    </row>
    <row r="322" spans="1:58" ht="16" x14ac:dyDescent="0.35">
      <c r="A322" s="37"/>
      <c r="B322" s="38"/>
      <c r="C322" s="38"/>
      <c r="D322" s="38"/>
      <c r="E322" s="38"/>
      <c r="F322" s="38"/>
      <c r="G322"/>
      <c r="H322" s="39"/>
      <c r="I322" s="39"/>
      <c r="J322" s="39"/>
      <c r="K322" s="39"/>
      <c r="L322" s="39"/>
      <c r="M322" s="38"/>
      <c r="N322" s="38"/>
      <c r="O322" s="38"/>
      <c r="P322" s="38"/>
      <c r="Q322" s="83">
        <v>0</v>
      </c>
      <c r="R322" s="38"/>
      <c r="S322" s="38"/>
      <c r="T322" s="38"/>
      <c r="U322" s="38"/>
      <c r="V322" s="38"/>
      <c r="W322" s="38"/>
      <c r="X322" s="38"/>
      <c r="Y322" s="39"/>
      <c r="Z322" s="38"/>
      <c r="AA322" s="38"/>
      <c r="AB322" s="40"/>
      <c r="AP322"/>
      <c r="AQ322" s="52"/>
      <c r="AR322" s="52"/>
      <c r="AS322"/>
      <c r="AT322" s="52"/>
      <c r="AU322" s="52"/>
      <c r="AV322"/>
      <c r="AW322" s="53"/>
      <c r="AX322" s="53"/>
      <c r="AY322" s="53"/>
      <c r="AZ322" s="53"/>
      <c r="BA322" s="53"/>
      <c r="BB322" s="52"/>
      <c r="BC322" s="52"/>
      <c r="BD322" s="52"/>
      <c r="BE322" s="52"/>
      <c r="BF322" s="83">
        <v>1</v>
      </c>
    </row>
    <row r="323" spans="1:58" ht="16" x14ac:dyDescent="0.35">
      <c r="A323" s="41"/>
      <c r="B323" s="42"/>
      <c r="C323" s="42"/>
      <c r="D323" s="42"/>
      <c r="E323" s="42"/>
      <c r="F323" s="42"/>
      <c r="G323"/>
      <c r="H323" s="43"/>
      <c r="I323" s="43"/>
      <c r="J323" s="43"/>
      <c r="K323" s="43"/>
      <c r="L323" s="43"/>
      <c r="M323" s="42"/>
      <c r="N323" s="42"/>
      <c r="O323" s="42"/>
      <c r="P323" s="42"/>
      <c r="Q323" s="83">
        <v>0</v>
      </c>
      <c r="R323" s="42"/>
      <c r="S323" s="42"/>
      <c r="T323" s="42"/>
      <c r="U323" s="42"/>
      <c r="V323" s="42"/>
      <c r="W323" s="42"/>
      <c r="X323" s="42"/>
      <c r="Y323" s="43"/>
      <c r="Z323" s="42"/>
      <c r="AA323" s="42"/>
      <c r="AB323" s="44"/>
      <c r="AP323"/>
      <c r="AQ323" s="48"/>
      <c r="AR323" s="48"/>
      <c r="AS323"/>
      <c r="AT323" s="48"/>
      <c r="AU323" s="48"/>
      <c r="AV323"/>
      <c r="AW323" s="49"/>
      <c r="AX323" s="49"/>
      <c r="AY323" s="49"/>
      <c r="AZ323" s="49"/>
      <c r="BA323" s="49"/>
      <c r="BB323" s="48"/>
      <c r="BC323" s="48"/>
      <c r="BD323" s="48"/>
      <c r="BE323" s="48"/>
      <c r="BF323" s="83">
        <v>2</v>
      </c>
    </row>
    <row r="324" spans="1:58" ht="16" x14ac:dyDescent="0.35">
      <c r="A324" s="37"/>
      <c r="B324" s="38"/>
      <c r="C324" s="38"/>
      <c r="D324" s="38"/>
      <c r="E324" s="38"/>
      <c r="F324" s="38"/>
      <c r="G324"/>
      <c r="H324" s="39"/>
      <c r="I324" s="39"/>
      <c r="J324" s="39"/>
      <c r="K324" s="39"/>
      <c r="L324" s="39"/>
      <c r="M324" s="38"/>
      <c r="N324" s="38"/>
      <c r="O324" s="38"/>
      <c r="P324" s="38"/>
      <c r="Q324" s="83">
        <v>0</v>
      </c>
      <c r="R324" s="38"/>
      <c r="S324" s="38"/>
      <c r="T324" s="38"/>
      <c r="U324" s="38"/>
      <c r="V324" s="38"/>
      <c r="W324" s="38"/>
      <c r="X324" s="38"/>
      <c r="Y324" s="39"/>
      <c r="Z324" s="38"/>
      <c r="AA324" s="38"/>
      <c r="AB324" s="40"/>
      <c r="AP324"/>
      <c r="AQ324" s="52"/>
      <c r="AR324" s="52"/>
      <c r="AS324"/>
      <c r="AT324" s="52"/>
      <c r="AU324" s="52"/>
      <c r="AV324"/>
      <c r="AW324" s="53"/>
      <c r="AX324" s="53"/>
      <c r="AY324" s="53"/>
      <c r="AZ324" s="53"/>
      <c r="BA324" s="53"/>
      <c r="BB324" s="52"/>
      <c r="BC324" s="52"/>
      <c r="BD324" s="52"/>
      <c r="BE324" s="52"/>
      <c r="BF324" s="83">
        <v>0</v>
      </c>
    </row>
    <row r="325" spans="1:58" ht="16" x14ac:dyDescent="0.35">
      <c r="A325" s="41"/>
      <c r="B325" s="42"/>
      <c r="C325" s="42"/>
      <c r="D325" s="42"/>
      <c r="E325" s="42"/>
      <c r="F325" s="42"/>
      <c r="G325"/>
      <c r="H325" s="43"/>
      <c r="I325" s="43"/>
      <c r="J325" s="43"/>
      <c r="K325" s="43"/>
      <c r="L325" s="43"/>
      <c r="M325" s="42"/>
      <c r="N325" s="42"/>
      <c r="O325" s="42"/>
      <c r="P325" s="42"/>
      <c r="Q325" s="83">
        <v>0</v>
      </c>
      <c r="R325" s="42"/>
      <c r="S325" s="42"/>
      <c r="T325" s="42"/>
      <c r="U325" s="42"/>
      <c r="V325" s="42"/>
      <c r="W325" s="42"/>
      <c r="X325" s="42"/>
      <c r="Y325" s="43"/>
      <c r="Z325" s="42"/>
      <c r="AA325" s="42"/>
      <c r="AB325" s="44"/>
      <c r="AP325"/>
      <c r="AQ325" s="48"/>
      <c r="AR325" s="48"/>
      <c r="AS325"/>
      <c r="AT325" s="48"/>
      <c r="AU325" s="48"/>
      <c r="AV325"/>
      <c r="AW325" s="49"/>
      <c r="AX325" s="49"/>
      <c r="AY325" s="49"/>
      <c r="AZ325" s="49"/>
      <c r="BA325" s="49"/>
      <c r="BB325" s="48"/>
      <c r="BC325" s="48"/>
      <c r="BD325" s="48"/>
      <c r="BE325" s="48"/>
      <c r="BF325" s="83">
        <v>0</v>
      </c>
    </row>
    <row r="326" spans="1:58" ht="16" x14ac:dyDescent="0.35">
      <c r="A326" s="37"/>
      <c r="B326" s="38"/>
      <c r="C326" s="38"/>
      <c r="D326" s="38"/>
      <c r="E326" s="38"/>
      <c r="F326" s="38"/>
      <c r="G326"/>
      <c r="H326" s="39"/>
      <c r="I326" s="39"/>
      <c r="J326" s="39"/>
      <c r="K326" s="39"/>
      <c r="L326" s="39"/>
      <c r="M326" s="38"/>
      <c r="N326" s="38"/>
      <c r="O326" s="38"/>
      <c r="P326" s="38"/>
      <c r="Q326" s="83">
        <v>0</v>
      </c>
      <c r="R326" s="38"/>
      <c r="S326" s="38"/>
      <c r="T326" s="38"/>
      <c r="U326" s="38"/>
      <c r="V326" s="38"/>
      <c r="W326" s="38"/>
      <c r="X326" s="38"/>
      <c r="Y326" s="39"/>
      <c r="Z326" s="38"/>
      <c r="AA326" s="38"/>
      <c r="AB326" s="40"/>
      <c r="AP326"/>
      <c r="AQ326" s="52"/>
      <c r="AR326" s="52"/>
      <c r="AS326"/>
      <c r="AT326" s="52"/>
      <c r="AU326" s="52"/>
      <c r="AV326"/>
      <c r="AW326" s="53"/>
      <c r="AX326" s="53"/>
      <c r="AY326" s="53"/>
      <c r="AZ326" s="53"/>
      <c r="BA326" s="53"/>
      <c r="BB326" s="52"/>
      <c r="BC326" s="52"/>
      <c r="BD326" s="52"/>
      <c r="BE326" s="52"/>
      <c r="BF326" s="83">
        <v>0</v>
      </c>
    </row>
    <row r="327" spans="1:58" ht="16" x14ac:dyDescent="0.35">
      <c r="A327" s="41"/>
      <c r="B327" s="42"/>
      <c r="C327" s="42"/>
      <c r="D327" s="42"/>
      <c r="E327" s="42"/>
      <c r="F327" s="42"/>
      <c r="G327"/>
      <c r="H327" s="43"/>
      <c r="I327" s="43"/>
      <c r="J327" s="43"/>
      <c r="K327" s="43"/>
      <c r="L327" s="43"/>
      <c r="M327" s="42"/>
      <c r="N327" s="42"/>
      <c r="O327" s="42"/>
      <c r="P327" s="42"/>
      <c r="Q327" s="83">
        <v>0</v>
      </c>
      <c r="R327" s="42"/>
      <c r="S327" s="42"/>
      <c r="T327" s="42"/>
      <c r="U327" s="42"/>
      <c r="V327" s="42"/>
      <c r="W327" s="42"/>
      <c r="X327" s="42"/>
      <c r="Y327" s="43"/>
      <c r="Z327" s="42"/>
      <c r="AA327" s="42"/>
      <c r="AB327" s="44"/>
      <c r="AP327"/>
      <c r="AQ327" s="48"/>
      <c r="AR327" s="48"/>
      <c r="AS327"/>
      <c r="AT327" s="48"/>
      <c r="AU327" s="48"/>
      <c r="AV327"/>
      <c r="AW327" s="49"/>
      <c r="AX327" s="49"/>
      <c r="AY327" s="49"/>
      <c r="AZ327" s="49"/>
      <c r="BA327" s="49"/>
      <c r="BB327" s="48"/>
      <c r="BC327" s="48"/>
      <c r="BD327" s="48"/>
      <c r="BE327" s="48"/>
      <c r="BF327" s="83">
        <v>0</v>
      </c>
    </row>
    <row r="328" spans="1:58" ht="16" x14ac:dyDescent="0.35">
      <c r="A328" s="37"/>
      <c r="B328" s="38"/>
      <c r="C328" s="38"/>
      <c r="D328" s="38"/>
      <c r="E328" s="38"/>
      <c r="F328" s="38"/>
      <c r="G328" s="38"/>
      <c r="H328" s="39"/>
      <c r="I328" s="39"/>
      <c r="J328" s="39"/>
      <c r="K328" s="39"/>
      <c r="L328" s="39"/>
      <c r="M328" s="38"/>
      <c r="N328" s="38"/>
      <c r="O328" s="38"/>
      <c r="P328" s="38"/>
      <c r="Q328" s="38"/>
      <c r="R328" s="38"/>
      <c r="S328" s="38"/>
      <c r="T328" s="38"/>
      <c r="U328" s="38"/>
      <c r="V328" s="38"/>
      <c r="W328" s="38"/>
      <c r="X328" s="38"/>
      <c r="Y328" s="39"/>
      <c r="Z328" s="38"/>
      <c r="AA328" s="38"/>
      <c r="AB328" s="40"/>
      <c r="AP328"/>
      <c r="AQ328" s="52"/>
      <c r="AR328" s="52"/>
      <c r="AS328"/>
      <c r="AT328" s="52"/>
      <c r="AU328" s="52"/>
      <c r="AV328"/>
      <c r="AW328" s="53"/>
      <c r="AX328" s="53"/>
      <c r="AY328" s="53"/>
      <c r="AZ328" s="53"/>
      <c r="BA328" s="53"/>
      <c r="BB328" s="52"/>
      <c r="BC328" s="52"/>
      <c r="BD328" s="52"/>
      <c r="BE328" s="52"/>
      <c r="BF328" s="83">
        <v>0</v>
      </c>
    </row>
    <row r="329" spans="1:58" ht="16" x14ac:dyDescent="0.35">
      <c r="A329" s="41"/>
      <c r="B329" s="42"/>
      <c r="C329" s="42"/>
      <c r="D329" s="42"/>
      <c r="E329" s="42"/>
      <c r="F329" s="42"/>
      <c r="G329" s="42"/>
      <c r="H329" s="43"/>
      <c r="I329" s="43"/>
      <c r="J329" s="43"/>
      <c r="K329" s="43"/>
      <c r="L329" s="43"/>
      <c r="M329" s="42"/>
      <c r="N329" s="42"/>
      <c r="O329" s="42"/>
      <c r="P329" s="42"/>
      <c r="Q329" s="42"/>
      <c r="R329" s="42"/>
      <c r="S329" s="42"/>
      <c r="T329" s="42"/>
      <c r="U329" s="42"/>
      <c r="V329" s="42"/>
      <c r="W329" s="42"/>
      <c r="X329" s="42"/>
      <c r="Y329" s="43"/>
      <c r="Z329" s="42"/>
      <c r="AA329" s="42"/>
      <c r="AB329" s="44"/>
      <c r="AP329"/>
      <c r="AQ329" s="48"/>
      <c r="AR329" s="48"/>
      <c r="AS329"/>
      <c r="AT329" s="48"/>
      <c r="AU329" s="48"/>
      <c r="AV329"/>
      <c r="AW329" s="49"/>
      <c r="AX329" s="49"/>
      <c r="AY329" s="49"/>
      <c r="AZ329" s="49"/>
      <c r="BA329" s="49"/>
      <c r="BB329" s="48"/>
      <c r="BC329" s="48"/>
      <c r="BD329" s="48"/>
      <c r="BE329" s="48"/>
      <c r="BF329" s="83">
        <v>0</v>
      </c>
    </row>
    <row r="330" spans="1:58" ht="16" x14ac:dyDescent="0.35">
      <c r="A330" s="37"/>
      <c r="B330" s="38"/>
      <c r="C330" s="38"/>
      <c r="D330" s="38"/>
      <c r="E330" s="38"/>
      <c r="F330" s="38"/>
      <c r="G330" s="38"/>
      <c r="H330" s="39"/>
      <c r="I330" s="39"/>
      <c r="J330" s="39"/>
      <c r="K330" s="39"/>
      <c r="L330" s="39"/>
      <c r="M330" s="38"/>
      <c r="N330" s="38"/>
      <c r="O330" s="38"/>
      <c r="P330" s="38"/>
      <c r="Q330" s="38"/>
      <c r="R330" s="38"/>
      <c r="S330" s="38"/>
      <c r="T330" s="38"/>
      <c r="U330" s="38"/>
      <c r="V330" s="38"/>
      <c r="W330" s="38"/>
      <c r="X330" s="38"/>
      <c r="Y330" s="39"/>
      <c r="Z330" s="38"/>
      <c r="AA330" s="38"/>
      <c r="AB330" s="40"/>
      <c r="AP330"/>
      <c r="AQ330" s="52"/>
      <c r="AR330" s="52"/>
      <c r="AS330"/>
      <c r="AT330" s="52"/>
      <c r="AU330" s="52"/>
      <c r="AV330"/>
      <c r="AW330" s="53"/>
      <c r="AX330" s="53"/>
      <c r="AY330" s="53"/>
      <c r="AZ330" s="53"/>
      <c r="BA330" s="53"/>
      <c r="BB330" s="52"/>
      <c r="BC330" s="52"/>
      <c r="BD330" s="52"/>
      <c r="BE330" s="52"/>
      <c r="BF330" s="83">
        <v>0</v>
      </c>
    </row>
    <row r="331" spans="1:58" ht="16" x14ac:dyDescent="0.35">
      <c r="A331" s="41"/>
      <c r="B331" s="42"/>
      <c r="C331" s="42"/>
      <c r="D331" s="42"/>
      <c r="E331" s="42"/>
      <c r="F331" s="42"/>
      <c r="G331" s="42"/>
      <c r="H331" s="43"/>
      <c r="I331" s="43"/>
      <c r="J331" s="43"/>
      <c r="K331" s="43"/>
      <c r="L331" s="43"/>
      <c r="M331" s="42"/>
      <c r="N331" s="42"/>
      <c r="O331" s="42"/>
      <c r="P331" s="42"/>
      <c r="Q331" s="42"/>
      <c r="R331" s="42"/>
      <c r="S331" s="42"/>
      <c r="T331" s="42"/>
      <c r="U331" s="42"/>
      <c r="V331" s="42"/>
      <c r="W331" s="42"/>
      <c r="X331" s="42"/>
      <c r="Y331" s="43"/>
      <c r="Z331" s="42"/>
      <c r="AA331" s="42"/>
      <c r="AB331" s="44"/>
      <c r="AP331"/>
      <c r="AQ331" s="48"/>
      <c r="AR331" s="48"/>
      <c r="AS331"/>
      <c r="AT331" s="48"/>
      <c r="AU331" s="48"/>
      <c r="AV331"/>
      <c r="AW331" s="49"/>
      <c r="AX331" s="49"/>
      <c r="AY331" s="49"/>
      <c r="AZ331" s="49"/>
      <c r="BA331" s="49"/>
      <c r="BB331" s="48"/>
      <c r="BC331" s="48"/>
      <c r="BD331" s="48"/>
      <c r="BE331" s="48"/>
      <c r="BF331" s="83">
        <v>0</v>
      </c>
    </row>
    <row r="332" spans="1:58" ht="16" x14ac:dyDescent="0.35">
      <c r="A332" s="37"/>
      <c r="B332" s="38"/>
      <c r="C332" s="38"/>
      <c r="D332" s="38"/>
      <c r="E332" s="38"/>
      <c r="F332" s="38"/>
      <c r="G332" s="38"/>
      <c r="H332" s="39"/>
      <c r="I332" s="39"/>
      <c r="J332" s="39"/>
      <c r="K332" s="39"/>
      <c r="L332" s="39"/>
      <c r="M332" s="38"/>
      <c r="N332" s="38"/>
      <c r="O332" s="38"/>
      <c r="P332" s="38"/>
      <c r="Q332" s="38"/>
      <c r="R332" s="38"/>
      <c r="S332" s="38"/>
      <c r="T332" s="38"/>
      <c r="U332" s="38"/>
      <c r="V332" s="38"/>
      <c r="W332" s="38"/>
      <c r="X332" s="38"/>
      <c r="Y332" s="39"/>
      <c r="Z332" s="38"/>
      <c r="AA332" s="38"/>
      <c r="AB332" s="40"/>
      <c r="AP332"/>
      <c r="AQ332" s="52"/>
      <c r="AR332" s="52"/>
      <c r="AS332"/>
      <c r="AT332" s="52"/>
      <c r="AU332" s="52"/>
      <c r="AV332"/>
      <c r="AW332" s="53"/>
      <c r="AX332" s="53"/>
      <c r="AY332" s="53"/>
      <c r="AZ332" s="53"/>
      <c r="BA332" s="53"/>
      <c r="BB332" s="52"/>
      <c r="BC332" s="52"/>
      <c r="BD332" s="52"/>
      <c r="BE332" s="52"/>
      <c r="BF332" s="83">
        <v>0</v>
      </c>
    </row>
    <row r="333" spans="1:58" ht="16" x14ac:dyDescent="0.35">
      <c r="A333" s="41"/>
      <c r="B333" s="42"/>
      <c r="C333" s="42"/>
      <c r="D333" s="42"/>
      <c r="E333" s="42"/>
      <c r="F333" s="42"/>
      <c r="G333" s="42"/>
      <c r="H333" s="43"/>
      <c r="I333" s="43"/>
      <c r="J333" s="43"/>
      <c r="K333" s="43"/>
      <c r="L333" s="43"/>
      <c r="M333" s="42"/>
      <c r="N333" s="42"/>
      <c r="O333" s="42"/>
      <c r="P333" s="42"/>
      <c r="Q333" s="42"/>
      <c r="R333" s="42"/>
      <c r="S333" s="42"/>
      <c r="T333" s="42"/>
      <c r="U333" s="42"/>
      <c r="V333" s="42"/>
      <c r="W333" s="42"/>
      <c r="X333" s="42"/>
      <c r="Y333" s="43"/>
      <c r="Z333" s="42"/>
      <c r="AA333" s="42"/>
      <c r="AB333" s="44"/>
      <c r="AP333"/>
      <c r="AQ333" s="48"/>
      <c r="AR333" s="48"/>
      <c r="AS333"/>
      <c r="AT333" s="48"/>
      <c r="AU333" s="48"/>
      <c r="AV333"/>
      <c r="AW333" s="49"/>
      <c r="AX333" s="49"/>
      <c r="AY333" s="49"/>
      <c r="AZ333" s="49"/>
      <c r="BA333" s="49"/>
      <c r="BB333" s="48"/>
      <c r="BC333" s="48"/>
      <c r="BD333" s="48"/>
      <c r="BE333" s="48"/>
      <c r="BF333" s="83">
        <v>0</v>
      </c>
    </row>
    <row r="334" spans="1:58" ht="16" x14ac:dyDescent="0.35">
      <c r="A334" s="37"/>
      <c r="B334" s="38"/>
      <c r="C334" s="38"/>
      <c r="D334" s="38"/>
      <c r="E334" s="38"/>
      <c r="F334" s="38"/>
      <c r="G334" s="38"/>
      <c r="H334" s="39"/>
      <c r="I334" s="39"/>
      <c r="J334" s="39"/>
      <c r="K334" s="39"/>
      <c r="L334" s="39"/>
      <c r="M334" s="38"/>
      <c r="N334" s="38"/>
      <c r="O334" s="38"/>
      <c r="P334" s="38"/>
      <c r="Q334" s="38"/>
      <c r="R334" s="38"/>
      <c r="S334" s="38"/>
      <c r="T334" s="38"/>
      <c r="U334" s="38"/>
      <c r="V334" s="38"/>
      <c r="W334" s="38"/>
      <c r="X334" s="38"/>
      <c r="Y334" s="39"/>
      <c r="Z334" s="38"/>
      <c r="AA334" s="38"/>
      <c r="AB334" s="40"/>
      <c r="AP334"/>
      <c r="AQ334" s="52"/>
      <c r="AR334" s="52"/>
      <c r="AS334"/>
      <c r="AT334" s="52"/>
      <c r="AU334" s="52"/>
      <c r="AV334"/>
      <c r="AW334" s="53"/>
      <c r="AX334" s="53"/>
      <c r="AY334" s="53"/>
      <c r="AZ334" s="53"/>
      <c r="BA334" s="53"/>
      <c r="BB334" s="52"/>
      <c r="BC334" s="52"/>
      <c r="BD334" s="52"/>
      <c r="BE334" s="52"/>
      <c r="BF334" s="83">
        <v>0</v>
      </c>
    </row>
    <row r="335" spans="1:58" ht="16" x14ac:dyDescent="0.35">
      <c r="A335" s="41"/>
      <c r="B335" s="42"/>
      <c r="C335" s="42"/>
      <c r="D335" s="42"/>
      <c r="E335" s="42"/>
      <c r="F335" s="42"/>
      <c r="G335" s="42"/>
      <c r="H335" s="43"/>
      <c r="I335" s="43"/>
      <c r="J335" s="43"/>
      <c r="K335" s="43"/>
      <c r="L335" s="43"/>
      <c r="M335" s="42"/>
      <c r="N335" s="42"/>
      <c r="O335" s="42"/>
      <c r="P335" s="42"/>
      <c r="Q335" s="42"/>
      <c r="R335" s="42"/>
      <c r="S335" s="42"/>
      <c r="T335" s="42"/>
      <c r="U335" s="42"/>
      <c r="V335" s="42"/>
      <c r="W335" s="42"/>
      <c r="X335" s="42"/>
      <c r="Y335" s="43"/>
      <c r="Z335" s="42"/>
      <c r="AA335" s="42"/>
      <c r="AB335" s="44"/>
      <c r="AP335"/>
      <c r="AQ335" s="48"/>
      <c r="AR335" s="48"/>
      <c r="AS335"/>
      <c r="AT335" s="48"/>
      <c r="AU335" s="48"/>
      <c r="AV335"/>
      <c r="AW335" s="49"/>
      <c r="AX335" s="49"/>
      <c r="AY335" s="49"/>
      <c r="AZ335" s="49"/>
      <c r="BA335" s="49"/>
      <c r="BB335" s="48"/>
      <c r="BC335" s="48"/>
      <c r="BD335" s="48"/>
      <c r="BE335" s="48"/>
      <c r="BF335" s="83">
        <v>0</v>
      </c>
    </row>
    <row r="336" spans="1:58" ht="16" x14ac:dyDescent="0.35">
      <c r="A336" s="37"/>
      <c r="B336" s="38"/>
      <c r="C336" s="38"/>
      <c r="D336" s="38"/>
      <c r="E336" s="38"/>
      <c r="F336" s="38"/>
      <c r="G336" s="38"/>
      <c r="H336" s="39"/>
      <c r="I336" s="39"/>
      <c r="J336" s="39"/>
      <c r="K336" s="39"/>
      <c r="L336" s="39"/>
      <c r="M336" s="38"/>
      <c r="N336" s="38"/>
      <c r="O336" s="38"/>
      <c r="P336" s="38"/>
      <c r="Q336" s="38"/>
      <c r="R336" s="38"/>
      <c r="S336" s="38"/>
      <c r="T336" s="38"/>
      <c r="U336" s="38"/>
      <c r="V336" s="38"/>
      <c r="W336" s="38"/>
      <c r="X336" s="38"/>
      <c r="Y336" s="39"/>
      <c r="Z336" s="38"/>
      <c r="AA336" s="38"/>
      <c r="AB336" s="40"/>
      <c r="AP336"/>
      <c r="AQ336" s="52"/>
      <c r="AR336" s="52"/>
      <c r="AS336"/>
      <c r="AT336" s="52"/>
      <c r="AU336" s="52"/>
      <c r="AV336"/>
      <c r="AW336" s="53"/>
      <c r="AX336" s="53"/>
      <c r="AY336" s="53"/>
      <c r="AZ336" s="53"/>
      <c r="BA336" s="53"/>
      <c r="BB336" s="52"/>
      <c r="BC336" s="52"/>
      <c r="BD336" s="52"/>
      <c r="BE336" s="52"/>
      <c r="BF336" s="83">
        <v>0</v>
      </c>
    </row>
    <row r="337" spans="1:58" ht="16" x14ac:dyDescent="0.35">
      <c r="A337" s="41"/>
      <c r="B337" s="42"/>
      <c r="C337" s="42"/>
      <c r="D337" s="42"/>
      <c r="E337" s="42"/>
      <c r="F337" s="42"/>
      <c r="G337" s="42"/>
      <c r="H337" s="43"/>
      <c r="I337" s="43"/>
      <c r="J337" s="43"/>
      <c r="K337" s="43"/>
      <c r="L337" s="43"/>
      <c r="M337" s="42"/>
      <c r="N337" s="42"/>
      <c r="O337" s="42"/>
      <c r="P337" s="42"/>
      <c r="Q337" s="42"/>
      <c r="R337" s="42"/>
      <c r="S337" s="42"/>
      <c r="T337" s="42"/>
      <c r="U337" s="42"/>
      <c r="V337" s="42"/>
      <c r="W337" s="42"/>
      <c r="X337" s="42"/>
      <c r="Y337" s="43"/>
      <c r="Z337" s="42"/>
      <c r="AA337" s="42"/>
      <c r="AB337" s="44"/>
      <c r="AP337"/>
      <c r="AQ337" s="48"/>
      <c r="AR337" s="48"/>
      <c r="AS337"/>
      <c r="AT337" s="48"/>
      <c r="AU337" s="48"/>
      <c r="AV337"/>
      <c r="AW337" s="49"/>
      <c r="AX337" s="49"/>
      <c r="AY337" s="49"/>
      <c r="AZ337" s="49"/>
      <c r="BA337" s="49"/>
      <c r="BB337" s="48"/>
      <c r="BC337" s="48"/>
      <c r="BD337" s="48"/>
      <c r="BE337" s="48"/>
      <c r="BF337" s="83">
        <v>0</v>
      </c>
    </row>
    <row r="338" spans="1:58" ht="16" x14ac:dyDescent="0.35">
      <c r="A338" s="37"/>
      <c r="B338" s="38"/>
      <c r="C338" s="38"/>
      <c r="D338" s="38"/>
      <c r="E338" s="38"/>
      <c r="F338" s="38"/>
      <c r="G338" s="38"/>
      <c r="H338" s="39"/>
      <c r="I338" s="39"/>
      <c r="J338" s="39"/>
      <c r="K338" s="39"/>
      <c r="L338" s="39"/>
      <c r="M338" s="38"/>
      <c r="N338" s="38"/>
      <c r="O338" s="38"/>
      <c r="P338" s="38"/>
      <c r="Q338" s="38"/>
      <c r="R338" s="38"/>
      <c r="S338" s="38"/>
      <c r="T338" s="38"/>
      <c r="U338" s="38"/>
      <c r="V338" s="38"/>
      <c r="W338" s="38"/>
      <c r="X338" s="38"/>
      <c r="Y338" s="39"/>
      <c r="Z338" s="38"/>
      <c r="AA338" s="38"/>
      <c r="AB338" s="40"/>
      <c r="AP338"/>
      <c r="AQ338" s="52"/>
      <c r="AR338" s="52"/>
      <c r="AS338"/>
      <c r="AT338" s="52"/>
      <c r="AU338" s="52"/>
      <c r="AV338"/>
      <c r="AW338" s="53"/>
      <c r="AX338" s="53"/>
      <c r="AY338" s="53"/>
      <c r="AZ338" s="53"/>
      <c r="BA338" s="53"/>
      <c r="BB338" s="52"/>
      <c r="BC338" s="52"/>
      <c r="BD338" s="52"/>
      <c r="BE338" s="52"/>
      <c r="BF338" s="83">
        <v>0</v>
      </c>
    </row>
    <row r="339" spans="1:58" ht="16" x14ac:dyDescent="0.35">
      <c r="A339" s="41"/>
      <c r="B339" s="42"/>
      <c r="C339" s="42"/>
      <c r="D339" s="42"/>
      <c r="E339" s="42"/>
      <c r="F339" s="42"/>
      <c r="G339" s="42"/>
      <c r="H339" s="43"/>
      <c r="I339" s="43"/>
      <c r="J339" s="43"/>
      <c r="K339" s="43"/>
      <c r="L339" s="43"/>
      <c r="M339" s="42"/>
      <c r="N339" s="42"/>
      <c r="O339" s="42"/>
      <c r="P339" s="42"/>
      <c r="Q339" s="42"/>
      <c r="R339" s="42"/>
      <c r="S339" s="42"/>
      <c r="T339" s="42"/>
      <c r="U339" s="42"/>
      <c r="V339" s="42"/>
      <c r="W339" s="42"/>
      <c r="X339" s="42"/>
      <c r="Y339" s="43"/>
      <c r="Z339" s="42"/>
      <c r="AA339" s="42"/>
      <c r="AB339" s="44"/>
      <c r="AP339"/>
      <c r="AQ339" s="48"/>
      <c r="AR339" s="48"/>
      <c r="AS339"/>
      <c r="AT339" s="48"/>
      <c r="AU339" s="48"/>
      <c r="AV339"/>
      <c r="AW339" s="39"/>
      <c r="AX339" s="39"/>
      <c r="AY339" s="39"/>
      <c r="AZ339" s="39"/>
      <c r="BA339" s="39"/>
      <c r="BB339" s="38"/>
      <c r="BC339" s="38"/>
      <c r="BD339" s="38"/>
      <c r="BE339" s="38"/>
      <c r="BF339" s="83">
        <v>0</v>
      </c>
    </row>
    <row r="340" spans="1:58" ht="16" x14ac:dyDescent="0.35">
      <c r="A340" s="37"/>
      <c r="B340" s="38"/>
      <c r="C340" s="38"/>
      <c r="D340" s="38"/>
      <c r="E340" s="38"/>
      <c r="F340" s="38"/>
      <c r="G340" s="38"/>
      <c r="H340" s="39"/>
      <c r="I340" s="39"/>
      <c r="J340" s="39"/>
      <c r="K340" s="39"/>
      <c r="L340" s="39"/>
      <c r="M340" s="38"/>
      <c r="N340" s="38"/>
      <c r="O340" s="38"/>
      <c r="P340" s="38"/>
      <c r="Q340" s="38"/>
      <c r="R340" s="38"/>
      <c r="S340" s="38"/>
      <c r="T340" s="38"/>
      <c r="U340" s="38"/>
      <c r="V340" s="38"/>
      <c r="W340" s="38"/>
      <c r="X340" s="38"/>
      <c r="Y340" s="39"/>
      <c r="Z340" s="38"/>
      <c r="AA340" s="38"/>
      <c r="AB340" s="40"/>
      <c r="AP340"/>
      <c r="AQ340" s="52"/>
      <c r="AR340" s="52"/>
      <c r="AS340"/>
      <c r="AT340" s="52"/>
      <c r="AU340" s="52"/>
      <c r="AV340"/>
      <c r="AW340" s="43"/>
      <c r="AX340" s="43"/>
      <c r="AY340" s="43"/>
      <c r="AZ340" s="43"/>
      <c r="BA340" s="43"/>
      <c r="BB340" s="42"/>
      <c r="BC340" s="42"/>
      <c r="BD340" s="42"/>
      <c r="BE340" s="42"/>
      <c r="BF340" s="83">
        <v>0</v>
      </c>
    </row>
    <row r="341" spans="1:58" ht="16" x14ac:dyDescent="0.35">
      <c r="A341" s="41"/>
      <c r="B341" s="42"/>
      <c r="C341" s="42"/>
      <c r="D341" s="42"/>
      <c r="E341" s="42"/>
      <c r="F341" s="42"/>
      <c r="G341" s="42"/>
      <c r="H341" s="43"/>
      <c r="I341" s="43"/>
      <c r="J341" s="43"/>
      <c r="K341" s="43"/>
      <c r="L341" s="43"/>
      <c r="M341" s="42"/>
      <c r="N341" s="42"/>
      <c r="O341" s="42"/>
      <c r="P341" s="42"/>
      <c r="Q341" s="42"/>
      <c r="R341" s="42"/>
      <c r="S341" s="42"/>
      <c r="T341" s="42"/>
      <c r="U341" s="42"/>
      <c r="V341" s="42"/>
      <c r="W341" s="42"/>
      <c r="X341" s="42"/>
      <c r="Y341" s="43"/>
      <c r="Z341" s="42"/>
      <c r="AA341" s="42"/>
      <c r="AB341" s="44"/>
      <c r="AP341"/>
      <c r="AQ341" s="48"/>
      <c r="AR341" s="48"/>
      <c r="AS341"/>
      <c r="AT341" s="48"/>
      <c r="AU341" s="48"/>
      <c r="AV341"/>
      <c r="AW341" s="39"/>
      <c r="AX341" s="39"/>
      <c r="AY341" s="39"/>
      <c r="AZ341" s="39"/>
      <c r="BA341" s="39"/>
      <c r="BB341" s="38"/>
      <c r="BC341" s="38"/>
      <c r="BD341" s="38"/>
      <c r="BE341" s="38"/>
      <c r="BF341" s="83">
        <v>0</v>
      </c>
    </row>
    <row r="342" spans="1:58" ht="16" x14ac:dyDescent="0.35">
      <c r="A342" s="37"/>
      <c r="B342" s="38"/>
      <c r="C342" s="38"/>
      <c r="D342" s="38"/>
      <c r="E342" s="38"/>
      <c r="F342" s="38"/>
      <c r="G342" s="38"/>
      <c r="H342" s="39"/>
      <c r="I342" s="39"/>
      <c r="J342" s="39"/>
      <c r="K342" s="39"/>
      <c r="L342" s="39"/>
      <c r="M342" s="38"/>
      <c r="N342" s="38"/>
      <c r="O342" s="38"/>
      <c r="P342" s="38"/>
      <c r="Q342" s="38"/>
      <c r="R342" s="38"/>
      <c r="S342" s="38"/>
      <c r="T342" s="38"/>
      <c r="U342" s="38"/>
      <c r="V342" s="38"/>
      <c r="W342" s="38"/>
      <c r="X342" s="38"/>
      <c r="Y342" s="39"/>
      <c r="Z342" s="38"/>
      <c r="AA342" s="38"/>
      <c r="AB342" s="40"/>
      <c r="AP342"/>
      <c r="AQ342" s="52"/>
      <c r="AR342" s="52"/>
      <c r="AS342"/>
      <c r="AT342" s="52"/>
      <c r="AU342" s="52"/>
      <c r="AV342"/>
      <c r="AW342" s="43"/>
      <c r="AX342" s="43"/>
      <c r="AY342" s="43"/>
      <c r="AZ342" s="43"/>
      <c r="BA342" s="43"/>
      <c r="BB342" s="42"/>
      <c r="BC342" s="42"/>
      <c r="BD342" s="42"/>
      <c r="BE342" s="42"/>
      <c r="BF342" s="83">
        <v>0</v>
      </c>
    </row>
    <row r="343" spans="1:58" ht="16" x14ac:dyDescent="0.35">
      <c r="A343" s="41"/>
      <c r="B343" s="42"/>
      <c r="C343" s="42"/>
      <c r="D343" s="42"/>
      <c r="E343" s="42"/>
      <c r="F343" s="42"/>
      <c r="G343" s="42"/>
      <c r="H343" s="43"/>
      <c r="I343" s="43"/>
      <c r="J343" s="43"/>
      <c r="K343" s="43"/>
      <c r="L343" s="43"/>
      <c r="M343" s="42"/>
      <c r="N343" s="42"/>
      <c r="O343" s="42"/>
      <c r="P343" s="42"/>
      <c r="Q343" s="42"/>
      <c r="R343" s="42"/>
      <c r="S343" s="42"/>
      <c r="T343" s="42"/>
      <c r="U343" s="42"/>
      <c r="V343" s="42"/>
      <c r="W343" s="42"/>
      <c r="X343" s="42"/>
      <c r="Y343" s="43"/>
      <c r="Z343" s="42"/>
      <c r="AA343" s="42"/>
      <c r="AB343" s="44"/>
      <c r="AP343"/>
      <c r="AQ343" s="48"/>
      <c r="AR343" s="48"/>
      <c r="AS343"/>
      <c r="AT343" s="48"/>
      <c r="AU343" s="48"/>
      <c r="AV343"/>
      <c r="AW343" s="39"/>
      <c r="AX343" s="39"/>
      <c r="AY343" s="39"/>
      <c r="AZ343" s="39"/>
      <c r="BA343" s="39"/>
      <c r="BB343" s="38"/>
      <c r="BC343" s="38"/>
      <c r="BD343" s="38"/>
      <c r="BE343" s="38"/>
      <c r="BF343" s="83">
        <v>0</v>
      </c>
    </row>
    <row r="344" spans="1:58" ht="16" x14ac:dyDescent="0.35">
      <c r="A344" s="37"/>
      <c r="B344" s="38"/>
      <c r="C344" s="38"/>
      <c r="D344" s="38"/>
      <c r="E344" s="38"/>
      <c r="F344" s="38"/>
      <c r="G344" s="38"/>
      <c r="H344" s="39"/>
      <c r="I344" s="39"/>
      <c r="J344" s="39"/>
      <c r="K344" s="39"/>
      <c r="L344" s="39"/>
      <c r="M344" s="38"/>
      <c r="N344" s="38"/>
      <c r="O344" s="38"/>
      <c r="P344" s="38"/>
      <c r="Q344" s="38"/>
      <c r="R344" s="38"/>
      <c r="S344" s="38"/>
      <c r="T344" s="38"/>
      <c r="U344" s="38"/>
      <c r="V344" s="38"/>
      <c r="W344" s="38"/>
      <c r="X344" s="38"/>
      <c r="Y344" s="39"/>
      <c r="Z344" s="38"/>
      <c r="AA344" s="38"/>
      <c r="AB344" s="40"/>
      <c r="AP344"/>
      <c r="AQ344" s="52"/>
      <c r="AR344" s="52"/>
      <c r="AS344"/>
      <c r="AT344" s="52"/>
      <c r="AU344" s="52"/>
      <c r="AV344"/>
      <c r="AW344" s="43"/>
      <c r="AX344" s="43"/>
      <c r="AY344" s="43"/>
      <c r="AZ344" s="43"/>
      <c r="BA344" s="43"/>
      <c r="BB344" s="42"/>
      <c r="BC344" s="42"/>
      <c r="BD344" s="42"/>
      <c r="BE344" s="42"/>
      <c r="BF344" s="83">
        <v>0</v>
      </c>
    </row>
    <row r="345" spans="1:58" ht="16" x14ac:dyDescent="0.35">
      <c r="A345" s="41"/>
      <c r="B345" s="42"/>
      <c r="C345" s="42"/>
      <c r="D345" s="42"/>
      <c r="E345" s="42"/>
      <c r="F345" s="42"/>
      <c r="G345" s="42"/>
      <c r="H345" s="43"/>
      <c r="I345" s="43"/>
      <c r="J345" s="43"/>
      <c r="K345" s="43"/>
      <c r="L345" s="43"/>
      <c r="M345" s="42"/>
      <c r="N345" s="42"/>
      <c r="O345" s="42"/>
      <c r="P345" s="42"/>
      <c r="Q345" s="42"/>
      <c r="R345" s="42"/>
      <c r="S345" s="42"/>
      <c r="T345" s="42"/>
      <c r="U345" s="42"/>
      <c r="V345" s="42"/>
      <c r="W345" s="42"/>
      <c r="X345" s="42"/>
      <c r="Y345" s="43"/>
      <c r="Z345" s="42"/>
      <c r="AA345" s="42"/>
      <c r="AB345" s="44"/>
      <c r="AP345"/>
      <c r="AQ345" s="48"/>
      <c r="AR345" s="48"/>
      <c r="AS345"/>
      <c r="AT345" s="48"/>
      <c r="AU345" s="48"/>
      <c r="AV345"/>
      <c r="AW345" s="39"/>
      <c r="AX345" s="39"/>
      <c r="AY345" s="39"/>
      <c r="AZ345" s="39"/>
      <c r="BA345" s="39"/>
      <c r="BB345" s="38"/>
      <c r="BC345" s="38"/>
      <c r="BD345" s="38"/>
      <c r="BE345" s="38"/>
      <c r="BF345" s="83">
        <v>0</v>
      </c>
    </row>
    <row r="346" spans="1:58" ht="16" x14ac:dyDescent="0.35">
      <c r="A346" s="37"/>
      <c r="B346" s="38"/>
      <c r="C346" s="38"/>
      <c r="D346" s="38"/>
      <c r="E346" s="38"/>
      <c r="F346" s="38"/>
      <c r="G346" s="38"/>
      <c r="H346" s="39"/>
      <c r="I346" s="39"/>
      <c r="J346" s="39"/>
      <c r="K346" s="39"/>
      <c r="L346" s="39"/>
      <c r="M346" s="38"/>
      <c r="N346" s="38"/>
      <c r="O346" s="38"/>
      <c r="P346" s="38"/>
      <c r="Q346" s="38"/>
      <c r="R346" s="38"/>
      <c r="S346" s="38"/>
      <c r="T346" s="38"/>
      <c r="U346" s="38"/>
      <c r="V346" s="38"/>
      <c r="W346" s="38"/>
      <c r="X346" s="38"/>
      <c r="Y346" s="39"/>
      <c r="Z346" s="38"/>
      <c r="AA346" s="38"/>
      <c r="AB346" s="40"/>
      <c r="AP346"/>
      <c r="AQ346" s="52"/>
      <c r="AR346" s="52"/>
      <c r="AS346"/>
      <c r="AT346" s="52"/>
      <c r="AU346" s="52"/>
      <c r="AV346"/>
      <c r="AW346" s="43"/>
      <c r="AX346" s="43"/>
      <c r="AY346" s="43"/>
      <c r="AZ346" s="43"/>
      <c r="BA346" s="43"/>
      <c r="BB346" s="42"/>
      <c r="BC346" s="42"/>
      <c r="BD346" s="42"/>
      <c r="BE346" s="42"/>
      <c r="BF346" s="83">
        <v>0</v>
      </c>
    </row>
    <row r="347" spans="1:58" ht="16" x14ac:dyDescent="0.35">
      <c r="A347" s="41"/>
      <c r="B347" s="42"/>
      <c r="C347" s="42"/>
      <c r="D347" s="42"/>
      <c r="E347" s="42"/>
      <c r="F347" s="42"/>
      <c r="G347" s="42"/>
      <c r="H347" s="43"/>
      <c r="I347" s="43"/>
      <c r="J347" s="43"/>
      <c r="K347" s="43"/>
      <c r="L347" s="43"/>
      <c r="M347" s="42"/>
      <c r="N347" s="42"/>
      <c r="O347" s="42"/>
      <c r="P347" s="42"/>
      <c r="Q347" s="42"/>
      <c r="R347" s="42"/>
      <c r="S347" s="42"/>
      <c r="T347" s="42"/>
      <c r="U347" s="42"/>
      <c r="V347" s="42"/>
      <c r="W347" s="42"/>
      <c r="X347" s="42"/>
      <c r="Y347" s="43"/>
      <c r="Z347" s="42"/>
      <c r="AA347" s="42"/>
      <c r="AB347" s="44"/>
      <c r="AP347"/>
      <c r="AQ347" s="48"/>
      <c r="AR347" s="48"/>
      <c r="AS347"/>
      <c r="AT347" s="48"/>
      <c r="AU347" s="48"/>
      <c r="AV347"/>
      <c r="AW347" s="39"/>
      <c r="AX347" s="39"/>
      <c r="AY347" s="39"/>
      <c r="AZ347" s="39"/>
      <c r="BA347" s="39"/>
      <c r="BB347" s="38"/>
      <c r="BC347" s="38"/>
      <c r="BD347" s="38"/>
      <c r="BE347" s="38"/>
      <c r="BF347" s="83">
        <v>0</v>
      </c>
    </row>
    <row r="348" spans="1:58" ht="16" x14ac:dyDescent="0.35">
      <c r="A348" s="37"/>
      <c r="B348" s="38"/>
      <c r="C348" s="38"/>
      <c r="D348" s="38"/>
      <c r="E348" s="38"/>
      <c r="F348" s="38"/>
      <c r="G348" s="38"/>
      <c r="H348" s="39"/>
      <c r="I348" s="39"/>
      <c r="J348" s="39"/>
      <c r="K348" s="39"/>
      <c r="L348" s="39"/>
      <c r="M348" s="38"/>
      <c r="N348" s="38"/>
      <c r="O348" s="38"/>
      <c r="P348" s="38"/>
      <c r="Q348" s="38"/>
      <c r="R348" s="38"/>
      <c r="S348" s="38"/>
      <c r="T348" s="38"/>
      <c r="U348" s="38"/>
      <c r="V348" s="38"/>
      <c r="W348" s="38"/>
      <c r="X348" s="38"/>
      <c r="Y348" s="39"/>
      <c r="Z348" s="38"/>
      <c r="AA348" s="38"/>
      <c r="AB348" s="40"/>
      <c r="AP348"/>
      <c r="AQ348" s="52"/>
      <c r="AR348" s="52"/>
      <c r="AS348"/>
      <c r="AT348" s="52"/>
      <c r="AU348" s="52"/>
      <c r="AV348"/>
      <c r="AW348" s="43"/>
      <c r="AX348" s="43"/>
      <c r="AY348" s="43"/>
      <c r="AZ348" s="43"/>
      <c r="BA348" s="43"/>
      <c r="BB348" s="42"/>
      <c r="BC348" s="42"/>
      <c r="BD348" s="42"/>
      <c r="BE348" s="42"/>
      <c r="BF348" s="83">
        <v>0</v>
      </c>
    </row>
    <row r="349" spans="1:58" ht="16" x14ac:dyDescent="0.35">
      <c r="A349" s="41"/>
      <c r="B349" s="42"/>
      <c r="C349" s="42"/>
      <c r="D349" s="42"/>
      <c r="E349" s="42"/>
      <c r="F349" s="42"/>
      <c r="G349" s="42"/>
      <c r="H349" s="43"/>
      <c r="I349" s="43"/>
      <c r="J349" s="43"/>
      <c r="K349" s="43"/>
      <c r="L349" s="43"/>
      <c r="M349" s="42"/>
      <c r="N349" s="42"/>
      <c r="O349" s="42"/>
      <c r="P349" s="42"/>
      <c r="Q349" s="42"/>
      <c r="R349" s="42"/>
      <c r="S349" s="42"/>
      <c r="T349" s="42"/>
      <c r="U349" s="42"/>
      <c r="V349" s="42"/>
      <c r="W349" s="42"/>
      <c r="X349" s="42"/>
      <c r="Y349" s="43"/>
      <c r="Z349" s="42"/>
      <c r="AA349" s="42"/>
      <c r="AB349" s="44"/>
      <c r="AP349"/>
      <c r="AQ349" s="48"/>
      <c r="AR349" s="48"/>
      <c r="AS349"/>
      <c r="AT349" s="48"/>
      <c r="AU349" s="48"/>
      <c r="AV349"/>
      <c r="AW349" s="39"/>
      <c r="AX349" s="39"/>
      <c r="AY349" s="39"/>
      <c r="AZ349" s="39"/>
      <c r="BA349" s="39"/>
      <c r="BB349" s="38"/>
      <c r="BC349" s="38"/>
      <c r="BD349" s="38"/>
      <c r="BE349" s="38"/>
      <c r="BF349" s="83">
        <v>1</v>
      </c>
    </row>
    <row r="350" spans="1:58" ht="16" x14ac:dyDescent="0.35">
      <c r="A350" s="37"/>
      <c r="B350" s="38"/>
      <c r="C350" s="38"/>
      <c r="D350" s="38"/>
      <c r="E350" s="38"/>
      <c r="F350" s="38"/>
      <c r="G350" s="38"/>
      <c r="H350" s="39"/>
      <c r="I350" s="39"/>
      <c r="J350" s="39"/>
      <c r="K350" s="39"/>
      <c r="L350" s="39"/>
      <c r="M350" s="38"/>
      <c r="N350" s="38"/>
      <c r="O350" s="38"/>
      <c r="P350" s="38"/>
      <c r="Q350" s="38"/>
      <c r="R350" s="38"/>
      <c r="S350" s="38"/>
      <c r="T350" s="38"/>
      <c r="U350" s="38"/>
      <c r="V350" s="38"/>
      <c r="W350" s="38"/>
      <c r="X350" s="38"/>
      <c r="Y350" s="39"/>
      <c r="Z350" s="38"/>
      <c r="AA350" s="38"/>
      <c r="AB350" s="40"/>
      <c r="AP350"/>
      <c r="AQ350" s="52"/>
      <c r="AR350" s="52"/>
      <c r="AS350"/>
      <c r="AT350" s="52"/>
      <c r="AU350" s="52"/>
      <c r="AV350"/>
      <c r="AW350" s="43"/>
      <c r="AX350" s="43"/>
      <c r="AY350" s="43"/>
      <c r="AZ350" s="43"/>
      <c r="BA350" s="43"/>
      <c r="BB350" s="42"/>
      <c r="BC350" s="42"/>
      <c r="BD350" s="42"/>
      <c r="BE350" s="42"/>
      <c r="BF350" s="83">
        <v>1</v>
      </c>
    </row>
    <row r="351" spans="1:58" ht="16" x14ac:dyDescent="0.35">
      <c r="A351" s="41"/>
      <c r="B351" s="42"/>
      <c r="C351" s="42"/>
      <c r="D351" s="42"/>
      <c r="E351" s="42"/>
      <c r="F351" s="42"/>
      <c r="G351" s="42"/>
      <c r="H351" s="43"/>
      <c r="I351" s="43"/>
      <c r="J351" s="43"/>
      <c r="K351" s="43"/>
      <c r="L351" s="43"/>
      <c r="M351" s="42"/>
      <c r="N351" s="42"/>
      <c r="O351" s="42"/>
      <c r="P351" s="42"/>
      <c r="Q351" s="42"/>
      <c r="R351" s="42"/>
      <c r="S351" s="42"/>
      <c r="T351" s="42"/>
      <c r="U351" s="42"/>
      <c r="V351" s="42"/>
      <c r="W351" s="42"/>
      <c r="X351" s="42"/>
      <c r="Y351" s="43"/>
      <c r="Z351" s="42"/>
      <c r="AA351" s="42"/>
      <c r="AB351" s="44"/>
      <c r="AP351"/>
      <c r="AQ351" s="48"/>
      <c r="AR351" s="48"/>
      <c r="AS351"/>
      <c r="AT351" s="48"/>
      <c r="AU351" s="48"/>
      <c r="AV351"/>
      <c r="AW351" s="39"/>
      <c r="AX351" s="39"/>
      <c r="AY351" s="39"/>
      <c r="AZ351" s="39"/>
      <c r="BA351" s="39"/>
      <c r="BB351" s="38"/>
      <c r="BC351" s="38"/>
      <c r="BD351" s="38"/>
      <c r="BE351" s="38"/>
      <c r="BF351" s="83">
        <v>1</v>
      </c>
    </row>
    <row r="352" spans="1:58" ht="16" x14ac:dyDescent="0.35">
      <c r="A352" s="37"/>
      <c r="B352" s="38"/>
      <c r="C352" s="38"/>
      <c r="D352" s="38"/>
      <c r="E352" s="38"/>
      <c r="F352" s="38"/>
      <c r="G352" s="38"/>
      <c r="H352" s="39"/>
      <c r="I352" s="39"/>
      <c r="J352" s="39"/>
      <c r="K352" s="39"/>
      <c r="L352" s="39"/>
      <c r="M352" s="38"/>
      <c r="N352" s="38"/>
      <c r="O352" s="38"/>
      <c r="P352" s="38"/>
      <c r="Q352" s="38"/>
      <c r="R352" s="38"/>
      <c r="S352" s="38"/>
      <c r="T352" s="38"/>
      <c r="U352" s="38"/>
      <c r="V352" s="38"/>
      <c r="W352" s="38"/>
      <c r="X352" s="38"/>
      <c r="Y352" s="39"/>
      <c r="Z352" s="38"/>
      <c r="AA352" s="38"/>
      <c r="AB352" s="40"/>
      <c r="AP352"/>
      <c r="AQ352" s="52"/>
      <c r="AR352" s="52"/>
      <c r="AS352"/>
      <c r="AT352" s="52"/>
      <c r="AU352" s="52"/>
      <c r="AV352"/>
      <c r="AW352" s="43"/>
      <c r="AX352" s="43"/>
      <c r="AY352" s="43"/>
      <c r="AZ352" s="43"/>
      <c r="BA352" s="43"/>
      <c r="BB352" s="42"/>
      <c r="BC352" s="42"/>
      <c r="BD352" s="42"/>
      <c r="BE352" s="42"/>
      <c r="BF352" s="83">
        <v>1</v>
      </c>
    </row>
    <row r="353" spans="1:58" ht="16" x14ac:dyDescent="0.35">
      <c r="A353" s="41"/>
      <c r="B353" s="42"/>
      <c r="C353" s="42"/>
      <c r="D353" s="42"/>
      <c r="E353" s="42"/>
      <c r="F353" s="42"/>
      <c r="G353" s="42"/>
      <c r="H353" s="43"/>
      <c r="I353" s="43"/>
      <c r="J353" s="43"/>
      <c r="K353" s="43"/>
      <c r="L353" s="43"/>
      <c r="M353" s="42"/>
      <c r="N353" s="42"/>
      <c r="O353" s="42"/>
      <c r="P353" s="42"/>
      <c r="Q353" s="42"/>
      <c r="R353" s="42"/>
      <c r="S353" s="42"/>
      <c r="T353" s="42"/>
      <c r="U353" s="42"/>
      <c r="V353" s="42"/>
      <c r="W353" s="42"/>
      <c r="X353" s="42"/>
      <c r="Y353" s="43"/>
      <c r="Z353" s="42"/>
      <c r="AA353" s="42"/>
      <c r="AB353" s="44"/>
      <c r="AP353"/>
      <c r="AQ353" s="48"/>
      <c r="AR353" s="48"/>
      <c r="AS353"/>
      <c r="AT353" s="48"/>
      <c r="AU353" s="48"/>
      <c r="AV353"/>
      <c r="AW353" s="39"/>
      <c r="AX353" s="39"/>
      <c r="AY353" s="39"/>
      <c r="AZ353" s="39"/>
      <c r="BA353" s="39"/>
      <c r="BB353" s="38"/>
      <c r="BC353" s="38"/>
      <c r="BD353" s="38"/>
      <c r="BE353" s="38"/>
      <c r="BF353" s="83">
        <v>0</v>
      </c>
    </row>
    <row r="354" spans="1:58" ht="16" x14ac:dyDescent="0.35">
      <c r="A354" s="37"/>
      <c r="B354" s="38"/>
      <c r="C354" s="38"/>
      <c r="D354" s="38"/>
      <c r="E354" s="38"/>
      <c r="F354" s="38"/>
      <c r="G354" s="38"/>
      <c r="H354" s="39"/>
      <c r="I354" s="39"/>
      <c r="J354" s="39"/>
      <c r="K354" s="39"/>
      <c r="L354" s="39"/>
      <c r="M354" s="38"/>
      <c r="N354" s="38"/>
      <c r="O354" s="38"/>
      <c r="P354" s="38"/>
      <c r="Q354" s="38"/>
      <c r="R354" s="38"/>
      <c r="S354" s="38"/>
      <c r="T354" s="38"/>
      <c r="U354" s="38"/>
      <c r="V354" s="38"/>
      <c r="W354" s="38"/>
      <c r="X354" s="38"/>
      <c r="Y354" s="39"/>
      <c r="Z354" s="38"/>
      <c r="AA354" s="38"/>
      <c r="AB354" s="40"/>
      <c r="AP354"/>
      <c r="AQ354" s="52"/>
      <c r="AR354" s="52"/>
      <c r="AS354"/>
      <c r="AT354" s="52"/>
      <c r="AU354" s="52"/>
      <c r="AV354"/>
      <c r="AW354" s="43"/>
      <c r="AX354" s="43"/>
      <c r="AY354" s="43"/>
      <c r="AZ354" s="43"/>
      <c r="BA354" s="43"/>
      <c r="BB354" s="42"/>
      <c r="BC354" s="42"/>
      <c r="BD354" s="42"/>
      <c r="BE354" s="42"/>
      <c r="BF354" s="83">
        <v>0</v>
      </c>
    </row>
    <row r="355" spans="1:58" ht="16" x14ac:dyDescent="0.35">
      <c r="A355" s="41"/>
      <c r="B355" s="42"/>
      <c r="C355" s="42"/>
      <c r="D355" s="42"/>
      <c r="E355" s="42"/>
      <c r="F355" s="42"/>
      <c r="G355" s="42"/>
      <c r="H355" s="43"/>
      <c r="I355" s="43"/>
      <c r="J355" s="43"/>
      <c r="K355" s="43"/>
      <c r="L355" s="43"/>
      <c r="M355" s="42"/>
      <c r="N355" s="42"/>
      <c r="O355" s="42"/>
      <c r="P355" s="42"/>
      <c r="Q355" s="42"/>
      <c r="R355" s="42"/>
      <c r="S355" s="42"/>
      <c r="T355" s="42"/>
      <c r="U355" s="42"/>
      <c r="V355" s="42"/>
      <c r="W355" s="42"/>
      <c r="X355" s="42"/>
      <c r="Y355" s="43"/>
      <c r="Z355" s="42"/>
      <c r="AA355" s="42"/>
      <c r="AB355" s="44"/>
      <c r="AP355"/>
      <c r="AQ355" s="48"/>
      <c r="AR355" s="48"/>
      <c r="AS355"/>
      <c r="AT355" s="48"/>
      <c r="AU355" s="48"/>
      <c r="AV355"/>
      <c r="AW355" s="39"/>
      <c r="AX355" s="39"/>
      <c r="AY355" s="39"/>
      <c r="AZ355" s="39"/>
      <c r="BA355" s="39"/>
      <c r="BB355" s="38"/>
      <c r="BC355" s="38"/>
      <c r="BD355" s="38"/>
      <c r="BE355" s="38"/>
      <c r="BF355" s="83">
        <v>0</v>
      </c>
    </row>
    <row r="356" spans="1:58" ht="16" x14ac:dyDescent="0.35">
      <c r="A356" s="37"/>
      <c r="B356" s="38"/>
      <c r="C356" s="38"/>
      <c r="D356" s="38"/>
      <c r="E356" s="38"/>
      <c r="F356" s="38"/>
      <c r="G356" s="38"/>
      <c r="H356" s="39"/>
      <c r="I356" s="39"/>
      <c r="J356" s="39"/>
      <c r="K356" s="39"/>
      <c r="L356" s="39"/>
      <c r="M356" s="38"/>
      <c r="N356" s="38"/>
      <c r="O356" s="38"/>
      <c r="P356" s="38"/>
      <c r="Q356" s="38"/>
      <c r="R356" s="38"/>
      <c r="S356" s="38"/>
      <c r="T356" s="38"/>
      <c r="U356" s="38"/>
      <c r="V356" s="38"/>
      <c r="W356" s="38"/>
      <c r="X356" s="38"/>
      <c r="Y356" s="39"/>
      <c r="Z356" s="38"/>
      <c r="AA356" s="38"/>
      <c r="AB356" s="40"/>
      <c r="AP356"/>
      <c r="AQ356" s="52"/>
      <c r="AR356" s="52"/>
      <c r="AS356"/>
      <c r="AT356" s="52"/>
      <c r="AU356" s="52"/>
      <c r="AV356"/>
      <c r="AW356" s="43"/>
      <c r="AX356" s="43"/>
      <c r="AY356" s="43"/>
      <c r="AZ356" s="43"/>
      <c r="BA356" s="43"/>
      <c r="BB356" s="42"/>
      <c r="BC356" s="42"/>
      <c r="BD356" s="42"/>
      <c r="BE356" s="42"/>
      <c r="BF356" s="83">
        <v>0</v>
      </c>
    </row>
    <row r="357" spans="1:58" ht="16" x14ac:dyDescent="0.35">
      <c r="A357" s="41"/>
      <c r="B357" s="42"/>
      <c r="C357" s="42"/>
      <c r="D357" s="42"/>
      <c r="E357" s="42"/>
      <c r="F357" s="42"/>
      <c r="G357" s="42"/>
      <c r="H357" s="43"/>
      <c r="I357" s="43"/>
      <c r="J357" s="43"/>
      <c r="K357" s="43"/>
      <c r="L357" s="43"/>
      <c r="M357" s="42"/>
      <c r="N357" s="42"/>
      <c r="O357" s="42"/>
      <c r="P357" s="42"/>
      <c r="Q357" s="42"/>
      <c r="R357" s="42"/>
      <c r="S357" s="42"/>
      <c r="T357" s="42"/>
      <c r="U357" s="42"/>
      <c r="V357" s="42"/>
      <c r="W357" s="42"/>
      <c r="X357" s="42"/>
      <c r="Y357" s="43"/>
      <c r="Z357" s="42"/>
      <c r="AA357" s="42"/>
      <c r="AB357" s="44"/>
      <c r="AP357"/>
      <c r="AQ357" s="48"/>
      <c r="AR357" s="48"/>
      <c r="AS357"/>
      <c r="AT357" s="48"/>
      <c r="AU357" s="48"/>
      <c r="AV357"/>
      <c r="AW357" s="39"/>
      <c r="AX357" s="39"/>
      <c r="AY357" s="39"/>
      <c r="AZ357" s="39"/>
      <c r="BA357" s="39"/>
      <c r="BB357" s="38"/>
      <c r="BC357" s="38"/>
      <c r="BD357" s="38"/>
      <c r="BE357" s="38"/>
      <c r="BF357" s="83">
        <v>0</v>
      </c>
    </row>
    <row r="358" spans="1:58" ht="16" x14ac:dyDescent="0.35">
      <c r="A358" s="37"/>
      <c r="B358" s="38"/>
      <c r="C358" s="38"/>
      <c r="D358" s="38"/>
      <c r="E358" s="38"/>
      <c r="F358" s="38"/>
      <c r="G358" s="38"/>
      <c r="H358" s="39"/>
      <c r="I358" s="39"/>
      <c r="J358" s="39"/>
      <c r="K358" s="39"/>
      <c r="L358" s="39"/>
      <c r="M358" s="38"/>
      <c r="N358" s="38"/>
      <c r="O358" s="38"/>
      <c r="P358" s="38"/>
      <c r="Q358" s="38"/>
      <c r="R358" s="38"/>
      <c r="S358" s="38"/>
      <c r="T358" s="38"/>
      <c r="U358" s="38"/>
      <c r="V358" s="38"/>
      <c r="W358" s="38"/>
      <c r="X358" s="38"/>
      <c r="Y358" s="39"/>
      <c r="Z358" s="38"/>
      <c r="AA358" s="38"/>
      <c r="AB358" s="40"/>
      <c r="AP358"/>
      <c r="AQ358" s="52"/>
      <c r="AR358" s="52"/>
      <c r="AS358"/>
      <c r="AT358" s="52"/>
      <c r="AU358" s="52"/>
      <c r="AV358"/>
      <c r="AW358" s="43"/>
      <c r="AX358" s="43"/>
      <c r="AY358" s="43"/>
      <c r="AZ358" s="43"/>
      <c r="BA358" s="43"/>
      <c r="BB358" s="42"/>
      <c r="BC358" s="42"/>
      <c r="BD358" s="42"/>
      <c r="BE358" s="42"/>
      <c r="BF358" s="83">
        <v>0</v>
      </c>
    </row>
    <row r="359" spans="1:58" ht="16" x14ac:dyDescent="0.35">
      <c r="A359" s="41"/>
      <c r="B359" s="42"/>
      <c r="C359" s="42"/>
      <c r="D359" s="42"/>
      <c r="E359" s="42"/>
      <c r="F359" s="42"/>
      <c r="G359" s="42"/>
      <c r="H359" s="43"/>
      <c r="I359" s="43"/>
      <c r="J359" s="43"/>
      <c r="K359" s="43"/>
      <c r="L359" s="43"/>
      <c r="M359" s="42"/>
      <c r="N359" s="42"/>
      <c r="O359" s="42"/>
      <c r="P359" s="42"/>
      <c r="Q359" s="42"/>
      <c r="R359" s="42"/>
      <c r="S359" s="42"/>
      <c r="T359" s="42"/>
      <c r="U359" s="42"/>
      <c r="V359" s="42"/>
      <c r="W359" s="42"/>
      <c r="X359" s="42"/>
      <c r="Y359" s="43"/>
      <c r="Z359" s="42"/>
      <c r="AA359" s="42"/>
      <c r="AB359" s="44"/>
      <c r="AP359"/>
      <c r="AQ359" s="48"/>
      <c r="AR359" s="48"/>
      <c r="AS359"/>
      <c r="AT359" s="48"/>
      <c r="AU359" s="48"/>
      <c r="AV359"/>
      <c r="AW359" s="39"/>
      <c r="AX359" s="39"/>
      <c r="AY359" s="39"/>
      <c r="AZ359" s="39"/>
      <c r="BA359" s="39"/>
      <c r="BB359" s="38"/>
      <c r="BC359" s="38"/>
      <c r="BD359" s="38"/>
      <c r="BE359" s="38"/>
      <c r="BF359" s="83">
        <v>0</v>
      </c>
    </row>
    <row r="360" spans="1:58" ht="16" x14ac:dyDescent="0.35">
      <c r="A360" s="37"/>
      <c r="B360" s="38"/>
      <c r="C360" s="38"/>
      <c r="D360" s="38"/>
      <c r="E360" s="38"/>
      <c r="F360" s="38"/>
      <c r="G360" s="38"/>
      <c r="H360" s="39"/>
      <c r="I360" s="39"/>
      <c r="J360" s="39"/>
      <c r="K360" s="39"/>
      <c r="L360" s="39"/>
      <c r="M360" s="38"/>
      <c r="N360" s="38"/>
      <c r="O360" s="38"/>
      <c r="P360" s="38"/>
      <c r="Q360" s="38"/>
      <c r="R360" s="38"/>
      <c r="S360" s="38"/>
      <c r="T360" s="38"/>
      <c r="U360" s="38"/>
      <c r="V360" s="38"/>
      <c r="W360" s="38"/>
      <c r="X360" s="38"/>
      <c r="Y360" s="39"/>
      <c r="Z360" s="38"/>
      <c r="AA360" s="38"/>
      <c r="AB360" s="40"/>
      <c r="AP360"/>
      <c r="AQ360" s="52"/>
      <c r="AR360" s="52"/>
      <c r="AS360"/>
      <c r="AT360" s="52"/>
      <c r="AU360" s="52"/>
      <c r="AV360"/>
      <c r="AW360" s="43"/>
      <c r="AX360" s="43"/>
      <c r="AY360" s="43"/>
      <c r="AZ360" s="43"/>
      <c r="BA360" s="43"/>
      <c r="BB360" s="42"/>
      <c r="BC360" s="42"/>
      <c r="BD360" s="42"/>
      <c r="BE360" s="42"/>
      <c r="BF360" s="83">
        <v>0</v>
      </c>
    </row>
    <row r="361" spans="1:58" ht="16" x14ac:dyDescent="0.35">
      <c r="A361" s="41"/>
      <c r="B361" s="42"/>
      <c r="C361" s="42"/>
      <c r="D361" s="42"/>
      <c r="E361" s="42"/>
      <c r="F361" s="42"/>
      <c r="G361" s="42"/>
      <c r="H361" s="43"/>
      <c r="I361" s="43"/>
      <c r="J361" s="43"/>
      <c r="K361" s="43"/>
      <c r="L361" s="43"/>
      <c r="M361" s="42"/>
      <c r="N361" s="42"/>
      <c r="O361" s="42"/>
      <c r="P361" s="42"/>
      <c r="Q361" s="42"/>
      <c r="R361" s="42"/>
      <c r="S361" s="42"/>
      <c r="T361" s="42"/>
      <c r="U361" s="42"/>
      <c r="V361" s="42"/>
      <c r="W361" s="42"/>
      <c r="X361" s="42"/>
      <c r="Y361" s="43"/>
      <c r="Z361" s="42"/>
      <c r="AA361" s="42"/>
      <c r="AB361" s="44"/>
      <c r="AP361"/>
      <c r="AQ361" s="48"/>
      <c r="AR361" s="48"/>
      <c r="AS361"/>
      <c r="AT361" s="48"/>
      <c r="AU361" s="48"/>
      <c r="AV361"/>
      <c r="AW361" s="39"/>
      <c r="AX361" s="39"/>
      <c r="AY361" s="39"/>
      <c r="AZ361" s="39"/>
      <c r="BA361" s="39"/>
      <c r="BB361" s="38"/>
      <c r="BC361" s="38"/>
      <c r="BD361" s="38"/>
      <c r="BE361" s="38"/>
      <c r="BF361" s="83">
        <v>0</v>
      </c>
    </row>
    <row r="362" spans="1:58" ht="16" x14ac:dyDescent="0.35">
      <c r="A362" s="37"/>
      <c r="B362" s="38"/>
      <c r="C362" s="38"/>
      <c r="D362" s="38"/>
      <c r="E362" s="38"/>
      <c r="F362" s="38"/>
      <c r="G362" s="38"/>
      <c r="H362" s="39"/>
      <c r="I362" s="39"/>
      <c r="J362" s="39"/>
      <c r="K362" s="39"/>
      <c r="L362" s="39"/>
      <c r="M362" s="38"/>
      <c r="N362" s="38"/>
      <c r="O362" s="38"/>
      <c r="P362" s="38"/>
      <c r="Q362" s="38"/>
      <c r="R362" s="38"/>
      <c r="S362" s="38"/>
      <c r="T362" s="38"/>
      <c r="U362" s="38"/>
      <c r="V362" s="38"/>
      <c r="W362" s="38"/>
      <c r="X362" s="38"/>
      <c r="Y362" s="39"/>
      <c r="Z362" s="38"/>
      <c r="AA362" s="38"/>
      <c r="AB362" s="40"/>
      <c r="AP362"/>
      <c r="AQ362" s="52"/>
      <c r="AR362" s="52"/>
      <c r="AS362"/>
      <c r="AT362" s="52"/>
      <c r="AU362" s="52"/>
      <c r="AV362"/>
      <c r="AW362" s="43"/>
      <c r="AX362" s="43"/>
      <c r="AY362" s="43"/>
      <c r="AZ362" s="43"/>
      <c r="BA362" s="43"/>
      <c r="BB362" s="42"/>
      <c r="BC362" s="42"/>
      <c r="BD362" s="42"/>
      <c r="BE362" s="42"/>
      <c r="BF362" s="83">
        <v>0</v>
      </c>
    </row>
    <row r="363" spans="1:58" ht="16" x14ac:dyDescent="0.35">
      <c r="A363" s="41"/>
      <c r="B363" s="42"/>
      <c r="C363" s="42"/>
      <c r="D363" s="42"/>
      <c r="E363" s="42"/>
      <c r="F363" s="42"/>
      <c r="G363" s="42"/>
      <c r="H363" s="43"/>
      <c r="I363" s="43"/>
      <c r="J363" s="43"/>
      <c r="K363" s="43"/>
      <c r="L363" s="43"/>
      <c r="M363" s="42"/>
      <c r="N363" s="42"/>
      <c r="O363" s="42"/>
      <c r="P363" s="42"/>
      <c r="Q363" s="42"/>
      <c r="R363" s="42"/>
      <c r="S363" s="42"/>
      <c r="T363" s="42"/>
      <c r="U363" s="42"/>
      <c r="V363" s="42"/>
      <c r="W363" s="42"/>
      <c r="X363" s="42"/>
      <c r="Y363" s="43"/>
      <c r="Z363" s="42"/>
      <c r="AA363" s="42"/>
      <c r="AB363" s="44"/>
      <c r="AP363"/>
      <c r="AQ363" s="48"/>
      <c r="AR363" s="48"/>
      <c r="AS363"/>
      <c r="AT363" s="48"/>
      <c r="AU363" s="48"/>
      <c r="AV363"/>
      <c r="AW363" s="39"/>
      <c r="AX363" s="39"/>
      <c r="AY363" s="39"/>
      <c r="AZ363" s="39"/>
      <c r="BA363" s="39"/>
      <c r="BB363" s="38"/>
      <c r="BC363" s="38"/>
      <c r="BD363" s="38"/>
      <c r="BE363" s="38"/>
      <c r="BF363" s="83">
        <v>0</v>
      </c>
    </row>
    <row r="364" spans="1:58" ht="16" x14ac:dyDescent="0.35">
      <c r="A364" s="37"/>
      <c r="B364" s="38"/>
      <c r="C364" s="38"/>
      <c r="D364" s="38"/>
      <c r="E364" s="38"/>
      <c r="F364" s="38"/>
      <c r="G364" s="38"/>
      <c r="H364" s="39"/>
      <c r="I364" s="39"/>
      <c r="J364" s="39"/>
      <c r="K364" s="39"/>
      <c r="L364" s="39"/>
      <c r="M364" s="38"/>
      <c r="N364" s="38"/>
      <c r="O364" s="38"/>
      <c r="P364" s="38"/>
      <c r="Q364" s="38"/>
      <c r="R364" s="38"/>
      <c r="S364" s="38"/>
      <c r="T364" s="38"/>
      <c r="U364" s="38"/>
      <c r="V364" s="38"/>
      <c r="W364" s="38"/>
      <c r="X364" s="38"/>
      <c r="Y364" s="39"/>
      <c r="Z364" s="38"/>
      <c r="AA364" s="38"/>
      <c r="AB364" s="40"/>
      <c r="AP364"/>
      <c r="AQ364" s="52"/>
      <c r="AR364" s="52"/>
      <c r="AS364"/>
      <c r="AT364" s="52"/>
      <c r="AU364" s="52"/>
      <c r="AV364"/>
      <c r="AW364" s="43"/>
      <c r="AX364" s="43"/>
      <c r="AY364" s="43"/>
      <c r="AZ364" s="43"/>
      <c r="BA364" s="43"/>
      <c r="BB364" s="42"/>
      <c r="BC364" s="42"/>
      <c r="BD364" s="42"/>
      <c r="BE364" s="42"/>
      <c r="BF364" s="83">
        <v>0</v>
      </c>
    </row>
    <row r="365" spans="1:58" ht="16" x14ac:dyDescent="0.35">
      <c r="A365" s="41"/>
      <c r="B365" s="42"/>
      <c r="C365" s="42"/>
      <c r="D365" s="42"/>
      <c r="E365" s="42"/>
      <c r="F365" s="42"/>
      <c r="G365" s="42"/>
      <c r="H365" s="43"/>
      <c r="I365" s="43"/>
      <c r="J365" s="43"/>
      <c r="K365" s="43"/>
      <c r="L365" s="43"/>
      <c r="M365" s="42"/>
      <c r="N365" s="42"/>
      <c r="O365" s="42"/>
      <c r="P365" s="42"/>
      <c r="Q365" s="42"/>
      <c r="R365" s="42"/>
      <c r="S365" s="42"/>
      <c r="T365" s="42"/>
      <c r="U365" s="42"/>
      <c r="V365" s="42"/>
      <c r="W365" s="42"/>
      <c r="X365" s="42"/>
      <c r="Y365" s="43"/>
      <c r="Z365" s="42"/>
      <c r="AA365" s="42"/>
      <c r="AB365" s="44"/>
      <c r="AP365"/>
      <c r="AQ365" s="48"/>
      <c r="AR365" s="48"/>
      <c r="AS365"/>
      <c r="AT365" s="48"/>
      <c r="AU365" s="48"/>
      <c r="AV365"/>
      <c r="AW365" s="39"/>
      <c r="AX365" s="39"/>
      <c r="AY365" s="39"/>
      <c r="AZ365" s="39"/>
      <c r="BA365" s="39"/>
      <c r="BB365" s="38"/>
      <c r="BC365" s="38"/>
      <c r="BD365" s="38"/>
      <c r="BE365" s="38"/>
      <c r="BF365" s="83">
        <v>0</v>
      </c>
    </row>
    <row r="366" spans="1:58" ht="16" x14ac:dyDescent="0.35">
      <c r="A366" s="37"/>
      <c r="B366" s="38"/>
      <c r="C366" s="38"/>
      <c r="D366" s="38"/>
      <c r="E366" s="38"/>
      <c r="F366" s="38"/>
      <c r="G366" s="38"/>
      <c r="H366" s="39"/>
      <c r="I366" s="39"/>
      <c r="J366" s="39"/>
      <c r="K366" s="39"/>
      <c r="L366" s="39"/>
      <c r="M366" s="38"/>
      <c r="N366" s="38"/>
      <c r="O366" s="38"/>
      <c r="P366" s="38"/>
      <c r="Q366" s="38"/>
      <c r="R366" s="38"/>
      <c r="S366" s="38"/>
      <c r="T366" s="38"/>
      <c r="U366" s="38"/>
      <c r="V366" s="38"/>
      <c r="W366" s="38"/>
      <c r="X366" s="38"/>
      <c r="Y366" s="39"/>
      <c r="Z366" s="38"/>
      <c r="AA366" s="38"/>
      <c r="AB366" s="40"/>
      <c r="AP366"/>
      <c r="AQ366" s="52"/>
      <c r="AR366" s="52"/>
      <c r="AS366"/>
      <c r="AT366" s="52"/>
      <c r="AU366" s="52"/>
      <c r="AV366"/>
      <c r="AW366" s="43"/>
      <c r="AX366" s="43"/>
      <c r="AY366" s="43"/>
      <c r="AZ366" s="43"/>
      <c r="BA366" s="43"/>
      <c r="BB366" s="42"/>
      <c r="BC366" s="42"/>
      <c r="BD366" s="42"/>
      <c r="BE366" s="42"/>
      <c r="BF366" s="83">
        <v>0</v>
      </c>
    </row>
    <row r="367" spans="1:58" ht="16" x14ac:dyDescent="0.35">
      <c r="A367" s="41"/>
      <c r="B367" s="42"/>
      <c r="C367" s="42"/>
      <c r="D367" s="42"/>
      <c r="E367" s="42"/>
      <c r="F367" s="42"/>
      <c r="G367" s="42"/>
      <c r="H367" s="43"/>
      <c r="I367" s="43"/>
      <c r="J367" s="43"/>
      <c r="K367" s="43"/>
      <c r="L367" s="43"/>
      <c r="M367" s="42"/>
      <c r="N367" s="42"/>
      <c r="O367" s="42"/>
      <c r="P367" s="42"/>
      <c r="Q367" s="42"/>
      <c r="R367" s="42"/>
      <c r="S367" s="42"/>
      <c r="T367" s="42"/>
      <c r="U367" s="42"/>
      <c r="V367" s="42"/>
      <c r="W367" s="42"/>
      <c r="X367" s="42"/>
      <c r="Y367" s="43"/>
      <c r="Z367" s="42"/>
      <c r="AA367" s="42"/>
      <c r="AB367" s="44"/>
      <c r="AP367"/>
      <c r="AQ367" s="48"/>
      <c r="AR367" s="48"/>
      <c r="AS367"/>
      <c r="AT367" s="48"/>
      <c r="AU367" s="48"/>
      <c r="AV367"/>
      <c r="AW367" s="39"/>
      <c r="AX367" s="39"/>
      <c r="AY367" s="39"/>
      <c r="AZ367" s="39"/>
      <c r="BA367" s="39"/>
      <c r="BB367" s="38"/>
      <c r="BC367" s="38"/>
      <c r="BD367" s="38"/>
      <c r="BE367" s="38"/>
      <c r="BF367" s="83">
        <v>0</v>
      </c>
    </row>
    <row r="368" spans="1:58" ht="16" x14ac:dyDescent="0.35">
      <c r="A368" s="37"/>
      <c r="B368" s="38"/>
      <c r="C368" s="38"/>
      <c r="D368" s="38"/>
      <c r="E368" s="38"/>
      <c r="F368" s="38"/>
      <c r="G368" s="38"/>
      <c r="H368" s="39"/>
      <c r="I368" s="39"/>
      <c r="J368" s="39"/>
      <c r="K368" s="39"/>
      <c r="L368" s="39"/>
      <c r="M368" s="38"/>
      <c r="N368" s="38"/>
      <c r="O368" s="38"/>
      <c r="P368" s="38"/>
      <c r="Q368" s="38"/>
      <c r="R368" s="38"/>
      <c r="S368" s="38"/>
      <c r="T368" s="38"/>
      <c r="U368" s="38"/>
      <c r="V368" s="38"/>
      <c r="W368" s="38"/>
      <c r="X368" s="38"/>
      <c r="Y368" s="39"/>
      <c r="Z368" s="38"/>
      <c r="AA368" s="38"/>
      <c r="AB368" s="40"/>
      <c r="AP368"/>
      <c r="AQ368" s="52"/>
      <c r="AR368" s="52"/>
      <c r="AS368"/>
      <c r="AT368" s="52"/>
      <c r="AU368" s="52"/>
      <c r="AV368"/>
      <c r="AW368" s="43"/>
      <c r="AX368" s="43"/>
      <c r="AY368" s="43"/>
      <c r="AZ368" s="43"/>
      <c r="BA368" s="43"/>
      <c r="BB368" s="42"/>
      <c r="BC368" s="42"/>
      <c r="BD368" s="42"/>
      <c r="BE368" s="42"/>
      <c r="BF368" s="83">
        <v>0</v>
      </c>
    </row>
    <row r="369" spans="1:58" ht="16" x14ac:dyDescent="0.35">
      <c r="A369" s="41"/>
      <c r="B369" s="42"/>
      <c r="C369" s="42"/>
      <c r="D369" s="42"/>
      <c r="E369" s="42"/>
      <c r="F369" s="42"/>
      <c r="G369" s="42"/>
      <c r="H369" s="43"/>
      <c r="I369" s="43"/>
      <c r="J369" s="43"/>
      <c r="K369" s="43"/>
      <c r="L369" s="43"/>
      <c r="M369" s="42"/>
      <c r="N369" s="42"/>
      <c r="O369" s="42"/>
      <c r="P369" s="42"/>
      <c r="Q369" s="42"/>
      <c r="R369" s="42"/>
      <c r="S369" s="42"/>
      <c r="T369" s="42"/>
      <c r="U369" s="42"/>
      <c r="V369" s="42"/>
      <c r="W369" s="42"/>
      <c r="X369" s="42"/>
      <c r="Y369" s="43"/>
      <c r="Z369" s="42"/>
      <c r="AA369" s="42"/>
      <c r="AB369" s="44"/>
      <c r="AP369"/>
      <c r="AQ369" s="48"/>
      <c r="AR369" s="48"/>
      <c r="AS369"/>
      <c r="AT369" s="48"/>
      <c r="AU369" s="48"/>
      <c r="AV369"/>
      <c r="AW369" s="39"/>
      <c r="AX369" s="39"/>
      <c r="AY369" s="39"/>
      <c r="AZ369" s="39"/>
      <c r="BA369" s="39"/>
      <c r="BB369" s="38"/>
      <c r="BC369" s="38"/>
      <c r="BD369" s="38"/>
      <c r="BE369" s="38"/>
      <c r="BF369" s="83">
        <v>0</v>
      </c>
    </row>
    <row r="370" spans="1:58" ht="16" x14ac:dyDescent="0.35">
      <c r="A370" s="37"/>
      <c r="B370" s="38"/>
      <c r="C370" s="38"/>
      <c r="D370" s="38"/>
      <c r="E370" s="38"/>
      <c r="F370" s="38"/>
      <c r="G370" s="38"/>
      <c r="H370" s="39"/>
      <c r="I370" s="39"/>
      <c r="J370" s="39"/>
      <c r="K370" s="39"/>
      <c r="L370" s="39"/>
      <c r="M370" s="38"/>
      <c r="N370" s="38"/>
      <c r="O370" s="38"/>
      <c r="P370" s="38"/>
      <c r="Q370" s="38"/>
      <c r="R370" s="38"/>
      <c r="S370" s="38"/>
      <c r="T370" s="38"/>
      <c r="U370" s="38"/>
      <c r="V370" s="38"/>
      <c r="W370" s="38"/>
      <c r="X370" s="38"/>
      <c r="Y370" s="39"/>
      <c r="Z370" s="38"/>
      <c r="AA370" s="38"/>
      <c r="AB370" s="40"/>
      <c r="AP370"/>
      <c r="AQ370" s="52"/>
      <c r="AR370" s="52"/>
      <c r="AS370"/>
      <c r="AT370" s="52"/>
      <c r="AU370" s="52"/>
      <c r="AV370"/>
      <c r="AW370" s="43"/>
      <c r="AX370" s="43"/>
      <c r="AY370" s="43"/>
      <c r="AZ370" s="43"/>
      <c r="BA370" s="43"/>
      <c r="BB370" s="42"/>
      <c r="BC370" s="42"/>
      <c r="BD370" s="42"/>
      <c r="BE370" s="42"/>
      <c r="BF370" s="83">
        <v>0</v>
      </c>
    </row>
    <row r="371" spans="1:58" ht="16" x14ac:dyDescent="0.35">
      <c r="A371" s="41"/>
      <c r="B371" s="42"/>
      <c r="C371" s="42"/>
      <c r="D371" s="42"/>
      <c r="E371" s="42"/>
      <c r="F371" s="42"/>
      <c r="G371" s="42"/>
      <c r="H371" s="43"/>
      <c r="I371" s="43"/>
      <c r="J371" s="43"/>
      <c r="K371" s="43"/>
      <c r="L371" s="43"/>
      <c r="M371" s="42"/>
      <c r="N371" s="42"/>
      <c r="O371" s="42"/>
      <c r="P371" s="42"/>
      <c r="Q371" s="42"/>
      <c r="R371" s="42"/>
      <c r="S371" s="42"/>
      <c r="T371" s="42"/>
      <c r="U371" s="42"/>
      <c r="V371" s="42"/>
      <c r="W371" s="42"/>
      <c r="X371" s="42"/>
      <c r="Y371" s="43"/>
      <c r="Z371" s="42"/>
      <c r="AA371" s="42"/>
      <c r="AB371" s="44"/>
      <c r="AP371"/>
      <c r="AQ371" s="48"/>
      <c r="AR371" s="48"/>
      <c r="AS371"/>
      <c r="AT371" s="48"/>
      <c r="AU371" s="48"/>
      <c r="AV371"/>
      <c r="AW371" s="39"/>
      <c r="AX371" s="39"/>
      <c r="AY371" s="39"/>
      <c r="AZ371" s="39"/>
      <c r="BA371" s="39"/>
      <c r="BB371" s="38"/>
      <c r="BC371" s="38"/>
      <c r="BD371" s="38"/>
      <c r="BE371" s="38"/>
      <c r="BF371" s="83">
        <v>0</v>
      </c>
    </row>
    <row r="372" spans="1:58" ht="16" x14ac:dyDescent="0.35">
      <c r="A372" s="37"/>
      <c r="B372" s="38"/>
      <c r="C372" s="38"/>
      <c r="D372" s="38"/>
      <c r="E372" s="38"/>
      <c r="F372" s="38"/>
      <c r="G372" s="38"/>
      <c r="H372" s="39"/>
      <c r="I372" s="39"/>
      <c r="J372" s="39"/>
      <c r="K372" s="39"/>
      <c r="L372" s="39"/>
      <c r="M372" s="38"/>
      <c r="N372" s="38"/>
      <c r="O372" s="38"/>
      <c r="P372" s="38"/>
      <c r="Q372" s="38"/>
      <c r="R372" s="38"/>
      <c r="S372" s="38"/>
      <c r="T372" s="38"/>
      <c r="U372" s="38"/>
      <c r="V372" s="38"/>
      <c r="W372" s="38"/>
      <c r="X372" s="38"/>
      <c r="Y372" s="39"/>
      <c r="Z372" s="38"/>
      <c r="AA372" s="38"/>
      <c r="AB372" s="40"/>
      <c r="AP372"/>
      <c r="AQ372" s="52"/>
      <c r="AR372" s="52"/>
      <c r="AS372"/>
      <c r="AT372" s="52"/>
      <c r="AU372" s="52"/>
      <c r="AV372"/>
      <c r="AW372" s="43"/>
      <c r="AX372" s="43"/>
      <c r="AY372" s="43"/>
      <c r="AZ372" s="43"/>
      <c r="BA372" s="43"/>
      <c r="BB372" s="42"/>
      <c r="BC372" s="42"/>
      <c r="BD372" s="42"/>
      <c r="BE372" s="42"/>
      <c r="BF372" s="83">
        <v>0</v>
      </c>
    </row>
    <row r="373" spans="1:58" ht="16" x14ac:dyDescent="0.35">
      <c r="A373" s="41"/>
      <c r="B373" s="42"/>
      <c r="C373" s="42"/>
      <c r="D373" s="42"/>
      <c r="E373" s="42"/>
      <c r="F373" s="42"/>
      <c r="G373" s="42"/>
      <c r="H373" s="43"/>
      <c r="I373" s="43"/>
      <c r="J373" s="43"/>
      <c r="K373" s="43"/>
      <c r="L373" s="43"/>
      <c r="M373" s="42"/>
      <c r="N373" s="42"/>
      <c r="O373" s="42"/>
      <c r="P373" s="42"/>
      <c r="Q373" s="42"/>
      <c r="R373" s="42"/>
      <c r="S373" s="42"/>
      <c r="T373" s="42"/>
      <c r="U373" s="42"/>
      <c r="V373" s="42"/>
      <c r="W373" s="42"/>
      <c r="X373" s="42"/>
      <c r="Y373" s="43"/>
      <c r="Z373" s="42"/>
      <c r="AA373" s="42"/>
      <c r="AB373" s="44"/>
      <c r="AP373"/>
      <c r="AQ373" s="48"/>
      <c r="AR373" s="48"/>
      <c r="AS373"/>
      <c r="AT373" s="48"/>
      <c r="AU373" s="48"/>
      <c r="AV373"/>
      <c r="AW373" s="39"/>
      <c r="AX373" s="39"/>
      <c r="AY373" s="39"/>
      <c r="AZ373" s="39"/>
      <c r="BA373" s="39"/>
      <c r="BB373" s="38"/>
      <c r="BC373" s="38"/>
      <c r="BD373" s="38"/>
      <c r="BE373" s="38"/>
      <c r="BF373" s="83">
        <v>0</v>
      </c>
    </row>
    <row r="374" spans="1:58" ht="16" x14ac:dyDescent="0.35">
      <c r="A374" s="37"/>
      <c r="B374" s="38"/>
      <c r="C374" s="38"/>
      <c r="D374" s="38"/>
      <c r="E374" s="38"/>
      <c r="F374" s="38"/>
      <c r="G374" s="38"/>
      <c r="H374" s="39"/>
      <c r="I374" s="39"/>
      <c r="J374" s="39"/>
      <c r="K374" s="39"/>
      <c r="L374" s="39"/>
      <c r="M374" s="38"/>
      <c r="N374" s="38"/>
      <c r="O374" s="38"/>
      <c r="P374" s="38"/>
      <c r="Q374" s="38"/>
      <c r="R374" s="38"/>
      <c r="S374" s="38"/>
      <c r="T374" s="38"/>
      <c r="U374" s="38"/>
      <c r="V374" s="38"/>
      <c r="W374" s="38"/>
      <c r="X374" s="38"/>
      <c r="Y374" s="39"/>
      <c r="Z374" s="38"/>
      <c r="AA374" s="38"/>
      <c r="AB374" s="40"/>
      <c r="AP374"/>
      <c r="AQ374" s="52"/>
      <c r="AR374" s="52"/>
      <c r="AS374"/>
      <c r="AT374" s="52"/>
      <c r="AU374" s="52"/>
      <c r="AV374"/>
      <c r="AW374" s="43"/>
      <c r="AX374" s="43"/>
      <c r="AY374" s="43"/>
      <c r="AZ374" s="43"/>
      <c r="BA374" s="43"/>
      <c r="BB374" s="42"/>
      <c r="BC374" s="42"/>
      <c r="BD374" s="42"/>
      <c r="BE374" s="42"/>
      <c r="BF374" s="83">
        <v>0</v>
      </c>
    </row>
    <row r="375" spans="1:58" ht="16" x14ac:dyDescent="0.35">
      <c r="A375" s="41"/>
      <c r="B375" s="42"/>
      <c r="C375" s="42"/>
      <c r="D375" s="42"/>
      <c r="E375" s="42"/>
      <c r="F375" s="42"/>
      <c r="G375" s="42"/>
      <c r="H375" s="43"/>
      <c r="I375" s="43"/>
      <c r="J375" s="43"/>
      <c r="K375" s="43"/>
      <c r="L375" s="43"/>
      <c r="M375" s="42"/>
      <c r="N375" s="42"/>
      <c r="O375" s="42"/>
      <c r="P375" s="42"/>
      <c r="Q375" s="42"/>
      <c r="R375" s="42"/>
      <c r="S375" s="42"/>
      <c r="T375" s="42"/>
      <c r="U375" s="42"/>
      <c r="V375" s="42"/>
      <c r="W375" s="42"/>
      <c r="X375" s="42"/>
      <c r="Y375" s="43"/>
      <c r="Z375" s="42"/>
      <c r="AA375" s="42"/>
      <c r="AB375" s="44"/>
      <c r="AP375"/>
      <c r="AQ375" s="48"/>
      <c r="AR375" s="48"/>
      <c r="AS375"/>
      <c r="AT375" s="48"/>
      <c r="AU375" s="48"/>
      <c r="AV375"/>
      <c r="AW375" s="39"/>
      <c r="AX375" s="39"/>
      <c r="AY375" s="39"/>
      <c r="AZ375" s="39"/>
      <c r="BA375" s="39"/>
      <c r="BB375" s="38"/>
      <c r="BC375" s="38"/>
      <c r="BD375" s="38"/>
      <c r="BE375" s="38"/>
      <c r="BF375" s="83">
        <v>0</v>
      </c>
    </row>
    <row r="376" spans="1:58" ht="16" x14ac:dyDescent="0.35">
      <c r="A376" s="37"/>
      <c r="B376" s="38"/>
      <c r="C376" s="38"/>
      <c r="D376" s="38"/>
      <c r="E376" s="38"/>
      <c r="F376" s="38"/>
      <c r="G376" s="38"/>
      <c r="H376" s="39"/>
      <c r="I376" s="39"/>
      <c r="J376" s="39"/>
      <c r="K376" s="39"/>
      <c r="L376" s="39"/>
      <c r="M376" s="38"/>
      <c r="N376" s="38"/>
      <c r="O376" s="38"/>
      <c r="P376" s="38"/>
      <c r="Q376" s="38"/>
      <c r="R376" s="38"/>
      <c r="S376" s="38"/>
      <c r="T376" s="38"/>
      <c r="U376" s="38"/>
      <c r="V376" s="38"/>
      <c r="W376" s="38"/>
      <c r="X376" s="38"/>
      <c r="Y376" s="39"/>
      <c r="Z376" s="38"/>
      <c r="AA376" s="38"/>
      <c r="AB376" s="40"/>
      <c r="AP376"/>
      <c r="AQ376" s="52"/>
      <c r="AR376" s="52"/>
      <c r="AS376"/>
      <c r="AT376" s="52"/>
      <c r="AU376" s="52"/>
      <c r="AV376"/>
      <c r="AW376" s="43"/>
      <c r="AX376" s="43"/>
      <c r="AY376" s="43"/>
      <c r="AZ376" s="43"/>
      <c r="BA376" s="43"/>
      <c r="BB376" s="42"/>
      <c r="BC376" s="42"/>
      <c r="BD376" s="42"/>
      <c r="BE376" s="42"/>
      <c r="BF376" s="83">
        <v>0</v>
      </c>
    </row>
    <row r="377" spans="1:58" ht="16" x14ac:dyDescent="0.35">
      <c r="A377" s="41"/>
      <c r="B377" s="42"/>
      <c r="C377" s="42"/>
      <c r="D377" s="42"/>
      <c r="E377" s="42"/>
      <c r="F377" s="42"/>
      <c r="G377" s="42"/>
      <c r="H377" s="43"/>
      <c r="I377" s="43"/>
      <c r="J377" s="43"/>
      <c r="K377" s="43"/>
      <c r="L377" s="43"/>
      <c r="M377" s="42"/>
      <c r="N377" s="42"/>
      <c r="O377" s="42"/>
      <c r="P377" s="42"/>
      <c r="Q377" s="42"/>
      <c r="R377" s="42"/>
      <c r="S377" s="42"/>
      <c r="T377" s="42"/>
      <c r="U377" s="42"/>
      <c r="V377" s="42"/>
      <c r="W377" s="42"/>
      <c r="X377" s="42"/>
      <c r="Y377" s="43"/>
      <c r="Z377" s="42"/>
      <c r="AA377" s="42"/>
      <c r="AB377" s="44"/>
      <c r="AP377"/>
      <c r="AQ377" s="48"/>
      <c r="AR377" s="48"/>
      <c r="AS377"/>
      <c r="AT377" s="48"/>
      <c r="AU377" s="48"/>
      <c r="AV377"/>
      <c r="AW377" s="39"/>
      <c r="AX377" s="39"/>
      <c r="AY377" s="39"/>
      <c r="AZ377" s="39"/>
      <c r="BA377" s="39"/>
      <c r="BB377" s="38"/>
      <c r="BC377" s="38"/>
      <c r="BD377" s="38"/>
      <c r="BE377" s="38"/>
      <c r="BF377" s="83">
        <v>0</v>
      </c>
    </row>
    <row r="378" spans="1:58" ht="16" x14ac:dyDescent="0.35">
      <c r="A378" s="37"/>
      <c r="B378" s="38"/>
      <c r="C378" s="38"/>
      <c r="D378" s="38"/>
      <c r="E378" s="38"/>
      <c r="F378" s="38"/>
      <c r="G378" s="38"/>
      <c r="H378" s="39"/>
      <c r="I378" s="39"/>
      <c r="J378" s="39"/>
      <c r="K378" s="39"/>
      <c r="L378" s="39"/>
      <c r="M378" s="38"/>
      <c r="N378" s="38"/>
      <c r="O378" s="38"/>
      <c r="P378" s="38"/>
      <c r="Q378" s="38"/>
      <c r="R378" s="38"/>
      <c r="S378" s="38"/>
      <c r="T378" s="38"/>
      <c r="U378" s="38"/>
      <c r="V378" s="38"/>
      <c r="W378" s="38"/>
      <c r="X378" s="38"/>
      <c r="Y378" s="39"/>
      <c r="Z378" s="38"/>
      <c r="AA378" s="38"/>
      <c r="AB378" s="40"/>
      <c r="AP378"/>
      <c r="AQ378" s="52"/>
      <c r="AR378" s="52"/>
      <c r="AS378"/>
      <c r="AT378" s="52"/>
      <c r="AU378" s="52"/>
      <c r="AV378"/>
      <c r="AW378" s="43"/>
      <c r="AX378" s="43"/>
      <c r="AY378" s="43"/>
      <c r="AZ378" s="43"/>
      <c r="BA378" s="43"/>
      <c r="BB378" s="42"/>
      <c r="BC378" s="42"/>
      <c r="BD378" s="42"/>
      <c r="BE378" s="42"/>
      <c r="BF378" s="83">
        <v>0</v>
      </c>
    </row>
    <row r="379" spans="1:58" ht="16" x14ac:dyDescent="0.35">
      <c r="A379" s="41"/>
      <c r="B379" s="42"/>
      <c r="C379" s="42"/>
      <c r="D379" s="42"/>
      <c r="E379" s="42"/>
      <c r="F379" s="42"/>
      <c r="G379" s="42"/>
      <c r="H379" s="43"/>
      <c r="I379" s="43"/>
      <c r="J379" s="43"/>
      <c r="K379" s="43"/>
      <c r="L379" s="43"/>
      <c r="M379" s="42"/>
      <c r="N379" s="42"/>
      <c r="O379" s="42"/>
      <c r="P379" s="42"/>
      <c r="Q379" s="42"/>
      <c r="R379" s="42"/>
      <c r="S379" s="42"/>
      <c r="T379" s="42"/>
      <c r="U379" s="42"/>
      <c r="V379" s="42"/>
      <c r="W379" s="42"/>
      <c r="X379" s="42"/>
      <c r="Y379" s="43"/>
      <c r="Z379" s="42"/>
      <c r="AA379" s="42"/>
      <c r="AB379" s="44"/>
      <c r="AP379"/>
      <c r="AQ379" s="48"/>
      <c r="AR379" s="48"/>
      <c r="AS379"/>
      <c r="AT379" s="48"/>
      <c r="AU379" s="48"/>
      <c r="AV379"/>
      <c r="AW379" s="39"/>
      <c r="AX379" s="39"/>
      <c r="AY379" s="39"/>
      <c r="AZ379" s="39"/>
      <c r="BA379" s="39"/>
      <c r="BB379" s="38"/>
      <c r="BC379" s="38"/>
      <c r="BD379" s="38"/>
      <c r="BE379" s="38"/>
      <c r="BF379" s="83">
        <v>0</v>
      </c>
    </row>
    <row r="380" spans="1:58" ht="16" x14ac:dyDescent="0.35">
      <c r="A380" s="37"/>
      <c r="B380" s="38"/>
      <c r="C380" s="38"/>
      <c r="D380" s="38"/>
      <c r="E380" s="38"/>
      <c r="F380" s="38"/>
      <c r="G380" s="38"/>
      <c r="H380" s="39"/>
      <c r="I380" s="39"/>
      <c r="J380" s="39"/>
      <c r="K380" s="39"/>
      <c r="L380" s="39"/>
      <c r="M380" s="38"/>
      <c r="N380" s="38"/>
      <c r="O380" s="38"/>
      <c r="P380" s="38"/>
      <c r="Q380" s="38"/>
      <c r="R380" s="38"/>
      <c r="S380" s="38"/>
      <c r="T380" s="38"/>
      <c r="U380" s="38"/>
      <c r="V380" s="38"/>
      <c r="W380" s="38"/>
      <c r="X380" s="38"/>
      <c r="Y380" s="39"/>
      <c r="Z380" s="38"/>
      <c r="AA380" s="38"/>
      <c r="AB380" s="40"/>
      <c r="AP380"/>
      <c r="AQ380" s="52"/>
      <c r="AR380" s="52"/>
      <c r="AS380"/>
      <c r="AT380" s="52"/>
      <c r="AU380" s="52"/>
      <c r="AV380"/>
      <c r="AW380" s="43"/>
      <c r="AX380" s="43"/>
      <c r="AY380" s="43"/>
      <c r="AZ380" s="43"/>
      <c r="BA380" s="43"/>
      <c r="BB380" s="42"/>
      <c r="BC380" s="42"/>
      <c r="BD380" s="42"/>
      <c r="BE380" s="42"/>
      <c r="BF380" s="83">
        <v>0</v>
      </c>
    </row>
    <row r="381" spans="1:58" ht="16" x14ac:dyDescent="0.35">
      <c r="A381" s="41"/>
      <c r="B381" s="42"/>
      <c r="C381" s="42"/>
      <c r="D381" s="42"/>
      <c r="E381" s="42"/>
      <c r="F381" s="42"/>
      <c r="G381" s="42"/>
      <c r="H381" s="43"/>
      <c r="I381" s="43"/>
      <c r="J381" s="43"/>
      <c r="K381" s="43"/>
      <c r="L381" s="43"/>
      <c r="M381" s="42"/>
      <c r="N381" s="42"/>
      <c r="O381" s="42"/>
      <c r="P381" s="42"/>
      <c r="Q381" s="42"/>
      <c r="R381" s="42"/>
      <c r="S381" s="42"/>
      <c r="T381" s="42"/>
      <c r="U381" s="42"/>
      <c r="V381" s="42"/>
      <c r="W381" s="42"/>
      <c r="X381" s="42"/>
      <c r="Y381" s="43"/>
      <c r="Z381" s="42"/>
      <c r="AA381" s="42"/>
      <c r="AB381" s="44"/>
      <c r="AP381"/>
      <c r="AQ381" s="48"/>
      <c r="AR381" s="48"/>
      <c r="AS381"/>
      <c r="AT381" s="48"/>
      <c r="AU381" s="48"/>
      <c r="AV381"/>
      <c r="AW381" s="39"/>
      <c r="AX381" s="39"/>
      <c r="AY381" s="39"/>
      <c r="AZ381" s="39"/>
      <c r="BA381" s="39"/>
      <c r="BB381" s="38"/>
      <c r="BC381" s="38"/>
      <c r="BD381" s="38"/>
      <c r="BE381" s="38"/>
      <c r="BF381" s="83">
        <v>0</v>
      </c>
    </row>
    <row r="382" spans="1:58" ht="16" x14ac:dyDescent="0.35">
      <c r="A382" s="37"/>
      <c r="B382" s="38"/>
      <c r="C382" s="38"/>
      <c r="D382" s="38"/>
      <c r="E382" s="38"/>
      <c r="F382" s="38"/>
      <c r="G382" s="38"/>
      <c r="H382" s="39"/>
      <c r="I382" s="39"/>
      <c r="J382" s="39"/>
      <c r="K382" s="39"/>
      <c r="L382" s="39"/>
      <c r="M382" s="38"/>
      <c r="N382" s="38"/>
      <c r="O382" s="38"/>
      <c r="P382" s="38"/>
      <c r="Q382" s="38"/>
      <c r="R382" s="38"/>
      <c r="S382" s="38"/>
      <c r="T382" s="38"/>
      <c r="U382" s="38"/>
      <c r="V382" s="38"/>
      <c r="W382" s="38"/>
      <c r="X382" s="38"/>
      <c r="Y382" s="39"/>
      <c r="Z382" s="38"/>
      <c r="AA382" s="38"/>
      <c r="AB382" s="40"/>
      <c r="AP382"/>
      <c r="AQ382" s="52"/>
      <c r="AR382" s="52"/>
      <c r="AS382"/>
      <c r="AT382" s="52"/>
      <c r="AU382" s="52"/>
      <c r="AV382"/>
      <c r="AW382" s="43"/>
      <c r="AX382" s="43"/>
      <c r="AY382" s="43"/>
      <c r="AZ382" s="43"/>
      <c r="BA382" s="43"/>
      <c r="BB382" s="42"/>
      <c r="BC382" s="42"/>
      <c r="BD382" s="42"/>
      <c r="BE382" s="42"/>
      <c r="BF382" s="83">
        <v>0</v>
      </c>
    </row>
    <row r="383" spans="1:58" ht="16" x14ac:dyDescent="0.35">
      <c r="A383" s="41"/>
      <c r="B383" s="42"/>
      <c r="C383" s="42"/>
      <c r="D383" s="42"/>
      <c r="E383" s="42"/>
      <c r="F383" s="42"/>
      <c r="G383" s="42"/>
      <c r="H383" s="43"/>
      <c r="I383" s="43"/>
      <c r="J383" s="43"/>
      <c r="K383" s="43"/>
      <c r="L383" s="43"/>
      <c r="M383" s="42"/>
      <c r="N383" s="42"/>
      <c r="O383" s="42"/>
      <c r="P383" s="42"/>
      <c r="Q383" s="42"/>
      <c r="R383" s="42"/>
      <c r="S383" s="42"/>
      <c r="T383" s="42"/>
      <c r="U383" s="42"/>
      <c r="V383" s="42"/>
      <c r="W383" s="42"/>
      <c r="X383" s="42"/>
      <c r="Y383" s="43"/>
      <c r="Z383" s="42"/>
      <c r="AA383" s="42"/>
      <c r="AB383" s="44"/>
      <c r="AP383"/>
      <c r="AQ383" s="48"/>
      <c r="AR383" s="48"/>
      <c r="AS383"/>
      <c r="AT383" s="48"/>
      <c r="AU383" s="48"/>
      <c r="AV383"/>
      <c r="AW383" s="39"/>
      <c r="AX383" s="39"/>
      <c r="AY383" s="39"/>
      <c r="AZ383" s="39"/>
      <c r="BA383" s="39"/>
      <c r="BB383" s="38"/>
      <c r="BC383" s="38"/>
      <c r="BD383" s="38"/>
      <c r="BE383" s="38"/>
      <c r="BF383" s="83">
        <v>0</v>
      </c>
    </row>
    <row r="384" spans="1:58" ht="16" x14ac:dyDescent="0.35">
      <c r="A384" s="37"/>
      <c r="B384" s="38"/>
      <c r="C384" s="38"/>
      <c r="D384" s="38"/>
      <c r="E384" s="38"/>
      <c r="F384" s="38"/>
      <c r="G384" s="38"/>
      <c r="H384" s="39"/>
      <c r="I384" s="39"/>
      <c r="J384" s="39"/>
      <c r="K384" s="39"/>
      <c r="L384" s="39"/>
      <c r="M384" s="38"/>
      <c r="N384" s="38"/>
      <c r="O384" s="38"/>
      <c r="P384" s="38"/>
      <c r="Q384" s="38"/>
      <c r="R384" s="38"/>
      <c r="S384" s="38"/>
      <c r="T384" s="38"/>
      <c r="U384" s="38"/>
      <c r="V384" s="38"/>
      <c r="W384" s="38"/>
      <c r="X384" s="38"/>
      <c r="Y384" s="39"/>
      <c r="Z384" s="38"/>
      <c r="AA384" s="38"/>
      <c r="AB384" s="40"/>
      <c r="AP384"/>
      <c r="AQ384" s="52"/>
      <c r="AR384" s="52"/>
      <c r="AS384"/>
      <c r="AT384" s="52"/>
      <c r="AU384" s="52"/>
      <c r="AV384"/>
      <c r="AW384" s="43"/>
      <c r="AX384" s="43"/>
      <c r="AY384" s="43"/>
      <c r="AZ384" s="43"/>
      <c r="BA384" s="43"/>
      <c r="BB384" s="42"/>
      <c r="BC384" s="42"/>
      <c r="BD384" s="42"/>
      <c r="BE384" s="42"/>
      <c r="BF384" s="83">
        <v>0</v>
      </c>
    </row>
    <row r="385" spans="1:58" ht="16" x14ac:dyDescent="0.35">
      <c r="A385" s="41"/>
      <c r="B385" s="42"/>
      <c r="C385" s="42"/>
      <c r="D385" s="42"/>
      <c r="E385" s="42"/>
      <c r="F385" s="42"/>
      <c r="G385" s="42"/>
      <c r="H385" s="43"/>
      <c r="I385" s="43"/>
      <c r="J385" s="43"/>
      <c r="K385" s="43"/>
      <c r="L385" s="43"/>
      <c r="M385" s="42"/>
      <c r="N385" s="42"/>
      <c r="O385" s="42"/>
      <c r="P385" s="42"/>
      <c r="Q385" s="42"/>
      <c r="R385" s="42"/>
      <c r="S385" s="42"/>
      <c r="T385" s="42"/>
      <c r="U385" s="42"/>
      <c r="V385" s="42"/>
      <c r="W385" s="42"/>
      <c r="X385" s="42"/>
      <c r="Y385" s="43"/>
      <c r="Z385" s="42"/>
      <c r="AA385" s="42"/>
      <c r="AB385" s="44"/>
      <c r="AP385"/>
      <c r="AQ385" s="48"/>
      <c r="AR385" s="48"/>
      <c r="AS385"/>
      <c r="AT385" s="48"/>
      <c r="AU385" s="48"/>
      <c r="AV385"/>
      <c r="AW385" s="39"/>
      <c r="AX385" s="39"/>
      <c r="AY385" s="39"/>
      <c r="AZ385" s="39"/>
      <c r="BA385" s="39"/>
      <c r="BB385" s="38"/>
      <c r="BC385" s="38"/>
      <c r="BD385" s="38"/>
      <c r="BE385" s="38"/>
      <c r="BF385" s="83">
        <v>0</v>
      </c>
    </row>
    <row r="386" spans="1:58" ht="16" x14ac:dyDescent="0.35">
      <c r="A386" s="37"/>
      <c r="B386" s="38"/>
      <c r="C386" s="38"/>
      <c r="D386" s="38"/>
      <c r="E386" s="38"/>
      <c r="F386" s="38"/>
      <c r="G386" s="38"/>
      <c r="H386" s="39"/>
      <c r="I386" s="39"/>
      <c r="J386" s="39"/>
      <c r="K386" s="39"/>
      <c r="L386" s="39"/>
      <c r="M386" s="38"/>
      <c r="N386" s="38"/>
      <c r="O386" s="38"/>
      <c r="P386" s="38"/>
      <c r="Q386" s="38"/>
      <c r="R386" s="38"/>
      <c r="S386" s="38"/>
      <c r="T386" s="38"/>
      <c r="U386" s="38"/>
      <c r="V386" s="38"/>
      <c r="W386" s="38"/>
      <c r="X386" s="38"/>
      <c r="Y386" s="39"/>
      <c r="Z386" s="38"/>
      <c r="AA386" s="38"/>
      <c r="AB386" s="40"/>
      <c r="AP386"/>
      <c r="AQ386" s="52"/>
      <c r="AR386" s="52"/>
      <c r="AS386"/>
      <c r="AT386" s="52"/>
      <c r="AU386" s="52"/>
      <c r="AV386"/>
      <c r="AW386" s="43"/>
      <c r="AX386" s="43"/>
      <c r="AY386" s="43"/>
      <c r="AZ386" s="43"/>
      <c r="BA386" s="43"/>
      <c r="BB386" s="42"/>
      <c r="BC386" s="42"/>
      <c r="BD386" s="42"/>
      <c r="BE386" s="42"/>
      <c r="BF386" s="83">
        <v>0</v>
      </c>
    </row>
    <row r="387" spans="1:58" ht="16" x14ac:dyDescent="0.35">
      <c r="A387" s="41"/>
      <c r="B387" s="42"/>
      <c r="C387" s="42"/>
      <c r="D387" s="42"/>
      <c r="E387" s="42"/>
      <c r="F387" s="42"/>
      <c r="G387" s="42"/>
      <c r="H387" s="43"/>
      <c r="I387" s="43"/>
      <c r="J387" s="43"/>
      <c r="K387" s="43"/>
      <c r="L387" s="43"/>
      <c r="M387" s="42"/>
      <c r="N387" s="42"/>
      <c r="O387" s="42"/>
      <c r="P387" s="42"/>
      <c r="Q387" s="42"/>
      <c r="R387" s="42"/>
      <c r="S387" s="42"/>
      <c r="T387" s="42"/>
      <c r="U387" s="42"/>
      <c r="V387" s="42"/>
      <c r="W387" s="42"/>
      <c r="X387" s="42"/>
      <c r="Y387" s="43"/>
      <c r="Z387" s="42"/>
      <c r="AA387" s="42"/>
      <c r="AB387" s="44"/>
      <c r="AP387"/>
      <c r="AQ387" s="48"/>
      <c r="AR387" s="48"/>
      <c r="AS387"/>
      <c r="AT387" s="48"/>
      <c r="AU387" s="48"/>
      <c r="AV387"/>
      <c r="AW387" s="39"/>
      <c r="AX387" s="39"/>
      <c r="AY387" s="39"/>
      <c r="AZ387" s="39"/>
      <c r="BA387" s="39"/>
      <c r="BB387" s="38"/>
      <c r="BC387" s="38"/>
      <c r="BD387" s="38"/>
      <c r="BE387" s="38"/>
      <c r="BF387" s="83">
        <v>0</v>
      </c>
    </row>
    <row r="388" spans="1:58" ht="16" x14ac:dyDescent="0.35">
      <c r="A388" s="37"/>
      <c r="B388" s="38"/>
      <c r="C388" s="38"/>
      <c r="D388" s="38"/>
      <c r="E388" s="38"/>
      <c r="F388" s="38"/>
      <c r="G388" s="38"/>
      <c r="H388" s="39"/>
      <c r="I388" s="39"/>
      <c r="J388" s="39"/>
      <c r="K388" s="39"/>
      <c r="L388" s="39"/>
      <c r="M388" s="38"/>
      <c r="N388" s="38"/>
      <c r="O388" s="38"/>
      <c r="P388" s="38"/>
      <c r="Q388" s="38"/>
      <c r="R388" s="38"/>
      <c r="S388" s="38"/>
      <c r="T388" s="38"/>
      <c r="U388" s="38"/>
      <c r="V388" s="38"/>
      <c r="W388" s="38"/>
      <c r="X388" s="38"/>
      <c r="Y388" s="39"/>
      <c r="Z388" s="38"/>
      <c r="AA388" s="38"/>
      <c r="AB388" s="40"/>
      <c r="AP388"/>
      <c r="AQ388" s="52"/>
      <c r="AR388" s="52"/>
      <c r="AS388"/>
      <c r="AT388" s="52"/>
      <c r="AU388" s="52"/>
      <c r="AV388"/>
      <c r="AW388" s="43"/>
      <c r="AX388" s="43"/>
      <c r="AY388" s="43"/>
      <c r="AZ388" s="43"/>
      <c r="BA388" s="43"/>
      <c r="BB388" s="42"/>
      <c r="BC388" s="42"/>
      <c r="BD388" s="42"/>
      <c r="BE388" s="42"/>
      <c r="BF388" s="83">
        <v>0</v>
      </c>
    </row>
    <row r="389" spans="1:58" ht="16" x14ac:dyDescent="0.35">
      <c r="A389" s="41"/>
      <c r="B389" s="42"/>
      <c r="C389" s="42"/>
      <c r="D389" s="42"/>
      <c r="E389" s="42"/>
      <c r="F389" s="42"/>
      <c r="G389" s="42"/>
      <c r="H389" s="43"/>
      <c r="I389" s="43"/>
      <c r="J389" s="43"/>
      <c r="K389" s="43"/>
      <c r="L389" s="43"/>
      <c r="M389" s="42"/>
      <c r="N389" s="42"/>
      <c r="O389" s="42"/>
      <c r="P389" s="42"/>
      <c r="Q389" s="42"/>
      <c r="R389" s="42"/>
      <c r="S389" s="42"/>
      <c r="T389" s="42"/>
      <c r="U389" s="42"/>
      <c r="V389" s="42"/>
      <c r="W389" s="42"/>
      <c r="X389" s="42"/>
      <c r="Y389" s="43"/>
      <c r="Z389" s="42"/>
      <c r="AA389" s="42"/>
      <c r="AB389" s="44"/>
      <c r="AP389"/>
      <c r="AQ389" s="48"/>
      <c r="AR389" s="48"/>
      <c r="AS389"/>
      <c r="AT389" s="48"/>
      <c r="AU389" s="48"/>
      <c r="AV389"/>
      <c r="AW389" s="39"/>
      <c r="AX389" s="39"/>
      <c r="AY389" s="39"/>
      <c r="AZ389" s="39"/>
      <c r="BA389" s="39"/>
      <c r="BB389" s="38"/>
      <c r="BC389" s="38"/>
      <c r="BD389" s="38"/>
      <c r="BE389" s="38"/>
      <c r="BF389" s="83">
        <v>0</v>
      </c>
    </row>
    <row r="390" spans="1:58" ht="16" x14ac:dyDescent="0.35">
      <c r="A390" s="37"/>
      <c r="B390" s="38"/>
      <c r="C390" s="38"/>
      <c r="D390" s="38"/>
      <c r="E390" s="38"/>
      <c r="F390" s="38"/>
      <c r="G390" s="38"/>
      <c r="H390" s="39"/>
      <c r="I390" s="39"/>
      <c r="J390" s="39"/>
      <c r="K390" s="39"/>
      <c r="L390" s="39"/>
      <c r="M390" s="38"/>
      <c r="N390" s="38"/>
      <c r="O390" s="38"/>
      <c r="P390" s="38"/>
      <c r="Q390" s="38"/>
      <c r="R390" s="38"/>
      <c r="S390" s="38"/>
      <c r="T390" s="38"/>
      <c r="U390" s="38"/>
      <c r="V390" s="38"/>
      <c r="W390" s="38"/>
      <c r="X390" s="38"/>
      <c r="Y390" s="39"/>
      <c r="Z390" s="38"/>
      <c r="AA390" s="38"/>
      <c r="AB390" s="40"/>
      <c r="AP390"/>
      <c r="AQ390" s="52"/>
      <c r="AR390" s="52"/>
      <c r="AS390"/>
      <c r="AT390" s="52"/>
      <c r="AU390" s="52"/>
      <c r="AV390"/>
      <c r="AW390" s="43"/>
      <c r="AX390" s="43"/>
      <c r="AY390" s="43"/>
      <c r="AZ390" s="43"/>
      <c r="BA390" s="43"/>
      <c r="BB390" s="42"/>
      <c r="BC390" s="42"/>
      <c r="BD390" s="42"/>
      <c r="BE390" s="42"/>
      <c r="BF390" s="83">
        <v>0</v>
      </c>
    </row>
    <row r="391" spans="1:58" ht="16" x14ac:dyDescent="0.35">
      <c r="A391" s="41"/>
      <c r="B391" s="42"/>
      <c r="C391" s="42"/>
      <c r="D391" s="42"/>
      <c r="E391" s="42"/>
      <c r="F391" s="42"/>
      <c r="G391" s="42"/>
      <c r="H391" s="43"/>
      <c r="I391" s="43"/>
      <c r="J391" s="43"/>
      <c r="K391" s="43"/>
      <c r="L391" s="43"/>
      <c r="M391" s="42"/>
      <c r="N391" s="42"/>
      <c r="O391" s="42"/>
      <c r="P391" s="42"/>
      <c r="Q391" s="42"/>
      <c r="R391" s="42"/>
      <c r="S391" s="42"/>
      <c r="T391" s="42"/>
      <c r="U391" s="42"/>
      <c r="V391" s="42"/>
      <c r="W391" s="42"/>
      <c r="X391" s="42"/>
      <c r="Y391" s="43"/>
      <c r="Z391" s="42"/>
      <c r="AA391" s="42"/>
      <c r="AB391" s="44"/>
      <c r="AP391"/>
      <c r="AQ391" s="48"/>
      <c r="AR391" s="48"/>
      <c r="AS391"/>
      <c r="AT391" s="48"/>
      <c r="AU391" s="48"/>
      <c r="AV391"/>
      <c r="AW391" s="39"/>
      <c r="AX391" s="39"/>
      <c r="AY391" s="39"/>
      <c r="AZ391" s="39"/>
      <c r="BA391" s="39"/>
      <c r="BB391" s="38"/>
      <c r="BC391" s="38"/>
      <c r="BD391" s="38"/>
      <c r="BE391" s="38"/>
      <c r="BF391" s="83">
        <v>0</v>
      </c>
    </row>
    <row r="392" spans="1:58" ht="16" x14ac:dyDescent="0.35">
      <c r="A392" s="37"/>
      <c r="B392" s="38"/>
      <c r="C392" s="38"/>
      <c r="D392" s="38"/>
      <c r="E392" s="38"/>
      <c r="F392" s="38"/>
      <c r="G392" s="38"/>
      <c r="H392" s="39"/>
      <c r="I392" s="39"/>
      <c r="J392" s="39"/>
      <c r="K392" s="39"/>
      <c r="L392" s="39"/>
      <c r="M392" s="38"/>
      <c r="N392" s="38"/>
      <c r="O392" s="38"/>
      <c r="P392" s="38"/>
      <c r="Q392" s="38"/>
      <c r="R392" s="38"/>
      <c r="S392" s="38"/>
      <c r="T392" s="38"/>
      <c r="U392" s="38"/>
      <c r="V392" s="38"/>
      <c r="W392" s="38"/>
      <c r="X392" s="38"/>
      <c r="Y392" s="39"/>
      <c r="Z392" s="38"/>
      <c r="AA392" s="38"/>
      <c r="AB392" s="40"/>
      <c r="AP392"/>
      <c r="AQ392" s="52"/>
      <c r="AR392" s="52"/>
      <c r="AS392"/>
      <c r="AT392" s="52"/>
      <c r="AU392" s="52"/>
      <c r="AV392"/>
      <c r="AW392" s="43"/>
      <c r="AX392" s="43"/>
      <c r="AY392" s="43"/>
      <c r="AZ392" s="43"/>
      <c r="BA392" s="43"/>
      <c r="BB392" s="42"/>
      <c r="BC392" s="42"/>
      <c r="BD392" s="42"/>
      <c r="BE392" s="42"/>
      <c r="BF392" s="83">
        <v>1</v>
      </c>
    </row>
    <row r="393" spans="1:58" ht="16" x14ac:dyDescent="0.35">
      <c r="A393" s="41"/>
      <c r="B393" s="42"/>
      <c r="C393" s="42"/>
      <c r="D393" s="42"/>
      <c r="E393" s="42"/>
      <c r="F393" s="42"/>
      <c r="G393" s="42"/>
      <c r="H393" s="43"/>
      <c r="I393" s="43"/>
      <c r="J393" s="43"/>
      <c r="K393" s="43"/>
      <c r="L393" s="43"/>
      <c r="M393" s="42"/>
      <c r="N393" s="42"/>
      <c r="O393" s="42"/>
      <c r="P393" s="42"/>
      <c r="Q393" s="42"/>
      <c r="R393" s="42"/>
      <c r="S393" s="42"/>
      <c r="T393" s="42"/>
      <c r="U393" s="42"/>
      <c r="V393" s="42"/>
      <c r="W393" s="42"/>
      <c r="X393" s="42"/>
      <c r="Y393" s="43"/>
      <c r="Z393" s="42"/>
      <c r="AA393" s="42"/>
      <c r="AB393" s="44"/>
      <c r="AP393"/>
      <c r="AQ393" s="48"/>
      <c r="AR393" s="48"/>
      <c r="AS393"/>
      <c r="AT393" s="48"/>
      <c r="AU393" s="48"/>
      <c r="AV393"/>
      <c r="AW393" s="39"/>
      <c r="AX393" s="39"/>
      <c r="AY393" s="39"/>
      <c r="AZ393" s="39"/>
      <c r="BA393" s="39"/>
      <c r="BB393" s="38"/>
      <c r="BC393" s="38"/>
      <c r="BD393" s="38"/>
      <c r="BE393" s="38"/>
      <c r="BF393" s="83">
        <v>0</v>
      </c>
    </row>
    <row r="394" spans="1:58" ht="16" x14ac:dyDescent="0.35">
      <c r="A394" s="37"/>
      <c r="B394" s="38"/>
      <c r="C394" s="38"/>
      <c r="D394" s="38"/>
      <c r="E394" s="38"/>
      <c r="F394" s="38"/>
      <c r="G394" s="38"/>
      <c r="H394" s="39"/>
      <c r="I394" s="39"/>
      <c r="J394" s="39"/>
      <c r="K394" s="39"/>
      <c r="L394" s="39"/>
      <c r="M394" s="38"/>
      <c r="N394" s="38"/>
      <c r="O394" s="38"/>
      <c r="P394" s="38"/>
      <c r="Q394" s="38"/>
      <c r="R394" s="38"/>
      <c r="S394" s="38"/>
      <c r="T394" s="38"/>
      <c r="U394" s="38"/>
      <c r="V394" s="38"/>
      <c r="W394" s="38"/>
      <c r="X394" s="38"/>
      <c r="Y394" s="39"/>
      <c r="Z394" s="38"/>
      <c r="AA394" s="38"/>
      <c r="AB394" s="40"/>
      <c r="AP394"/>
      <c r="AQ394" s="52"/>
      <c r="AR394" s="52"/>
      <c r="AS394"/>
      <c r="AT394" s="52"/>
      <c r="AU394" s="52"/>
      <c r="AV394"/>
      <c r="AW394" s="43"/>
      <c r="AX394" s="43"/>
      <c r="AY394" s="43"/>
      <c r="AZ394" s="43"/>
      <c r="BA394" s="43"/>
      <c r="BB394" s="42"/>
      <c r="BC394" s="42"/>
      <c r="BD394" s="42"/>
      <c r="BE394" s="42"/>
      <c r="BF394" s="83">
        <v>0</v>
      </c>
    </row>
    <row r="395" spans="1:58" ht="16" x14ac:dyDescent="0.35">
      <c r="A395" s="41"/>
      <c r="B395" s="42"/>
      <c r="C395" s="42"/>
      <c r="D395" s="42"/>
      <c r="E395" s="42"/>
      <c r="F395" s="42"/>
      <c r="G395" s="42"/>
      <c r="H395" s="43"/>
      <c r="I395" s="43"/>
      <c r="J395" s="43"/>
      <c r="K395" s="43"/>
      <c r="L395" s="43"/>
      <c r="M395" s="42"/>
      <c r="N395" s="42"/>
      <c r="O395" s="42"/>
      <c r="P395" s="42"/>
      <c r="Q395" s="42"/>
      <c r="R395" s="42"/>
      <c r="S395" s="42"/>
      <c r="T395" s="42"/>
      <c r="U395" s="42"/>
      <c r="V395" s="42"/>
      <c r="W395" s="42"/>
      <c r="X395" s="42"/>
      <c r="Y395" s="43"/>
      <c r="Z395" s="42"/>
      <c r="AA395" s="42"/>
      <c r="AB395" s="44"/>
      <c r="AP395"/>
      <c r="AQ395" s="48"/>
      <c r="AR395" s="48"/>
      <c r="AS395"/>
      <c r="AT395" s="48"/>
      <c r="AU395" s="48"/>
      <c r="AV395"/>
      <c r="AW395" s="39"/>
      <c r="AX395" s="39"/>
      <c r="AY395" s="39"/>
      <c r="AZ395" s="39"/>
      <c r="BA395" s="39"/>
      <c r="BB395" s="38"/>
      <c r="BC395" s="38"/>
      <c r="BD395" s="38"/>
      <c r="BE395" s="38"/>
      <c r="BF395" s="83">
        <v>0</v>
      </c>
    </row>
    <row r="396" spans="1:58" ht="16" x14ac:dyDescent="0.35">
      <c r="A396" s="37"/>
      <c r="B396" s="38"/>
      <c r="C396" s="38"/>
      <c r="D396" s="38"/>
      <c r="E396" s="38"/>
      <c r="F396" s="38"/>
      <c r="G396" s="38"/>
      <c r="H396" s="39"/>
      <c r="I396" s="39"/>
      <c r="J396" s="39"/>
      <c r="K396" s="39"/>
      <c r="L396" s="39"/>
      <c r="M396" s="38"/>
      <c r="N396" s="38"/>
      <c r="O396" s="38"/>
      <c r="P396" s="38"/>
      <c r="Q396" s="38"/>
      <c r="R396" s="38"/>
      <c r="S396" s="38"/>
      <c r="T396" s="38"/>
      <c r="U396" s="38"/>
      <c r="V396" s="38"/>
      <c r="W396" s="38"/>
      <c r="X396" s="38"/>
      <c r="Y396" s="39"/>
      <c r="Z396" s="38"/>
      <c r="AA396" s="38"/>
      <c r="AB396" s="40"/>
      <c r="AP396"/>
      <c r="AQ396" s="52"/>
      <c r="AR396" s="52"/>
      <c r="AS396"/>
      <c r="AT396" s="52"/>
      <c r="AU396" s="52"/>
      <c r="AV396"/>
      <c r="AW396" s="43"/>
      <c r="AX396" s="43"/>
      <c r="AY396" s="43"/>
      <c r="AZ396" s="43"/>
      <c r="BA396" s="43"/>
      <c r="BB396" s="42"/>
      <c r="BC396" s="42"/>
      <c r="BD396" s="42"/>
      <c r="BE396" s="42"/>
      <c r="BF396" s="83">
        <v>0</v>
      </c>
    </row>
    <row r="397" spans="1:58" ht="16" x14ac:dyDescent="0.35">
      <c r="A397" s="41"/>
      <c r="B397" s="42"/>
      <c r="C397" s="42"/>
      <c r="D397" s="42"/>
      <c r="E397" s="42"/>
      <c r="F397" s="42"/>
      <c r="G397" s="42"/>
      <c r="H397" s="43"/>
      <c r="I397" s="43"/>
      <c r="J397" s="43"/>
      <c r="K397" s="43"/>
      <c r="L397" s="43"/>
      <c r="M397" s="42"/>
      <c r="N397" s="42"/>
      <c r="O397" s="42"/>
      <c r="P397" s="42"/>
      <c r="Q397" s="42"/>
      <c r="R397" s="42"/>
      <c r="S397" s="42"/>
      <c r="T397" s="42"/>
      <c r="U397" s="42"/>
      <c r="V397" s="42"/>
      <c r="W397" s="42"/>
      <c r="X397" s="42"/>
      <c r="Y397" s="43"/>
      <c r="Z397" s="42"/>
      <c r="AA397" s="42"/>
      <c r="AB397" s="44"/>
      <c r="AP397"/>
      <c r="AQ397" s="48"/>
      <c r="AR397" s="48"/>
      <c r="AS397"/>
      <c r="AT397" s="48"/>
      <c r="AU397" s="48"/>
      <c r="AV397"/>
      <c r="AW397" s="39"/>
      <c r="AX397" s="39"/>
      <c r="AY397" s="39"/>
      <c r="AZ397" s="39"/>
      <c r="BA397" s="39"/>
      <c r="BB397" s="38"/>
      <c r="BC397" s="38"/>
      <c r="BD397" s="38"/>
      <c r="BE397" s="38"/>
      <c r="BF397" s="83">
        <v>0</v>
      </c>
    </row>
    <row r="398" spans="1:58" ht="16" x14ac:dyDescent="0.35">
      <c r="A398" s="37"/>
      <c r="B398" s="38"/>
      <c r="C398" s="38"/>
      <c r="D398" s="38"/>
      <c r="E398" s="38"/>
      <c r="F398" s="38"/>
      <c r="G398" s="38"/>
      <c r="H398" s="39"/>
      <c r="I398" s="39"/>
      <c r="J398" s="39"/>
      <c r="K398" s="39"/>
      <c r="L398" s="39"/>
      <c r="M398" s="38"/>
      <c r="N398" s="38"/>
      <c r="O398" s="38"/>
      <c r="P398" s="38"/>
      <c r="Q398" s="38"/>
      <c r="R398" s="38"/>
      <c r="S398" s="38"/>
      <c r="T398" s="38"/>
      <c r="U398" s="38"/>
      <c r="V398" s="38"/>
      <c r="W398" s="38"/>
      <c r="X398" s="38"/>
      <c r="Y398" s="39"/>
      <c r="Z398" s="38"/>
      <c r="AA398" s="38"/>
      <c r="AB398" s="40"/>
      <c r="AP398"/>
      <c r="AQ398" s="52"/>
      <c r="AR398" s="52"/>
      <c r="AS398"/>
      <c r="AT398" s="52"/>
      <c r="AU398" s="52"/>
      <c r="AV398"/>
      <c r="AW398" s="43"/>
      <c r="AX398" s="43"/>
      <c r="AY398" s="43"/>
      <c r="AZ398" s="43"/>
      <c r="BA398" s="43"/>
      <c r="BB398" s="42"/>
      <c r="BC398" s="42"/>
      <c r="BD398" s="42"/>
      <c r="BE398" s="42"/>
      <c r="BF398" s="83">
        <v>0</v>
      </c>
    </row>
    <row r="399" spans="1:58" ht="16" x14ac:dyDescent="0.35">
      <c r="A399" s="41"/>
      <c r="B399" s="42"/>
      <c r="C399" s="42"/>
      <c r="D399" s="42"/>
      <c r="E399" s="42"/>
      <c r="F399" s="42"/>
      <c r="G399" s="42"/>
      <c r="H399" s="43"/>
      <c r="I399" s="43"/>
      <c r="J399" s="43"/>
      <c r="K399" s="43"/>
      <c r="L399" s="43"/>
      <c r="M399" s="42"/>
      <c r="N399" s="42"/>
      <c r="O399" s="42"/>
      <c r="P399" s="42"/>
      <c r="Q399" s="42"/>
      <c r="R399" s="42"/>
      <c r="S399" s="42"/>
      <c r="T399" s="42"/>
      <c r="U399" s="42"/>
      <c r="V399" s="42"/>
      <c r="W399" s="42"/>
      <c r="X399" s="42"/>
      <c r="Y399" s="43"/>
      <c r="Z399" s="42"/>
      <c r="AA399" s="42"/>
      <c r="AB399" s="44"/>
      <c r="AP399"/>
      <c r="AQ399" s="48"/>
      <c r="AR399" s="48"/>
      <c r="AS399"/>
      <c r="AT399" s="48"/>
      <c r="AU399" s="48"/>
      <c r="AV399"/>
      <c r="AW399" s="39"/>
      <c r="AX399" s="39"/>
      <c r="AY399" s="39"/>
      <c r="AZ399" s="39"/>
      <c r="BA399" s="39"/>
      <c r="BB399" s="38"/>
      <c r="BC399" s="38"/>
      <c r="BD399" s="38"/>
      <c r="BE399" s="38"/>
      <c r="BF399" s="83">
        <v>0</v>
      </c>
    </row>
    <row r="400" spans="1:58" ht="16" x14ac:dyDescent="0.35">
      <c r="A400" s="37"/>
      <c r="B400" s="38"/>
      <c r="C400" s="38"/>
      <c r="D400" s="38"/>
      <c r="E400" s="38"/>
      <c r="F400" s="38"/>
      <c r="G400" s="38"/>
      <c r="H400" s="39"/>
      <c r="I400" s="39"/>
      <c r="J400" s="39"/>
      <c r="K400" s="39"/>
      <c r="L400" s="39"/>
      <c r="M400" s="38"/>
      <c r="N400" s="38"/>
      <c r="O400" s="38"/>
      <c r="P400" s="38"/>
      <c r="Q400" s="38"/>
      <c r="R400" s="38"/>
      <c r="S400" s="38"/>
      <c r="T400" s="38"/>
      <c r="U400" s="38"/>
      <c r="V400" s="38"/>
      <c r="W400" s="38"/>
      <c r="X400" s="38"/>
      <c r="Y400" s="39"/>
      <c r="Z400" s="38"/>
      <c r="AA400" s="38"/>
      <c r="AB400" s="40"/>
      <c r="AP400"/>
      <c r="AQ400" s="52"/>
      <c r="AR400" s="52"/>
      <c r="AS400"/>
      <c r="AT400" s="52"/>
      <c r="AU400" s="52"/>
      <c r="AV400"/>
      <c r="AW400" s="43"/>
      <c r="AX400" s="43"/>
      <c r="AY400" s="43"/>
      <c r="AZ400" s="43"/>
      <c r="BA400" s="43"/>
      <c r="BB400" s="42"/>
      <c r="BC400" s="42"/>
      <c r="BD400" s="42"/>
      <c r="BE400" s="42"/>
      <c r="BF400" s="83">
        <v>0</v>
      </c>
    </row>
    <row r="401" spans="1:58" ht="16" x14ac:dyDescent="0.35">
      <c r="A401" s="41"/>
      <c r="B401" s="42"/>
      <c r="C401" s="42"/>
      <c r="D401" s="42"/>
      <c r="E401" s="42"/>
      <c r="F401" s="42"/>
      <c r="G401" s="42"/>
      <c r="H401" s="43"/>
      <c r="I401" s="43"/>
      <c r="J401" s="43"/>
      <c r="K401" s="43"/>
      <c r="L401" s="43"/>
      <c r="M401" s="42"/>
      <c r="N401" s="42"/>
      <c r="O401" s="42"/>
      <c r="P401" s="42"/>
      <c r="Q401" s="42"/>
      <c r="R401" s="42"/>
      <c r="S401" s="42"/>
      <c r="T401" s="42"/>
      <c r="U401" s="42"/>
      <c r="V401" s="42"/>
      <c r="W401" s="42"/>
      <c r="X401" s="42"/>
      <c r="Y401" s="43"/>
      <c r="Z401" s="42"/>
      <c r="AA401" s="42"/>
      <c r="AB401" s="44"/>
      <c r="AP401"/>
      <c r="AQ401" s="48"/>
      <c r="AR401" s="48"/>
      <c r="AS401"/>
      <c r="AT401" s="48"/>
      <c r="AU401" s="48"/>
      <c r="AV401"/>
      <c r="AW401" s="39"/>
      <c r="AX401" s="39"/>
      <c r="AY401" s="39"/>
      <c r="AZ401" s="39"/>
      <c r="BA401" s="39"/>
      <c r="BB401" s="38"/>
      <c r="BC401" s="38"/>
      <c r="BD401" s="38"/>
      <c r="BE401" s="38"/>
      <c r="BF401" s="83">
        <v>0</v>
      </c>
    </row>
    <row r="402" spans="1:58" ht="16" x14ac:dyDescent="0.35">
      <c r="A402" s="37"/>
      <c r="B402" s="38"/>
      <c r="C402" s="38"/>
      <c r="D402" s="38"/>
      <c r="E402" s="38"/>
      <c r="F402" s="38"/>
      <c r="G402" s="38"/>
      <c r="H402" s="39"/>
      <c r="I402" s="39"/>
      <c r="J402" s="39"/>
      <c r="K402" s="39"/>
      <c r="L402" s="39"/>
      <c r="M402" s="38"/>
      <c r="N402" s="38"/>
      <c r="O402" s="38"/>
      <c r="P402" s="38"/>
      <c r="Q402" s="38"/>
      <c r="R402" s="38"/>
      <c r="S402" s="38"/>
      <c r="T402" s="38"/>
      <c r="U402" s="38"/>
      <c r="V402" s="38"/>
      <c r="W402" s="38"/>
      <c r="X402" s="38"/>
      <c r="Y402" s="39"/>
      <c r="Z402" s="38"/>
      <c r="AA402" s="38"/>
      <c r="AB402" s="40"/>
      <c r="AP402"/>
      <c r="AQ402" s="52"/>
      <c r="AR402" s="52"/>
      <c r="AS402"/>
      <c r="AT402" s="52"/>
      <c r="AU402" s="52"/>
      <c r="AV402"/>
      <c r="AW402" s="43"/>
      <c r="AX402" s="43"/>
      <c r="AY402" s="43"/>
      <c r="AZ402" s="43"/>
      <c r="BA402" s="43"/>
      <c r="BB402" s="42"/>
      <c r="BC402" s="42"/>
      <c r="BD402" s="42"/>
      <c r="BE402" s="42"/>
      <c r="BF402" s="83">
        <v>0</v>
      </c>
    </row>
    <row r="403" spans="1:58" ht="16" x14ac:dyDescent="0.35">
      <c r="A403" s="41"/>
      <c r="B403" s="42"/>
      <c r="C403" s="42"/>
      <c r="D403" s="42"/>
      <c r="E403" s="42"/>
      <c r="F403" s="42"/>
      <c r="G403" s="42"/>
      <c r="H403" s="43"/>
      <c r="I403" s="43"/>
      <c r="J403" s="43"/>
      <c r="K403" s="43"/>
      <c r="L403" s="43"/>
      <c r="M403" s="42"/>
      <c r="N403" s="42"/>
      <c r="O403" s="42"/>
      <c r="P403" s="42"/>
      <c r="Q403" s="42"/>
      <c r="R403" s="42"/>
      <c r="S403" s="42"/>
      <c r="T403" s="42"/>
      <c r="U403" s="42"/>
      <c r="V403" s="42"/>
      <c r="W403" s="42"/>
      <c r="X403" s="42"/>
      <c r="Y403" s="43"/>
      <c r="Z403" s="42"/>
      <c r="AA403" s="42"/>
      <c r="AB403" s="44"/>
      <c r="AP403"/>
      <c r="AQ403" s="48"/>
      <c r="AR403" s="48"/>
      <c r="AS403"/>
      <c r="AT403" s="48"/>
      <c r="AU403" s="48"/>
      <c r="AV403"/>
      <c r="AW403" s="39"/>
      <c r="AX403" s="39"/>
      <c r="AY403" s="39"/>
      <c r="AZ403" s="39"/>
      <c r="BA403" s="39"/>
      <c r="BB403" s="38"/>
      <c r="BC403" s="38"/>
      <c r="BD403" s="38"/>
      <c r="BE403" s="38"/>
      <c r="BF403" s="83">
        <v>0</v>
      </c>
    </row>
    <row r="404" spans="1:58" ht="16" x14ac:dyDescent="0.35">
      <c r="A404" s="37"/>
      <c r="B404" s="38"/>
      <c r="C404" s="38"/>
      <c r="D404" s="38"/>
      <c r="E404" s="38"/>
      <c r="F404" s="38"/>
      <c r="G404" s="38"/>
      <c r="H404" s="39"/>
      <c r="I404" s="39"/>
      <c r="J404" s="39"/>
      <c r="K404" s="39"/>
      <c r="L404" s="39"/>
      <c r="M404" s="38"/>
      <c r="N404" s="38"/>
      <c r="O404" s="38"/>
      <c r="P404" s="38"/>
      <c r="Q404" s="38"/>
      <c r="R404" s="38"/>
      <c r="S404" s="38"/>
      <c r="T404" s="38"/>
      <c r="U404" s="38"/>
      <c r="V404" s="38"/>
      <c r="W404" s="38"/>
      <c r="X404" s="38"/>
      <c r="Y404" s="39"/>
      <c r="Z404" s="38"/>
      <c r="AA404" s="38"/>
      <c r="AB404" s="40"/>
      <c r="AP404"/>
      <c r="AQ404" s="52"/>
      <c r="AR404" s="52"/>
      <c r="AS404"/>
      <c r="AT404" s="52"/>
      <c r="AU404" s="52"/>
      <c r="AV404"/>
      <c r="AW404" s="43"/>
      <c r="AX404" s="43"/>
      <c r="AY404" s="43"/>
      <c r="AZ404" s="43"/>
      <c r="BA404" s="43"/>
      <c r="BB404" s="42"/>
      <c r="BC404" s="42"/>
      <c r="BD404" s="42"/>
      <c r="BE404" s="42"/>
      <c r="BF404" s="83">
        <v>0</v>
      </c>
    </row>
    <row r="405" spans="1:58" ht="16" x14ac:dyDescent="0.35">
      <c r="A405" s="41"/>
      <c r="B405" s="42"/>
      <c r="C405" s="42"/>
      <c r="D405" s="42"/>
      <c r="E405" s="42"/>
      <c r="F405" s="42"/>
      <c r="G405" s="42"/>
      <c r="H405" s="43"/>
      <c r="I405" s="43"/>
      <c r="J405" s="43"/>
      <c r="K405" s="43"/>
      <c r="L405" s="43"/>
      <c r="M405" s="42"/>
      <c r="N405" s="42"/>
      <c r="O405" s="42"/>
      <c r="P405" s="42"/>
      <c r="Q405" s="42"/>
      <c r="R405" s="42"/>
      <c r="S405" s="42"/>
      <c r="T405" s="42"/>
      <c r="U405" s="42"/>
      <c r="V405" s="42"/>
      <c r="W405" s="42"/>
      <c r="X405" s="42"/>
      <c r="Y405" s="43"/>
      <c r="Z405" s="42"/>
      <c r="AA405" s="42"/>
      <c r="AB405" s="44"/>
      <c r="AP405"/>
      <c r="AQ405" s="48"/>
      <c r="AR405" s="48"/>
      <c r="AS405"/>
      <c r="AT405" s="48"/>
      <c r="AU405" s="48"/>
      <c r="AV405"/>
      <c r="AW405" s="39"/>
      <c r="AX405" s="39"/>
      <c r="AY405" s="39"/>
      <c r="AZ405" s="39"/>
      <c r="BA405" s="39"/>
      <c r="BB405" s="38"/>
      <c r="BC405" s="38"/>
      <c r="BD405" s="38"/>
      <c r="BE405" s="38"/>
      <c r="BF405" s="83">
        <v>0</v>
      </c>
    </row>
    <row r="406" spans="1:58" ht="16" x14ac:dyDescent="0.35">
      <c r="A406" s="37"/>
      <c r="B406" s="38"/>
      <c r="C406" s="38"/>
      <c r="D406" s="38"/>
      <c r="E406" s="38"/>
      <c r="F406" s="38"/>
      <c r="G406" s="38"/>
      <c r="H406" s="39"/>
      <c r="I406" s="39"/>
      <c r="J406" s="39"/>
      <c r="K406" s="39"/>
      <c r="L406" s="39"/>
      <c r="M406" s="38"/>
      <c r="N406" s="38"/>
      <c r="O406" s="38"/>
      <c r="P406" s="38"/>
      <c r="Q406" s="38"/>
      <c r="R406" s="38"/>
      <c r="S406" s="38"/>
      <c r="T406" s="38"/>
      <c r="U406" s="38"/>
      <c r="V406" s="38"/>
      <c r="W406" s="38"/>
      <c r="X406" s="38"/>
      <c r="Y406" s="39"/>
      <c r="Z406" s="38"/>
      <c r="AA406" s="38"/>
      <c r="AB406" s="40"/>
      <c r="AP406"/>
      <c r="AQ406" s="52"/>
      <c r="AR406" s="52"/>
      <c r="AS406"/>
      <c r="AT406" s="52"/>
      <c r="AU406" s="52"/>
      <c r="AV406"/>
      <c r="AW406" s="43"/>
      <c r="AX406" s="43"/>
      <c r="AY406" s="43"/>
      <c r="AZ406" s="43"/>
      <c r="BA406" s="43"/>
      <c r="BB406" s="42"/>
      <c r="BC406" s="42"/>
      <c r="BD406" s="42"/>
      <c r="BE406" s="42"/>
      <c r="BF406" s="83">
        <v>3</v>
      </c>
    </row>
    <row r="407" spans="1:58" ht="16" x14ac:dyDescent="0.35">
      <c r="A407" s="41"/>
      <c r="B407" s="42"/>
      <c r="C407" s="42"/>
      <c r="D407" s="42"/>
      <c r="E407" s="42"/>
      <c r="F407" s="42"/>
      <c r="G407" s="42"/>
      <c r="H407" s="43"/>
      <c r="I407" s="43"/>
      <c r="J407" s="43"/>
      <c r="K407" s="43"/>
      <c r="L407" s="43"/>
      <c r="M407" s="42"/>
      <c r="N407" s="42"/>
      <c r="O407" s="42"/>
      <c r="P407" s="42"/>
      <c r="Q407" s="42"/>
      <c r="R407" s="42"/>
      <c r="S407" s="42"/>
      <c r="T407" s="42"/>
      <c r="U407" s="42"/>
      <c r="V407" s="42"/>
      <c r="W407" s="42"/>
      <c r="X407" s="42"/>
      <c r="Y407" s="43"/>
      <c r="Z407" s="42"/>
      <c r="AA407" s="42"/>
      <c r="AB407" s="44"/>
      <c r="AP407"/>
      <c r="AQ407" s="48"/>
      <c r="AR407" s="48"/>
      <c r="AS407"/>
      <c r="AT407" s="48"/>
      <c r="AU407" s="48"/>
      <c r="AV407"/>
      <c r="AW407" s="39"/>
      <c r="AX407" s="39"/>
      <c r="AY407" s="39"/>
      <c r="AZ407" s="39"/>
      <c r="BA407" s="39"/>
      <c r="BB407" s="38"/>
      <c r="BC407" s="38"/>
      <c r="BD407" s="38"/>
      <c r="BE407" s="38"/>
      <c r="BF407" s="83">
        <v>3</v>
      </c>
    </row>
    <row r="408" spans="1:58" ht="16" x14ac:dyDescent="0.35">
      <c r="A408" s="37"/>
      <c r="B408" s="38"/>
      <c r="C408" s="38"/>
      <c r="D408" s="38"/>
      <c r="E408" s="38"/>
      <c r="F408" s="38"/>
      <c r="G408" s="38"/>
      <c r="H408" s="39"/>
      <c r="I408" s="39"/>
      <c r="J408" s="39"/>
      <c r="K408" s="39"/>
      <c r="L408" s="39"/>
      <c r="M408" s="38"/>
      <c r="N408" s="38"/>
      <c r="O408" s="38"/>
      <c r="P408" s="38"/>
      <c r="Q408" s="38"/>
      <c r="R408" s="38"/>
      <c r="S408" s="38"/>
      <c r="T408" s="38"/>
      <c r="U408" s="38"/>
      <c r="V408" s="38"/>
      <c r="W408" s="38"/>
      <c r="X408" s="38"/>
      <c r="Y408" s="39"/>
      <c r="Z408" s="38"/>
      <c r="AA408" s="38"/>
      <c r="AB408" s="40"/>
      <c r="AP408"/>
      <c r="AQ408" s="52"/>
      <c r="AR408" s="52"/>
      <c r="AS408"/>
      <c r="AT408" s="52"/>
      <c r="AU408" s="52"/>
      <c r="AV408"/>
      <c r="AW408" s="43"/>
      <c r="AX408" s="43"/>
      <c r="AY408" s="43"/>
      <c r="AZ408" s="43"/>
      <c r="BA408" s="43"/>
      <c r="BB408" s="42"/>
      <c r="BC408" s="42"/>
      <c r="BD408" s="42"/>
      <c r="BE408" s="42"/>
      <c r="BF408" s="83">
        <v>3</v>
      </c>
    </row>
    <row r="409" spans="1:58" ht="16" x14ac:dyDescent="0.35">
      <c r="A409" s="41"/>
      <c r="B409" s="42"/>
      <c r="C409" s="42"/>
      <c r="D409" s="42"/>
      <c r="E409" s="42"/>
      <c r="F409" s="42"/>
      <c r="G409" s="42"/>
      <c r="H409" s="43"/>
      <c r="I409" s="43"/>
      <c r="J409" s="43"/>
      <c r="K409" s="43"/>
      <c r="L409" s="43"/>
      <c r="M409" s="42"/>
      <c r="N409" s="42"/>
      <c r="O409" s="42"/>
      <c r="P409" s="42"/>
      <c r="Q409" s="42"/>
      <c r="R409" s="42"/>
      <c r="S409" s="42"/>
      <c r="T409" s="42"/>
      <c r="U409" s="42"/>
      <c r="V409" s="42"/>
      <c r="W409" s="42"/>
      <c r="X409" s="42"/>
      <c r="Y409" s="43"/>
      <c r="Z409" s="42"/>
      <c r="AA409" s="42"/>
      <c r="AB409" s="44"/>
      <c r="AP409"/>
      <c r="AQ409" s="48"/>
      <c r="AR409" s="48"/>
      <c r="AS409"/>
      <c r="AT409" s="48"/>
      <c r="AU409" s="48"/>
      <c r="AV409"/>
      <c r="AW409" s="39"/>
      <c r="AX409" s="39"/>
      <c r="AY409" s="39"/>
      <c r="AZ409" s="39"/>
      <c r="BA409" s="39"/>
      <c r="BB409" s="38"/>
      <c r="BC409" s="38"/>
      <c r="BD409" s="38"/>
      <c r="BE409" s="38"/>
      <c r="BF409" s="83">
        <v>3</v>
      </c>
    </row>
    <row r="410" spans="1:58" ht="16" x14ac:dyDescent="0.35">
      <c r="A410" s="37"/>
      <c r="B410" s="38"/>
      <c r="C410" s="38"/>
      <c r="D410" s="38"/>
      <c r="E410" s="38"/>
      <c r="F410" s="38"/>
      <c r="G410" s="38"/>
      <c r="H410" s="39"/>
      <c r="I410" s="39"/>
      <c r="J410" s="39"/>
      <c r="K410" s="39"/>
      <c r="L410" s="39"/>
      <c r="M410" s="38"/>
      <c r="N410" s="38"/>
      <c r="O410" s="38"/>
      <c r="P410" s="38"/>
      <c r="Q410" s="38"/>
      <c r="R410" s="38"/>
      <c r="S410" s="38"/>
      <c r="T410" s="38"/>
      <c r="U410" s="38"/>
      <c r="V410" s="38"/>
      <c r="W410" s="38"/>
      <c r="X410" s="38"/>
      <c r="Y410" s="39"/>
      <c r="Z410" s="38"/>
      <c r="AA410" s="38"/>
      <c r="AB410" s="40"/>
      <c r="AP410"/>
      <c r="AQ410" s="52"/>
      <c r="AR410" s="52"/>
      <c r="AS410"/>
      <c r="AT410" s="52"/>
      <c r="AU410" s="52"/>
      <c r="AV410"/>
      <c r="AW410" s="43"/>
      <c r="AX410" s="43"/>
      <c r="AY410" s="43"/>
      <c r="AZ410" s="43"/>
      <c r="BA410" s="43"/>
      <c r="BB410" s="42"/>
      <c r="BC410" s="42"/>
      <c r="BD410" s="42"/>
      <c r="BE410" s="42"/>
      <c r="BF410" s="83">
        <v>3</v>
      </c>
    </row>
    <row r="411" spans="1:58" ht="16" x14ac:dyDescent="0.35">
      <c r="A411" s="41"/>
      <c r="B411" s="42"/>
      <c r="C411" s="42"/>
      <c r="D411" s="42"/>
      <c r="E411" s="42"/>
      <c r="F411" s="42"/>
      <c r="G411" s="42"/>
      <c r="H411" s="43"/>
      <c r="I411" s="43"/>
      <c r="J411" s="43"/>
      <c r="K411" s="43"/>
      <c r="L411" s="43"/>
      <c r="M411" s="42"/>
      <c r="N411" s="42"/>
      <c r="O411" s="42"/>
      <c r="P411" s="42"/>
      <c r="Q411" s="42"/>
      <c r="R411" s="42"/>
      <c r="S411" s="42"/>
      <c r="T411" s="42"/>
      <c r="U411" s="42"/>
      <c r="V411" s="42"/>
      <c r="W411" s="42"/>
      <c r="X411" s="42"/>
      <c r="Y411" s="43"/>
      <c r="Z411" s="42"/>
      <c r="AA411" s="42"/>
      <c r="AB411" s="44"/>
      <c r="AP411"/>
      <c r="AQ411" s="48"/>
      <c r="AR411" s="48"/>
      <c r="AS411"/>
      <c r="AT411" s="48"/>
      <c r="AU411" s="48"/>
      <c r="AV411"/>
      <c r="AW411" s="39"/>
      <c r="AX411" s="39"/>
      <c r="AY411" s="39"/>
      <c r="AZ411" s="39"/>
      <c r="BA411" s="39"/>
      <c r="BB411" s="38"/>
      <c r="BC411" s="38"/>
      <c r="BD411" s="38"/>
      <c r="BE411" s="38"/>
      <c r="BF411" s="83">
        <v>3</v>
      </c>
    </row>
    <row r="412" spans="1:58" ht="16" x14ac:dyDescent="0.35">
      <c r="A412" s="37"/>
      <c r="B412" s="38"/>
      <c r="C412" s="38"/>
      <c r="D412" s="38"/>
      <c r="E412" s="38"/>
      <c r="F412" s="38"/>
      <c r="G412" s="38"/>
      <c r="H412" s="39"/>
      <c r="I412" s="39"/>
      <c r="J412" s="39"/>
      <c r="K412" s="39"/>
      <c r="L412" s="39"/>
      <c r="M412" s="38"/>
      <c r="N412" s="38"/>
      <c r="O412" s="38"/>
      <c r="P412" s="38"/>
      <c r="Q412" s="38"/>
      <c r="R412" s="38"/>
      <c r="S412" s="38"/>
      <c r="T412" s="38"/>
      <c r="U412" s="38"/>
      <c r="V412" s="38"/>
      <c r="W412" s="38"/>
      <c r="X412" s="38"/>
      <c r="Y412" s="39"/>
      <c r="Z412" s="38"/>
      <c r="AA412" s="38"/>
      <c r="AB412" s="40"/>
      <c r="AP412"/>
      <c r="AQ412" s="52"/>
      <c r="AR412" s="52"/>
      <c r="AS412"/>
      <c r="AT412" s="52"/>
      <c r="AU412" s="52"/>
      <c r="AV412"/>
      <c r="AW412" s="43"/>
      <c r="AX412" s="43"/>
      <c r="AY412" s="43"/>
      <c r="AZ412" s="43"/>
      <c r="BA412" s="43"/>
      <c r="BB412" s="42"/>
      <c r="BC412" s="42"/>
      <c r="BD412" s="42"/>
      <c r="BE412" s="42"/>
      <c r="BF412" s="83">
        <v>0</v>
      </c>
    </row>
    <row r="413" spans="1:58" ht="16" x14ac:dyDescent="0.35">
      <c r="A413" s="41"/>
      <c r="B413" s="42"/>
      <c r="C413" s="42"/>
      <c r="D413" s="42"/>
      <c r="E413" s="42"/>
      <c r="F413" s="42"/>
      <c r="G413" s="42"/>
      <c r="H413" s="43"/>
      <c r="I413" s="43"/>
      <c r="J413" s="43"/>
      <c r="K413" s="43"/>
      <c r="L413" s="43"/>
      <c r="M413" s="42"/>
      <c r="N413" s="42"/>
      <c r="O413" s="42"/>
      <c r="P413" s="42"/>
      <c r="Q413" s="42"/>
      <c r="R413" s="42"/>
      <c r="S413" s="42"/>
      <c r="T413" s="42"/>
      <c r="U413" s="42"/>
      <c r="V413" s="42"/>
      <c r="W413" s="42"/>
      <c r="X413" s="42"/>
      <c r="Y413" s="43"/>
      <c r="Z413" s="42"/>
      <c r="AA413" s="42"/>
      <c r="AB413" s="44"/>
      <c r="AP413"/>
      <c r="AQ413" s="48"/>
      <c r="AR413" s="48"/>
      <c r="AS413"/>
      <c r="AT413" s="48"/>
      <c r="AU413" s="48"/>
      <c r="AV413"/>
      <c r="AW413" s="39"/>
      <c r="AX413" s="39"/>
      <c r="AY413" s="39"/>
      <c r="AZ413" s="39"/>
      <c r="BA413" s="39"/>
      <c r="BB413" s="38"/>
      <c r="BC413" s="38"/>
      <c r="BD413" s="38"/>
      <c r="BE413" s="38"/>
      <c r="BF413" s="83">
        <v>0</v>
      </c>
    </row>
    <row r="414" spans="1:58" ht="16" x14ac:dyDescent="0.35">
      <c r="A414" s="37"/>
      <c r="B414" s="38"/>
      <c r="C414" s="38"/>
      <c r="D414" s="38"/>
      <c r="E414" s="38"/>
      <c r="F414" s="38"/>
      <c r="G414" s="38"/>
      <c r="H414" s="39"/>
      <c r="I414" s="39"/>
      <c r="J414" s="39"/>
      <c r="K414" s="39"/>
      <c r="L414" s="39"/>
      <c r="M414" s="38"/>
      <c r="N414" s="38"/>
      <c r="O414" s="38"/>
      <c r="P414" s="38"/>
      <c r="Q414" s="38"/>
      <c r="R414" s="38"/>
      <c r="S414" s="38"/>
      <c r="T414" s="38"/>
      <c r="U414" s="38"/>
      <c r="V414" s="38"/>
      <c r="W414" s="38"/>
      <c r="X414" s="38"/>
      <c r="Y414" s="39"/>
      <c r="Z414" s="38"/>
      <c r="AA414" s="38"/>
      <c r="AB414" s="40"/>
      <c r="AP414"/>
      <c r="AQ414" s="52"/>
      <c r="AR414" s="52"/>
      <c r="AS414"/>
      <c r="AT414" s="52"/>
      <c r="AU414" s="52"/>
      <c r="AV414"/>
      <c r="AW414" s="43"/>
      <c r="AX414" s="43"/>
      <c r="AY414" s="43"/>
      <c r="AZ414" s="43"/>
      <c r="BA414" s="43"/>
      <c r="BB414" s="42"/>
      <c r="BC414" s="42"/>
      <c r="BD414" s="42"/>
      <c r="BE414" s="42"/>
      <c r="BF414" s="83">
        <v>0</v>
      </c>
    </row>
    <row r="415" spans="1:58" ht="16" x14ac:dyDescent="0.35">
      <c r="A415" s="41"/>
      <c r="B415" s="42"/>
      <c r="C415" s="42"/>
      <c r="D415" s="42"/>
      <c r="E415" s="42"/>
      <c r="F415" s="42"/>
      <c r="G415" s="42"/>
      <c r="H415" s="43"/>
      <c r="I415" s="43"/>
      <c r="J415" s="43"/>
      <c r="K415" s="43"/>
      <c r="L415" s="43"/>
      <c r="M415" s="42"/>
      <c r="N415" s="42"/>
      <c r="O415" s="42"/>
      <c r="P415" s="42"/>
      <c r="Q415" s="42"/>
      <c r="R415" s="42"/>
      <c r="S415" s="42"/>
      <c r="T415" s="42"/>
      <c r="U415" s="42"/>
      <c r="V415" s="42"/>
      <c r="W415" s="42"/>
      <c r="X415" s="42"/>
      <c r="Y415" s="43"/>
      <c r="Z415" s="42"/>
      <c r="AA415" s="42"/>
      <c r="AB415" s="44"/>
      <c r="AP415"/>
      <c r="AQ415" s="48"/>
      <c r="AR415" s="48"/>
      <c r="AS415"/>
      <c r="AT415" s="48"/>
      <c r="AU415" s="48"/>
      <c r="AV415"/>
      <c r="AW415" s="39"/>
      <c r="AX415" s="39"/>
      <c r="AY415" s="39"/>
      <c r="AZ415" s="39"/>
      <c r="BA415" s="39"/>
      <c r="BB415" s="38"/>
      <c r="BC415" s="38"/>
      <c r="BD415" s="38"/>
      <c r="BE415" s="38"/>
      <c r="BF415" s="83">
        <v>1</v>
      </c>
    </row>
    <row r="416" spans="1:58" ht="16" x14ac:dyDescent="0.35">
      <c r="A416" s="37"/>
      <c r="B416" s="38"/>
      <c r="C416" s="38"/>
      <c r="D416" s="38"/>
      <c r="E416" s="38"/>
      <c r="F416" s="38"/>
      <c r="G416" s="38"/>
      <c r="H416" s="39"/>
      <c r="I416" s="39"/>
      <c r="J416" s="39"/>
      <c r="K416" s="39"/>
      <c r="L416" s="39"/>
      <c r="M416" s="38"/>
      <c r="N416" s="38"/>
      <c r="O416" s="38"/>
      <c r="P416" s="38"/>
      <c r="Q416" s="38"/>
      <c r="R416" s="38"/>
      <c r="S416" s="38"/>
      <c r="T416" s="38"/>
      <c r="U416" s="38"/>
      <c r="V416" s="38"/>
      <c r="W416" s="38"/>
      <c r="X416" s="38"/>
      <c r="Y416" s="39"/>
      <c r="Z416" s="38"/>
      <c r="AA416" s="38"/>
      <c r="AB416" s="40"/>
      <c r="AP416"/>
      <c r="AQ416" s="52"/>
      <c r="AR416" s="52"/>
      <c r="AS416"/>
      <c r="AT416" s="52"/>
      <c r="AU416" s="52"/>
      <c r="AV416"/>
      <c r="AW416" s="43"/>
      <c r="AX416" s="43"/>
      <c r="AY416" s="43"/>
      <c r="AZ416" s="43"/>
      <c r="BA416" s="43"/>
      <c r="BB416" s="42"/>
      <c r="BC416" s="42"/>
      <c r="BD416" s="42"/>
      <c r="BE416" s="42"/>
      <c r="BF416" s="83">
        <v>0</v>
      </c>
    </row>
    <row r="417" spans="1:58" ht="16" x14ac:dyDescent="0.35">
      <c r="A417" s="41"/>
      <c r="B417" s="42"/>
      <c r="C417" s="42"/>
      <c r="D417" s="42"/>
      <c r="E417" s="42"/>
      <c r="F417" s="42"/>
      <c r="G417" s="42"/>
      <c r="H417" s="43"/>
      <c r="I417" s="43"/>
      <c r="J417" s="43"/>
      <c r="K417" s="43"/>
      <c r="L417" s="43"/>
      <c r="M417" s="42"/>
      <c r="N417" s="42"/>
      <c r="O417" s="42"/>
      <c r="P417" s="42"/>
      <c r="Q417" s="42"/>
      <c r="R417" s="42"/>
      <c r="S417" s="42"/>
      <c r="T417" s="42"/>
      <c r="U417" s="42"/>
      <c r="V417" s="42"/>
      <c r="W417" s="42"/>
      <c r="X417" s="42"/>
      <c r="Y417" s="43"/>
      <c r="Z417" s="42"/>
      <c r="AA417" s="42"/>
      <c r="AB417" s="44"/>
      <c r="AP417"/>
      <c r="AQ417" s="48"/>
      <c r="AR417" s="48"/>
      <c r="AS417"/>
      <c r="AT417" s="48"/>
      <c r="AU417" s="48"/>
      <c r="AV417"/>
      <c r="AW417" s="39"/>
      <c r="AX417" s="39"/>
      <c r="AY417" s="39"/>
      <c r="AZ417" s="39"/>
      <c r="BA417" s="39"/>
      <c r="BB417" s="38"/>
      <c r="BC417" s="38"/>
      <c r="BD417" s="38"/>
      <c r="BE417" s="38"/>
      <c r="BF417" s="83">
        <v>0</v>
      </c>
    </row>
    <row r="418" spans="1:58" ht="16" x14ac:dyDescent="0.35">
      <c r="A418" s="37"/>
      <c r="B418" s="38"/>
      <c r="C418" s="38"/>
      <c r="D418" s="38"/>
      <c r="E418" s="38"/>
      <c r="F418" s="38"/>
      <c r="G418" s="38"/>
      <c r="H418" s="39"/>
      <c r="I418" s="39"/>
      <c r="J418" s="39"/>
      <c r="K418" s="39"/>
      <c r="L418" s="39"/>
      <c r="M418" s="38"/>
      <c r="N418" s="38"/>
      <c r="O418" s="38"/>
      <c r="P418" s="38"/>
      <c r="Q418" s="38"/>
      <c r="R418" s="38"/>
      <c r="S418" s="38"/>
      <c r="T418" s="38"/>
      <c r="U418" s="38"/>
      <c r="V418" s="38"/>
      <c r="W418" s="38"/>
      <c r="X418" s="38"/>
      <c r="Y418" s="39"/>
      <c r="Z418" s="38"/>
      <c r="AA418" s="38"/>
      <c r="AB418" s="40"/>
      <c r="AP418"/>
      <c r="AQ418" s="52"/>
      <c r="AR418" s="52"/>
      <c r="AS418"/>
      <c r="AT418" s="52"/>
      <c r="AU418" s="52"/>
      <c r="AV418"/>
      <c r="AW418" s="43"/>
      <c r="AX418" s="43"/>
      <c r="AY418" s="43"/>
      <c r="AZ418" s="43"/>
      <c r="BA418" s="43"/>
      <c r="BB418" s="42"/>
      <c r="BC418" s="42"/>
      <c r="BD418" s="42"/>
      <c r="BE418" s="42"/>
      <c r="BF418" s="83">
        <v>0</v>
      </c>
    </row>
    <row r="419" spans="1:58" ht="16" x14ac:dyDescent="0.35">
      <c r="A419" s="41"/>
      <c r="B419" s="42"/>
      <c r="C419" s="42"/>
      <c r="D419" s="42"/>
      <c r="E419" s="42"/>
      <c r="F419" s="42"/>
      <c r="G419" s="42"/>
      <c r="H419" s="43"/>
      <c r="I419" s="43"/>
      <c r="J419" s="43"/>
      <c r="K419" s="43"/>
      <c r="L419" s="43"/>
      <c r="M419" s="42"/>
      <c r="N419" s="42"/>
      <c r="O419" s="42"/>
      <c r="P419" s="42"/>
      <c r="Q419" s="42"/>
      <c r="R419" s="42"/>
      <c r="S419" s="42"/>
      <c r="T419" s="42"/>
      <c r="U419" s="42"/>
      <c r="V419" s="42"/>
      <c r="W419" s="42"/>
      <c r="X419" s="42"/>
      <c r="Y419" s="43"/>
      <c r="Z419" s="42"/>
      <c r="AA419" s="42"/>
      <c r="AB419" s="44"/>
      <c r="AP419"/>
      <c r="AQ419" s="48"/>
      <c r="AR419" s="48"/>
      <c r="AS419"/>
      <c r="AT419" s="48"/>
      <c r="AU419" s="48"/>
      <c r="AV419"/>
      <c r="AW419" s="39"/>
      <c r="AX419" s="39"/>
      <c r="AY419" s="39"/>
      <c r="AZ419" s="39"/>
      <c r="BA419" s="39"/>
      <c r="BB419" s="38"/>
      <c r="BC419" s="38"/>
      <c r="BD419" s="38"/>
      <c r="BE419" s="38"/>
      <c r="BF419" s="83">
        <v>0</v>
      </c>
    </row>
    <row r="420" spans="1:58" ht="16" x14ac:dyDescent="0.35">
      <c r="A420" s="37"/>
      <c r="B420" s="38"/>
      <c r="C420" s="38"/>
      <c r="D420" s="38"/>
      <c r="E420" s="38"/>
      <c r="F420" s="38"/>
      <c r="G420" s="38"/>
      <c r="H420" s="39"/>
      <c r="I420" s="39"/>
      <c r="J420" s="39"/>
      <c r="K420" s="39"/>
      <c r="L420" s="39"/>
      <c r="M420" s="38"/>
      <c r="N420" s="38"/>
      <c r="O420" s="38"/>
      <c r="P420" s="38"/>
      <c r="Q420" s="38"/>
      <c r="R420" s="38"/>
      <c r="S420" s="38"/>
      <c r="T420" s="38"/>
      <c r="U420" s="38"/>
      <c r="V420" s="38"/>
      <c r="W420" s="38"/>
      <c r="X420" s="38"/>
      <c r="Y420" s="39"/>
      <c r="Z420" s="38"/>
      <c r="AA420" s="38"/>
      <c r="AB420" s="40"/>
      <c r="AP420"/>
      <c r="AQ420" s="52"/>
      <c r="AR420" s="52"/>
      <c r="AS420"/>
      <c r="AT420" s="52"/>
      <c r="AU420" s="52"/>
      <c r="AV420"/>
      <c r="AW420" s="43"/>
      <c r="AX420" s="43"/>
      <c r="AY420" s="43"/>
      <c r="AZ420" s="43"/>
      <c r="BA420" s="43"/>
      <c r="BB420" s="42"/>
      <c r="BC420" s="42"/>
      <c r="BD420" s="42"/>
      <c r="BE420" s="42"/>
      <c r="BF420" s="83">
        <v>0</v>
      </c>
    </row>
    <row r="421" spans="1:58" ht="16" x14ac:dyDescent="0.35">
      <c r="A421" s="41"/>
      <c r="B421" s="42"/>
      <c r="C421" s="42"/>
      <c r="D421" s="42"/>
      <c r="E421" s="42"/>
      <c r="F421" s="42"/>
      <c r="G421" s="42"/>
      <c r="H421" s="43"/>
      <c r="I421" s="43"/>
      <c r="J421" s="43"/>
      <c r="K421" s="43"/>
      <c r="L421" s="43"/>
      <c r="M421" s="42"/>
      <c r="N421" s="42"/>
      <c r="O421" s="42"/>
      <c r="P421" s="42"/>
      <c r="Q421" s="42"/>
      <c r="R421" s="42"/>
      <c r="S421" s="42"/>
      <c r="T421" s="42"/>
      <c r="U421" s="42"/>
      <c r="V421" s="42"/>
      <c r="W421" s="42"/>
      <c r="X421" s="42"/>
      <c r="Y421" s="43"/>
      <c r="Z421" s="42"/>
      <c r="AA421" s="42"/>
      <c r="AB421" s="44"/>
      <c r="AP421"/>
      <c r="AQ421" s="48"/>
      <c r="AR421" s="48"/>
      <c r="AS421"/>
      <c r="AT421" s="48"/>
      <c r="AU421" s="48"/>
      <c r="AV421"/>
      <c r="AW421" s="39"/>
      <c r="AX421" s="39"/>
      <c r="AY421" s="39"/>
      <c r="AZ421" s="39"/>
      <c r="BA421" s="39"/>
      <c r="BB421" s="38"/>
      <c r="BC421" s="38"/>
      <c r="BD421" s="38"/>
      <c r="BE421" s="38"/>
      <c r="BF421" s="83">
        <v>0</v>
      </c>
    </row>
    <row r="422" spans="1:58" ht="16" x14ac:dyDescent="0.35">
      <c r="A422" s="37"/>
      <c r="B422" s="38"/>
      <c r="C422" s="38"/>
      <c r="D422" s="38"/>
      <c r="E422" s="38"/>
      <c r="F422" s="38"/>
      <c r="G422" s="38"/>
      <c r="H422" s="39"/>
      <c r="I422" s="39"/>
      <c r="J422" s="39"/>
      <c r="K422" s="39"/>
      <c r="L422" s="39"/>
      <c r="M422" s="38"/>
      <c r="N422" s="38"/>
      <c r="O422" s="38"/>
      <c r="P422" s="38"/>
      <c r="Q422" s="38"/>
      <c r="R422" s="38"/>
      <c r="S422" s="38"/>
      <c r="T422" s="38"/>
      <c r="U422" s="38"/>
      <c r="V422" s="38"/>
      <c r="W422" s="38"/>
      <c r="X422" s="38"/>
      <c r="Y422" s="39"/>
      <c r="Z422" s="38"/>
      <c r="AA422" s="38"/>
      <c r="AB422" s="40"/>
      <c r="AP422"/>
      <c r="AQ422" s="48"/>
      <c r="AR422" s="48"/>
      <c r="AS422"/>
      <c r="AT422" s="48"/>
      <c r="AU422" s="48"/>
      <c r="AV422"/>
      <c r="AW422" s="43"/>
      <c r="AX422" s="43"/>
      <c r="AY422" s="43"/>
      <c r="AZ422" s="43"/>
      <c r="BA422" s="43"/>
      <c r="BB422" s="42"/>
      <c r="BC422" s="42"/>
      <c r="BD422" s="42"/>
      <c r="BE422" s="42"/>
      <c r="BF422" s="83">
        <v>0</v>
      </c>
    </row>
    <row r="423" spans="1:58" ht="16" x14ac:dyDescent="0.35">
      <c r="A423" s="41"/>
      <c r="B423" s="42"/>
      <c r="C423" s="42"/>
      <c r="D423" s="42"/>
      <c r="E423" s="42"/>
      <c r="F423" s="42"/>
      <c r="G423" s="42"/>
      <c r="H423" s="43"/>
      <c r="I423" s="43"/>
      <c r="J423" s="43"/>
      <c r="K423" s="43"/>
      <c r="L423" s="43"/>
      <c r="M423" s="42"/>
      <c r="N423" s="42"/>
      <c r="O423" s="42"/>
      <c r="P423" s="42"/>
      <c r="Q423" s="42"/>
      <c r="R423" s="42"/>
      <c r="S423" s="42"/>
      <c r="T423" s="42"/>
      <c r="U423" s="42"/>
      <c r="V423" s="42"/>
      <c r="W423" s="42"/>
      <c r="X423" s="42"/>
      <c r="Y423" s="43"/>
      <c r="Z423" s="42"/>
      <c r="AA423" s="42"/>
      <c r="AB423" s="44"/>
      <c r="AP423"/>
      <c r="AQ423" s="52"/>
      <c r="AR423" s="52"/>
      <c r="AS423"/>
      <c r="AT423" s="52"/>
      <c r="AU423" s="52"/>
      <c r="AV423"/>
      <c r="AW423" s="39"/>
      <c r="AX423" s="39"/>
      <c r="AY423" s="39"/>
      <c r="AZ423" s="39"/>
      <c r="BA423" s="39"/>
      <c r="BB423" s="38"/>
      <c r="BC423" s="38"/>
      <c r="BD423" s="38"/>
      <c r="BE423" s="38"/>
      <c r="BF423" s="83">
        <v>0</v>
      </c>
    </row>
    <row r="424" spans="1:58" ht="16" x14ac:dyDescent="0.35">
      <c r="A424" s="37"/>
      <c r="B424" s="38"/>
      <c r="C424" s="38"/>
      <c r="D424" s="38"/>
      <c r="E424" s="38"/>
      <c r="F424" s="38"/>
      <c r="G424" s="38"/>
      <c r="H424" s="39"/>
      <c r="I424" s="39"/>
      <c r="J424" s="39"/>
      <c r="K424" s="39"/>
      <c r="L424" s="39"/>
      <c r="M424" s="38"/>
      <c r="N424" s="38"/>
      <c r="O424" s="38"/>
      <c r="P424" s="38"/>
      <c r="Q424" s="38"/>
      <c r="R424" s="38"/>
      <c r="S424" s="38"/>
      <c r="T424" s="38"/>
      <c r="U424" s="38"/>
      <c r="V424" s="38"/>
      <c r="W424" s="38"/>
      <c r="X424" s="38"/>
      <c r="Y424" s="39"/>
      <c r="Z424" s="38"/>
      <c r="AA424" s="38"/>
      <c r="AB424" s="40"/>
      <c r="AP424"/>
      <c r="AQ424" s="48"/>
      <c r="AR424" s="48"/>
      <c r="AS424"/>
      <c r="AT424" s="48"/>
      <c r="AU424" s="48"/>
      <c r="AV424"/>
      <c r="AW424" s="43"/>
      <c r="AX424" s="43"/>
      <c r="AY424" s="43"/>
      <c r="AZ424" s="43"/>
      <c r="BA424" s="43"/>
      <c r="BB424" s="42"/>
      <c r="BC424" s="42"/>
      <c r="BD424" s="42"/>
      <c r="BE424" s="42"/>
      <c r="BF424" s="83">
        <v>0</v>
      </c>
    </row>
    <row r="425" spans="1:58" ht="16" x14ac:dyDescent="0.35">
      <c r="A425" s="41"/>
      <c r="B425" s="42"/>
      <c r="C425" s="42"/>
      <c r="D425" s="42"/>
      <c r="E425" s="42"/>
      <c r="F425" s="42"/>
      <c r="G425" s="42"/>
      <c r="H425" s="43"/>
      <c r="I425" s="43"/>
      <c r="J425" s="43"/>
      <c r="K425" s="43"/>
      <c r="L425" s="43"/>
      <c r="M425" s="42"/>
      <c r="N425" s="42"/>
      <c r="O425" s="42"/>
      <c r="P425" s="42"/>
      <c r="Q425" s="42"/>
      <c r="R425" s="42"/>
      <c r="S425" s="42"/>
      <c r="T425" s="42"/>
      <c r="U425" s="42"/>
      <c r="V425" s="42"/>
      <c r="W425" s="42"/>
      <c r="X425" s="42"/>
      <c r="Y425" s="43"/>
      <c r="Z425" s="42"/>
      <c r="AA425" s="42"/>
      <c r="AB425" s="44"/>
      <c r="AP425"/>
      <c r="AQ425" s="52"/>
      <c r="AR425" s="52"/>
      <c r="AS425"/>
      <c r="AT425" s="52"/>
      <c r="AU425" s="52"/>
      <c r="AV425"/>
      <c r="AW425" s="39"/>
      <c r="AX425" s="39"/>
      <c r="AY425" s="39"/>
      <c r="AZ425" s="39"/>
      <c r="BA425" s="39"/>
      <c r="BB425" s="38"/>
      <c r="BC425" s="38"/>
      <c r="BD425" s="38"/>
      <c r="BE425" s="38"/>
      <c r="BF425" s="83">
        <v>0</v>
      </c>
    </row>
    <row r="426" spans="1:58" ht="16" x14ac:dyDescent="0.35">
      <c r="A426" s="37"/>
      <c r="B426" s="38"/>
      <c r="C426" s="38"/>
      <c r="D426" s="38"/>
      <c r="E426" s="38"/>
      <c r="F426" s="38"/>
      <c r="G426" s="38"/>
      <c r="H426" s="39"/>
      <c r="I426" s="39"/>
      <c r="J426" s="39"/>
      <c r="K426" s="39"/>
      <c r="L426" s="39"/>
      <c r="M426" s="38"/>
      <c r="N426" s="38"/>
      <c r="O426" s="38"/>
      <c r="P426" s="38"/>
      <c r="Q426" s="38"/>
      <c r="R426" s="38"/>
      <c r="S426" s="38"/>
      <c r="T426" s="38"/>
      <c r="U426" s="38"/>
      <c r="V426" s="38"/>
      <c r="W426" s="38"/>
      <c r="X426" s="38"/>
      <c r="Y426" s="39"/>
      <c r="Z426" s="38"/>
      <c r="AA426" s="38"/>
      <c r="AB426" s="40"/>
      <c r="AP426"/>
      <c r="AQ426" s="48"/>
      <c r="AR426" s="48"/>
      <c r="AS426"/>
      <c r="AT426" s="48"/>
      <c r="AU426" s="48"/>
      <c r="AV426"/>
      <c r="AW426" s="43"/>
      <c r="AX426" s="43"/>
      <c r="AY426" s="43"/>
      <c r="AZ426" s="43"/>
      <c r="BA426" s="43"/>
      <c r="BB426" s="42"/>
      <c r="BC426" s="42"/>
      <c r="BD426" s="42"/>
      <c r="BE426" s="42"/>
      <c r="BF426" s="83">
        <v>0</v>
      </c>
    </row>
    <row r="427" spans="1:58" ht="16" x14ac:dyDescent="0.35">
      <c r="A427" s="41"/>
      <c r="B427" s="42"/>
      <c r="C427" s="42"/>
      <c r="D427" s="42"/>
      <c r="E427" s="42"/>
      <c r="F427" s="42"/>
      <c r="G427" s="42"/>
      <c r="H427" s="43"/>
      <c r="I427" s="43"/>
      <c r="J427" s="43"/>
      <c r="K427" s="43"/>
      <c r="L427" s="43"/>
      <c r="M427" s="42"/>
      <c r="N427" s="42"/>
      <c r="O427" s="42"/>
      <c r="P427" s="42"/>
      <c r="Q427" s="42"/>
      <c r="R427" s="42"/>
      <c r="S427" s="42"/>
      <c r="T427" s="42"/>
      <c r="U427" s="42"/>
      <c r="V427" s="42"/>
      <c r="W427" s="42"/>
      <c r="X427" s="42"/>
      <c r="Y427" s="43"/>
      <c r="Z427" s="42"/>
      <c r="AA427" s="42"/>
      <c r="AB427" s="44"/>
      <c r="AP427"/>
      <c r="AQ427" s="52"/>
      <c r="AR427" s="52"/>
      <c r="AS427"/>
      <c r="AT427" s="52"/>
      <c r="AU427" s="52"/>
      <c r="AV427"/>
      <c r="AW427" s="39"/>
      <c r="AX427" s="39"/>
      <c r="AY427" s="39"/>
      <c r="AZ427" s="39"/>
      <c r="BA427" s="39"/>
      <c r="BB427" s="38"/>
      <c r="BC427" s="38"/>
      <c r="BD427" s="38"/>
      <c r="BE427" s="38"/>
      <c r="BF427" s="83">
        <v>0</v>
      </c>
    </row>
    <row r="428" spans="1:58" ht="16" x14ac:dyDescent="0.35">
      <c r="A428" s="37"/>
      <c r="B428" s="38"/>
      <c r="C428" s="38"/>
      <c r="D428" s="38"/>
      <c r="E428" s="38"/>
      <c r="F428" s="38"/>
      <c r="G428" s="38"/>
      <c r="H428" s="39"/>
      <c r="I428" s="39"/>
      <c r="J428" s="39"/>
      <c r="K428" s="39"/>
      <c r="L428" s="39"/>
      <c r="M428" s="38"/>
      <c r="N428" s="38"/>
      <c r="O428" s="38"/>
      <c r="P428" s="38"/>
      <c r="Q428" s="38"/>
      <c r="R428" s="38"/>
      <c r="S428" s="38"/>
      <c r="T428" s="38"/>
      <c r="U428" s="38"/>
      <c r="V428" s="38"/>
      <c r="W428" s="38"/>
      <c r="X428" s="38"/>
      <c r="Y428" s="39"/>
      <c r="Z428" s="38"/>
      <c r="AA428" s="38"/>
      <c r="AB428" s="40"/>
      <c r="AP428"/>
      <c r="AQ428" s="48"/>
      <c r="AR428" s="48"/>
      <c r="AS428"/>
      <c r="AT428" s="48"/>
      <c r="AU428" s="48"/>
      <c r="AV428"/>
      <c r="AW428" s="43"/>
      <c r="AX428" s="43"/>
      <c r="AY428" s="43"/>
      <c r="AZ428" s="43"/>
      <c r="BA428" s="43"/>
      <c r="BB428" s="42"/>
      <c r="BC428" s="42"/>
      <c r="BD428" s="42"/>
      <c r="BE428" s="42"/>
      <c r="BF428" s="83">
        <v>0</v>
      </c>
    </row>
    <row r="429" spans="1:58" ht="16" x14ac:dyDescent="0.35">
      <c r="A429" s="41"/>
      <c r="B429" s="42"/>
      <c r="C429" s="42"/>
      <c r="D429" s="42"/>
      <c r="E429" s="42"/>
      <c r="F429" s="42"/>
      <c r="G429" s="42"/>
      <c r="H429" s="43"/>
      <c r="I429" s="43"/>
      <c r="J429" s="43"/>
      <c r="K429" s="43"/>
      <c r="L429" s="43"/>
      <c r="M429" s="42"/>
      <c r="N429" s="42"/>
      <c r="O429" s="42"/>
      <c r="P429" s="42"/>
      <c r="Q429" s="42"/>
      <c r="R429" s="42"/>
      <c r="S429" s="42"/>
      <c r="T429" s="42"/>
      <c r="U429" s="42"/>
      <c r="V429" s="42"/>
      <c r="W429" s="42"/>
      <c r="X429" s="42"/>
      <c r="Y429" s="43"/>
      <c r="Z429" s="42"/>
      <c r="AA429" s="42"/>
      <c r="AB429" s="44"/>
      <c r="AP429"/>
      <c r="AQ429" s="52"/>
      <c r="AR429" s="52"/>
      <c r="AS429"/>
      <c r="AT429" s="52"/>
      <c r="AU429" s="52"/>
      <c r="AV429"/>
      <c r="AW429" s="39"/>
      <c r="AX429" s="39"/>
      <c r="AY429" s="39"/>
      <c r="AZ429" s="39"/>
      <c r="BA429" s="39"/>
      <c r="BB429" s="38"/>
      <c r="BC429" s="38"/>
      <c r="BD429" s="38"/>
      <c r="BE429" s="38"/>
      <c r="BF429" s="83">
        <v>0</v>
      </c>
    </row>
    <row r="430" spans="1:58" ht="16" x14ac:dyDescent="0.35">
      <c r="A430" s="37"/>
      <c r="B430" s="38"/>
      <c r="C430" s="38"/>
      <c r="D430" s="38"/>
      <c r="E430" s="38"/>
      <c r="F430" s="38"/>
      <c r="G430" s="38"/>
      <c r="H430" s="39"/>
      <c r="I430" s="39"/>
      <c r="J430" s="39"/>
      <c r="K430" s="39"/>
      <c r="L430" s="39"/>
      <c r="M430" s="38"/>
      <c r="N430" s="38"/>
      <c r="O430" s="38"/>
      <c r="P430" s="38"/>
      <c r="Q430" s="38"/>
      <c r="R430" s="38"/>
      <c r="S430" s="38"/>
      <c r="T430" s="38"/>
      <c r="U430" s="38"/>
      <c r="V430" s="38"/>
      <c r="W430" s="38"/>
      <c r="X430" s="38"/>
      <c r="Y430" s="39"/>
      <c r="Z430" s="38"/>
      <c r="AA430" s="38"/>
      <c r="AB430" s="40"/>
      <c r="AP430"/>
      <c r="AQ430" s="48"/>
      <c r="AR430" s="48"/>
      <c r="AS430"/>
      <c r="AT430" s="48"/>
      <c r="AU430" s="48"/>
      <c r="AV430"/>
      <c r="AW430" s="43"/>
      <c r="AX430" s="43"/>
      <c r="AY430" s="43"/>
      <c r="AZ430" s="43"/>
      <c r="BA430" s="43"/>
      <c r="BB430" s="42"/>
      <c r="BC430" s="42"/>
      <c r="BD430" s="42"/>
      <c r="BE430" s="42"/>
      <c r="BF430" s="83">
        <v>0</v>
      </c>
    </row>
    <row r="431" spans="1:58" ht="16" x14ac:dyDescent="0.35">
      <c r="A431" s="41"/>
      <c r="B431" s="42"/>
      <c r="C431" s="42"/>
      <c r="D431" s="42"/>
      <c r="E431" s="42"/>
      <c r="F431" s="42"/>
      <c r="G431" s="42"/>
      <c r="H431" s="43"/>
      <c r="I431" s="43"/>
      <c r="J431" s="43"/>
      <c r="K431" s="43"/>
      <c r="L431" s="43"/>
      <c r="M431" s="42"/>
      <c r="N431" s="42"/>
      <c r="O431" s="42"/>
      <c r="P431" s="42"/>
      <c r="Q431" s="42"/>
      <c r="R431" s="42"/>
      <c r="S431" s="42"/>
      <c r="T431" s="42"/>
      <c r="U431" s="42"/>
      <c r="V431" s="42"/>
      <c r="W431" s="42"/>
      <c r="X431" s="42"/>
      <c r="Y431" s="43"/>
      <c r="Z431" s="42"/>
      <c r="AA431" s="42"/>
      <c r="AB431" s="44"/>
      <c r="AP431"/>
      <c r="AQ431" s="52"/>
      <c r="AR431" s="52"/>
      <c r="AS431"/>
      <c r="AT431" s="52"/>
      <c r="AU431" s="52"/>
      <c r="AV431"/>
      <c r="AW431" s="39"/>
      <c r="AX431" s="39"/>
      <c r="AY431" s="39"/>
      <c r="AZ431" s="39"/>
      <c r="BA431" s="39"/>
      <c r="BB431" s="38"/>
      <c r="BC431" s="38"/>
      <c r="BD431" s="38"/>
      <c r="BE431" s="38"/>
      <c r="BF431" s="83">
        <v>0</v>
      </c>
    </row>
    <row r="432" spans="1:58" ht="16" x14ac:dyDescent="0.35">
      <c r="A432" s="37"/>
      <c r="B432" s="38"/>
      <c r="C432" s="38"/>
      <c r="D432" s="38"/>
      <c r="E432" s="38"/>
      <c r="F432" s="38"/>
      <c r="G432" s="38"/>
      <c r="H432" s="39"/>
      <c r="I432" s="39"/>
      <c r="J432" s="39"/>
      <c r="K432" s="39"/>
      <c r="L432" s="39"/>
      <c r="M432" s="38"/>
      <c r="N432" s="38"/>
      <c r="O432" s="38"/>
      <c r="P432" s="38"/>
      <c r="Q432" s="38"/>
      <c r="R432" s="38"/>
      <c r="S432" s="38"/>
      <c r="T432" s="38"/>
      <c r="U432" s="38"/>
      <c r="V432" s="38"/>
      <c r="W432" s="38"/>
      <c r="X432" s="38"/>
      <c r="Y432" s="39"/>
      <c r="Z432" s="38"/>
      <c r="AA432" s="38"/>
      <c r="AB432" s="40"/>
      <c r="AP432"/>
      <c r="AQ432" s="48"/>
      <c r="AR432" s="48"/>
      <c r="AS432"/>
      <c r="AT432" s="48"/>
      <c r="AU432" s="48"/>
      <c r="AV432"/>
      <c r="AW432" s="43"/>
      <c r="AX432" s="43"/>
      <c r="AY432" s="43"/>
      <c r="AZ432" s="43"/>
      <c r="BA432" s="43"/>
      <c r="BB432" s="42"/>
      <c r="BC432" s="42"/>
      <c r="BD432" s="42"/>
      <c r="BE432" s="42"/>
      <c r="BF432" s="83">
        <v>0</v>
      </c>
    </row>
    <row r="433" spans="1:58" ht="16" x14ac:dyDescent="0.35">
      <c r="A433" s="41"/>
      <c r="B433" s="42"/>
      <c r="C433" s="42"/>
      <c r="D433" s="42"/>
      <c r="E433" s="42"/>
      <c r="F433" s="42"/>
      <c r="G433" s="42"/>
      <c r="H433" s="43"/>
      <c r="I433" s="43"/>
      <c r="J433" s="43"/>
      <c r="K433" s="43"/>
      <c r="L433" s="43"/>
      <c r="M433" s="42"/>
      <c r="N433" s="42"/>
      <c r="O433" s="42"/>
      <c r="P433" s="42"/>
      <c r="Q433" s="42"/>
      <c r="R433" s="42"/>
      <c r="S433" s="42"/>
      <c r="T433" s="42"/>
      <c r="U433" s="42"/>
      <c r="V433" s="42"/>
      <c r="W433" s="42"/>
      <c r="X433" s="42"/>
      <c r="Y433" s="43"/>
      <c r="Z433" s="42"/>
      <c r="AA433" s="42"/>
      <c r="AB433" s="44"/>
      <c r="AP433"/>
      <c r="AQ433" s="52"/>
      <c r="AR433" s="52"/>
      <c r="AS433"/>
      <c r="AT433" s="52"/>
      <c r="AU433" s="52"/>
      <c r="AV433"/>
      <c r="AW433" s="39"/>
      <c r="AX433" s="39"/>
      <c r="AY433" s="39"/>
      <c r="AZ433" s="39"/>
      <c r="BA433" s="39"/>
      <c r="BB433" s="38"/>
      <c r="BC433" s="38"/>
      <c r="BD433" s="38"/>
      <c r="BE433" s="38"/>
      <c r="BF433" s="83">
        <v>0</v>
      </c>
    </row>
    <row r="434" spans="1:58" ht="16" x14ac:dyDescent="0.35">
      <c r="A434" s="37"/>
      <c r="B434" s="38"/>
      <c r="C434" s="38"/>
      <c r="D434" s="38"/>
      <c r="E434" s="38"/>
      <c r="F434" s="38"/>
      <c r="G434" s="38"/>
      <c r="H434" s="39"/>
      <c r="I434" s="39"/>
      <c r="J434" s="39"/>
      <c r="K434" s="39"/>
      <c r="L434" s="39"/>
      <c r="M434" s="38"/>
      <c r="N434" s="38"/>
      <c r="O434" s="38"/>
      <c r="P434" s="38"/>
      <c r="Q434" s="38"/>
      <c r="R434" s="38"/>
      <c r="S434" s="38"/>
      <c r="T434" s="38"/>
      <c r="U434" s="38"/>
      <c r="V434" s="38"/>
      <c r="W434" s="38"/>
      <c r="X434" s="38"/>
      <c r="Y434" s="39"/>
      <c r="Z434" s="38"/>
      <c r="AA434" s="38"/>
      <c r="AB434" s="40"/>
      <c r="AP434"/>
      <c r="AQ434" s="48"/>
      <c r="AR434" s="48"/>
      <c r="AS434"/>
      <c r="AT434" s="48"/>
      <c r="AU434" s="48"/>
      <c r="AV434"/>
      <c r="AW434" s="43"/>
      <c r="AX434" s="43"/>
      <c r="AY434" s="43"/>
      <c r="AZ434" s="43"/>
      <c r="BA434" s="43"/>
      <c r="BB434" s="42"/>
      <c r="BC434" s="42"/>
      <c r="BD434" s="42"/>
      <c r="BE434" s="42"/>
      <c r="BF434" s="83">
        <v>0</v>
      </c>
    </row>
    <row r="435" spans="1:58" ht="16" x14ac:dyDescent="0.35">
      <c r="A435" s="41"/>
      <c r="B435" s="42"/>
      <c r="C435" s="42"/>
      <c r="D435" s="42"/>
      <c r="E435" s="42"/>
      <c r="F435" s="42"/>
      <c r="G435" s="42"/>
      <c r="H435" s="43"/>
      <c r="I435" s="43"/>
      <c r="J435" s="43"/>
      <c r="K435" s="43"/>
      <c r="L435" s="43"/>
      <c r="M435" s="42"/>
      <c r="N435" s="42"/>
      <c r="O435" s="42"/>
      <c r="P435" s="42"/>
      <c r="Q435" s="42"/>
      <c r="R435" s="42"/>
      <c r="S435" s="42"/>
      <c r="T435" s="42"/>
      <c r="U435" s="42"/>
      <c r="V435" s="42"/>
      <c r="W435" s="42"/>
      <c r="X435" s="42"/>
      <c r="Y435" s="43"/>
      <c r="Z435" s="42"/>
      <c r="AA435" s="42"/>
      <c r="AB435" s="44"/>
      <c r="AP435"/>
      <c r="AQ435" s="52"/>
      <c r="AR435" s="52"/>
      <c r="AS435"/>
      <c r="AT435" s="52"/>
      <c r="AU435" s="52"/>
      <c r="AV435"/>
      <c r="AW435" s="39"/>
      <c r="AX435" s="39"/>
      <c r="AY435" s="39"/>
      <c r="AZ435" s="39"/>
      <c r="BA435" s="39"/>
      <c r="BB435" s="38"/>
      <c r="BC435" s="38"/>
      <c r="BD435" s="38"/>
      <c r="BE435" s="38"/>
      <c r="BF435" s="83">
        <v>0</v>
      </c>
    </row>
    <row r="436" spans="1:58" ht="16" x14ac:dyDescent="0.35">
      <c r="A436" s="37"/>
      <c r="B436" s="38"/>
      <c r="C436" s="38"/>
      <c r="D436" s="38"/>
      <c r="E436" s="38"/>
      <c r="F436" s="38"/>
      <c r="G436" s="38"/>
      <c r="H436" s="39"/>
      <c r="I436" s="39"/>
      <c r="J436" s="39"/>
      <c r="K436" s="39"/>
      <c r="L436" s="39"/>
      <c r="M436" s="38"/>
      <c r="N436" s="38"/>
      <c r="O436" s="38"/>
      <c r="P436" s="38"/>
      <c r="Q436" s="38"/>
      <c r="R436" s="38"/>
      <c r="S436" s="38"/>
      <c r="T436" s="38"/>
      <c r="U436" s="38"/>
      <c r="V436" s="38"/>
      <c r="W436" s="38"/>
      <c r="X436" s="38"/>
      <c r="Y436" s="39"/>
      <c r="Z436" s="38"/>
      <c r="AA436" s="38"/>
      <c r="AB436" s="40"/>
      <c r="AP436"/>
      <c r="AQ436" s="48"/>
      <c r="AR436" s="48"/>
      <c r="AS436"/>
      <c r="AT436" s="48"/>
      <c r="AU436" s="48"/>
      <c r="AV436"/>
      <c r="AW436" s="43"/>
      <c r="AX436" s="43"/>
      <c r="AY436" s="43"/>
      <c r="AZ436" s="43"/>
      <c r="BA436" s="43"/>
      <c r="BB436" s="42"/>
      <c r="BC436" s="42"/>
      <c r="BD436" s="42"/>
      <c r="BE436" s="42"/>
      <c r="BF436" s="83">
        <v>0</v>
      </c>
    </row>
    <row r="437" spans="1:58" ht="16" x14ac:dyDescent="0.35">
      <c r="A437" s="41"/>
      <c r="B437" s="42"/>
      <c r="C437" s="42"/>
      <c r="D437" s="42"/>
      <c r="E437" s="42"/>
      <c r="F437" s="42"/>
      <c r="G437" s="42"/>
      <c r="H437" s="43"/>
      <c r="I437" s="43"/>
      <c r="J437" s="43"/>
      <c r="K437" s="43"/>
      <c r="L437" s="43"/>
      <c r="M437" s="42"/>
      <c r="N437" s="42"/>
      <c r="O437" s="42"/>
      <c r="P437" s="42"/>
      <c r="Q437" s="42"/>
      <c r="R437" s="42"/>
      <c r="S437" s="42"/>
      <c r="T437" s="42"/>
      <c r="U437" s="42"/>
      <c r="V437" s="42"/>
      <c r="W437" s="42"/>
      <c r="X437" s="42"/>
      <c r="Y437" s="43"/>
      <c r="Z437" s="42"/>
      <c r="AA437" s="42"/>
      <c r="AB437" s="44"/>
      <c r="AP437"/>
      <c r="AQ437" s="52"/>
      <c r="AR437" s="52"/>
      <c r="AS437"/>
      <c r="AT437" s="52"/>
      <c r="AU437" s="52"/>
      <c r="AV437"/>
      <c r="AW437" s="39"/>
      <c r="AX437" s="39"/>
      <c r="AY437" s="39"/>
      <c r="AZ437" s="39"/>
      <c r="BA437" s="39"/>
      <c r="BB437" s="38"/>
      <c r="BC437" s="38"/>
      <c r="BD437" s="38"/>
      <c r="BE437" s="38"/>
      <c r="BF437" s="83">
        <v>0</v>
      </c>
    </row>
    <row r="438" spans="1:58" ht="16" x14ac:dyDescent="0.35">
      <c r="A438" s="37"/>
      <c r="B438" s="38"/>
      <c r="C438" s="38"/>
      <c r="D438" s="38"/>
      <c r="E438" s="38"/>
      <c r="F438" s="38"/>
      <c r="G438" s="38"/>
      <c r="H438" s="39"/>
      <c r="I438" s="39"/>
      <c r="J438" s="39"/>
      <c r="K438" s="39"/>
      <c r="L438" s="39"/>
      <c r="M438" s="38"/>
      <c r="N438" s="38"/>
      <c r="O438" s="38"/>
      <c r="P438" s="38"/>
      <c r="Q438" s="38"/>
      <c r="R438" s="38"/>
      <c r="S438" s="38"/>
      <c r="T438" s="38"/>
      <c r="U438" s="38"/>
      <c r="V438" s="38"/>
      <c r="W438" s="38"/>
      <c r="X438" s="38"/>
      <c r="Y438" s="39"/>
      <c r="Z438" s="38"/>
      <c r="AA438" s="38"/>
      <c r="AB438" s="40"/>
      <c r="AP438"/>
      <c r="AQ438" s="48"/>
      <c r="AR438" s="48"/>
      <c r="AS438"/>
      <c r="AT438" s="48"/>
      <c r="AU438" s="48"/>
      <c r="AV438"/>
      <c r="AW438" s="43"/>
      <c r="AX438" s="43"/>
      <c r="AY438" s="43"/>
      <c r="AZ438" s="43"/>
      <c r="BA438" s="43"/>
      <c r="BB438" s="42"/>
      <c r="BC438" s="42"/>
      <c r="BD438" s="42"/>
      <c r="BE438" s="42"/>
      <c r="BF438" s="83">
        <v>0</v>
      </c>
    </row>
    <row r="439" spans="1:58" ht="16" x14ac:dyDescent="0.35">
      <c r="A439" s="41"/>
      <c r="B439" s="42"/>
      <c r="C439" s="42"/>
      <c r="D439" s="42"/>
      <c r="E439" s="42"/>
      <c r="F439" s="42"/>
      <c r="G439" s="42"/>
      <c r="H439" s="43"/>
      <c r="I439" s="43"/>
      <c r="J439" s="43"/>
      <c r="K439" s="43"/>
      <c r="L439" s="43"/>
      <c r="M439" s="42"/>
      <c r="N439" s="42"/>
      <c r="O439" s="42"/>
      <c r="P439" s="42"/>
      <c r="Q439" s="42"/>
      <c r="R439" s="42"/>
      <c r="S439" s="42"/>
      <c r="T439" s="42"/>
      <c r="U439" s="42"/>
      <c r="V439" s="42"/>
      <c r="W439" s="42"/>
      <c r="X439" s="42"/>
      <c r="Y439" s="43"/>
      <c r="Z439" s="42"/>
      <c r="AA439" s="42"/>
      <c r="AB439" s="44"/>
      <c r="AP439"/>
      <c r="AQ439" s="52"/>
      <c r="AR439" s="52"/>
      <c r="AS439"/>
      <c r="AT439" s="52"/>
      <c r="AU439" s="52"/>
      <c r="AV439"/>
      <c r="AW439" s="39"/>
      <c r="AX439" s="39"/>
      <c r="AY439" s="39"/>
      <c r="AZ439" s="39"/>
      <c r="BA439" s="39"/>
      <c r="BB439" s="38"/>
      <c r="BC439" s="38"/>
      <c r="BD439" s="38"/>
      <c r="BE439" s="38"/>
      <c r="BF439" s="83">
        <v>0</v>
      </c>
    </row>
    <row r="440" spans="1:58" ht="16" x14ac:dyDescent="0.35">
      <c r="A440" s="37"/>
      <c r="B440" s="38"/>
      <c r="C440" s="38"/>
      <c r="D440" s="38"/>
      <c r="E440" s="38"/>
      <c r="F440" s="38"/>
      <c r="G440" s="38"/>
      <c r="H440" s="39"/>
      <c r="I440" s="39"/>
      <c r="J440" s="39"/>
      <c r="K440" s="39"/>
      <c r="L440" s="39"/>
      <c r="M440" s="38"/>
      <c r="N440" s="38"/>
      <c r="O440" s="38"/>
      <c r="P440" s="38"/>
      <c r="Q440" s="38"/>
      <c r="R440" s="38"/>
      <c r="S440" s="38"/>
      <c r="T440" s="38"/>
      <c r="U440" s="38"/>
      <c r="V440" s="38"/>
      <c r="W440" s="38"/>
      <c r="X440" s="38"/>
      <c r="Y440" s="39"/>
      <c r="Z440" s="38"/>
      <c r="AA440" s="38"/>
      <c r="AB440" s="40"/>
      <c r="AP440"/>
      <c r="AQ440" s="48"/>
      <c r="AR440" s="48"/>
      <c r="AS440"/>
      <c r="AT440" s="48"/>
      <c r="AU440" s="48"/>
      <c r="AV440"/>
      <c r="AW440" s="43"/>
      <c r="AX440" s="43"/>
      <c r="AY440" s="43"/>
      <c r="AZ440" s="43"/>
      <c r="BA440" s="43"/>
      <c r="BB440" s="42"/>
      <c r="BC440" s="42"/>
      <c r="BD440" s="42"/>
      <c r="BE440" s="42"/>
      <c r="BF440" s="83">
        <v>0</v>
      </c>
    </row>
    <row r="441" spans="1:58" ht="16" x14ac:dyDescent="0.35">
      <c r="A441" s="41"/>
      <c r="B441" s="42"/>
      <c r="C441" s="42"/>
      <c r="D441" s="42"/>
      <c r="E441" s="42"/>
      <c r="F441" s="42"/>
      <c r="G441" s="42"/>
      <c r="H441" s="43"/>
      <c r="I441" s="43"/>
      <c r="J441" s="43"/>
      <c r="K441" s="43"/>
      <c r="L441" s="43"/>
      <c r="M441" s="42"/>
      <c r="N441" s="42"/>
      <c r="O441" s="42"/>
      <c r="P441" s="42"/>
      <c r="Q441" s="42"/>
      <c r="R441" s="42"/>
      <c r="S441" s="42"/>
      <c r="T441" s="42"/>
      <c r="U441" s="42"/>
      <c r="V441" s="42"/>
      <c r="W441" s="42"/>
      <c r="X441" s="42"/>
      <c r="Y441" s="43"/>
      <c r="Z441" s="42"/>
      <c r="AA441" s="42"/>
      <c r="AB441" s="44"/>
      <c r="AP441"/>
      <c r="AQ441" s="52"/>
      <c r="AR441" s="52"/>
      <c r="AS441"/>
      <c r="AT441" s="52"/>
      <c r="AU441" s="52"/>
      <c r="AV441"/>
      <c r="AW441" s="39"/>
      <c r="AX441" s="39"/>
      <c r="AY441" s="39"/>
      <c r="AZ441" s="39"/>
      <c r="BA441" s="39"/>
      <c r="BB441" s="38"/>
      <c r="BC441" s="38"/>
      <c r="BD441" s="38"/>
      <c r="BE441" s="38"/>
      <c r="BF441" s="83">
        <v>0</v>
      </c>
    </row>
    <row r="442" spans="1:58" ht="16" x14ac:dyDescent="0.35">
      <c r="A442" s="37"/>
      <c r="B442" s="38"/>
      <c r="C442" s="38"/>
      <c r="D442" s="38"/>
      <c r="E442" s="38"/>
      <c r="F442" s="38"/>
      <c r="G442" s="38"/>
      <c r="H442" s="39"/>
      <c r="I442" s="39"/>
      <c r="J442" s="39"/>
      <c r="K442" s="39"/>
      <c r="L442" s="39"/>
      <c r="M442" s="38"/>
      <c r="N442" s="38"/>
      <c r="O442" s="38"/>
      <c r="P442" s="38"/>
      <c r="Q442" s="38"/>
      <c r="R442" s="38"/>
      <c r="S442" s="38"/>
      <c r="T442" s="38"/>
      <c r="U442" s="38"/>
      <c r="V442" s="38"/>
      <c r="W442" s="38"/>
      <c r="X442" s="38"/>
      <c r="Y442" s="39"/>
      <c r="Z442" s="38"/>
      <c r="AA442" s="38"/>
      <c r="AB442" s="40"/>
      <c r="AP442"/>
      <c r="AQ442" s="48"/>
      <c r="AR442" s="48"/>
      <c r="AS442"/>
      <c r="AT442" s="48"/>
      <c r="AU442" s="48"/>
      <c r="AV442"/>
      <c r="AW442" s="43"/>
      <c r="AX442" s="43"/>
      <c r="AY442" s="43"/>
      <c r="AZ442" s="43"/>
      <c r="BA442" s="43"/>
      <c r="BB442" s="42"/>
      <c r="BC442" s="42"/>
      <c r="BD442" s="42"/>
      <c r="BE442" s="42"/>
      <c r="BF442" s="83">
        <v>0</v>
      </c>
    </row>
    <row r="443" spans="1:58" ht="16" x14ac:dyDescent="0.35">
      <c r="A443" s="41"/>
      <c r="B443" s="42"/>
      <c r="C443" s="42"/>
      <c r="D443" s="42"/>
      <c r="E443" s="42"/>
      <c r="F443" s="42"/>
      <c r="G443" s="42"/>
      <c r="H443" s="43"/>
      <c r="I443" s="43"/>
      <c r="J443" s="43"/>
      <c r="K443" s="43"/>
      <c r="L443" s="43"/>
      <c r="M443" s="42"/>
      <c r="N443" s="42"/>
      <c r="O443" s="42"/>
      <c r="P443" s="42"/>
      <c r="Q443" s="42"/>
      <c r="R443" s="42"/>
      <c r="S443" s="42"/>
      <c r="T443" s="42"/>
      <c r="U443" s="42"/>
      <c r="V443" s="42"/>
      <c r="W443" s="42"/>
      <c r="X443" s="42"/>
      <c r="Y443" s="43"/>
      <c r="Z443" s="42"/>
      <c r="AA443" s="42"/>
      <c r="AB443" s="44"/>
      <c r="AP443"/>
      <c r="AQ443" s="52"/>
      <c r="AR443" s="52"/>
      <c r="AS443"/>
      <c r="AT443" s="52"/>
      <c r="AU443" s="52"/>
      <c r="AV443"/>
      <c r="AW443" s="39"/>
      <c r="AX443" s="39"/>
      <c r="AY443" s="39"/>
      <c r="AZ443" s="39"/>
      <c r="BA443" s="39"/>
      <c r="BB443" s="38"/>
      <c r="BC443" s="38"/>
      <c r="BD443" s="38"/>
      <c r="BE443" s="38"/>
      <c r="BF443" s="83">
        <v>0</v>
      </c>
    </row>
    <row r="444" spans="1:58" ht="16" x14ac:dyDescent="0.35">
      <c r="A444" s="37"/>
      <c r="B444" s="38"/>
      <c r="C444" s="38"/>
      <c r="D444" s="38"/>
      <c r="E444" s="38"/>
      <c r="F444" s="38"/>
      <c r="G444" s="38"/>
      <c r="H444" s="39"/>
      <c r="I444" s="39"/>
      <c r="J444" s="39"/>
      <c r="K444" s="39"/>
      <c r="L444" s="39"/>
      <c r="M444" s="38"/>
      <c r="N444" s="38"/>
      <c r="O444" s="38"/>
      <c r="P444" s="38"/>
      <c r="Q444" s="38"/>
      <c r="R444" s="38"/>
      <c r="S444" s="38"/>
      <c r="T444" s="38"/>
      <c r="U444" s="38"/>
      <c r="V444" s="38"/>
      <c r="W444" s="38"/>
      <c r="X444" s="38"/>
      <c r="Y444" s="39"/>
      <c r="Z444" s="38"/>
      <c r="AA444" s="38"/>
      <c r="AB444" s="40"/>
      <c r="AP444"/>
      <c r="AQ444" s="48"/>
      <c r="AR444" s="48"/>
      <c r="AS444"/>
      <c r="AT444" s="48"/>
      <c r="AU444" s="48"/>
      <c r="AV444"/>
      <c r="AW444" s="43"/>
      <c r="AX444" s="43"/>
      <c r="AY444" s="43"/>
      <c r="AZ444" s="43"/>
      <c r="BA444" s="43"/>
      <c r="BB444" s="42"/>
      <c r="BC444" s="42"/>
      <c r="BD444" s="42"/>
      <c r="BE444" s="42"/>
      <c r="BF444" s="83">
        <v>0</v>
      </c>
    </row>
    <row r="445" spans="1:58" ht="16" x14ac:dyDescent="0.35">
      <c r="A445" s="41"/>
      <c r="B445" s="42"/>
      <c r="C445" s="42"/>
      <c r="D445" s="42"/>
      <c r="E445" s="42"/>
      <c r="F445" s="42"/>
      <c r="G445" s="42"/>
      <c r="H445" s="43"/>
      <c r="I445" s="43"/>
      <c r="J445" s="43"/>
      <c r="K445" s="43"/>
      <c r="L445" s="43"/>
      <c r="M445" s="42"/>
      <c r="N445" s="42"/>
      <c r="O445" s="42"/>
      <c r="P445" s="42"/>
      <c r="Q445" s="42"/>
      <c r="R445" s="42"/>
      <c r="S445" s="42"/>
      <c r="T445" s="42"/>
      <c r="U445" s="42"/>
      <c r="V445" s="42"/>
      <c r="W445" s="42"/>
      <c r="X445" s="42"/>
      <c r="Y445" s="43"/>
      <c r="Z445" s="42"/>
      <c r="AA445" s="42"/>
      <c r="AB445" s="44"/>
      <c r="AP445"/>
      <c r="AQ445" s="52"/>
      <c r="AR445" s="52"/>
      <c r="AS445"/>
      <c r="AT445" s="52"/>
      <c r="AU445" s="52"/>
      <c r="AV445"/>
      <c r="AW445" s="39"/>
      <c r="AX445" s="39"/>
      <c r="AY445" s="39"/>
      <c r="AZ445" s="39"/>
      <c r="BA445" s="39"/>
      <c r="BB445" s="38"/>
      <c r="BC445" s="38"/>
      <c r="BD445" s="38"/>
      <c r="BE445" s="38"/>
      <c r="BF445" s="83">
        <v>0</v>
      </c>
    </row>
    <row r="446" spans="1:58" ht="16" x14ac:dyDescent="0.35">
      <c r="A446" s="37"/>
      <c r="B446" s="38"/>
      <c r="C446" s="38"/>
      <c r="D446" s="38"/>
      <c r="E446" s="38"/>
      <c r="F446" s="38"/>
      <c r="G446" s="38"/>
      <c r="H446" s="39"/>
      <c r="I446" s="39"/>
      <c r="J446" s="39"/>
      <c r="K446" s="39"/>
      <c r="L446" s="39"/>
      <c r="M446" s="38"/>
      <c r="N446" s="38"/>
      <c r="O446" s="38"/>
      <c r="P446" s="38"/>
      <c r="Q446" s="38"/>
      <c r="R446" s="38"/>
      <c r="S446" s="38"/>
      <c r="T446" s="38"/>
      <c r="U446" s="38"/>
      <c r="V446" s="38"/>
      <c r="W446" s="38"/>
      <c r="X446" s="38"/>
      <c r="Y446" s="39"/>
      <c r="Z446" s="38"/>
      <c r="AA446" s="38"/>
      <c r="AB446" s="40"/>
      <c r="AP446"/>
      <c r="AQ446" s="48"/>
      <c r="AR446" s="48"/>
      <c r="AS446"/>
      <c r="AT446" s="48"/>
      <c r="AU446" s="48"/>
      <c r="AV446"/>
      <c r="AW446" s="43"/>
      <c r="AX446" s="43"/>
      <c r="AY446" s="43"/>
      <c r="AZ446" s="43"/>
      <c r="BA446" s="43"/>
      <c r="BB446" s="42"/>
      <c r="BC446" s="42"/>
      <c r="BD446" s="42"/>
      <c r="BE446" s="42"/>
      <c r="BF446" s="83">
        <v>0</v>
      </c>
    </row>
    <row r="447" spans="1:58" ht="16" x14ac:dyDescent="0.35">
      <c r="A447" s="41"/>
      <c r="B447" s="42"/>
      <c r="C447" s="42"/>
      <c r="D447" s="42"/>
      <c r="E447" s="42"/>
      <c r="F447" s="42"/>
      <c r="G447" s="42"/>
      <c r="H447" s="43"/>
      <c r="I447" s="43"/>
      <c r="J447" s="43"/>
      <c r="K447" s="43"/>
      <c r="L447" s="43"/>
      <c r="M447" s="42"/>
      <c r="N447" s="42"/>
      <c r="O447" s="42"/>
      <c r="P447" s="42"/>
      <c r="Q447" s="42"/>
      <c r="R447" s="42"/>
      <c r="S447" s="42"/>
      <c r="T447" s="42"/>
      <c r="U447" s="42"/>
      <c r="V447" s="42"/>
      <c r="W447" s="42"/>
      <c r="X447" s="42"/>
      <c r="Y447" s="43"/>
      <c r="Z447" s="42"/>
      <c r="AA447" s="42"/>
      <c r="AB447" s="44"/>
      <c r="AP447"/>
      <c r="AQ447" s="52"/>
      <c r="AR447" s="52"/>
      <c r="AS447"/>
      <c r="AT447" s="52"/>
      <c r="AU447" s="52"/>
      <c r="AV447"/>
      <c r="AW447" s="39"/>
      <c r="AX447" s="39"/>
      <c r="AY447" s="39"/>
      <c r="AZ447" s="39"/>
      <c r="BA447" s="39"/>
      <c r="BB447" s="38"/>
      <c r="BC447" s="38"/>
      <c r="BD447" s="38"/>
      <c r="BE447" s="38"/>
      <c r="BF447" s="83">
        <v>0</v>
      </c>
    </row>
    <row r="448" spans="1:58" ht="16" x14ac:dyDescent="0.35">
      <c r="A448" s="37"/>
      <c r="B448" s="38"/>
      <c r="C448" s="38"/>
      <c r="D448" s="38"/>
      <c r="E448" s="38"/>
      <c r="F448" s="38"/>
      <c r="G448" s="38"/>
      <c r="H448" s="39"/>
      <c r="I448" s="39"/>
      <c r="J448" s="39"/>
      <c r="K448" s="39"/>
      <c r="L448" s="39"/>
      <c r="M448" s="38"/>
      <c r="N448" s="38"/>
      <c r="O448" s="38"/>
      <c r="P448" s="38"/>
      <c r="Q448" s="38"/>
      <c r="R448" s="38"/>
      <c r="S448" s="38"/>
      <c r="T448" s="38"/>
      <c r="U448" s="38"/>
      <c r="V448" s="38"/>
      <c r="W448" s="38"/>
      <c r="X448" s="38"/>
      <c r="Y448" s="39"/>
      <c r="Z448" s="38"/>
      <c r="AA448" s="38"/>
      <c r="AB448" s="40"/>
      <c r="AP448"/>
      <c r="AQ448" s="48"/>
      <c r="AR448" s="48"/>
      <c r="AS448"/>
      <c r="AT448" s="48"/>
      <c r="AU448" s="48"/>
      <c r="AV448"/>
      <c r="AW448" s="43"/>
      <c r="AX448" s="43"/>
      <c r="AY448" s="43"/>
      <c r="AZ448" s="43"/>
      <c r="BA448" s="43"/>
      <c r="BB448" s="42"/>
      <c r="BC448" s="42"/>
      <c r="BD448" s="42"/>
      <c r="BE448" s="42"/>
      <c r="BF448" s="83">
        <v>0</v>
      </c>
    </row>
    <row r="449" spans="1:58" ht="16" x14ac:dyDescent="0.35">
      <c r="A449" s="41"/>
      <c r="B449" s="42"/>
      <c r="C449" s="42"/>
      <c r="D449" s="42"/>
      <c r="E449" s="42"/>
      <c r="F449" s="42"/>
      <c r="G449" s="42"/>
      <c r="H449" s="43"/>
      <c r="I449" s="43"/>
      <c r="J449" s="43"/>
      <c r="K449" s="43"/>
      <c r="L449" s="43"/>
      <c r="M449" s="42"/>
      <c r="N449" s="42"/>
      <c r="O449" s="42"/>
      <c r="P449" s="42"/>
      <c r="Q449" s="42"/>
      <c r="R449" s="42"/>
      <c r="S449" s="42"/>
      <c r="T449" s="42"/>
      <c r="U449" s="42"/>
      <c r="V449" s="42"/>
      <c r="W449" s="42"/>
      <c r="X449" s="42"/>
      <c r="Y449" s="43"/>
      <c r="Z449" s="42"/>
      <c r="AA449" s="42"/>
      <c r="AB449" s="44"/>
      <c r="AP449"/>
      <c r="AQ449" s="52"/>
      <c r="AR449" s="52"/>
      <c r="AS449"/>
      <c r="AT449" s="52"/>
      <c r="AU449" s="52"/>
      <c r="AV449"/>
      <c r="AW449" s="53"/>
      <c r="AX449" s="53"/>
      <c r="AY449" s="53"/>
      <c r="AZ449" s="53"/>
      <c r="BA449" s="53"/>
      <c r="BB449" s="52"/>
      <c r="BC449" s="52"/>
      <c r="BD449" s="52"/>
      <c r="BE449" s="52"/>
      <c r="BF449" s="83"/>
    </row>
    <row r="450" spans="1:58" ht="16" x14ac:dyDescent="0.35">
      <c r="A450" s="37"/>
      <c r="B450" s="38"/>
      <c r="C450" s="38"/>
      <c r="D450" s="38"/>
      <c r="E450" s="38"/>
      <c r="F450" s="38"/>
      <c r="G450" s="38"/>
      <c r="H450" s="39"/>
      <c r="I450" s="39"/>
      <c r="J450" s="39"/>
      <c r="K450" s="39"/>
      <c r="L450" s="39"/>
      <c r="M450" s="38"/>
      <c r="N450" s="38"/>
      <c r="O450" s="38"/>
      <c r="P450" s="38"/>
      <c r="Q450" s="38"/>
      <c r="R450" s="38"/>
      <c r="S450" s="38"/>
      <c r="T450" s="38"/>
      <c r="U450" s="38"/>
      <c r="V450" s="38"/>
      <c r="W450" s="38"/>
      <c r="X450" s="38"/>
      <c r="Y450" s="39"/>
      <c r="Z450" s="38"/>
      <c r="AA450" s="38"/>
      <c r="AB450" s="40"/>
      <c r="AP450"/>
      <c r="AQ450" s="48"/>
      <c r="AR450" s="48"/>
      <c r="AS450"/>
      <c r="AT450" s="48"/>
      <c r="AU450" s="48"/>
      <c r="AV450"/>
      <c r="AW450" s="49"/>
      <c r="AX450" s="49"/>
      <c r="AY450" s="49"/>
      <c r="AZ450" s="49"/>
      <c r="BA450" s="49"/>
      <c r="BB450" s="48"/>
      <c r="BC450" s="48"/>
      <c r="BD450" s="48"/>
      <c r="BE450" s="48"/>
      <c r="BF450" s="83"/>
    </row>
    <row r="451" spans="1:58" ht="16" x14ac:dyDescent="0.35">
      <c r="A451" s="41"/>
      <c r="B451" s="42"/>
      <c r="C451" s="42"/>
      <c r="D451" s="42"/>
      <c r="E451" s="42"/>
      <c r="F451" s="42"/>
      <c r="G451" s="42"/>
      <c r="H451" s="43"/>
      <c r="I451" s="43"/>
      <c r="J451" s="43"/>
      <c r="K451" s="43"/>
      <c r="L451" s="43"/>
      <c r="M451" s="42"/>
      <c r="N451" s="42"/>
      <c r="O451" s="42"/>
      <c r="P451" s="42"/>
      <c r="Q451" s="42"/>
      <c r="R451" s="42"/>
      <c r="S451" s="42"/>
      <c r="T451" s="42"/>
      <c r="U451" s="42"/>
      <c r="V451" s="42"/>
      <c r="W451" s="42"/>
      <c r="X451" s="42"/>
      <c r="Y451" s="43"/>
      <c r="Z451" s="42"/>
      <c r="AA451" s="42"/>
      <c r="AB451" s="44"/>
      <c r="AP451"/>
      <c r="AQ451" s="52"/>
      <c r="AR451" s="52"/>
      <c r="AS451"/>
      <c r="AT451" s="52"/>
      <c r="AU451" s="52"/>
      <c r="AV451"/>
      <c r="AW451" s="53"/>
      <c r="AX451" s="53"/>
      <c r="AY451" s="53"/>
      <c r="AZ451" s="53"/>
      <c r="BA451" s="53"/>
      <c r="BB451" s="52"/>
      <c r="BC451" s="52"/>
      <c r="BD451" s="52"/>
      <c r="BE451" s="52"/>
      <c r="BF451" s="83"/>
    </row>
    <row r="452" spans="1:58" ht="16" x14ac:dyDescent="0.35">
      <c r="A452" s="37"/>
      <c r="B452" s="38"/>
      <c r="C452" s="38"/>
      <c r="D452" s="38"/>
      <c r="E452" s="38"/>
      <c r="F452" s="38"/>
      <c r="G452" s="38"/>
      <c r="H452" s="39"/>
      <c r="I452" s="39"/>
      <c r="J452" s="39"/>
      <c r="K452" s="39"/>
      <c r="L452" s="39"/>
      <c r="M452" s="38"/>
      <c r="N452" s="38"/>
      <c r="O452" s="38"/>
      <c r="P452" s="38"/>
      <c r="Q452" s="38"/>
      <c r="R452" s="38"/>
      <c r="S452" s="38"/>
      <c r="T452" s="38"/>
      <c r="U452" s="38"/>
      <c r="V452" s="38"/>
      <c r="W452" s="38"/>
      <c r="X452" s="38"/>
      <c r="Y452" s="39"/>
      <c r="Z452" s="38"/>
      <c r="AA452" s="38"/>
      <c r="AB452" s="40"/>
      <c r="AP452"/>
      <c r="AQ452" s="48"/>
      <c r="AR452" s="48"/>
      <c r="AS452"/>
      <c r="AT452" s="48"/>
      <c r="AU452" s="48"/>
      <c r="AV452"/>
      <c r="AW452" s="49"/>
      <c r="AX452" s="49"/>
      <c r="AY452" s="49"/>
      <c r="AZ452" s="49"/>
      <c r="BA452" s="49"/>
      <c r="BB452" s="48"/>
      <c r="BC452" s="48"/>
      <c r="BD452" s="48"/>
      <c r="BE452" s="48"/>
      <c r="BF452" s="83"/>
    </row>
    <row r="453" spans="1:58" ht="16" x14ac:dyDescent="0.35">
      <c r="A453" s="41"/>
      <c r="B453" s="42"/>
      <c r="C453" s="42"/>
      <c r="D453" s="42"/>
      <c r="E453" s="42"/>
      <c r="F453" s="42"/>
      <c r="G453" s="42"/>
      <c r="H453" s="43"/>
      <c r="I453" s="43"/>
      <c r="J453" s="43"/>
      <c r="K453" s="43"/>
      <c r="L453" s="43"/>
      <c r="M453" s="42"/>
      <c r="N453" s="42"/>
      <c r="O453" s="42"/>
      <c r="P453" s="42"/>
      <c r="Q453" s="42"/>
      <c r="R453" s="42"/>
      <c r="S453" s="42"/>
      <c r="T453" s="42"/>
      <c r="U453" s="42"/>
      <c r="V453" s="42"/>
      <c r="W453" s="42"/>
      <c r="X453" s="42"/>
      <c r="Y453" s="43"/>
      <c r="Z453" s="42"/>
      <c r="AA453" s="42"/>
      <c r="AB453" s="44"/>
      <c r="AP453"/>
      <c r="AQ453" s="52"/>
      <c r="AR453" s="52"/>
      <c r="AS453"/>
      <c r="AT453" s="52"/>
      <c r="AU453" s="52"/>
      <c r="AV453"/>
      <c r="AW453" s="53"/>
      <c r="AX453" s="53"/>
      <c r="AY453" s="53"/>
      <c r="AZ453" s="53"/>
      <c r="BA453" s="53"/>
      <c r="BB453" s="52"/>
      <c r="BC453" s="52"/>
      <c r="BD453" s="52"/>
      <c r="BE453" s="52"/>
      <c r="BF453" s="83"/>
    </row>
    <row r="454" spans="1:58" ht="16" x14ac:dyDescent="0.35">
      <c r="A454" s="37"/>
      <c r="B454" s="38"/>
      <c r="C454" s="38"/>
      <c r="D454" s="38"/>
      <c r="E454" s="38"/>
      <c r="F454" s="38"/>
      <c r="G454" s="38"/>
      <c r="H454" s="39"/>
      <c r="I454" s="39"/>
      <c r="J454" s="39"/>
      <c r="K454" s="39"/>
      <c r="L454" s="39"/>
      <c r="M454" s="38"/>
      <c r="N454" s="38"/>
      <c r="O454" s="38"/>
      <c r="P454" s="38"/>
      <c r="Q454" s="38"/>
      <c r="R454" s="38"/>
      <c r="S454" s="38"/>
      <c r="T454" s="38"/>
      <c r="U454" s="38"/>
      <c r="V454" s="38"/>
      <c r="W454" s="38"/>
      <c r="X454" s="38"/>
      <c r="Y454" s="39"/>
      <c r="Z454" s="38"/>
      <c r="AA454" s="38"/>
      <c r="AB454" s="40"/>
      <c r="AP454"/>
      <c r="AQ454" s="48"/>
      <c r="AR454" s="48"/>
      <c r="AS454"/>
      <c r="AT454" s="48"/>
      <c r="AU454" s="48"/>
      <c r="AV454"/>
      <c r="AW454" s="49"/>
      <c r="AX454" s="49"/>
      <c r="AY454" s="49"/>
      <c r="AZ454" s="49"/>
      <c r="BA454" s="49"/>
      <c r="BB454" s="48"/>
      <c r="BC454" s="48"/>
      <c r="BD454" s="48"/>
      <c r="BE454" s="48"/>
      <c r="BF454" s="83"/>
    </row>
    <row r="455" spans="1:58" ht="16" x14ac:dyDescent="0.35">
      <c r="A455" s="41"/>
      <c r="B455" s="42"/>
      <c r="C455" s="42"/>
      <c r="D455" s="42"/>
      <c r="E455" s="42"/>
      <c r="F455" s="42"/>
      <c r="G455" s="42"/>
      <c r="H455" s="43"/>
      <c r="I455" s="43"/>
      <c r="J455" s="43"/>
      <c r="K455" s="43"/>
      <c r="L455" s="43"/>
      <c r="M455" s="42"/>
      <c r="N455" s="42"/>
      <c r="O455" s="42"/>
      <c r="P455" s="42"/>
      <c r="Q455" s="42"/>
      <c r="R455" s="42"/>
      <c r="S455" s="42"/>
      <c r="T455" s="42"/>
      <c r="U455" s="42"/>
      <c r="V455" s="42"/>
      <c r="W455" s="42"/>
      <c r="X455" s="42"/>
      <c r="Y455" s="43"/>
      <c r="Z455" s="42"/>
      <c r="AA455" s="42"/>
      <c r="AB455" s="44"/>
      <c r="AP455"/>
      <c r="AQ455" s="52"/>
      <c r="AR455" s="52"/>
      <c r="AS455"/>
      <c r="AT455" s="52"/>
      <c r="AU455" s="52"/>
      <c r="AV455"/>
      <c r="AW455" s="53"/>
      <c r="AX455" s="53"/>
      <c r="AY455" s="53"/>
      <c r="AZ455" s="53"/>
      <c r="BA455" s="53"/>
      <c r="BB455" s="52"/>
      <c r="BC455" s="52"/>
      <c r="BD455" s="52"/>
      <c r="BE455" s="52"/>
      <c r="BF455" s="83"/>
    </row>
    <row r="456" spans="1:58" ht="16" x14ac:dyDescent="0.35">
      <c r="A456" s="37"/>
      <c r="B456" s="38"/>
      <c r="C456" s="38"/>
      <c r="D456" s="38"/>
      <c r="E456" s="38"/>
      <c r="F456" s="38"/>
      <c r="G456" s="38"/>
      <c r="H456" s="39"/>
      <c r="I456" s="39"/>
      <c r="J456" s="39"/>
      <c r="K456" s="39"/>
      <c r="L456" s="39"/>
      <c r="M456" s="38"/>
      <c r="N456" s="38"/>
      <c r="O456" s="38"/>
      <c r="P456" s="38"/>
      <c r="Q456" s="38"/>
      <c r="R456" s="38"/>
      <c r="S456" s="38"/>
      <c r="T456" s="38"/>
      <c r="U456" s="38"/>
      <c r="V456" s="38"/>
      <c r="W456" s="38"/>
      <c r="X456" s="38"/>
      <c r="Y456" s="39"/>
      <c r="Z456" s="38"/>
      <c r="AA456" s="38"/>
      <c r="AB456" s="40"/>
      <c r="AP456"/>
      <c r="AQ456" s="48"/>
      <c r="AR456" s="48"/>
      <c r="AS456"/>
      <c r="AT456" s="48"/>
      <c r="AU456" s="48"/>
      <c r="AV456"/>
      <c r="AW456" s="49"/>
      <c r="AX456" s="49"/>
      <c r="AY456" s="49"/>
      <c r="AZ456" s="49"/>
      <c r="BA456" s="49"/>
      <c r="BB456" s="48"/>
      <c r="BC456" s="48"/>
      <c r="BD456" s="48"/>
      <c r="BE456" s="48"/>
      <c r="BF456" s="83"/>
    </row>
    <row r="457" spans="1:58" ht="16" x14ac:dyDescent="0.35">
      <c r="A457" s="41"/>
      <c r="B457" s="42"/>
      <c r="C457" s="42"/>
      <c r="D457" s="42"/>
      <c r="E457" s="42"/>
      <c r="F457" s="42"/>
      <c r="G457" s="42"/>
      <c r="H457" s="43"/>
      <c r="I457" s="43"/>
      <c r="J457" s="43"/>
      <c r="K457" s="43"/>
      <c r="L457" s="43"/>
      <c r="M457" s="42"/>
      <c r="N457" s="42"/>
      <c r="O457" s="42"/>
      <c r="P457" s="42"/>
      <c r="Q457" s="42"/>
      <c r="R457" s="42"/>
      <c r="S457" s="42"/>
      <c r="T457" s="42"/>
      <c r="U457" s="42"/>
      <c r="V457" s="42"/>
      <c r="W457" s="42"/>
      <c r="X457" s="42"/>
      <c r="Y457" s="43"/>
      <c r="Z457" s="42"/>
      <c r="AA457" s="42"/>
      <c r="AB457" s="44"/>
      <c r="AP457"/>
      <c r="AQ457" s="52"/>
      <c r="AR457" s="52"/>
      <c r="AS457"/>
      <c r="AT457" s="52"/>
      <c r="AU457" s="52"/>
      <c r="AV457"/>
      <c r="AW457" s="53"/>
      <c r="AX457" s="53"/>
      <c r="AY457" s="53"/>
      <c r="AZ457" s="53"/>
      <c r="BA457" s="53"/>
      <c r="BB457" s="52"/>
      <c r="BC457" s="52"/>
      <c r="BD457" s="52"/>
      <c r="BE457" s="52"/>
      <c r="BF457" s="83"/>
    </row>
    <row r="458" spans="1:58" ht="16" x14ac:dyDescent="0.35">
      <c r="A458" s="37"/>
      <c r="B458" s="38"/>
      <c r="C458" s="38"/>
      <c r="D458" s="38"/>
      <c r="E458" s="38"/>
      <c r="F458" s="38"/>
      <c r="G458" s="38"/>
      <c r="H458" s="39"/>
      <c r="I458" s="39"/>
      <c r="J458" s="39"/>
      <c r="K458" s="39"/>
      <c r="L458" s="39"/>
      <c r="M458" s="38"/>
      <c r="N458" s="38"/>
      <c r="O458" s="38"/>
      <c r="P458" s="38"/>
      <c r="Q458" s="38"/>
      <c r="R458" s="38"/>
      <c r="S458" s="38"/>
      <c r="T458" s="38"/>
      <c r="U458" s="38"/>
      <c r="V458" s="38"/>
      <c r="W458" s="38"/>
      <c r="X458" s="38"/>
      <c r="Y458" s="39"/>
      <c r="Z458" s="38"/>
      <c r="AA458" s="38"/>
      <c r="AB458" s="40"/>
      <c r="AP458"/>
      <c r="AQ458" s="48"/>
      <c r="AR458" s="48"/>
      <c r="AS458"/>
      <c r="AT458" s="48"/>
      <c r="AU458" s="48"/>
      <c r="AV458"/>
      <c r="AW458" s="49"/>
      <c r="AX458" s="49"/>
      <c r="AY458" s="49"/>
      <c r="AZ458" s="49"/>
      <c r="BA458" s="49"/>
      <c r="BB458" s="48"/>
      <c r="BC458" s="48"/>
      <c r="BD458" s="48"/>
      <c r="BE458" s="48"/>
      <c r="BF458" s="83"/>
    </row>
    <row r="459" spans="1:58" ht="16" x14ac:dyDescent="0.35">
      <c r="A459" s="41"/>
      <c r="B459" s="42"/>
      <c r="C459" s="42"/>
      <c r="D459" s="42"/>
      <c r="E459" s="42"/>
      <c r="F459" s="42"/>
      <c r="G459" s="42"/>
      <c r="H459" s="43"/>
      <c r="I459" s="43"/>
      <c r="J459" s="43"/>
      <c r="K459" s="43"/>
      <c r="L459" s="43"/>
      <c r="M459" s="42"/>
      <c r="N459" s="42"/>
      <c r="O459" s="42"/>
      <c r="P459" s="42"/>
      <c r="Q459" s="42"/>
      <c r="R459" s="42"/>
      <c r="S459" s="42"/>
      <c r="T459" s="42"/>
      <c r="U459" s="42"/>
      <c r="V459" s="42"/>
      <c r="W459" s="42"/>
      <c r="X459" s="42"/>
      <c r="Y459" s="43"/>
      <c r="Z459" s="42"/>
      <c r="AA459" s="42"/>
      <c r="AB459" s="44"/>
      <c r="AP459"/>
      <c r="AQ459" s="52"/>
      <c r="AR459" s="52"/>
      <c r="AS459"/>
      <c r="AT459" s="52"/>
      <c r="AU459" s="52"/>
      <c r="AV459"/>
      <c r="AW459" s="53"/>
      <c r="AX459" s="53"/>
      <c r="AY459" s="53"/>
      <c r="AZ459" s="53"/>
      <c r="BA459" s="53"/>
      <c r="BB459" s="52"/>
      <c r="BC459" s="52"/>
      <c r="BD459" s="52"/>
      <c r="BE459" s="52"/>
      <c r="BF459" s="83"/>
    </row>
    <row r="460" spans="1:58" ht="16" x14ac:dyDescent="0.35">
      <c r="A460" s="37"/>
      <c r="B460" s="38"/>
      <c r="C460" s="38"/>
      <c r="D460" s="38"/>
      <c r="E460" s="38"/>
      <c r="F460" s="38"/>
      <c r="G460" s="38"/>
      <c r="H460" s="39"/>
      <c r="I460" s="39"/>
      <c r="J460" s="39"/>
      <c r="K460" s="39"/>
      <c r="L460" s="39"/>
      <c r="M460" s="38"/>
      <c r="N460" s="38"/>
      <c r="O460" s="38"/>
      <c r="P460" s="38"/>
      <c r="Q460" s="38"/>
      <c r="R460" s="38"/>
      <c r="S460" s="38"/>
      <c r="T460" s="38"/>
      <c r="U460" s="38"/>
      <c r="V460" s="38"/>
      <c r="W460" s="38"/>
      <c r="X460" s="38"/>
      <c r="Y460" s="39"/>
      <c r="Z460" s="38"/>
      <c r="AA460" s="38"/>
      <c r="AB460" s="40"/>
      <c r="AP460"/>
      <c r="AQ460" s="48"/>
      <c r="AR460" s="48"/>
      <c r="AS460"/>
      <c r="AT460" s="48"/>
      <c r="AU460" s="48"/>
      <c r="AV460"/>
      <c r="AW460" s="49"/>
      <c r="AX460" s="49"/>
      <c r="AY460" s="49"/>
      <c r="AZ460" s="49"/>
      <c r="BA460" s="49"/>
      <c r="BB460" s="48"/>
      <c r="BC460" s="48"/>
      <c r="BD460" s="48"/>
      <c r="BE460" s="48"/>
      <c r="BF460" s="83"/>
    </row>
    <row r="461" spans="1:58" ht="16" x14ac:dyDescent="0.35">
      <c r="A461" s="41"/>
      <c r="B461" s="42"/>
      <c r="C461" s="42"/>
      <c r="D461" s="42"/>
      <c r="E461" s="42"/>
      <c r="F461" s="42"/>
      <c r="G461" s="42"/>
      <c r="H461" s="43"/>
      <c r="I461" s="43"/>
      <c r="J461" s="43"/>
      <c r="K461" s="43"/>
      <c r="L461" s="43"/>
      <c r="M461" s="42"/>
      <c r="N461" s="42"/>
      <c r="O461" s="42"/>
      <c r="P461" s="42"/>
      <c r="Q461" s="42"/>
      <c r="R461" s="42"/>
      <c r="S461" s="42"/>
      <c r="T461" s="42"/>
      <c r="U461" s="42"/>
      <c r="V461" s="42"/>
      <c r="W461" s="42"/>
      <c r="X461" s="42"/>
      <c r="Y461" s="43"/>
      <c r="Z461" s="42"/>
      <c r="AA461" s="42"/>
      <c r="AB461" s="44"/>
      <c r="AP461"/>
      <c r="AQ461" s="52"/>
      <c r="AR461" s="52"/>
      <c r="AS461"/>
      <c r="AT461" s="52"/>
      <c r="AU461" s="52"/>
      <c r="AV461"/>
      <c r="AW461" s="53"/>
      <c r="AX461" s="53"/>
      <c r="AY461" s="53"/>
      <c r="AZ461" s="53"/>
      <c r="BA461" s="53"/>
      <c r="BB461" s="52"/>
      <c r="BC461" s="52"/>
      <c r="BD461" s="52"/>
      <c r="BE461" s="52"/>
      <c r="BF461" s="83"/>
    </row>
    <row r="462" spans="1:58" ht="16" x14ac:dyDescent="0.35">
      <c r="A462" s="37"/>
      <c r="B462" s="38"/>
      <c r="C462" s="38"/>
      <c r="D462" s="38"/>
      <c r="E462" s="38"/>
      <c r="F462" s="38"/>
      <c r="G462" s="38"/>
      <c r="H462" s="39"/>
      <c r="I462" s="39"/>
      <c r="J462" s="39"/>
      <c r="K462" s="39"/>
      <c r="L462" s="39"/>
      <c r="M462" s="38"/>
      <c r="N462" s="38"/>
      <c r="O462" s="38"/>
      <c r="P462" s="38"/>
      <c r="Q462" s="38"/>
      <c r="R462" s="38"/>
      <c r="S462" s="38"/>
      <c r="T462" s="38"/>
      <c r="U462" s="38"/>
      <c r="V462" s="38"/>
      <c r="W462" s="38"/>
      <c r="X462" s="38"/>
      <c r="Y462" s="39"/>
      <c r="Z462" s="38"/>
      <c r="AA462" s="38"/>
      <c r="AB462" s="40"/>
      <c r="AP462"/>
      <c r="AQ462" s="48"/>
      <c r="AR462" s="48"/>
      <c r="AS462"/>
      <c r="AT462" s="48"/>
      <c r="AU462" s="48"/>
      <c r="AV462"/>
      <c r="AW462" s="49"/>
      <c r="AX462" s="49"/>
      <c r="AY462" s="49"/>
      <c r="AZ462" s="49"/>
      <c r="BA462" s="49"/>
      <c r="BB462" s="48"/>
      <c r="BC462" s="48"/>
      <c r="BD462" s="48"/>
      <c r="BE462" s="48"/>
      <c r="BF462" s="83"/>
    </row>
    <row r="463" spans="1:58" ht="16" x14ac:dyDescent="0.35">
      <c r="A463" s="41"/>
      <c r="B463" s="42"/>
      <c r="C463" s="42"/>
      <c r="D463" s="42"/>
      <c r="E463" s="42"/>
      <c r="F463" s="42"/>
      <c r="G463" s="42"/>
      <c r="H463" s="43"/>
      <c r="I463" s="43"/>
      <c r="J463" s="43"/>
      <c r="K463" s="43"/>
      <c r="L463" s="43"/>
      <c r="M463" s="42"/>
      <c r="N463" s="42"/>
      <c r="O463" s="42"/>
      <c r="P463" s="42"/>
      <c r="Q463" s="42"/>
      <c r="R463" s="42"/>
      <c r="S463" s="42"/>
      <c r="T463" s="42"/>
      <c r="U463" s="42"/>
      <c r="V463" s="42"/>
      <c r="W463" s="42"/>
      <c r="X463" s="42"/>
      <c r="Y463" s="43"/>
      <c r="Z463" s="42"/>
      <c r="AA463" s="42"/>
      <c r="AB463" s="44"/>
      <c r="AP463"/>
      <c r="AQ463" s="52"/>
      <c r="AR463" s="52"/>
      <c r="AS463"/>
      <c r="AT463" s="52"/>
      <c r="AU463" s="52"/>
      <c r="AV463"/>
      <c r="AW463" s="53"/>
      <c r="AX463" s="53"/>
      <c r="AY463" s="53"/>
      <c r="AZ463" s="53"/>
      <c r="BA463" s="53"/>
      <c r="BB463" s="52"/>
      <c r="BC463" s="52"/>
      <c r="BD463" s="52"/>
      <c r="BE463" s="52"/>
      <c r="BF463" s="83"/>
    </row>
    <row r="464" spans="1:58" ht="16" x14ac:dyDescent="0.35">
      <c r="A464" s="37"/>
      <c r="B464" s="38"/>
      <c r="C464" s="38"/>
      <c r="D464" s="38"/>
      <c r="E464" s="38"/>
      <c r="F464" s="38"/>
      <c r="G464" s="38"/>
      <c r="H464" s="39"/>
      <c r="I464" s="39"/>
      <c r="J464" s="39"/>
      <c r="K464" s="39"/>
      <c r="L464" s="39"/>
      <c r="M464" s="38"/>
      <c r="N464" s="38"/>
      <c r="O464" s="38"/>
      <c r="P464" s="38"/>
      <c r="Q464" s="38"/>
      <c r="R464" s="38"/>
      <c r="S464" s="38"/>
      <c r="T464" s="38"/>
      <c r="U464" s="38"/>
      <c r="V464" s="38"/>
      <c r="W464" s="38"/>
      <c r="X464" s="38"/>
      <c r="Y464" s="39"/>
      <c r="Z464" s="38"/>
      <c r="AA464" s="38"/>
      <c r="AB464" s="40"/>
      <c r="AP464"/>
      <c r="AQ464" s="48"/>
      <c r="AR464" s="48"/>
      <c r="AS464"/>
      <c r="AT464" s="48"/>
      <c r="AU464" s="48"/>
      <c r="AV464"/>
      <c r="AW464" s="49"/>
      <c r="AX464" s="49"/>
      <c r="AY464" s="49"/>
      <c r="AZ464" s="49"/>
      <c r="BA464" s="49"/>
      <c r="BB464" s="48"/>
      <c r="BC464" s="48"/>
      <c r="BD464" s="48"/>
      <c r="BE464" s="48"/>
      <c r="BF464" s="83"/>
    </row>
    <row r="465" spans="1:58" ht="16" x14ac:dyDescent="0.35">
      <c r="A465" s="41"/>
      <c r="B465" s="42"/>
      <c r="C465" s="42"/>
      <c r="D465" s="42"/>
      <c r="E465" s="42"/>
      <c r="F465" s="42"/>
      <c r="G465" s="42"/>
      <c r="H465" s="43"/>
      <c r="I465" s="43"/>
      <c r="J465" s="43"/>
      <c r="K465" s="43"/>
      <c r="L465" s="43"/>
      <c r="M465" s="42"/>
      <c r="N465" s="42"/>
      <c r="O465" s="42"/>
      <c r="P465" s="42"/>
      <c r="Q465" s="42"/>
      <c r="R465" s="42"/>
      <c r="S465" s="42"/>
      <c r="T465" s="42"/>
      <c r="U465" s="42"/>
      <c r="V465" s="42"/>
      <c r="W465" s="42"/>
      <c r="X465" s="42"/>
      <c r="Y465" s="43"/>
      <c r="Z465" s="42"/>
      <c r="AA465" s="42"/>
      <c r="AB465" s="44"/>
      <c r="AP465"/>
      <c r="AQ465" s="52"/>
      <c r="AR465" s="52"/>
      <c r="AS465"/>
      <c r="AT465" s="52"/>
      <c r="AU465" s="52"/>
      <c r="AV465"/>
      <c r="AW465" s="53"/>
      <c r="AX465" s="53"/>
      <c r="AY465" s="53"/>
      <c r="AZ465" s="53"/>
      <c r="BA465" s="53"/>
      <c r="BB465" s="52"/>
      <c r="BC465" s="52"/>
      <c r="BD465" s="52"/>
      <c r="BE465" s="52"/>
      <c r="BF465" s="83"/>
    </row>
    <row r="466" spans="1:58" ht="16" x14ac:dyDescent="0.35">
      <c r="A466" s="37"/>
      <c r="B466" s="38"/>
      <c r="C466" s="38"/>
      <c r="D466" s="38"/>
      <c r="E466" s="38"/>
      <c r="F466" s="38"/>
      <c r="G466" s="38"/>
      <c r="H466" s="39"/>
      <c r="I466" s="39"/>
      <c r="J466" s="39"/>
      <c r="K466" s="39"/>
      <c r="L466" s="39"/>
      <c r="M466" s="38"/>
      <c r="N466" s="38"/>
      <c r="O466" s="38"/>
      <c r="P466" s="38"/>
      <c r="Q466" s="38"/>
      <c r="R466" s="38"/>
      <c r="S466" s="38"/>
      <c r="T466" s="38"/>
      <c r="U466" s="38"/>
      <c r="V466" s="38"/>
      <c r="W466" s="38"/>
      <c r="X466" s="38"/>
      <c r="Y466" s="39"/>
      <c r="Z466" s="38"/>
      <c r="AA466" s="38"/>
      <c r="AB466" s="40"/>
      <c r="AP466"/>
      <c r="AQ466" s="48"/>
      <c r="AR466" s="48"/>
      <c r="AS466"/>
      <c r="AT466" s="48"/>
      <c r="AU466" s="48"/>
      <c r="AV466"/>
      <c r="AW466" s="49"/>
      <c r="AX466" s="49"/>
      <c r="AY466" s="49"/>
      <c r="AZ466" s="49"/>
      <c r="BA466" s="49"/>
      <c r="BB466" s="48"/>
      <c r="BC466" s="48"/>
      <c r="BD466" s="48"/>
      <c r="BE466" s="48"/>
      <c r="BF466" s="83"/>
    </row>
    <row r="467" spans="1:58" ht="16" x14ac:dyDescent="0.35">
      <c r="A467" s="41"/>
      <c r="B467" s="42"/>
      <c r="C467" s="42"/>
      <c r="D467" s="42"/>
      <c r="E467" s="42"/>
      <c r="F467" s="42"/>
      <c r="G467" s="42"/>
      <c r="H467" s="43"/>
      <c r="I467" s="43"/>
      <c r="J467" s="43"/>
      <c r="K467" s="43"/>
      <c r="L467" s="43"/>
      <c r="M467" s="42"/>
      <c r="N467" s="42"/>
      <c r="O467" s="42"/>
      <c r="P467" s="42"/>
      <c r="Q467" s="42"/>
      <c r="R467" s="42"/>
      <c r="S467" s="42"/>
      <c r="T467" s="42"/>
      <c r="U467" s="42"/>
      <c r="V467" s="42"/>
      <c r="W467" s="42"/>
      <c r="X467" s="42"/>
      <c r="Y467" s="43"/>
      <c r="Z467" s="42"/>
      <c r="AA467" s="42"/>
      <c r="AB467" s="44"/>
      <c r="AP467"/>
      <c r="AQ467" s="52"/>
      <c r="AR467" s="52"/>
      <c r="AS467"/>
      <c r="AT467" s="52"/>
      <c r="AU467" s="52"/>
      <c r="AV467"/>
      <c r="AW467" s="53"/>
      <c r="AX467" s="53"/>
      <c r="AY467" s="53"/>
      <c r="AZ467" s="53"/>
      <c r="BA467" s="53"/>
      <c r="BB467" s="52"/>
      <c r="BC467" s="52"/>
      <c r="BD467" s="52"/>
      <c r="BE467" s="52"/>
      <c r="BF467" s="83"/>
    </row>
    <row r="468" spans="1:58" ht="16" x14ac:dyDescent="0.35">
      <c r="A468" s="37"/>
      <c r="B468" s="38"/>
      <c r="C468" s="38"/>
      <c r="D468" s="38"/>
      <c r="E468" s="38"/>
      <c r="F468" s="38"/>
      <c r="G468" s="38"/>
      <c r="H468" s="39"/>
      <c r="I468" s="39"/>
      <c r="J468" s="39"/>
      <c r="K468" s="39"/>
      <c r="L468" s="39"/>
      <c r="M468" s="38"/>
      <c r="N468" s="38"/>
      <c r="O468" s="38"/>
      <c r="P468" s="38"/>
      <c r="Q468" s="38"/>
      <c r="R468" s="38"/>
      <c r="S468" s="38"/>
      <c r="T468" s="38"/>
      <c r="U468" s="38"/>
      <c r="V468" s="38"/>
      <c r="W468" s="38"/>
      <c r="X468" s="38"/>
      <c r="Y468" s="39"/>
      <c r="Z468" s="38"/>
      <c r="AA468" s="38"/>
      <c r="AB468" s="40"/>
      <c r="AP468"/>
      <c r="AQ468" s="48"/>
      <c r="AR468" s="48"/>
      <c r="AS468"/>
      <c r="AT468" s="48"/>
      <c r="AU468" s="48"/>
      <c r="AV468"/>
      <c r="AW468" s="49"/>
      <c r="AX468" s="49"/>
      <c r="AY468" s="49"/>
      <c r="AZ468" s="49"/>
      <c r="BA468" s="49"/>
      <c r="BB468" s="48"/>
      <c r="BC468" s="48"/>
      <c r="BD468" s="48"/>
      <c r="BE468" s="48"/>
      <c r="BF468" s="83"/>
    </row>
    <row r="469" spans="1:58" ht="16" x14ac:dyDescent="0.35">
      <c r="A469" s="41"/>
      <c r="B469" s="42"/>
      <c r="C469" s="42"/>
      <c r="D469" s="42"/>
      <c r="E469" s="42"/>
      <c r="F469" s="42"/>
      <c r="G469" s="42"/>
      <c r="H469" s="43"/>
      <c r="I469" s="43"/>
      <c r="J469" s="43"/>
      <c r="K469" s="43"/>
      <c r="L469" s="43"/>
      <c r="M469" s="42"/>
      <c r="N469" s="42"/>
      <c r="O469" s="42"/>
      <c r="P469" s="42"/>
      <c r="Q469" s="42"/>
      <c r="R469" s="42"/>
      <c r="S469" s="42"/>
      <c r="T469" s="42"/>
      <c r="U469" s="42"/>
      <c r="V469" s="42"/>
      <c r="W469" s="42"/>
      <c r="X469" s="42"/>
      <c r="Y469" s="43"/>
      <c r="Z469" s="42"/>
      <c r="AA469" s="42"/>
      <c r="AB469" s="44"/>
      <c r="AP469"/>
      <c r="AQ469" s="52"/>
      <c r="AR469" s="52"/>
      <c r="AS469"/>
      <c r="AT469" s="52"/>
      <c r="AU469" s="52"/>
      <c r="AV469"/>
      <c r="AW469" s="53"/>
      <c r="AX469" s="53"/>
      <c r="AY469" s="53"/>
      <c r="AZ469" s="53"/>
      <c r="BA469" s="53"/>
      <c r="BB469" s="52"/>
      <c r="BC469" s="52"/>
      <c r="BD469" s="52"/>
      <c r="BE469" s="52"/>
      <c r="BF469" s="83"/>
    </row>
    <row r="470" spans="1:58" ht="16" x14ac:dyDescent="0.35">
      <c r="A470" s="37"/>
      <c r="B470" s="38"/>
      <c r="C470" s="38"/>
      <c r="D470" s="38"/>
      <c r="E470" s="38"/>
      <c r="F470" s="38"/>
      <c r="G470" s="38"/>
      <c r="H470" s="39"/>
      <c r="I470" s="39"/>
      <c r="J470" s="39"/>
      <c r="K470" s="39"/>
      <c r="L470" s="39"/>
      <c r="M470" s="38"/>
      <c r="N470" s="38"/>
      <c r="O470" s="38"/>
      <c r="P470" s="38"/>
      <c r="Q470" s="38"/>
      <c r="R470" s="38"/>
      <c r="S470" s="38"/>
      <c r="T470" s="38"/>
      <c r="U470" s="38"/>
      <c r="V470" s="38"/>
      <c r="W470" s="38"/>
      <c r="X470" s="38"/>
      <c r="Y470" s="39"/>
      <c r="Z470" s="38"/>
      <c r="AA470" s="38"/>
      <c r="AB470" s="40"/>
      <c r="AP470"/>
      <c r="AQ470" s="48"/>
      <c r="AR470" s="48"/>
      <c r="AS470"/>
      <c r="AT470" s="48"/>
      <c r="AU470" s="48"/>
      <c r="AV470"/>
      <c r="AW470" s="49"/>
      <c r="AX470" s="49"/>
      <c r="AY470" s="49"/>
      <c r="AZ470" s="49"/>
      <c r="BA470" s="49"/>
      <c r="BB470" s="48"/>
      <c r="BC470" s="48"/>
      <c r="BD470" s="48"/>
      <c r="BE470" s="48"/>
      <c r="BF470" s="83"/>
    </row>
    <row r="471" spans="1:58" ht="16" x14ac:dyDescent="0.35">
      <c r="A471" s="41"/>
      <c r="B471" s="42"/>
      <c r="C471" s="42"/>
      <c r="D471" s="42"/>
      <c r="E471" s="42"/>
      <c r="F471" s="42"/>
      <c r="G471" s="42"/>
      <c r="H471" s="43"/>
      <c r="I471" s="43"/>
      <c r="J471" s="43"/>
      <c r="K471" s="43"/>
      <c r="L471" s="43"/>
      <c r="M471" s="42"/>
      <c r="N471" s="42"/>
      <c r="O471" s="42"/>
      <c r="P471" s="42"/>
      <c r="Q471" s="42"/>
      <c r="R471" s="42"/>
      <c r="S471" s="42"/>
      <c r="T471" s="42"/>
      <c r="U471" s="42"/>
      <c r="V471" s="42"/>
      <c r="W471" s="42"/>
      <c r="X471" s="42"/>
      <c r="Y471" s="43"/>
      <c r="Z471" s="42"/>
      <c r="AA471" s="42"/>
      <c r="AB471" s="44"/>
      <c r="AP471"/>
      <c r="AQ471" s="52"/>
      <c r="AR471" s="52"/>
      <c r="AS471"/>
      <c r="AT471" s="52"/>
      <c r="AU471" s="52"/>
      <c r="AV471"/>
      <c r="AW471" s="53"/>
      <c r="AX471" s="53"/>
      <c r="AY471" s="53"/>
      <c r="AZ471" s="53"/>
      <c r="BA471" s="53"/>
      <c r="BB471" s="52"/>
      <c r="BC471" s="52"/>
      <c r="BD471" s="52"/>
      <c r="BE471" s="52"/>
      <c r="BF471" s="83"/>
    </row>
    <row r="472" spans="1:58" ht="16" x14ac:dyDescent="0.35">
      <c r="A472" s="37"/>
      <c r="B472" s="38"/>
      <c r="C472" s="38"/>
      <c r="D472" s="38"/>
      <c r="E472" s="38"/>
      <c r="F472" s="38"/>
      <c r="G472" s="38"/>
      <c r="H472" s="39"/>
      <c r="I472" s="39"/>
      <c r="J472" s="39"/>
      <c r="K472" s="39"/>
      <c r="L472" s="39"/>
      <c r="M472" s="38"/>
      <c r="N472" s="38"/>
      <c r="O472" s="38"/>
      <c r="P472" s="38"/>
      <c r="Q472" s="38"/>
      <c r="R472" s="38"/>
      <c r="S472" s="38"/>
      <c r="T472" s="38"/>
      <c r="U472" s="38"/>
      <c r="V472" s="38"/>
      <c r="W472" s="38"/>
      <c r="X472" s="38"/>
      <c r="Y472" s="39"/>
      <c r="Z472" s="38"/>
      <c r="AA472" s="38"/>
      <c r="AB472" s="40"/>
      <c r="AP472"/>
      <c r="AQ472" s="48"/>
      <c r="AR472" s="48"/>
      <c r="AS472"/>
      <c r="AT472" s="48"/>
      <c r="AU472" s="48"/>
      <c r="AV472"/>
      <c r="AW472" s="49"/>
      <c r="AX472" s="49"/>
      <c r="AY472" s="49"/>
      <c r="AZ472" s="49"/>
      <c r="BA472" s="49"/>
      <c r="BB472" s="48"/>
      <c r="BC472" s="48"/>
      <c r="BD472" s="48"/>
      <c r="BE472" s="48"/>
      <c r="BF472" s="83"/>
    </row>
    <row r="473" spans="1:58" ht="16" x14ac:dyDescent="0.35">
      <c r="A473" s="41"/>
      <c r="B473" s="42"/>
      <c r="C473" s="42"/>
      <c r="D473" s="42"/>
      <c r="E473" s="42"/>
      <c r="F473" s="42"/>
      <c r="G473" s="42"/>
      <c r="H473" s="43"/>
      <c r="I473" s="43"/>
      <c r="J473" s="43"/>
      <c r="K473" s="43"/>
      <c r="L473" s="43"/>
      <c r="M473" s="42"/>
      <c r="N473" s="42"/>
      <c r="O473" s="42"/>
      <c r="P473" s="42"/>
      <c r="Q473" s="42"/>
      <c r="R473" s="42"/>
      <c r="S473" s="42"/>
      <c r="T473" s="42"/>
      <c r="U473" s="42"/>
      <c r="V473" s="42"/>
      <c r="W473" s="42"/>
      <c r="X473" s="42"/>
      <c r="Y473" s="43"/>
      <c r="Z473" s="42"/>
      <c r="AA473" s="42"/>
      <c r="AB473" s="44"/>
      <c r="AP473"/>
      <c r="AQ473" s="52"/>
      <c r="AR473" s="52"/>
      <c r="AS473"/>
      <c r="AT473" s="52"/>
      <c r="AU473" s="52"/>
      <c r="AV473"/>
      <c r="AW473" s="53"/>
      <c r="AX473" s="53"/>
      <c r="AY473" s="53"/>
      <c r="AZ473" s="53"/>
      <c r="BA473" s="53"/>
      <c r="BB473" s="52"/>
      <c r="BC473" s="52"/>
      <c r="BD473" s="52"/>
      <c r="BE473" s="52"/>
      <c r="BF473" s="83"/>
    </row>
    <row r="474" spans="1:58" ht="16" x14ac:dyDescent="0.35">
      <c r="A474" s="37"/>
      <c r="B474" s="38"/>
      <c r="C474" s="38"/>
      <c r="D474" s="38"/>
      <c r="E474" s="38"/>
      <c r="F474" s="38"/>
      <c r="G474" s="38"/>
      <c r="H474" s="39"/>
      <c r="I474" s="39"/>
      <c r="J474" s="39"/>
      <c r="K474" s="39"/>
      <c r="L474" s="39"/>
      <c r="M474" s="38"/>
      <c r="N474" s="38"/>
      <c r="O474" s="38"/>
      <c r="P474" s="38"/>
      <c r="Q474" s="38"/>
      <c r="R474" s="38"/>
      <c r="S474" s="38"/>
      <c r="T474" s="38"/>
      <c r="U474" s="38"/>
      <c r="V474" s="38"/>
      <c r="W474" s="38"/>
      <c r="X474" s="38"/>
      <c r="Y474" s="39"/>
      <c r="Z474" s="38"/>
      <c r="AA474" s="38"/>
      <c r="AB474" s="40"/>
      <c r="AP474"/>
      <c r="AQ474" s="48"/>
      <c r="AR474" s="48"/>
      <c r="AS474"/>
      <c r="AT474" s="48"/>
      <c r="AU474" s="48"/>
      <c r="AV474"/>
      <c r="AW474" s="49"/>
      <c r="AX474" s="49"/>
      <c r="AY474" s="49"/>
      <c r="AZ474" s="49"/>
      <c r="BA474" s="49"/>
      <c r="BB474" s="48"/>
      <c r="BC474" s="48"/>
      <c r="BD474" s="48"/>
      <c r="BE474" s="48"/>
      <c r="BF474" s="83"/>
    </row>
    <row r="475" spans="1:58" ht="16" x14ac:dyDescent="0.35">
      <c r="A475" s="41"/>
      <c r="B475" s="42"/>
      <c r="C475" s="42"/>
      <c r="D475" s="42"/>
      <c r="E475" s="42"/>
      <c r="F475" s="42"/>
      <c r="G475" s="42"/>
      <c r="H475" s="43"/>
      <c r="I475" s="43"/>
      <c r="J475" s="43"/>
      <c r="K475" s="43"/>
      <c r="L475" s="43"/>
      <c r="M475" s="42"/>
      <c r="N475" s="42"/>
      <c r="O475" s="42"/>
      <c r="P475" s="42"/>
      <c r="Q475" s="42"/>
      <c r="R475" s="42"/>
      <c r="S475" s="42"/>
      <c r="T475" s="42"/>
      <c r="U475" s="42"/>
      <c r="V475" s="42"/>
      <c r="W475" s="42"/>
      <c r="X475" s="42"/>
      <c r="Y475" s="43"/>
      <c r="Z475" s="42"/>
      <c r="AA475" s="42"/>
      <c r="AB475" s="44"/>
      <c r="AP475"/>
      <c r="AQ475" s="52"/>
      <c r="AR475" s="52"/>
      <c r="AS475"/>
      <c r="AT475" s="52"/>
      <c r="AU475" s="52"/>
      <c r="AV475"/>
      <c r="AW475" s="53"/>
      <c r="AX475" s="53"/>
      <c r="AY475" s="53"/>
      <c r="AZ475" s="53"/>
      <c r="BA475" s="53"/>
      <c r="BB475" s="52"/>
      <c r="BC475" s="52"/>
      <c r="BD475" s="52"/>
      <c r="BE475" s="52"/>
      <c r="BF475" s="83"/>
    </row>
    <row r="476" spans="1:58" ht="16" x14ac:dyDescent="0.35">
      <c r="A476" s="37"/>
      <c r="B476" s="38"/>
      <c r="C476" s="38"/>
      <c r="D476" s="38"/>
      <c r="E476" s="38"/>
      <c r="F476" s="38"/>
      <c r="G476" s="38"/>
      <c r="H476" s="39"/>
      <c r="I476" s="39"/>
      <c r="J476" s="39"/>
      <c r="K476" s="39"/>
      <c r="L476" s="39"/>
      <c r="M476" s="38"/>
      <c r="N476" s="38"/>
      <c r="O476" s="38"/>
      <c r="P476" s="38"/>
      <c r="Q476" s="38"/>
      <c r="R476" s="38"/>
      <c r="S476" s="38"/>
      <c r="T476" s="38"/>
      <c r="U476" s="38"/>
      <c r="V476" s="38"/>
      <c r="W476" s="38"/>
      <c r="X476" s="38"/>
      <c r="Y476" s="39"/>
      <c r="Z476" s="38"/>
      <c r="AA476" s="38"/>
      <c r="AB476" s="40"/>
      <c r="AP476"/>
      <c r="AQ476" s="48"/>
      <c r="AR476" s="48"/>
      <c r="AS476"/>
      <c r="AT476" s="48"/>
      <c r="AU476" s="48"/>
      <c r="AV476"/>
      <c r="AW476" s="49"/>
      <c r="AX476" s="49"/>
      <c r="AY476" s="49"/>
      <c r="AZ476" s="49"/>
      <c r="BA476" s="49"/>
      <c r="BB476" s="48"/>
      <c r="BC476" s="48"/>
      <c r="BD476" s="48"/>
      <c r="BE476" s="48"/>
      <c r="BF476" s="83"/>
    </row>
    <row r="477" spans="1:58" ht="16" x14ac:dyDescent="0.35">
      <c r="A477" s="41"/>
      <c r="B477" s="42"/>
      <c r="C477" s="42"/>
      <c r="D477" s="42"/>
      <c r="E477" s="42"/>
      <c r="F477" s="42"/>
      <c r="G477" s="42"/>
      <c r="H477" s="43"/>
      <c r="I477" s="43"/>
      <c r="J477" s="43"/>
      <c r="K477" s="43"/>
      <c r="L477" s="43"/>
      <c r="M477" s="42"/>
      <c r="N477" s="42"/>
      <c r="O477" s="42"/>
      <c r="P477" s="42"/>
      <c r="Q477" s="42"/>
      <c r="R477" s="42"/>
      <c r="S477" s="42"/>
      <c r="T477" s="42"/>
      <c r="U477" s="42"/>
      <c r="V477" s="42"/>
      <c r="W477" s="42"/>
      <c r="X477" s="42"/>
      <c r="Y477" s="43"/>
      <c r="Z477" s="42"/>
      <c r="AA477" s="42"/>
      <c r="AB477" s="44"/>
      <c r="AP477"/>
      <c r="AQ477" s="52"/>
      <c r="AR477" s="52"/>
      <c r="AS477"/>
      <c r="AT477" s="52"/>
      <c r="AU477" s="52"/>
      <c r="AV477"/>
      <c r="AW477" s="53"/>
      <c r="AX477" s="53"/>
      <c r="AY477" s="53"/>
      <c r="AZ477" s="53"/>
      <c r="BA477" s="53"/>
      <c r="BB477" s="52"/>
      <c r="BC477" s="52"/>
      <c r="BD477" s="52"/>
      <c r="BE477" s="52"/>
      <c r="BF477" s="83"/>
    </row>
    <row r="478" spans="1:58" ht="16" x14ac:dyDescent="0.35">
      <c r="A478" s="37"/>
      <c r="B478" s="38"/>
      <c r="C478" s="38"/>
      <c r="D478" s="38"/>
      <c r="E478" s="38"/>
      <c r="F478" s="38"/>
      <c r="G478" s="38"/>
      <c r="H478" s="39"/>
      <c r="I478" s="39"/>
      <c r="J478" s="39"/>
      <c r="K478" s="39"/>
      <c r="L478" s="39"/>
      <c r="M478" s="38"/>
      <c r="N478" s="38"/>
      <c r="O478" s="38"/>
      <c r="P478" s="38"/>
      <c r="Q478" s="38"/>
      <c r="R478" s="38"/>
      <c r="S478" s="38"/>
      <c r="T478" s="38"/>
      <c r="U478" s="38"/>
      <c r="V478" s="38"/>
      <c r="W478" s="38"/>
      <c r="X478" s="38"/>
      <c r="Y478" s="39"/>
      <c r="Z478" s="38"/>
      <c r="AA478" s="38"/>
      <c r="AB478" s="40"/>
      <c r="AP478"/>
      <c r="AQ478" s="48"/>
      <c r="AR478" s="48"/>
      <c r="AS478"/>
      <c r="AT478" s="48"/>
      <c r="AU478" s="48"/>
      <c r="AV478"/>
      <c r="AW478" s="49"/>
      <c r="AX478" s="49"/>
      <c r="AY478" s="49"/>
      <c r="AZ478" s="49"/>
      <c r="BA478" s="49"/>
      <c r="BB478" s="48"/>
      <c r="BC478" s="48"/>
      <c r="BD478" s="48"/>
      <c r="BE478" s="48"/>
      <c r="BF478" s="83"/>
    </row>
    <row r="479" spans="1:58" ht="16" x14ac:dyDescent="0.35">
      <c r="A479" s="41"/>
      <c r="B479" s="42"/>
      <c r="C479" s="42"/>
      <c r="D479" s="42"/>
      <c r="E479" s="42"/>
      <c r="F479" s="42"/>
      <c r="G479" s="42"/>
      <c r="H479" s="43"/>
      <c r="I479" s="43"/>
      <c r="J479" s="43"/>
      <c r="K479" s="43"/>
      <c r="L479" s="43"/>
      <c r="M479" s="42"/>
      <c r="N479" s="42"/>
      <c r="O479" s="42"/>
      <c r="P479" s="42"/>
      <c r="Q479" s="42"/>
      <c r="R479" s="42"/>
      <c r="S479" s="42"/>
      <c r="T479" s="42"/>
      <c r="U479" s="42"/>
      <c r="V479" s="42"/>
      <c r="W479" s="42"/>
      <c r="X479" s="42"/>
      <c r="Y479" s="43"/>
      <c r="Z479" s="42"/>
      <c r="AA479" s="42"/>
      <c r="AB479" s="44"/>
      <c r="AP479"/>
      <c r="AQ479" s="52"/>
      <c r="AR479" s="52"/>
      <c r="AS479"/>
      <c r="AT479" s="52"/>
      <c r="AU479" s="52"/>
      <c r="AV479"/>
      <c r="AW479" s="53"/>
      <c r="AX479" s="53"/>
      <c r="AY479" s="53"/>
      <c r="AZ479" s="53"/>
      <c r="BA479" s="53"/>
      <c r="BB479" s="52"/>
      <c r="BC479" s="52"/>
      <c r="BD479" s="52"/>
      <c r="BE479" s="52"/>
      <c r="BF479" s="83"/>
    </row>
    <row r="480" spans="1:58" ht="16" x14ac:dyDescent="0.35">
      <c r="A480" s="37"/>
      <c r="B480" s="38"/>
      <c r="C480" s="38"/>
      <c r="D480" s="38"/>
      <c r="E480" s="38"/>
      <c r="F480" s="38"/>
      <c r="G480" s="38"/>
      <c r="H480" s="39"/>
      <c r="I480" s="39"/>
      <c r="J480" s="39"/>
      <c r="K480" s="39"/>
      <c r="L480" s="39"/>
      <c r="M480" s="38"/>
      <c r="N480" s="38"/>
      <c r="O480" s="38"/>
      <c r="P480" s="38"/>
      <c r="Q480" s="38"/>
      <c r="R480" s="38"/>
      <c r="S480" s="38"/>
      <c r="T480" s="38"/>
      <c r="U480" s="38"/>
      <c r="V480" s="38"/>
      <c r="W480" s="38"/>
      <c r="X480" s="38"/>
      <c r="Y480" s="39"/>
      <c r="Z480" s="38"/>
      <c r="AA480" s="38"/>
      <c r="AB480" s="40"/>
      <c r="AP480"/>
      <c r="AQ480" s="48"/>
      <c r="AR480" s="48"/>
      <c r="AS480"/>
      <c r="AT480" s="48"/>
      <c r="AU480" s="48"/>
      <c r="AV480"/>
      <c r="AW480" s="49"/>
      <c r="AX480" s="49"/>
      <c r="AY480" s="49"/>
      <c r="AZ480" s="49"/>
      <c r="BA480" s="49"/>
      <c r="BB480" s="48"/>
      <c r="BC480" s="48"/>
      <c r="BD480" s="48"/>
      <c r="BE480" s="48"/>
      <c r="BF480" s="83"/>
    </row>
    <row r="481" spans="1:58" ht="16" x14ac:dyDescent="0.35">
      <c r="A481" s="41"/>
      <c r="B481" s="42"/>
      <c r="C481" s="42"/>
      <c r="D481" s="42"/>
      <c r="E481" s="42"/>
      <c r="F481" s="42"/>
      <c r="G481" s="42"/>
      <c r="H481" s="43"/>
      <c r="I481" s="43"/>
      <c r="J481" s="43"/>
      <c r="K481" s="43"/>
      <c r="L481" s="43"/>
      <c r="M481" s="42"/>
      <c r="N481" s="42"/>
      <c r="O481" s="42"/>
      <c r="P481" s="42"/>
      <c r="Q481" s="42"/>
      <c r="R481" s="42"/>
      <c r="S481" s="42"/>
      <c r="T481" s="42"/>
      <c r="U481" s="42"/>
      <c r="V481" s="42"/>
      <c r="W481" s="42"/>
      <c r="X481" s="42"/>
      <c r="Y481" s="43"/>
      <c r="Z481" s="42"/>
      <c r="AA481" s="42"/>
      <c r="AB481" s="44"/>
      <c r="AP481"/>
      <c r="AQ481" s="52"/>
      <c r="AR481" s="52"/>
      <c r="AS481"/>
      <c r="AT481" s="52"/>
      <c r="AU481" s="52"/>
      <c r="AV481"/>
      <c r="AW481" s="53"/>
      <c r="AX481" s="53"/>
      <c r="AY481" s="53"/>
      <c r="AZ481" s="53"/>
      <c r="BA481" s="53"/>
      <c r="BB481" s="52"/>
      <c r="BC481" s="52"/>
      <c r="BD481" s="52"/>
      <c r="BE481" s="52"/>
      <c r="BF481" s="83"/>
    </row>
    <row r="482" spans="1:58" ht="16" x14ac:dyDescent="0.35">
      <c r="A482" s="37"/>
      <c r="B482" s="38"/>
      <c r="C482" s="38"/>
      <c r="D482" s="38"/>
      <c r="E482" s="38"/>
      <c r="F482" s="38"/>
      <c r="G482" s="38"/>
      <c r="H482" s="39"/>
      <c r="I482" s="39"/>
      <c r="J482" s="39"/>
      <c r="K482" s="39"/>
      <c r="L482" s="39"/>
      <c r="M482" s="38"/>
      <c r="N482" s="38"/>
      <c r="O482" s="38"/>
      <c r="P482" s="38"/>
      <c r="Q482" s="38"/>
      <c r="R482" s="38"/>
      <c r="S482" s="38"/>
      <c r="T482" s="38"/>
      <c r="U482" s="38"/>
      <c r="V482" s="38"/>
      <c r="W482" s="38"/>
      <c r="X482" s="38"/>
      <c r="Y482" s="39"/>
      <c r="Z482" s="38"/>
      <c r="AA482" s="38"/>
      <c r="AB482" s="40"/>
      <c r="AP482"/>
      <c r="AQ482" s="48"/>
      <c r="AR482" s="48"/>
      <c r="AS482"/>
      <c r="AT482" s="48"/>
      <c r="AU482" s="48"/>
      <c r="AV482"/>
      <c r="AW482" s="49"/>
      <c r="AX482" s="49"/>
      <c r="AY482" s="49"/>
      <c r="AZ482" s="49"/>
      <c r="BA482" s="49"/>
      <c r="BB482" s="48"/>
      <c r="BC482" s="48"/>
      <c r="BD482" s="48"/>
      <c r="BE482" s="48"/>
      <c r="BF482" s="83"/>
    </row>
    <row r="483" spans="1:58" ht="16" x14ac:dyDescent="0.35">
      <c r="A483" s="41"/>
      <c r="B483" s="42"/>
      <c r="C483" s="42"/>
      <c r="D483" s="42"/>
      <c r="E483" s="42"/>
      <c r="F483" s="42"/>
      <c r="G483" s="42"/>
      <c r="H483" s="43"/>
      <c r="I483" s="43"/>
      <c r="J483" s="43"/>
      <c r="K483" s="43"/>
      <c r="L483" s="43"/>
      <c r="M483" s="42"/>
      <c r="N483" s="42"/>
      <c r="O483" s="42"/>
      <c r="P483" s="42"/>
      <c r="Q483" s="42"/>
      <c r="R483" s="42"/>
      <c r="S483" s="42"/>
      <c r="T483" s="42"/>
      <c r="U483" s="42"/>
      <c r="V483" s="42"/>
      <c r="W483" s="42"/>
      <c r="X483" s="42"/>
      <c r="Y483" s="43"/>
      <c r="Z483" s="42"/>
      <c r="AA483" s="42"/>
      <c r="AB483" s="44"/>
      <c r="AP483"/>
      <c r="AQ483" s="52"/>
      <c r="AR483" s="52"/>
      <c r="AS483"/>
      <c r="AT483" s="52"/>
      <c r="AU483" s="52"/>
      <c r="AV483"/>
      <c r="AW483" s="53"/>
      <c r="AX483" s="53"/>
      <c r="AY483" s="53"/>
      <c r="AZ483" s="53"/>
      <c r="BA483" s="53"/>
      <c r="BB483" s="52"/>
      <c r="BC483" s="52"/>
      <c r="BD483" s="52"/>
      <c r="BE483" s="52"/>
      <c r="BF483" s="83"/>
    </row>
    <row r="484" spans="1:58" ht="16" x14ac:dyDescent="0.35">
      <c r="A484" s="37"/>
      <c r="B484" s="38"/>
      <c r="C484" s="38"/>
      <c r="D484" s="38"/>
      <c r="E484" s="38"/>
      <c r="F484" s="38"/>
      <c r="G484" s="38"/>
      <c r="H484" s="39"/>
      <c r="I484" s="39"/>
      <c r="J484" s="39"/>
      <c r="K484" s="39"/>
      <c r="L484" s="39"/>
      <c r="M484" s="38"/>
      <c r="N484" s="38"/>
      <c r="O484" s="38"/>
      <c r="P484" s="38"/>
      <c r="Q484" s="38"/>
      <c r="R484" s="38"/>
      <c r="S484" s="38"/>
      <c r="T484" s="38"/>
      <c r="U484" s="38"/>
      <c r="V484" s="38"/>
      <c r="W484" s="38"/>
      <c r="X484" s="38"/>
      <c r="Y484" s="39"/>
      <c r="Z484" s="38"/>
      <c r="AA484" s="38"/>
      <c r="AB484" s="40"/>
      <c r="AP484"/>
      <c r="AQ484" s="48"/>
      <c r="AR484" s="48"/>
      <c r="AS484"/>
      <c r="AT484" s="48"/>
      <c r="AU484" s="48"/>
      <c r="AV484"/>
      <c r="AW484" s="49"/>
      <c r="AX484" s="49"/>
      <c r="AY484" s="49"/>
      <c r="AZ484" s="49"/>
      <c r="BA484" s="49"/>
      <c r="BB484" s="48"/>
      <c r="BC484" s="48"/>
      <c r="BD484" s="48"/>
      <c r="BE484" s="48"/>
      <c r="BF484" s="83"/>
    </row>
    <row r="485" spans="1:58" ht="16" x14ac:dyDescent="0.35">
      <c r="A485" s="41"/>
      <c r="B485" s="42"/>
      <c r="C485" s="42"/>
      <c r="D485" s="42"/>
      <c r="E485" s="42"/>
      <c r="F485" s="42"/>
      <c r="G485" s="42"/>
      <c r="H485" s="43"/>
      <c r="I485" s="43"/>
      <c r="J485" s="43"/>
      <c r="K485" s="43"/>
      <c r="L485" s="43"/>
      <c r="M485" s="42"/>
      <c r="N485" s="42"/>
      <c r="O485" s="42"/>
      <c r="P485" s="42"/>
      <c r="Q485" s="42"/>
      <c r="R485" s="42"/>
      <c r="S485" s="42"/>
      <c r="T485" s="42"/>
      <c r="U485" s="42"/>
      <c r="V485" s="42"/>
      <c r="W485" s="42"/>
      <c r="X485" s="42"/>
      <c r="Y485" s="43"/>
      <c r="Z485" s="42"/>
      <c r="AA485" s="42"/>
      <c r="AB485" s="44"/>
      <c r="AP485"/>
      <c r="AQ485" s="52"/>
      <c r="AR485" s="52"/>
      <c r="AS485"/>
      <c r="AT485" s="52"/>
      <c r="AU485" s="52"/>
      <c r="AV485"/>
      <c r="AW485" s="53"/>
      <c r="AX485" s="53"/>
      <c r="AY485" s="53"/>
      <c r="AZ485" s="53"/>
      <c r="BA485" s="53"/>
      <c r="BB485" s="52"/>
      <c r="BC485" s="52"/>
      <c r="BD485" s="52"/>
      <c r="BE485" s="52"/>
      <c r="BF485" s="83"/>
    </row>
    <row r="486" spans="1:58" ht="16" x14ac:dyDescent="0.35">
      <c r="A486" s="37"/>
      <c r="B486" s="38"/>
      <c r="C486" s="38"/>
      <c r="D486" s="38"/>
      <c r="E486" s="38"/>
      <c r="F486" s="38"/>
      <c r="G486" s="38"/>
      <c r="H486" s="39"/>
      <c r="I486" s="39"/>
      <c r="J486" s="39"/>
      <c r="K486" s="39"/>
      <c r="L486" s="39"/>
      <c r="M486" s="38"/>
      <c r="N486" s="38"/>
      <c r="O486" s="38"/>
      <c r="P486" s="38"/>
      <c r="Q486" s="38"/>
      <c r="R486" s="38"/>
      <c r="S486" s="38"/>
      <c r="T486" s="38"/>
      <c r="U486" s="38"/>
      <c r="V486" s="38"/>
      <c r="W486" s="38"/>
      <c r="X486" s="38"/>
      <c r="Y486" s="39"/>
      <c r="Z486" s="38"/>
      <c r="AA486" s="38"/>
      <c r="AB486" s="40"/>
      <c r="AP486"/>
      <c r="AQ486" s="48"/>
      <c r="AR486" s="48"/>
      <c r="AS486"/>
      <c r="AT486" s="48"/>
      <c r="AU486" s="48"/>
      <c r="AV486"/>
      <c r="AW486" s="49"/>
      <c r="AX486" s="49"/>
      <c r="AY486" s="49"/>
      <c r="AZ486" s="49"/>
      <c r="BA486" s="49"/>
      <c r="BB486" s="48"/>
      <c r="BC486" s="48"/>
      <c r="BD486" s="48"/>
      <c r="BE486" s="48"/>
      <c r="BF486" s="83"/>
    </row>
    <row r="487" spans="1:58" ht="16" x14ac:dyDescent="0.35">
      <c r="A487" s="41"/>
      <c r="B487" s="42"/>
      <c r="C487" s="42"/>
      <c r="D487" s="42"/>
      <c r="E487" s="42"/>
      <c r="F487" s="42"/>
      <c r="G487" s="42"/>
      <c r="H487" s="43"/>
      <c r="I487" s="43"/>
      <c r="J487" s="43"/>
      <c r="K487" s="43"/>
      <c r="L487" s="43"/>
      <c r="M487" s="42"/>
      <c r="N487" s="42"/>
      <c r="O487" s="42"/>
      <c r="P487" s="42"/>
      <c r="Q487" s="42"/>
      <c r="R487" s="42"/>
      <c r="S487" s="42"/>
      <c r="T487" s="42"/>
      <c r="U487" s="42"/>
      <c r="V487" s="42"/>
      <c r="W487" s="42"/>
      <c r="X487" s="42"/>
      <c r="Y487" s="43"/>
      <c r="Z487" s="42"/>
      <c r="AA487" s="42"/>
      <c r="AB487" s="44"/>
      <c r="AP487"/>
      <c r="AQ487" s="52"/>
      <c r="AR487" s="52"/>
      <c r="AS487"/>
      <c r="AT487" s="52"/>
      <c r="AU487" s="52"/>
      <c r="AV487"/>
      <c r="AW487" s="53"/>
      <c r="AX487" s="53"/>
      <c r="AY487" s="53"/>
      <c r="AZ487" s="53"/>
      <c r="BA487" s="53"/>
      <c r="BB487" s="52"/>
      <c r="BC487" s="52"/>
      <c r="BD487" s="52"/>
      <c r="BE487" s="52"/>
      <c r="BF487" s="83"/>
    </row>
    <row r="488" spans="1:58" ht="16" x14ac:dyDescent="0.35">
      <c r="A488" s="37"/>
      <c r="B488" s="38"/>
      <c r="C488" s="38"/>
      <c r="D488" s="38"/>
      <c r="E488" s="38"/>
      <c r="F488" s="38"/>
      <c r="G488" s="38"/>
      <c r="H488" s="39"/>
      <c r="I488" s="39"/>
      <c r="J488" s="39"/>
      <c r="K488" s="39"/>
      <c r="L488" s="39"/>
      <c r="M488" s="38"/>
      <c r="N488" s="38"/>
      <c r="O488" s="38"/>
      <c r="P488" s="38"/>
      <c r="Q488" s="38"/>
      <c r="R488" s="38"/>
      <c r="S488" s="38"/>
      <c r="T488" s="38"/>
      <c r="U488" s="38"/>
      <c r="V488" s="38"/>
      <c r="W488" s="38"/>
      <c r="X488" s="38"/>
      <c r="Y488" s="39"/>
      <c r="Z488" s="38"/>
      <c r="AA488" s="38"/>
      <c r="AB488" s="40"/>
      <c r="AP488"/>
      <c r="AQ488" s="48"/>
      <c r="AR488" s="48"/>
      <c r="AS488"/>
      <c r="AT488" s="48"/>
      <c r="AU488" s="48"/>
      <c r="AV488"/>
      <c r="AW488" s="49"/>
      <c r="AX488" s="49"/>
      <c r="AY488" s="49"/>
      <c r="AZ488" s="49"/>
      <c r="BA488" s="49"/>
      <c r="BB488" s="48"/>
      <c r="BC488" s="48"/>
      <c r="BD488" s="48"/>
      <c r="BE488" s="48"/>
      <c r="BF488" s="83"/>
    </row>
    <row r="489" spans="1:58" ht="16" x14ac:dyDescent="0.35">
      <c r="A489" s="41"/>
      <c r="B489" s="42"/>
      <c r="C489" s="42"/>
      <c r="D489" s="42"/>
      <c r="E489" s="42"/>
      <c r="F489" s="42"/>
      <c r="G489" s="42"/>
      <c r="H489" s="43"/>
      <c r="I489" s="43"/>
      <c r="J489" s="43"/>
      <c r="K489" s="43"/>
      <c r="L489" s="43"/>
      <c r="M489" s="42"/>
      <c r="N489" s="42"/>
      <c r="O489" s="42"/>
      <c r="P489" s="42"/>
      <c r="Q489" s="42"/>
      <c r="R489" s="42"/>
      <c r="S489" s="42"/>
      <c r="T489" s="42"/>
      <c r="U489" s="42"/>
      <c r="V489" s="42"/>
      <c r="W489" s="42"/>
      <c r="X489" s="42"/>
      <c r="Y489" s="43"/>
      <c r="Z489" s="42"/>
      <c r="AA489" s="42"/>
      <c r="AB489" s="44"/>
      <c r="AP489"/>
      <c r="AQ489" s="52"/>
      <c r="AR489" s="52"/>
      <c r="AS489"/>
      <c r="AT489" s="52"/>
      <c r="AU489" s="52"/>
      <c r="AV489"/>
      <c r="AW489" s="53"/>
      <c r="AX489" s="53"/>
      <c r="AY489" s="53"/>
      <c r="AZ489" s="53"/>
      <c r="BA489" s="53"/>
      <c r="BB489" s="52"/>
      <c r="BC489" s="52"/>
      <c r="BD489" s="52"/>
      <c r="BE489" s="52"/>
      <c r="BF489" s="83"/>
    </row>
    <row r="490" spans="1:58" ht="16" x14ac:dyDescent="0.35">
      <c r="A490" s="37"/>
      <c r="B490" s="38"/>
      <c r="C490" s="38"/>
      <c r="D490" s="38"/>
      <c r="E490" s="38"/>
      <c r="F490" s="38"/>
      <c r="G490" s="38"/>
      <c r="H490" s="39"/>
      <c r="I490" s="39"/>
      <c r="J490" s="39"/>
      <c r="K490" s="39"/>
      <c r="L490" s="39"/>
      <c r="M490" s="38"/>
      <c r="N490" s="38"/>
      <c r="O490" s="38"/>
      <c r="P490" s="38"/>
      <c r="Q490" s="38"/>
      <c r="R490" s="38"/>
      <c r="S490" s="38"/>
      <c r="T490" s="38"/>
      <c r="U490" s="38"/>
      <c r="V490" s="38"/>
      <c r="W490" s="38"/>
      <c r="X490" s="38"/>
      <c r="Y490" s="39"/>
      <c r="Z490" s="38"/>
      <c r="AA490" s="38"/>
      <c r="AB490" s="40"/>
      <c r="AP490"/>
      <c r="AQ490" s="48"/>
      <c r="AR490" s="48"/>
      <c r="AS490"/>
      <c r="AT490" s="48"/>
      <c r="AU490" s="48"/>
      <c r="AV490"/>
      <c r="AW490" s="49"/>
      <c r="AX490" s="49"/>
      <c r="AY490" s="49"/>
      <c r="AZ490" s="49"/>
      <c r="BA490" s="49"/>
      <c r="BB490" s="48"/>
      <c r="BC490" s="48"/>
      <c r="BD490" s="48"/>
      <c r="BE490" s="48"/>
      <c r="BF490" s="83"/>
    </row>
    <row r="491" spans="1:58" ht="16" x14ac:dyDescent="0.35">
      <c r="A491" s="41"/>
      <c r="B491" s="42"/>
      <c r="C491" s="42"/>
      <c r="D491" s="42"/>
      <c r="E491" s="42"/>
      <c r="F491" s="42"/>
      <c r="G491" s="42"/>
      <c r="H491" s="43"/>
      <c r="I491" s="43"/>
      <c r="J491" s="43"/>
      <c r="K491" s="43"/>
      <c r="L491" s="43"/>
      <c r="M491" s="42"/>
      <c r="N491" s="42"/>
      <c r="O491" s="42"/>
      <c r="P491" s="42"/>
      <c r="Q491" s="42"/>
      <c r="R491" s="42"/>
      <c r="S491" s="42"/>
      <c r="T491" s="42"/>
      <c r="U491" s="42"/>
      <c r="V491" s="42"/>
      <c r="W491" s="42"/>
      <c r="X491" s="42"/>
      <c r="Y491" s="43"/>
      <c r="Z491" s="42"/>
      <c r="AA491" s="42"/>
      <c r="AB491" s="44"/>
      <c r="AP491"/>
      <c r="AQ491" s="52"/>
      <c r="AR491" s="52"/>
      <c r="AS491"/>
      <c r="AT491" s="52"/>
      <c r="AU491" s="52"/>
      <c r="AV491"/>
      <c r="AW491" s="53"/>
      <c r="AX491" s="53"/>
      <c r="AY491" s="53"/>
      <c r="AZ491" s="53"/>
      <c r="BA491" s="53"/>
      <c r="BB491" s="52"/>
      <c r="BC491" s="52"/>
      <c r="BD491" s="52"/>
      <c r="BE491" s="52"/>
      <c r="BF491" s="83"/>
    </row>
    <row r="492" spans="1:58" ht="16" x14ac:dyDescent="0.35">
      <c r="A492" s="37"/>
      <c r="B492" s="38"/>
      <c r="C492" s="38"/>
      <c r="D492" s="38"/>
      <c r="E492" s="38"/>
      <c r="F492" s="38"/>
      <c r="G492" s="38"/>
      <c r="H492" s="39"/>
      <c r="I492" s="39"/>
      <c r="J492" s="39"/>
      <c r="K492" s="39"/>
      <c r="L492" s="39"/>
      <c r="M492" s="38"/>
      <c r="N492" s="38"/>
      <c r="O492" s="38"/>
      <c r="P492" s="38"/>
      <c r="Q492" s="38"/>
      <c r="R492" s="38"/>
      <c r="S492" s="38"/>
      <c r="T492" s="38"/>
      <c r="U492" s="38"/>
      <c r="V492" s="38"/>
      <c r="W492" s="38"/>
      <c r="X492" s="38"/>
      <c r="Y492" s="39"/>
      <c r="Z492" s="38"/>
      <c r="AA492" s="38"/>
      <c r="AB492" s="40"/>
      <c r="AP492"/>
      <c r="AQ492" s="48"/>
      <c r="AR492" s="48"/>
      <c r="AS492"/>
      <c r="AT492" s="48"/>
      <c r="AU492" s="48"/>
      <c r="AV492"/>
      <c r="AW492" s="49"/>
      <c r="AX492" s="49"/>
      <c r="AY492" s="49"/>
      <c r="AZ492" s="49"/>
      <c r="BA492" s="49"/>
      <c r="BB492" s="48"/>
      <c r="BC492" s="48"/>
      <c r="BD492" s="48"/>
      <c r="BE492" s="48"/>
      <c r="BF492" s="83"/>
    </row>
    <row r="493" spans="1:58" ht="16" x14ac:dyDescent="0.35">
      <c r="A493" s="41"/>
      <c r="B493" s="42"/>
      <c r="C493" s="42"/>
      <c r="D493" s="42"/>
      <c r="E493" s="42"/>
      <c r="F493" s="42"/>
      <c r="G493" s="42"/>
      <c r="H493" s="43"/>
      <c r="I493" s="43"/>
      <c r="J493" s="43"/>
      <c r="K493" s="43"/>
      <c r="L493" s="43"/>
      <c r="M493" s="42"/>
      <c r="N493" s="42"/>
      <c r="O493" s="42"/>
      <c r="P493" s="42"/>
      <c r="Q493" s="42"/>
      <c r="R493" s="42"/>
      <c r="S493" s="42"/>
      <c r="T493" s="42"/>
      <c r="U493" s="42"/>
      <c r="V493" s="42"/>
      <c r="W493" s="42"/>
      <c r="X493" s="42"/>
      <c r="Y493" s="43"/>
      <c r="Z493" s="42"/>
      <c r="AA493" s="42"/>
      <c r="AB493" s="44"/>
      <c r="AP493"/>
      <c r="AQ493" s="52"/>
      <c r="AR493" s="52"/>
      <c r="AS493"/>
      <c r="AT493" s="52"/>
      <c r="AU493" s="52"/>
      <c r="AV493"/>
      <c r="AW493" s="53"/>
      <c r="AX493" s="53"/>
      <c r="AY493" s="53"/>
      <c r="AZ493" s="53"/>
      <c r="BA493" s="53"/>
      <c r="BB493" s="52"/>
      <c r="BC493" s="52"/>
      <c r="BD493" s="52"/>
      <c r="BE493" s="52"/>
      <c r="BF493" s="83"/>
    </row>
    <row r="494" spans="1:58" ht="16" x14ac:dyDescent="0.35">
      <c r="A494" s="37"/>
      <c r="B494" s="38"/>
      <c r="C494" s="38"/>
      <c r="D494" s="38"/>
      <c r="E494" s="38"/>
      <c r="F494" s="38"/>
      <c r="G494" s="38"/>
      <c r="H494" s="39"/>
      <c r="I494" s="39"/>
      <c r="J494" s="39"/>
      <c r="K494" s="39"/>
      <c r="L494" s="39"/>
      <c r="M494" s="38"/>
      <c r="N494" s="38"/>
      <c r="O494" s="38"/>
      <c r="P494" s="38"/>
      <c r="Q494" s="38"/>
      <c r="R494" s="38"/>
      <c r="S494" s="38"/>
      <c r="T494" s="38"/>
      <c r="U494" s="38"/>
      <c r="V494" s="38"/>
      <c r="W494" s="38"/>
      <c r="X494" s="38"/>
      <c r="Y494" s="39"/>
      <c r="Z494" s="38"/>
      <c r="AA494" s="38"/>
      <c r="AB494" s="40"/>
      <c r="AP494"/>
      <c r="AQ494" s="48"/>
      <c r="AR494" s="48"/>
      <c r="AS494"/>
      <c r="AT494" s="48"/>
      <c r="AU494" s="48"/>
      <c r="AV494"/>
      <c r="AW494" s="49"/>
      <c r="AX494" s="49"/>
      <c r="AY494" s="49"/>
      <c r="AZ494" s="49"/>
      <c r="BA494" s="49"/>
      <c r="BB494" s="48"/>
      <c r="BC494" s="48"/>
      <c r="BD494" s="48"/>
      <c r="BE494" s="48"/>
      <c r="BF494" s="83"/>
    </row>
    <row r="495" spans="1:58" ht="16" x14ac:dyDescent="0.35">
      <c r="A495" s="41"/>
      <c r="B495" s="42"/>
      <c r="C495" s="42"/>
      <c r="D495" s="42"/>
      <c r="E495" s="42"/>
      <c r="F495" s="42"/>
      <c r="G495" s="42"/>
      <c r="H495" s="43"/>
      <c r="I495" s="43"/>
      <c r="J495" s="43"/>
      <c r="K495" s="43"/>
      <c r="L495" s="43"/>
      <c r="M495" s="42"/>
      <c r="N495" s="42"/>
      <c r="O495" s="42"/>
      <c r="P495" s="42"/>
      <c r="Q495" s="42"/>
      <c r="R495" s="42"/>
      <c r="S495" s="42"/>
      <c r="T495" s="42"/>
      <c r="U495" s="42"/>
      <c r="V495" s="42"/>
      <c r="W495" s="42"/>
      <c r="X495" s="42"/>
      <c r="Y495" s="43"/>
      <c r="Z495" s="42"/>
      <c r="AA495" s="42"/>
      <c r="AB495" s="44"/>
      <c r="AP495"/>
      <c r="AQ495" s="52"/>
      <c r="AR495" s="52"/>
      <c r="AS495"/>
      <c r="AT495" s="52"/>
      <c r="AU495" s="52"/>
      <c r="AV495"/>
      <c r="AW495" s="53"/>
      <c r="AX495" s="53"/>
      <c r="AY495" s="53"/>
      <c r="AZ495" s="53"/>
      <c r="BA495" s="53"/>
      <c r="BB495" s="52"/>
      <c r="BC495" s="52"/>
      <c r="BD495" s="52"/>
      <c r="BE495" s="52"/>
      <c r="BF495" s="83"/>
    </row>
    <row r="496" spans="1:58" ht="16" x14ac:dyDescent="0.35">
      <c r="A496" s="37"/>
      <c r="B496" s="38"/>
      <c r="C496" s="38"/>
      <c r="D496" s="38"/>
      <c r="E496" s="38"/>
      <c r="F496" s="38"/>
      <c r="G496" s="38"/>
      <c r="H496" s="39"/>
      <c r="I496" s="39"/>
      <c r="J496" s="39"/>
      <c r="K496" s="39"/>
      <c r="L496" s="39"/>
      <c r="M496" s="38"/>
      <c r="N496" s="38"/>
      <c r="O496" s="38"/>
      <c r="P496" s="38"/>
      <c r="Q496" s="38"/>
      <c r="R496" s="38"/>
      <c r="S496" s="38"/>
      <c r="T496" s="38"/>
      <c r="U496" s="38"/>
      <c r="V496" s="38"/>
      <c r="W496" s="38"/>
      <c r="X496" s="38"/>
      <c r="Y496" s="39"/>
      <c r="Z496" s="38"/>
      <c r="AA496" s="38"/>
      <c r="AB496" s="40"/>
      <c r="AP496"/>
      <c r="AQ496" s="48"/>
      <c r="AR496" s="48"/>
      <c r="AS496"/>
      <c r="AT496" s="48"/>
      <c r="AU496" s="48"/>
      <c r="AV496"/>
      <c r="AW496" s="49"/>
      <c r="AX496" s="49"/>
      <c r="AY496" s="49"/>
      <c r="AZ496" s="49"/>
      <c r="BA496" s="49"/>
      <c r="BB496" s="48"/>
      <c r="BC496" s="48"/>
      <c r="BD496" s="48"/>
      <c r="BE496" s="48"/>
      <c r="BF496" s="83"/>
    </row>
    <row r="497" spans="1:58" ht="16" x14ac:dyDescent="0.35">
      <c r="A497" s="41"/>
      <c r="B497" s="42"/>
      <c r="C497" s="42"/>
      <c r="D497" s="42"/>
      <c r="E497" s="42"/>
      <c r="F497" s="42"/>
      <c r="G497" s="42"/>
      <c r="H497" s="43"/>
      <c r="I497" s="43"/>
      <c r="J497" s="43"/>
      <c r="K497" s="43"/>
      <c r="L497" s="43"/>
      <c r="M497" s="42"/>
      <c r="N497" s="42"/>
      <c r="O497" s="42"/>
      <c r="P497" s="42"/>
      <c r="Q497" s="42"/>
      <c r="R497" s="42"/>
      <c r="S497" s="42"/>
      <c r="T497" s="42"/>
      <c r="U497" s="42"/>
      <c r="V497" s="42"/>
      <c r="W497" s="42"/>
      <c r="X497" s="42"/>
      <c r="Y497" s="43"/>
      <c r="Z497" s="42"/>
      <c r="AA497" s="42"/>
      <c r="AB497" s="44"/>
      <c r="AP497"/>
      <c r="AQ497" s="52"/>
      <c r="AR497" s="52"/>
      <c r="AS497"/>
      <c r="AT497" s="52"/>
      <c r="AU497" s="52"/>
      <c r="AV497"/>
      <c r="AW497" s="53"/>
      <c r="AX497" s="53"/>
      <c r="AY497" s="53"/>
      <c r="AZ497" s="53"/>
      <c r="BA497" s="53"/>
      <c r="BB497" s="52"/>
      <c r="BC497" s="52"/>
      <c r="BD497" s="52"/>
      <c r="BE497" s="52"/>
      <c r="BF497" s="83"/>
    </row>
    <row r="498" spans="1:58" ht="16" x14ac:dyDescent="0.35">
      <c r="A498" s="37"/>
      <c r="B498" s="38"/>
      <c r="C498" s="38"/>
      <c r="D498" s="38"/>
      <c r="E498" s="38"/>
      <c r="F498" s="38"/>
      <c r="G498" s="38"/>
      <c r="H498" s="39"/>
      <c r="I498" s="39"/>
      <c r="J498" s="39"/>
      <c r="K498" s="39"/>
      <c r="L498" s="39"/>
      <c r="M498" s="38"/>
      <c r="N498" s="38"/>
      <c r="O498" s="38"/>
      <c r="P498" s="38"/>
      <c r="Q498" s="38"/>
      <c r="R498" s="38"/>
      <c r="S498" s="38"/>
      <c r="T498" s="38"/>
      <c r="U498" s="38"/>
      <c r="V498" s="38"/>
      <c r="W498" s="38"/>
      <c r="X498" s="38"/>
      <c r="Y498" s="39"/>
      <c r="Z498" s="38"/>
      <c r="AA498" s="38"/>
      <c r="AB498" s="40"/>
      <c r="AP498"/>
      <c r="AQ498" s="48"/>
      <c r="AR498" s="48"/>
      <c r="AS498"/>
      <c r="AT498" s="48"/>
      <c r="AU498" s="48"/>
      <c r="AV498"/>
      <c r="AW498" s="49"/>
      <c r="AX498" s="49"/>
      <c r="AY498" s="49"/>
      <c r="AZ498" s="49"/>
      <c r="BA498" s="49"/>
      <c r="BB498" s="48"/>
      <c r="BC498" s="48"/>
      <c r="BD498" s="48"/>
      <c r="BE498" s="48"/>
      <c r="BF498" s="83"/>
    </row>
    <row r="499" spans="1:58" ht="16" x14ac:dyDescent="0.35">
      <c r="A499" s="41"/>
      <c r="B499" s="42"/>
      <c r="C499" s="42"/>
      <c r="D499" s="42"/>
      <c r="E499" s="42"/>
      <c r="F499" s="42"/>
      <c r="G499" s="42"/>
      <c r="H499" s="43"/>
      <c r="I499" s="43"/>
      <c r="J499" s="43"/>
      <c r="K499" s="43"/>
      <c r="L499" s="43"/>
      <c r="M499" s="42"/>
      <c r="N499" s="42"/>
      <c r="O499" s="42"/>
      <c r="P499" s="42"/>
      <c r="Q499" s="42"/>
      <c r="R499" s="42"/>
      <c r="S499" s="42"/>
      <c r="T499" s="42"/>
      <c r="U499" s="42"/>
      <c r="V499" s="42"/>
      <c r="W499" s="42"/>
      <c r="X499" s="42"/>
      <c r="Y499" s="43"/>
      <c r="Z499" s="42"/>
      <c r="AA499" s="42"/>
      <c r="AB499" s="44"/>
      <c r="AP499"/>
      <c r="AQ499" s="52"/>
      <c r="AR499" s="52"/>
      <c r="AS499"/>
      <c r="AT499" s="52"/>
      <c r="AU499" s="52"/>
      <c r="AV499"/>
      <c r="AW499" s="53"/>
      <c r="AX499" s="53"/>
      <c r="AY499" s="53"/>
      <c r="AZ499" s="53"/>
      <c r="BA499" s="53"/>
      <c r="BB499" s="52"/>
      <c r="BC499" s="52"/>
      <c r="BD499" s="52"/>
      <c r="BE499" s="52"/>
      <c r="BF499" s="83"/>
    </row>
    <row r="500" spans="1:58" ht="16" x14ac:dyDescent="0.35">
      <c r="A500" s="37"/>
      <c r="B500" s="38"/>
      <c r="C500" s="38"/>
      <c r="D500" s="38"/>
      <c r="E500" s="38"/>
      <c r="F500" s="38"/>
      <c r="G500" s="38"/>
      <c r="H500" s="39"/>
      <c r="I500" s="39"/>
      <c r="J500" s="39"/>
      <c r="K500" s="39"/>
      <c r="L500" s="39"/>
      <c r="M500" s="38"/>
      <c r="N500" s="38"/>
      <c r="O500" s="38"/>
      <c r="P500" s="38"/>
      <c r="Q500" s="38"/>
      <c r="R500" s="38"/>
      <c r="S500" s="38"/>
      <c r="T500" s="38"/>
      <c r="U500" s="38"/>
      <c r="V500" s="38"/>
      <c r="W500" s="38"/>
      <c r="X500" s="38"/>
      <c r="Y500" s="39"/>
      <c r="Z500" s="38"/>
      <c r="AA500" s="38"/>
      <c r="AB500" s="40"/>
      <c r="AP500"/>
      <c r="AQ500" s="48"/>
      <c r="AR500" s="48"/>
      <c r="AS500"/>
      <c r="AT500" s="48"/>
      <c r="AU500" s="48"/>
      <c r="AV500"/>
      <c r="AW500" s="49"/>
      <c r="AX500" s="49"/>
      <c r="AY500" s="49"/>
      <c r="AZ500" s="49"/>
      <c r="BA500" s="49"/>
      <c r="BB500" s="48"/>
      <c r="BC500" s="48"/>
      <c r="BD500" s="48"/>
      <c r="BE500" s="48"/>
      <c r="BF500" s="83"/>
    </row>
    <row r="501" spans="1:58" ht="16" x14ac:dyDescent="0.35">
      <c r="A501" s="41"/>
      <c r="B501" s="42"/>
      <c r="C501" s="42"/>
      <c r="D501" s="42"/>
      <c r="E501" s="42"/>
      <c r="F501" s="42"/>
      <c r="G501" s="42"/>
      <c r="H501" s="43"/>
      <c r="I501" s="43"/>
      <c r="J501" s="43"/>
      <c r="K501" s="43"/>
      <c r="L501" s="43"/>
      <c r="M501" s="42"/>
      <c r="N501" s="42"/>
      <c r="O501" s="42"/>
      <c r="P501" s="42"/>
      <c r="Q501" s="42"/>
      <c r="R501" s="42"/>
      <c r="S501" s="42"/>
      <c r="T501" s="42"/>
      <c r="U501" s="42"/>
      <c r="V501" s="42"/>
      <c r="W501" s="42"/>
      <c r="X501" s="42"/>
      <c r="Y501" s="43"/>
      <c r="Z501" s="42"/>
      <c r="AA501" s="42"/>
      <c r="AB501" s="44"/>
      <c r="AP501"/>
      <c r="AQ501" s="52"/>
      <c r="AR501" s="52"/>
      <c r="AS501"/>
      <c r="AT501" s="52"/>
      <c r="AU501" s="52"/>
      <c r="AV501"/>
      <c r="AW501" s="53"/>
      <c r="AX501" s="53"/>
      <c r="AY501" s="53"/>
      <c r="AZ501" s="53"/>
      <c r="BA501" s="53"/>
      <c r="BB501" s="52"/>
      <c r="BC501" s="52"/>
      <c r="BD501" s="52"/>
      <c r="BE501" s="52"/>
      <c r="BF501" s="83"/>
    </row>
    <row r="502" spans="1:58" ht="16" x14ac:dyDescent="0.35">
      <c r="A502" s="37"/>
      <c r="B502" s="38"/>
      <c r="C502" s="38"/>
      <c r="D502" s="38"/>
      <c r="E502" s="38"/>
      <c r="F502" s="38"/>
      <c r="G502" s="38"/>
      <c r="H502" s="39"/>
      <c r="I502" s="39"/>
      <c r="J502" s="39"/>
      <c r="K502" s="39"/>
      <c r="L502" s="39"/>
      <c r="M502" s="38"/>
      <c r="N502" s="38"/>
      <c r="O502" s="38"/>
      <c r="P502" s="38"/>
      <c r="Q502" s="38"/>
      <c r="R502" s="38"/>
      <c r="S502" s="38"/>
      <c r="T502" s="38"/>
      <c r="U502" s="38"/>
      <c r="V502" s="38"/>
      <c r="W502" s="38"/>
      <c r="X502" s="38"/>
      <c r="Y502" s="39"/>
      <c r="Z502" s="38"/>
      <c r="AA502" s="38"/>
      <c r="AB502" s="40"/>
      <c r="AP502"/>
      <c r="AQ502" s="48"/>
      <c r="AR502" s="48"/>
      <c r="AS502"/>
      <c r="AT502" s="48"/>
      <c r="AU502" s="48"/>
      <c r="AV502"/>
      <c r="AW502" s="49"/>
      <c r="AX502" s="49"/>
      <c r="AY502" s="49"/>
      <c r="AZ502" s="49"/>
      <c r="BA502" s="49"/>
      <c r="BB502" s="48"/>
      <c r="BC502" s="48"/>
      <c r="BD502" s="48"/>
      <c r="BE502" s="48"/>
      <c r="BF502" s="83"/>
    </row>
    <row r="503" spans="1:58" ht="16" x14ac:dyDescent="0.35">
      <c r="A503" s="41"/>
      <c r="B503" s="42"/>
      <c r="C503" s="42"/>
      <c r="D503" s="42"/>
      <c r="E503" s="42"/>
      <c r="F503" s="42"/>
      <c r="G503" s="42"/>
      <c r="H503" s="43"/>
      <c r="I503" s="43"/>
      <c r="J503" s="43"/>
      <c r="K503" s="43"/>
      <c r="L503" s="43"/>
      <c r="M503" s="42"/>
      <c r="N503" s="42"/>
      <c r="O503" s="42"/>
      <c r="P503" s="42"/>
      <c r="Q503" s="42"/>
      <c r="R503" s="42"/>
      <c r="S503" s="42"/>
      <c r="T503" s="42"/>
      <c r="U503" s="42"/>
      <c r="V503" s="42"/>
      <c r="W503" s="42"/>
      <c r="X503" s="42"/>
      <c r="Y503" s="43"/>
      <c r="Z503" s="42"/>
      <c r="AA503" s="42"/>
      <c r="AB503" s="44"/>
      <c r="AP503"/>
      <c r="AQ503" s="52"/>
      <c r="AR503" s="52"/>
      <c r="AS503"/>
      <c r="AT503" s="52"/>
      <c r="AU503" s="52"/>
      <c r="AV503"/>
      <c r="AW503" s="53"/>
      <c r="AX503" s="53"/>
      <c r="AY503" s="53"/>
      <c r="AZ503" s="53"/>
      <c r="BA503" s="53"/>
      <c r="BB503" s="52"/>
      <c r="BC503" s="52"/>
      <c r="BD503" s="52"/>
      <c r="BE503" s="52"/>
      <c r="BF503" s="83"/>
    </row>
    <row r="504" spans="1:58" ht="16" x14ac:dyDescent="0.35">
      <c r="A504" s="37"/>
      <c r="B504" s="38"/>
      <c r="C504" s="38"/>
      <c r="D504" s="38"/>
      <c r="E504" s="38"/>
      <c r="F504" s="38"/>
      <c r="G504" s="38"/>
      <c r="H504" s="39"/>
      <c r="I504" s="39"/>
      <c r="J504" s="39"/>
      <c r="K504" s="39"/>
      <c r="L504" s="39"/>
      <c r="M504" s="38"/>
      <c r="N504" s="38"/>
      <c r="O504" s="38"/>
      <c r="P504" s="38"/>
      <c r="Q504" s="38"/>
      <c r="R504" s="38"/>
      <c r="S504" s="38"/>
      <c r="T504" s="38"/>
      <c r="U504" s="38"/>
      <c r="V504" s="38"/>
      <c r="W504" s="38"/>
      <c r="X504" s="38"/>
      <c r="Y504" s="39"/>
      <c r="Z504" s="38"/>
      <c r="AA504" s="38"/>
      <c r="AB504" s="40"/>
      <c r="AP504"/>
      <c r="AQ504" s="48"/>
      <c r="AR504" s="48"/>
      <c r="AS504"/>
      <c r="AT504" s="48"/>
      <c r="AU504" s="48"/>
      <c r="AV504"/>
      <c r="AW504" s="49"/>
      <c r="AX504" s="49"/>
      <c r="AY504" s="49"/>
      <c r="AZ504" s="49"/>
      <c r="BA504" s="49"/>
      <c r="BB504" s="48"/>
      <c r="BC504" s="48"/>
      <c r="BD504" s="48"/>
      <c r="BE504" s="48"/>
      <c r="BF504" s="83"/>
    </row>
    <row r="505" spans="1:58" ht="16" x14ac:dyDescent="0.35">
      <c r="A505" s="41"/>
      <c r="B505" s="42"/>
      <c r="C505" s="42"/>
      <c r="D505" s="42"/>
      <c r="E505" s="42"/>
      <c r="F505" s="42"/>
      <c r="G505" s="42"/>
      <c r="H505" s="43"/>
      <c r="I505" s="43"/>
      <c r="J505" s="43"/>
      <c r="K505" s="43"/>
      <c r="L505" s="43"/>
      <c r="M505" s="42"/>
      <c r="N505" s="42"/>
      <c r="O505" s="42"/>
      <c r="P505" s="42"/>
      <c r="Q505" s="42"/>
      <c r="R505" s="42"/>
      <c r="S505" s="42"/>
      <c r="T505" s="42"/>
      <c r="U505" s="42"/>
      <c r="V505" s="42"/>
      <c r="W505" s="42"/>
      <c r="X505" s="42"/>
      <c r="Y505" s="43"/>
      <c r="Z505" s="42"/>
      <c r="AA505" s="42"/>
      <c r="AB505" s="44"/>
      <c r="AP505"/>
      <c r="AQ505" s="52"/>
      <c r="AR505" s="52"/>
      <c r="AS505"/>
      <c r="AT505" s="52"/>
      <c r="AU505" s="52"/>
      <c r="AV505"/>
      <c r="AW505" s="53"/>
      <c r="AX505" s="53"/>
      <c r="AY505" s="53"/>
      <c r="AZ505" s="53"/>
      <c r="BA505" s="53"/>
      <c r="BB505" s="52"/>
      <c r="BC505" s="52"/>
      <c r="BD505" s="52"/>
      <c r="BE505" s="52"/>
      <c r="BF505" s="83"/>
    </row>
    <row r="506" spans="1:58" ht="16" x14ac:dyDescent="0.35">
      <c r="A506" s="37"/>
      <c r="B506" s="38"/>
      <c r="C506" s="38"/>
      <c r="D506" s="38"/>
      <c r="E506" s="38"/>
      <c r="F506" s="38"/>
      <c r="G506" s="38"/>
      <c r="H506" s="39"/>
      <c r="I506" s="39"/>
      <c r="J506" s="39"/>
      <c r="K506" s="39"/>
      <c r="L506" s="39"/>
      <c r="M506" s="38"/>
      <c r="N506" s="38"/>
      <c r="O506" s="38"/>
      <c r="P506" s="38"/>
      <c r="Q506" s="38"/>
      <c r="R506" s="38"/>
      <c r="S506" s="38"/>
      <c r="T506" s="38"/>
      <c r="U506" s="38"/>
      <c r="V506" s="38"/>
      <c r="W506" s="38"/>
      <c r="X506" s="38"/>
      <c r="Y506" s="39"/>
      <c r="Z506" s="38"/>
      <c r="AA506" s="38"/>
      <c r="AB506" s="40"/>
      <c r="AP506"/>
      <c r="AQ506" s="48"/>
      <c r="AR506" s="48"/>
      <c r="AS506"/>
      <c r="AT506" s="48"/>
      <c r="AU506" s="48"/>
      <c r="AV506"/>
      <c r="AW506" s="49"/>
      <c r="AX506" s="49"/>
      <c r="AY506" s="49"/>
      <c r="AZ506" s="49"/>
      <c r="BA506" s="49"/>
      <c r="BB506" s="48"/>
      <c r="BC506" s="48"/>
      <c r="BD506" s="48"/>
      <c r="BE506" s="48"/>
      <c r="BF506" s="83"/>
    </row>
    <row r="507" spans="1:58" ht="16" x14ac:dyDescent="0.35">
      <c r="A507" s="41"/>
      <c r="B507" s="42"/>
      <c r="C507" s="42"/>
      <c r="D507" s="42"/>
      <c r="E507" s="42"/>
      <c r="F507" s="42"/>
      <c r="G507" s="42"/>
      <c r="H507" s="43"/>
      <c r="I507" s="43"/>
      <c r="J507" s="43"/>
      <c r="K507" s="43"/>
      <c r="L507" s="43"/>
      <c r="M507" s="42"/>
      <c r="N507" s="42"/>
      <c r="O507" s="42"/>
      <c r="P507" s="42"/>
      <c r="Q507" s="42"/>
      <c r="R507" s="42"/>
      <c r="S507" s="42"/>
      <c r="T507" s="42"/>
      <c r="U507" s="42"/>
      <c r="V507" s="42"/>
      <c r="W507" s="42"/>
      <c r="X507" s="42"/>
      <c r="Y507" s="43"/>
      <c r="Z507" s="42"/>
      <c r="AA507" s="42"/>
      <c r="AB507" s="44"/>
      <c r="AP507"/>
      <c r="AQ507" s="52"/>
      <c r="AR507" s="52"/>
      <c r="AS507"/>
      <c r="AT507" s="52"/>
      <c r="AU507" s="52"/>
      <c r="AV507"/>
      <c r="AW507" s="53"/>
      <c r="AX507" s="53"/>
      <c r="AY507" s="53"/>
      <c r="AZ507" s="53"/>
      <c r="BA507" s="53"/>
      <c r="BB507" s="52"/>
      <c r="BC507" s="52"/>
      <c r="BD507" s="52"/>
      <c r="BE507" s="52"/>
      <c r="BF507" s="83"/>
    </row>
    <row r="508" spans="1:58" ht="16" x14ac:dyDescent="0.35">
      <c r="A508" s="37"/>
      <c r="B508" s="38"/>
      <c r="C508" s="38"/>
      <c r="D508" s="38"/>
      <c r="E508" s="38"/>
      <c r="F508" s="38"/>
      <c r="G508" s="38"/>
      <c r="H508" s="39"/>
      <c r="I508" s="39"/>
      <c r="J508" s="39"/>
      <c r="K508" s="39"/>
      <c r="L508" s="39"/>
      <c r="M508" s="38"/>
      <c r="N508" s="38"/>
      <c r="O508" s="38"/>
      <c r="P508" s="38"/>
      <c r="Q508" s="38"/>
      <c r="R508" s="38"/>
      <c r="S508" s="38"/>
      <c r="T508" s="38"/>
      <c r="U508" s="38"/>
      <c r="V508" s="38"/>
      <c r="W508" s="38"/>
      <c r="X508" s="38"/>
      <c r="Y508" s="39"/>
      <c r="Z508" s="38"/>
      <c r="AA508" s="38"/>
      <c r="AB508" s="40"/>
      <c r="AP508"/>
      <c r="AQ508" s="48"/>
      <c r="AR508" s="48"/>
      <c r="AS508"/>
      <c r="AT508" s="48"/>
      <c r="AU508" s="48"/>
      <c r="AV508"/>
      <c r="AW508" s="49"/>
      <c r="AX508" s="49"/>
      <c r="AY508" s="49"/>
      <c r="AZ508" s="49"/>
      <c r="BA508" s="49"/>
      <c r="BB508" s="48"/>
      <c r="BC508" s="48"/>
      <c r="BD508" s="48"/>
      <c r="BE508" s="48"/>
      <c r="BF508" s="83"/>
    </row>
    <row r="509" spans="1:58" ht="16" x14ac:dyDescent="0.35">
      <c r="A509" s="41"/>
      <c r="B509" s="42"/>
      <c r="C509" s="42"/>
      <c r="D509" s="42"/>
      <c r="E509" s="42"/>
      <c r="F509" s="42"/>
      <c r="G509" s="42"/>
      <c r="H509" s="43"/>
      <c r="I509" s="43"/>
      <c r="J509" s="43"/>
      <c r="K509" s="43"/>
      <c r="L509" s="43"/>
      <c r="M509" s="42"/>
      <c r="N509" s="42"/>
      <c r="O509" s="42"/>
      <c r="P509" s="42"/>
      <c r="Q509" s="42"/>
      <c r="R509" s="42"/>
      <c r="S509" s="42"/>
      <c r="T509" s="42"/>
      <c r="U509" s="42"/>
      <c r="V509" s="42"/>
      <c r="W509" s="42"/>
      <c r="X509" s="42"/>
      <c r="Y509" s="43"/>
      <c r="Z509" s="42"/>
      <c r="AA509" s="42"/>
      <c r="AB509" s="44"/>
      <c r="AP509"/>
      <c r="AQ509" s="52"/>
      <c r="AR509" s="52"/>
      <c r="AS509"/>
      <c r="AT509" s="52"/>
      <c r="AU509" s="52"/>
      <c r="AV509"/>
      <c r="AW509" s="53"/>
      <c r="AX509" s="53"/>
      <c r="AY509" s="53"/>
      <c r="AZ509" s="53"/>
      <c r="BA509" s="53"/>
      <c r="BB509" s="52"/>
      <c r="BC509" s="52"/>
      <c r="BD509" s="52"/>
      <c r="BE509" s="52"/>
      <c r="BF509" s="83"/>
    </row>
    <row r="510" spans="1:58" ht="16" x14ac:dyDescent="0.35">
      <c r="A510" s="37"/>
      <c r="B510" s="38"/>
      <c r="C510" s="38"/>
      <c r="D510" s="38"/>
      <c r="E510" s="38"/>
      <c r="F510" s="38"/>
      <c r="G510" s="38"/>
      <c r="H510" s="39"/>
      <c r="I510" s="39"/>
      <c r="J510" s="39"/>
      <c r="K510" s="39"/>
      <c r="L510" s="39"/>
      <c r="M510" s="38"/>
      <c r="N510" s="38"/>
      <c r="O510" s="38"/>
      <c r="P510" s="38"/>
      <c r="Q510" s="38"/>
      <c r="R510" s="38"/>
      <c r="S510" s="38"/>
      <c r="T510" s="38"/>
      <c r="U510" s="38"/>
      <c r="V510" s="38"/>
      <c r="W510" s="38"/>
      <c r="X510" s="38"/>
      <c r="Y510" s="39"/>
      <c r="Z510" s="38"/>
      <c r="AA510" s="38"/>
      <c r="AB510" s="40"/>
      <c r="AP510"/>
      <c r="AQ510" s="48"/>
      <c r="AR510" s="48"/>
      <c r="AS510"/>
      <c r="AT510" s="48"/>
      <c r="AU510" s="48"/>
      <c r="AV510"/>
      <c r="AW510" s="49"/>
      <c r="AX510" s="49"/>
      <c r="AY510" s="49"/>
      <c r="AZ510" s="49"/>
      <c r="BA510" s="49"/>
      <c r="BB510" s="48"/>
      <c r="BC510" s="48"/>
      <c r="BD510" s="48"/>
      <c r="BE510" s="48"/>
      <c r="BF510" s="83"/>
    </row>
    <row r="511" spans="1:58" ht="16" x14ac:dyDescent="0.35">
      <c r="A511" s="41"/>
      <c r="B511" s="42"/>
      <c r="C511" s="42"/>
      <c r="D511" s="42"/>
      <c r="E511" s="42"/>
      <c r="F511" s="42"/>
      <c r="G511" s="42"/>
      <c r="H511" s="43"/>
      <c r="I511" s="43"/>
      <c r="J511" s="43"/>
      <c r="K511" s="43"/>
      <c r="L511" s="43"/>
      <c r="M511" s="42"/>
      <c r="N511" s="42"/>
      <c r="O511" s="42"/>
      <c r="P511" s="42"/>
      <c r="Q511" s="42"/>
      <c r="R511" s="42"/>
      <c r="S511" s="42"/>
      <c r="T511" s="42"/>
      <c r="U511" s="42"/>
      <c r="V511" s="42"/>
      <c r="W511" s="42"/>
      <c r="X511" s="42"/>
      <c r="Y511" s="43"/>
      <c r="Z511" s="42"/>
      <c r="AA511" s="42"/>
      <c r="AB511" s="44"/>
      <c r="AP511"/>
      <c r="AQ511" s="52"/>
      <c r="AR511" s="52"/>
      <c r="AS511"/>
      <c r="AT511" s="52"/>
      <c r="AU511" s="52"/>
      <c r="AV511"/>
      <c r="AW511" s="53"/>
      <c r="AX511" s="53"/>
      <c r="AY511" s="53"/>
      <c r="AZ511" s="53"/>
      <c r="BA511" s="53"/>
      <c r="BB511" s="52"/>
      <c r="BC511" s="52"/>
      <c r="BD511" s="52"/>
      <c r="BE511" s="52"/>
      <c r="BF511" s="83"/>
    </row>
    <row r="512" spans="1:58" ht="16" x14ac:dyDescent="0.35">
      <c r="A512" s="37"/>
      <c r="B512" s="38"/>
      <c r="C512" s="38"/>
      <c r="D512" s="38"/>
      <c r="E512" s="38"/>
      <c r="F512" s="38"/>
      <c r="G512" s="38"/>
      <c r="H512" s="39"/>
      <c r="I512" s="39"/>
      <c r="J512" s="39"/>
      <c r="K512" s="39"/>
      <c r="L512" s="39"/>
      <c r="M512" s="38"/>
      <c r="N512" s="38"/>
      <c r="O512" s="38"/>
      <c r="P512" s="38"/>
      <c r="Q512" s="38"/>
      <c r="R512" s="38"/>
      <c r="S512" s="38"/>
      <c r="T512" s="38"/>
      <c r="U512" s="38"/>
      <c r="V512" s="38"/>
      <c r="W512" s="38"/>
      <c r="X512" s="38"/>
      <c r="Y512" s="39"/>
      <c r="Z512" s="38"/>
      <c r="AA512" s="38"/>
      <c r="AB512" s="40"/>
      <c r="AP512"/>
      <c r="AQ512" s="48"/>
      <c r="AR512" s="48"/>
      <c r="AS512"/>
      <c r="AT512" s="48"/>
      <c r="AU512" s="48"/>
      <c r="AV512"/>
      <c r="AW512" s="49"/>
      <c r="AX512" s="49"/>
      <c r="AY512" s="49"/>
      <c r="AZ512" s="49"/>
      <c r="BA512" s="49"/>
      <c r="BB512" s="48"/>
      <c r="BC512" s="48"/>
      <c r="BD512" s="48"/>
      <c r="BE512" s="48"/>
      <c r="BF512" s="83"/>
    </row>
    <row r="513" spans="1:58" ht="16" x14ac:dyDescent="0.35">
      <c r="A513" s="41"/>
      <c r="B513" s="42"/>
      <c r="C513" s="42"/>
      <c r="D513" s="42"/>
      <c r="E513" s="42"/>
      <c r="F513" s="42"/>
      <c r="G513" s="42"/>
      <c r="H513" s="43"/>
      <c r="I513" s="43"/>
      <c r="J513" s="43"/>
      <c r="K513" s="43"/>
      <c r="L513" s="43"/>
      <c r="M513" s="42"/>
      <c r="N513" s="42"/>
      <c r="O513" s="42"/>
      <c r="P513" s="42"/>
      <c r="Q513" s="42"/>
      <c r="R513" s="42"/>
      <c r="S513" s="42"/>
      <c r="T513" s="42"/>
      <c r="U513" s="42"/>
      <c r="V513" s="42"/>
      <c r="W513" s="42"/>
      <c r="X513" s="42"/>
      <c r="Y513" s="43"/>
      <c r="Z513" s="42"/>
      <c r="AA513" s="42"/>
      <c r="AB513" s="44"/>
      <c r="AP513"/>
      <c r="AQ513" s="52"/>
      <c r="AR513" s="52"/>
      <c r="AS513"/>
      <c r="AT513" s="52"/>
      <c r="AU513" s="52"/>
      <c r="AV513"/>
      <c r="AW513" s="53"/>
      <c r="AX513" s="53"/>
      <c r="AY513" s="53"/>
      <c r="AZ513" s="53"/>
      <c r="BA513" s="53"/>
      <c r="BB513" s="52"/>
      <c r="BC513" s="52"/>
      <c r="BD513" s="52"/>
      <c r="BE513" s="52"/>
      <c r="BF513" s="83"/>
    </row>
    <row r="514" spans="1:58" ht="16" x14ac:dyDescent="0.35">
      <c r="A514" s="37"/>
      <c r="B514" s="38"/>
      <c r="C514" s="38"/>
      <c r="D514" s="38"/>
      <c r="E514" s="38"/>
      <c r="F514" s="38"/>
      <c r="G514" s="38"/>
      <c r="H514" s="39"/>
      <c r="I514" s="39"/>
      <c r="J514" s="39"/>
      <c r="K514" s="39"/>
      <c r="L514" s="39"/>
      <c r="M514" s="38"/>
      <c r="N514" s="38"/>
      <c r="O514" s="38"/>
      <c r="P514" s="38"/>
      <c r="Q514" s="38"/>
      <c r="R514" s="38"/>
      <c r="S514" s="38"/>
      <c r="T514" s="38"/>
      <c r="U514" s="38"/>
      <c r="V514" s="38"/>
      <c r="W514" s="38"/>
      <c r="X514" s="38"/>
      <c r="Y514" s="39"/>
      <c r="Z514" s="38"/>
      <c r="AA514" s="38"/>
      <c r="AB514" s="40"/>
      <c r="AP514"/>
      <c r="AQ514" s="48"/>
      <c r="AR514" s="48"/>
      <c r="AS514"/>
      <c r="AT514" s="48"/>
      <c r="AU514" s="48"/>
      <c r="AV514"/>
      <c r="AW514" s="49"/>
      <c r="AX514" s="49"/>
      <c r="AY514" s="49"/>
      <c r="AZ514" s="49"/>
      <c r="BA514" s="49"/>
      <c r="BB514" s="48"/>
      <c r="BC514" s="48"/>
      <c r="BD514" s="48"/>
      <c r="BE514" s="48"/>
      <c r="BF514" s="83"/>
    </row>
    <row r="515" spans="1:58" ht="16" x14ac:dyDescent="0.35">
      <c r="A515" s="41"/>
      <c r="B515" s="42"/>
      <c r="C515" s="42"/>
      <c r="D515" s="42"/>
      <c r="E515" s="42"/>
      <c r="F515" s="42"/>
      <c r="G515" s="42"/>
      <c r="H515" s="43"/>
      <c r="I515" s="43"/>
      <c r="J515" s="43"/>
      <c r="K515" s="43"/>
      <c r="L515" s="43"/>
      <c r="M515" s="42"/>
      <c r="N515" s="42"/>
      <c r="O515" s="42"/>
      <c r="P515" s="42"/>
      <c r="Q515" s="42"/>
      <c r="R515" s="42"/>
      <c r="S515" s="42"/>
      <c r="T515" s="42"/>
      <c r="U515" s="42"/>
      <c r="V515" s="42"/>
      <c r="W515" s="42"/>
      <c r="X515" s="42"/>
      <c r="Y515" s="43"/>
      <c r="Z515" s="42"/>
      <c r="AA515" s="42"/>
      <c r="AB515" s="44"/>
      <c r="AP515"/>
      <c r="AQ515" s="52"/>
      <c r="AR515" s="52"/>
      <c r="AS515"/>
      <c r="AT515" s="52"/>
      <c r="AU515" s="52"/>
      <c r="AV515"/>
      <c r="AW515" s="53"/>
      <c r="AX515" s="53"/>
      <c r="AY515" s="53"/>
      <c r="AZ515" s="53"/>
      <c r="BA515" s="53"/>
      <c r="BB515" s="52"/>
      <c r="BC515" s="52"/>
      <c r="BD515" s="52"/>
      <c r="BE515" s="52"/>
      <c r="BF515" s="83"/>
    </row>
    <row r="516" spans="1:58" ht="16" x14ac:dyDescent="0.35">
      <c r="A516" s="37"/>
      <c r="B516" s="38"/>
      <c r="C516" s="38"/>
      <c r="D516" s="38"/>
      <c r="E516" s="38"/>
      <c r="F516" s="38"/>
      <c r="G516" s="38"/>
      <c r="H516" s="39"/>
      <c r="I516" s="39"/>
      <c r="J516" s="39"/>
      <c r="K516" s="39"/>
      <c r="L516" s="39"/>
      <c r="M516" s="38"/>
      <c r="N516" s="38"/>
      <c r="O516" s="38"/>
      <c r="P516" s="38"/>
      <c r="Q516" s="38"/>
      <c r="R516" s="38"/>
      <c r="S516" s="38"/>
      <c r="T516" s="38"/>
      <c r="U516" s="38"/>
      <c r="V516" s="38"/>
      <c r="W516" s="38"/>
      <c r="X516" s="38"/>
      <c r="Y516" s="39"/>
      <c r="Z516" s="38"/>
      <c r="AA516" s="38"/>
      <c r="AB516" s="40"/>
      <c r="AP516"/>
      <c r="AQ516" s="48"/>
      <c r="AR516" s="48"/>
      <c r="AS516"/>
      <c r="AT516" s="48"/>
      <c r="AU516" s="48"/>
      <c r="AV516"/>
      <c r="AW516" s="49"/>
      <c r="AX516" s="49"/>
      <c r="AY516" s="49"/>
      <c r="AZ516" s="49"/>
      <c r="BA516" s="49"/>
      <c r="BB516" s="48"/>
      <c r="BC516" s="48"/>
      <c r="BD516" s="48"/>
      <c r="BE516" s="48"/>
      <c r="BF516" s="83"/>
    </row>
    <row r="517" spans="1:58" ht="16" x14ac:dyDescent="0.35">
      <c r="A517" s="41"/>
      <c r="B517" s="42"/>
      <c r="C517" s="42"/>
      <c r="D517" s="42"/>
      <c r="E517" s="42"/>
      <c r="F517" s="42"/>
      <c r="G517" s="42"/>
      <c r="H517" s="43"/>
      <c r="I517" s="43"/>
      <c r="J517" s="43"/>
      <c r="K517" s="43"/>
      <c r="L517" s="43"/>
      <c r="M517" s="42"/>
      <c r="N517" s="42"/>
      <c r="O517" s="42"/>
      <c r="P517" s="42"/>
      <c r="Q517" s="42"/>
      <c r="R517" s="42"/>
      <c r="S517" s="42"/>
      <c r="T517" s="42"/>
      <c r="U517" s="42"/>
      <c r="V517" s="42"/>
      <c r="W517" s="42"/>
      <c r="X517" s="42"/>
      <c r="Y517" s="43"/>
      <c r="Z517" s="42"/>
      <c r="AA517" s="42"/>
      <c r="AB517" s="44"/>
      <c r="AP517"/>
      <c r="AQ517" s="52"/>
      <c r="AR517" s="52"/>
      <c r="AS517"/>
      <c r="AT517" s="52"/>
      <c r="AU517" s="52"/>
      <c r="AV517"/>
      <c r="AW517" s="53"/>
      <c r="AX517" s="53"/>
      <c r="AY517" s="53"/>
      <c r="AZ517" s="53"/>
      <c r="BA517" s="53"/>
      <c r="BB517" s="52"/>
      <c r="BC517" s="52"/>
      <c r="BD517" s="52"/>
      <c r="BE517" s="52"/>
      <c r="BF517" s="83"/>
    </row>
    <row r="518" spans="1:58" ht="16" x14ac:dyDescent="0.35">
      <c r="A518" s="37"/>
      <c r="B518" s="38"/>
      <c r="C518" s="38"/>
      <c r="D518" s="38"/>
      <c r="E518" s="38"/>
      <c r="F518" s="38"/>
      <c r="G518" s="38"/>
      <c r="H518" s="39"/>
      <c r="I518" s="39"/>
      <c r="J518" s="39"/>
      <c r="K518" s="39"/>
      <c r="L518" s="39"/>
      <c r="M518" s="38"/>
      <c r="N518" s="38"/>
      <c r="O518" s="38"/>
      <c r="P518" s="38"/>
      <c r="Q518" s="38"/>
      <c r="R518" s="38"/>
      <c r="S518" s="38"/>
      <c r="T518" s="38"/>
      <c r="U518" s="38"/>
      <c r="V518" s="38"/>
      <c r="W518" s="38"/>
      <c r="X518" s="38"/>
      <c r="Y518" s="39"/>
      <c r="Z518" s="38"/>
      <c r="AA518" s="38"/>
      <c r="AB518" s="40"/>
      <c r="AP518"/>
      <c r="AQ518" s="48"/>
      <c r="AR518" s="48"/>
      <c r="AS518"/>
      <c r="AT518" s="48"/>
      <c r="AU518" s="48"/>
      <c r="AV518"/>
      <c r="AW518" s="49"/>
      <c r="AX518" s="49"/>
      <c r="AY518" s="49"/>
      <c r="AZ518" s="49"/>
      <c r="BA518" s="49"/>
      <c r="BB518" s="48"/>
      <c r="BC518" s="48"/>
      <c r="BD518" s="48"/>
      <c r="BE518" s="48"/>
      <c r="BF518" s="83"/>
    </row>
    <row r="519" spans="1:58" ht="16" x14ac:dyDescent="0.35">
      <c r="A519" s="41"/>
      <c r="B519" s="42"/>
      <c r="C519" s="42"/>
      <c r="D519" s="42"/>
      <c r="E519" s="42"/>
      <c r="F519" s="42"/>
      <c r="G519" s="42"/>
      <c r="H519" s="43"/>
      <c r="I519" s="43"/>
      <c r="J519" s="43"/>
      <c r="K519" s="43"/>
      <c r="L519" s="43"/>
      <c r="M519" s="42"/>
      <c r="N519" s="42"/>
      <c r="O519" s="42"/>
      <c r="P519" s="42"/>
      <c r="Q519" s="42"/>
      <c r="R519" s="42"/>
      <c r="S519" s="42"/>
      <c r="T519" s="42"/>
      <c r="U519" s="42"/>
      <c r="V519" s="42"/>
      <c r="W519" s="42"/>
      <c r="X519" s="42"/>
      <c r="Y519" s="43"/>
      <c r="Z519" s="42"/>
      <c r="AA519" s="42"/>
      <c r="AB519" s="44"/>
      <c r="AP519"/>
      <c r="AQ519" s="52"/>
      <c r="AR519" s="52"/>
      <c r="AS519"/>
      <c r="AT519" s="52"/>
      <c r="AU519" s="52"/>
      <c r="AV519"/>
      <c r="AW519" s="53"/>
      <c r="AX519" s="53"/>
      <c r="AY519" s="53"/>
      <c r="AZ519" s="53"/>
      <c r="BA519" s="53"/>
      <c r="BB519" s="52"/>
      <c r="BC519" s="52"/>
      <c r="BD519" s="52"/>
      <c r="BE519" s="52"/>
      <c r="BF519" s="83"/>
    </row>
    <row r="520" spans="1:58" ht="16" x14ac:dyDescent="0.35">
      <c r="A520" s="37"/>
      <c r="B520" s="38"/>
      <c r="C520" s="38"/>
      <c r="D520" s="38"/>
      <c r="E520" s="38"/>
      <c r="F520" s="38"/>
      <c r="G520" s="38"/>
      <c r="H520" s="39"/>
      <c r="I520" s="39"/>
      <c r="J520" s="39"/>
      <c r="K520" s="39"/>
      <c r="L520" s="39"/>
      <c r="M520" s="38"/>
      <c r="N520" s="38"/>
      <c r="O520" s="38"/>
      <c r="P520" s="38"/>
      <c r="Q520" s="38"/>
      <c r="R520" s="38"/>
      <c r="S520" s="38"/>
      <c r="T520" s="38"/>
      <c r="U520" s="38"/>
      <c r="V520" s="38"/>
      <c r="W520" s="38"/>
      <c r="X520" s="38"/>
      <c r="Y520" s="39"/>
      <c r="Z520" s="38"/>
      <c r="AA520" s="38"/>
      <c r="AB520" s="40"/>
      <c r="AP520"/>
      <c r="AQ520" s="48"/>
      <c r="AR520" s="48"/>
      <c r="AS520"/>
      <c r="AT520" s="48"/>
      <c r="AU520" s="48"/>
      <c r="AV520"/>
      <c r="AW520" s="49"/>
      <c r="AX520" s="49"/>
      <c r="AY520" s="49"/>
      <c r="AZ520" s="49"/>
      <c r="BA520" s="49"/>
      <c r="BB520" s="48"/>
      <c r="BC520" s="48"/>
      <c r="BD520" s="48"/>
      <c r="BE520" s="48"/>
      <c r="BF520" s="83"/>
    </row>
    <row r="521" spans="1:58" ht="16" x14ac:dyDescent="0.35">
      <c r="A521" s="41"/>
      <c r="B521" s="42"/>
      <c r="C521" s="42"/>
      <c r="D521" s="42"/>
      <c r="E521" s="42"/>
      <c r="F521" s="42"/>
      <c r="G521" s="42"/>
      <c r="H521" s="43"/>
      <c r="I521" s="43"/>
      <c r="J521" s="43"/>
      <c r="K521" s="43"/>
      <c r="L521" s="43"/>
      <c r="M521" s="42"/>
      <c r="N521" s="42"/>
      <c r="O521" s="42"/>
      <c r="P521" s="42"/>
      <c r="Q521" s="42"/>
      <c r="R521" s="42"/>
      <c r="S521" s="42"/>
      <c r="T521" s="42"/>
      <c r="U521" s="42"/>
      <c r="V521" s="42"/>
      <c r="W521" s="42"/>
      <c r="X521" s="42"/>
      <c r="Y521" s="43"/>
      <c r="Z521" s="42"/>
      <c r="AA521" s="42"/>
      <c r="AB521" s="44"/>
      <c r="AP521"/>
      <c r="AQ521" s="52"/>
      <c r="AR521" s="52"/>
      <c r="AS521"/>
      <c r="AT521" s="52"/>
      <c r="AU521" s="52"/>
      <c r="AV521"/>
      <c r="AW521" s="53"/>
      <c r="AX521" s="53"/>
      <c r="AY521" s="53"/>
      <c r="AZ521" s="53"/>
      <c r="BA521" s="53"/>
      <c r="BB521" s="52"/>
      <c r="BC521" s="52"/>
      <c r="BD521" s="52"/>
      <c r="BE521" s="52"/>
      <c r="BF521" s="83"/>
    </row>
    <row r="522" spans="1:58" ht="16" x14ac:dyDescent="0.35">
      <c r="A522" s="37"/>
      <c r="B522" s="38"/>
      <c r="C522" s="38"/>
      <c r="D522" s="38"/>
      <c r="E522" s="38"/>
      <c r="F522" s="38"/>
      <c r="G522" s="38"/>
      <c r="H522" s="39"/>
      <c r="I522" s="39"/>
      <c r="J522" s="39"/>
      <c r="K522" s="39"/>
      <c r="L522" s="39"/>
      <c r="M522" s="38"/>
      <c r="N522" s="38"/>
      <c r="O522" s="38"/>
      <c r="P522" s="38"/>
      <c r="Q522" s="38"/>
      <c r="R522" s="38"/>
      <c r="S522" s="38"/>
      <c r="T522" s="38"/>
      <c r="U522" s="38"/>
      <c r="V522" s="38"/>
      <c r="W522" s="38"/>
      <c r="X522" s="38"/>
      <c r="Y522" s="39"/>
      <c r="Z522" s="38"/>
      <c r="AA522" s="38"/>
      <c r="AB522" s="40"/>
      <c r="AP522"/>
      <c r="AQ522" s="48"/>
      <c r="AR522" s="48"/>
      <c r="AS522"/>
      <c r="AT522" s="48"/>
      <c r="AU522" s="48"/>
      <c r="AV522"/>
      <c r="AW522" s="49"/>
      <c r="AX522" s="49"/>
      <c r="AY522" s="49"/>
      <c r="AZ522" s="49"/>
      <c r="BA522" s="49"/>
      <c r="BB522" s="48"/>
      <c r="BC522" s="48"/>
      <c r="BD522" s="48"/>
      <c r="BE522" s="48"/>
      <c r="BF522" s="83"/>
    </row>
    <row r="523" spans="1:58" ht="16" x14ac:dyDescent="0.35">
      <c r="A523" s="41"/>
      <c r="B523" s="42"/>
      <c r="C523" s="42"/>
      <c r="D523" s="42"/>
      <c r="E523" s="42"/>
      <c r="F523" s="42"/>
      <c r="G523" s="42"/>
      <c r="H523" s="43"/>
      <c r="I523" s="43"/>
      <c r="J523" s="43"/>
      <c r="K523" s="43"/>
      <c r="L523" s="43"/>
      <c r="M523" s="42"/>
      <c r="N523" s="42"/>
      <c r="O523" s="42"/>
      <c r="P523" s="42"/>
      <c r="Q523" s="42"/>
      <c r="R523" s="42"/>
      <c r="S523" s="42"/>
      <c r="T523" s="42"/>
      <c r="U523" s="42"/>
      <c r="V523" s="42"/>
      <c r="W523" s="42"/>
      <c r="X523" s="42"/>
      <c r="Y523" s="43"/>
      <c r="Z523" s="42"/>
      <c r="AA523" s="42"/>
      <c r="AB523" s="44"/>
      <c r="AP523"/>
      <c r="AQ523" s="52"/>
      <c r="AR523" s="52"/>
      <c r="AS523"/>
      <c r="AT523" s="52"/>
      <c r="AU523" s="52"/>
      <c r="AV523"/>
      <c r="AW523" s="53"/>
      <c r="AX523" s="53"/>
      <c r="AY523" s="53"/>
      <c r="AZ523" s="53"/>
      <c r="BA523" s="53"/>
      <c r="BB523" s="52"/>
      <c r="BC523" s="52"/>
      <c r="BD523" s="52"/>
      <c r="BE523" s="52"/>
      <c r="BF523" s="83"/>
    </row>
    <row r="524" spans="1:58" ht="16" x14ac:dyDescent="0.35">
      <c r="A524" s="37"/>
      <c r="B524" s="38"/>
      <c r="C524" s="38"/>
      <c r="D524" s="38"/>
      <c r="E524" s="38"/>
      <c r="F524" s="38"/>
      <c r="G524" s="38"/>
      <c r="H524" s="39"/>
      <c r="I524" s="39"/>
      <c r="J524" s="39"/>
      <c r="K524" s="39"/>
      <c r="L524" s="39"/>
      <c r="M524" s="38"/>
      <c r="N524" s="38"/>
      <c r="O524" s="38"/>
      <c r="P524" s="38"/>
      <c r="Q524" s="38"/>
      <c r="R524" s="38"/>
      <c r="S524" s="38"/>
      <c r="T524" s="38"/>
      <c r="U524" s="38"/>
      <c r="V524" s="38"/>
      <c r="W524" s="38"/>
      <c r="X524" s="38"/>
      <c r="Y524" s="39"/>
      <c r="Z524" s="38"/>
      <c r="AA524" s="38"/>
      <c r="AB524" s="40"/>
      <c r="AP524"/>
      <c r="AQ524" s="48"/>
      <c r="AR524" s="48"/>
      <c r="AS524"/>
      <c r="AT524" s="48"/>
      <c r="AU524" s="48"/>
      <c r="AV524"/>
      <c r="AW524" s="49"/>
      <c r="AX524" s="49"/>
      <c r="AY524" s="49"/>
      <c r="AZ524" s="49"/>
      <c r="BA524" s="49"/>
      <c r="BB524" s="48"/>
      <c r="BC524" s="48"/>
      <c r="BD524" s="48"/>
      <c r="BE524" s="48"/>
      <c r="BF524" s="83"/>
    </row>
    <row r="525" spans="1:58" ht="16" x14ac:dyDescent="0.35">
      <c r="A525" s="41"/>
      <c r="B525" s="42"/>
      <c r="C525" s="42"/>
      <c r="D525" s="42"/>
      <c r="E525" s="42"/>
      <c r="F525" s="42"/>
      <c r="G525" s="42"/>
      <c r="H525" s="43"/>
      <c r="I525" s="43"/>
      <c r="J525" s="43"/>
      <c r="K525" s="43"/>
      <c r="L525" s="43"/>
      <c r="M525" s="42"/>
      <c r="N525" s="42"/>
      <c r="O525" s="42"/>
      <c r="P525" s="42"/>
      <c r="Q525" s="42"/>
      <c r="R525" s="42"/>
      <c r="S525" s="42"/>
      <c r="T525" s="42"/>
      <c r="U525" s="42"/>
      <c r="V525" s="42"/>
      <c r="W525" s="42"/>
      <c r="X525" s="42"/>
      <c r="Y525" s="43"/>
      <c r="Z525" s="42"/>
      <c r="AA525" s="42"/>
      <c r="AB525" s="44"/>
      <c r="AP525"/>
      <c r="AQ525" s="52"/>
      <c r="AR525" s="52"/>
      <c r="AS525"/>
      <c r="AT525" s="52"/>
      <c r="AU525" s="52"/>
      <c r="AV525"/>
      <c r="AW525" s="53"/>
      <c r="AX525" s="53"/>
      <c r="AY525" s="53"/>
      <c r="AZ525" s="53"/>
      <c r="BA525" s="53"/>
      <c r="BB525" s="52"/>
      <c r="BC525" s="52"/>
      <c r="BD525" s="52"/>
      <c r="BE525" s="52"/>
      <c r="BF525" s="83"/>
    </row>
    <row r="526" spans="1:58" ht="16" x14ac:dyDescent="0.35">
      <c r="A526" s="37"/>
      <c r="B526" s="38"/>
      <c r="C526" s="38"/>
      <c r="D526" s="38"/>
      <c r="E526" s="38"/>
      <c r="F526" s="38"/>
      <c r="G526" s="38"/>
      <c r="H526" s="39"/>
      <c r="I526" s="39"/>
      <c r="J526" s="39"/>
      <c r="K526" s="39"/>
      <c r="L526" s="39"/>
      <c r="M526" s="38"/>
      <c r="N526" s="38"/>
      <c r="O526" s="38"/>
      <c r="P526" s="38"/>
      <c r="Q526" s="38"/>
      <c r="R526" s="38"/>
      <c r="S526" s="38"/>
      <c r="T526" s="38"/>
      <c r="U526" s="38"/>
      <c r="V526" s="38"/>
      <c r="W526" s="38"/>
      <c r="X526" s="38"/>
      <c r="Y526" s="39"/>
      <c r="Z526" s="38"/>
      <c r="AA526" s="38"/>
      <c r="AB526" s="40"/>
      <c r="AP526"/>
      <c r="AQ526" s="48"/>
      <c r="AR526" s="48"/>
      <c r="AS526"/>
      <c r="AT526" s="48"/>
      <c r="AU526" s="48"/>
      <c r="AV526"/>
      <c r="AW526" s="49"/>
      <c r="AX526" s="49"/>
      <c r="AY526" s="49"/>
      <c r="AZ526" s="49"/>
      <c r="BA526" s="49"/>
      <c r="BB526" s="48"/>
      <c r="BC526" s="48"/>
      <c r="BD526" s="48"/>
      <c r="BE526" s="48"/>
      <c r="BF526" s="83"/>
    </row>
    <row r="527" spans="1:58" ht="16" x14ac:dyDescent="0.35">
      <c r="A527" s="41"/>
      <c r="B527" s="42"/>
      <c r="C527" s="42"/>
      <c r="D527" s="42"/>
      <c r="E527" s="42"/>
      <c r="F527" s="42"/>
      <c r="G527" s="42"/>
      <c r="H527" s="43"/>
      <c r="I527" s="43"/>
      <c r="J527" s="43"/>
      <c r="K527" s="43"/>
      <c r="L527" s="43"/>
      <c r="M527" s="42"/>
      <c r="N527" s="42"/>
      <c r="O527" s="42"/>
      <c r="P527" s="42"/>
      <c r="Q527" s="42"/>
      <c r="R527" s="42"/>
      <c r="S527" s="42"/>
      <c r="T527" s="42"/>
      <c r="U527" s="42"/>
      <c r="V527" s="42"/>
      <c r="W527" s="42"/>
      <c r="X527" s="42"/>
      <c r="Y527" s="43"/>
      <c r="Z527" s="42"/>
      <c r="AA527" s="42"/>
      <c r="AB527" s="44"/>
      <c r="AP527"/>
      <c r="AQ527" s="52"/>
      <c r="AR527" s="52"/>
      <c r="AS527"/>
      <c r="AT527" s="52"/>
      <c r="AU527" s="52"/>
      <c r="AV527"/>
      <c r="AW527" s="53"/>
      <c r="AX527" s="53"/>
      <c r="AY527" s="53"/>
      <c r="AZ527" s="53"/>
      <c r="BA527" s="53"/>
      <c r="BB527" s="52"/>
      <c r="BC527" s="52"/>
      <c r="BD527" s="52"/>
      <c r="BE527" s="52"/>
      <c r="BF527" s="83"/>
    </row>
    <row r="528" spans="1:58" ht="16" x14ac:dyDescent="0.35">
      <c r="A528" s="37"/>
      <c r="B528" s="38"/>
      <c r="C528" s="38"/>
      <c r="D528" s="38"/>
      <c r="E528" s="38"/>
      <c r="F528" s="38"/>
      <c r="G528" s="38"/>
      <c r="H528" s="39"/>
      <c r="I528" s="39"/>
      <c r="J528" s="39"/>
      <c r="K528" s="39"/>
      <c r="L528" s="39"/>
      <c r="M528" s="38"/>
      <c r="N528" s="38"/>
      <c r="O528" s="38"/>
      <c r="P528" s="38"/>
      <c r="Q528" s="38"/>
      <c r="R528" s="38"/>
      <c r="S528" s="38"/>
      <c r="T528" s="38"/>
      <c r="U528" s="38"/>
      <c r="V528" s="38"/>
      <c r="W528" s="38"/>
      <c r="X528" s="38"/>
      <c r="Y528" s="39"/>
      <c r="Z528" s="38"/>
      <c r="AA528" s="38"/>
      <c r="AB528" s="40"/>
      <c r="AP528"/>
      <c r="AQ528" s="48"/>
      <c r="AR528" s="48"/>
      <c r="AS528"/>
      <c r="AT528" s="48"/>
      <c r="AU528" s="48"/>
      <c r="AV528"/>
      <c r="AW528" s="49"/>
      <c r="AX528" s="49"/>
      <c r="AY528" s="49"/>
      <c r="AZ528" s="49"/>
      <c r="BA528" s="49"/>
      <c r="BB528" s="48"/>
      <c r="BC528" s="48"/>
      <c r="BD528" s="48"/>
      <c r="BE528" s="48"/>
      <c r="BF528" s="83"/>
    </row>
    <row r="529" spans="1:58" ht="16" x14ac:dyDescent="0.35">
      <c r="A529" s="41"/>
      <c r="B529" s="42"/>
      <c r="C529" s="42"/>
      <c r="D529" s="42"/>
      <c r="E529" s="42"/>
      <c r="F529" s="42"/>
      <c r="G529" s="42"/>
      <c r="H529" s="43"/>
      <c r="I529" s="43"/>
      <c r="J529" s="43"/>
      <c r="K529" s="43"/>
      <c r="L529" s="43"/>
      <c r="M529" s="42"/>
      <c r="N529" s="42"/>
      <c r="O529" s="42"/>
      <c r="P529" s="42"/>
      <c r="Q529" s="42"/>
      <c r="R529" s="42"/>
      <c r="S529" s="42"/>
      <c r="T529" s="42"/>
      <c r="U529" s="42"/>
      <c r="V529" s="42"/>
      <c r="W529" s="42"/>
      <c r="X529" s="42"/>
      <c r="Y529" s="43"/>
      <c r="Z529" s="42"/>
      <c r="AA529" s="42"/>
      <c r="AB529" s="44"/>
      <c r="AP529"/>
      <c r="AQ529" s="52"/>
      <c r="AR529" s="52"/>
      <c r="AS529"/>
      <c r="AT529" s="52"/>
      <c r="AU529" s="52"/>
      <c r="AV529"/>
      <c r="AW529" s="53"/>
      <c r="AX529" s="53"/>
      <c r="AY529" s="53"/>
      <c r="AZ529" s="53"/>
      <c r="BA529" s="53"/>
      <c r="BB529" s="52"/>
      <c r="BC529" s="52"/>
      <c r="BD529" s="52"/>
      <c r="BE529" s="52"/>
      <c r="BF529" s="83"/>
    </row>
    <row r="530" spans="1:58" ht="16" x14ac:dyDescent="0.35">
      <c r="A530" s="37"/>
      <c r="B530" s="38"/>
      <c r="C530" s="38"/>
      <c r="D530" s="38"/>
      <c r="E530" s="38"/>
      <c r="F530" s="38"/>
      <c r="G530" s="38"/>
      <c r="H530" s="39"/>
      <c r="I530" s="39"/>
      <c r="J530" s="39"/>
      <c r="K530" s="39"/>
      <c r="L530" s="39"/>
      <c r="M530" s="38"/>
      <c r="N530" s="38"/>
      <c r="O530" s="38"/>
      <c r="P530" s="38"/>
      <c r="Q530" s="38"/>
      <c r="R530" s="38"/>
      <c r="S530" s="38"/>
      <c r="T530" s="38"/>
      <c r="U530" s="38"/>
      <c r="V530" s="38"/>
      <c r="W530" s="38"/>
      <c r="X530" s="38"/>
      <c r="Y530" s="39"/>
      <c r="Z530" s="38"/>
      <c r="AA530" s="38"/>
      <c r="AB530" s="40"/>
      <c r="AP530"/>
      <c r="AQ530" s="48"/>
      <c r="AR530" s="48"/>
      <c r="AS530"/>
      <c r="AT530" s="48"/>
      <c r="AU530" s="48"/>
      <c r="AV530"/>
      <c r="AW530" s="49"/>
      <c r="AX530" s="49"/>
      <c r="AY530" s="49"/>
      <c r="AZ530" s="49"/>
      <c r="BA530" s="49"/>
      <c r="BB530" s="48"/>
      <c r="BC530" s="48"/>
      <c r="BD530" s="48"/>
      <c r="BE530" s="48"/>
      <c r="BF530" s="83"/>
    </row>
    <row r="531" spans="1:58" ht="16" x14ac:dyDescent="0.35">
      <c r="A531" s="41"/>
      <c r="B531" s="42"/>
      <c r="C531" s="42"/>
      <c r="D531" s="42"/>
      <c r="E531" s="42"/>
      <c r="F531" s="42"/>
      <c r="G531" s="42"/>
      <c r="H531" s="43"/>
      <c r="I531" s="43"/>
      <c r="J531" s="43"/>
      <c r="K531" s="43"/>
      <c r="L531" s="43"/>
      <c r="M531" s="42"/>
      <c r="N531" s="42"/>
      <c r="O531" s="42"/>
      <c r="P531" s="42"/>
      <c r="Q531" s="42"/>
      <c r="R531" s="42"/>
      <c r="S531" s="42"/>
      <c r="T531" s="42"/>
      <c r="U531" s="42"/>
      <c r="V531" s="42"/>
      <c r="W531" s="42"/>
      <c r="X531" s="42"/>
      <c r="Y531" s="43"/>
      <c r="Z531" s="42"/>
      <c r="AA531" s="42"/>
      <c r="AB531" s="44"/>
      <c r="AP531"/>
      <c r="AQ531" s="52"/>
      <c r="AR531" s="52"/>
      <c r="AS531"/>
      <c r="AT531" s="52"/>
      <c r="AU531" s="52"/>
      <c r="AV531"/>
      <c r="AW531" s="53"/>
      <c r="AX531" s="53"/>
      <c r="AY531" s="53"/>
      <c r="AZ531" s="53"/>
      <c r="BA531" s="53"/>
      <c r="BB531" s="52"/>
      <c r="BC531" s="52"/>
      <c r="BD531" s="52"/>
      <c r="BE531" s="52"/>
      <c r="BF531" s="83"/>
    </row>
    <row r="532" spans="1:58" ht="16" x14ac:dyDescent="0.35">
      <c r="A532" s="37"/>
      <c r="B532" s="38"/>
      <c r="C532" s="38"/>
      <c r="D532" s="38"/>
      <c r="E532" s="38"/>
      <c r="F532" s="38"/>
      <c r="G532" s="38"/>
      <c r="H532" s="39"/>
      <c r="I532" s="39"/>
      <c r="J532" s="39"/>
      <c r="K532" s="39"/>
      <c r="L532" s="39"/>
      <c r="M532" s="38"/>
      <c r="N532" s="38"/>
      <c r="O532" s="38"/>
      <c r="P532" s="38"/>
      <c r="Q532" s="38"/>
      <c r="R532" s="38"/>
      <c r="S532" s="38"/>
      <c r="T532" s="38"/>
      <c r="U532" s="38"/>
      <c r="V532" s="38"/>
      <c r="W532" s="38"/>
      <c r="X532" s="38"/>
      <c r="Y532" s="39"/>
      <c r="Z532" s="38"/>
      <c r="AA532" s="38"/>
      <c r="AB532" s="40"/>
      <c r="AP532"/>
      <c r="AQ532" s="48"/>
      <c r="AR532" s="48"/>
      <c r="AS532"/>
      <c r="AT532" s="48"/>
      <c r="AU532" s="48"/>
      <c r="AV532"/>
      <c r="AW532" s="49"/>
      <c r="AX532" s="49"/>
      <c r="AY532" s="49"/>
      <c r="AZ532" s="49"/>
      <c r="BA532" s="49"/>
      <c r="BB532" s="48"/>
      <c r="BC532" s="48"/>
      <c r="BD532" s="48"/>
      <c r="BE532" s="48"/>
      <c r="BF532" s="83"/>
    </row>
    <row r="533" spans="1:58" ht="16" x14ac:dyDescent="0.35">
      <c r="A533" s="41"/>
      <c r="B533" s="42"/>
      <c r="C533" s="42"/>
      <c r="D533" s="42"/>
      <c r="E533" s="42"/>
      <c r="F533" s="42"/>
      <c r="G533" s="42"/>
      <c r="H533" s="43"/>
      <c r="I533" s="43"/>
      <c r="J533" s="43"/>
      <c r="K533" s="43"/>
      <c r="L533" s="43"/>
      <c r="M533" s="42"/>
      <c r="N533" s="42"/>
      <c r="O533" s="42"/>
      <c r="P533" s="42"/>
      <c r="Q533" s="42"/>
      <c r="R533" s="42"/>
      <c r="S533" s="42"/>
      <c r="T533" s="42"/>
      <c r="U533" s="42"/>
      <c r="V533" s="42"/>
      <c r="W533" s="42"/>
      <c r="X533" s="42"/>
      <c r="Y533" s="43"/>
      <c r="Z533" s="42"/>
      <c r="AA533" s="42"/>
      <c r="AB533" s="44"/>
      <c r="AP533"/>
      <c r="AQ533" s="52"/>
      <c r="AR533" s="52"/>
      <c r="AS533"/>
      <c r="AT533" s="52"/>
      <c r="AU533" s="52"/>
      <c r="AV533"/>
      <c r="AW533" s="53"/>
      <c r="AX533" s="53"/>
      <c r="AY533" s="53"/>
      <c r="AZ533" s="53"/>
      <c r="BA533" s="53"/>
      <c r="BB533" s="52"/>
      <c r="BC533" s="52"/>
      <c r="BD533" s="52"/>
      <c r="BE533" s="52"/>
      <c r="BF533" s="83"/>
    </row>
    <row r="534" spans="1:58" ht="16" x14ac:dyDescent="0.35">
      <c r="A534" s="37"/>
      <c r="B534" s="38"/>
      <c r="C534" s="38"/>
      <c r="D534" s="38"/>
      <c r="E534" s="38"/>
      <c r="F534" s="38"/>
      <c r="G534" s="38"/>
      <c r="H534" s="39"/>
      <c r="I534" s="39"/>
      <c r="J534" s="39"/>
      <c r="K534" s="39"/>
      <c r="L534" s="39"/>
      <c r="M534" s="38"/>
      <c r="N534" s="38"/>
      <c r="O534" s="38"/>
      <c r="P534" s="38"/>
      <c r="Q534" s="38"/>
      <c r="R534" s="38"/>
      <c r="S534" s="38"/>
      <c r="T534" s="38"/>
      <c r="U534" s="38"/>
      <c r="V534" s="38"/>
      <c r="W534" s="38"/>
      <c r="X534" s="38"/>
      <c r="Y534" s="39"/>
      <c r="Z534" s="38"/>
      <c r="AA534" s="38"/>
      <c r="AB534" s="40"/>
      <c r="AP534"/>
      <c r="AQ534" s="48"/>
      <c r="AR534" s="48"/>
      <c r="AS534"/>
      <c r="AT534" s="48"/>
      <c r="AU534" s="48"/>
      <c r="AV534"/>
      <c r="AW534" s="49"/>
      <c r="AX534" s="49"/>
      <c r="AY534" s="49"/>
      <c r="AZ534" s="49"/>
      <c r="BA534" s="49"/>
      <c r="BB534" s="48"/>
      <c r="BC534" s="48"/>
      <c r="BD534" s="48"/>
      <c r="BE534" s="48"/>
      <c r="BF534" s="83"/>
    </row>
    <row r="535" spans="1:58" ht="16" x14ac:dyDescent="0.35">
      <c r="A535" s="41"/>
      <c r="B535" s="42"/>
      <c r="C535" s="42"/>
      <c r="D535" s="42"/>
      <c r="E535" s="42"/>
      <c r="F535" s="42"/>
      <c r="G535" s="42"/>
      <c r="H535" s="43"/>
      <c r="I535" s="43"/>
      <c r="J535" s="43"/>
      <c r="K535" s="43"/>
      <c r="L535" s="43"/>
      <c r="M535" s="42"/>
      <c r="N535" s="42"/>
      <c r="O535" s="42"/>
      <c r="P535" s="42"/>
      <c r="Q535" s="42"/>
      <c r="R535" s="42"/>
      <c r="S535" s="42"/>
      <c r="T535" s="42"/>
      <c r="U535" s="42"/>
      <c r="V535" s="42"/>
      <c r="W535" s="42"/>
      <c r="X535" s="42"/>
      <c r="Y535" s="43"/>
      <c r="Z535" s="42"/>
      <c r="AA535" s="42"/>
      <c r="AB535" s="44"/>
      <c r="AP535"/>
      <c r="AQ535" s="52"/>
      <c r="AR535" s="52"/>
      <c r="AS535"/>
      <c r="AT535" s="52"/>
      <c r="AU535" s="52"/>
      <c r="AV535"/>
      <c r="AW535" s="53"/>
      <c r="AX535" s="53"/>
      <c r="AY535" s="53"/>
      <c r="AZ535" s="53"/>
      <c r="BA535" s="53"/>
      <c r="BB535" s="52"/>
      <c r="BC535" s="52"/>
      <c r="BD535" s="52"/>
      <c r="BE535" s="52"/>
      <c r="BF535" s="83"/>
    </row>
    <row r="536" spans="1:58" ht="16" x14ac:dyDescent="0.35">
      <c r="A536" s="37"/>
      <c r="B536" s="38"/>
      <c r="C536" s="38"/>
      <c r="D536" s="38"/>
      <c r="E536" s="38"/>
      <c r="F536" s="38"/>
      <c r="G536" s="38"/>
      <c r="H536" s="39"/>
      <c r="I536" s="39"/>
      <c r="J536" s="39"/>
      <c r="K536" s="39"/>
      <c r="L536" s="39"/>
      <c r="M536" s="38"/>
      <c r="N536" s="38"/>
      <c r="O536" s="38"/>
      <c r="P536" s="38"/>
      <c r="Q536" s="38"/>
      <c r="R536" s="38"/>
      <c r="S536" s="38"/>
      <c r="T536" s="38"/>
      <c r="U536" s="38"/>
      <c r="V536" s="38"/>
      <c r="W536" s="38"/>
      <c r="X536" s="38"/>
      <c r="Y536" s="39"/>
      <c r="Z536" s="38"/>
      <c r="AA536" s="38"/>
      <c r="AB536" s="40"/>
      <c r="AP536"/>
      <c r="AQ536" s="48"/>
      <c r="AR536" s="48"/>
      <c r="AS536"/>
      <c r="AT536" s="48"/>
      <c r="AU536" s="48"/>
      <c r="AV536"/>
      <c r="AW536" s="49"/>
      <c r="AX536" s="49"/>
      <c r="AY536" s="49"/>
      <c r="AZ536" s="49"/>
      <c r="BA536" s="49"/>
      <c r="BB536" s="48"/>
      <c r="BC536" s="48"/>
      <c r="BD536" s="48"/>
      <c r="BE536" s="48"/>
      <c r="BF536" s="83"/>
    </row>
    <row r="537" spans="1:58" ht="16" x14ac:dyDescent="0.35">
      <c r="A537" s="41"/>
      <c r="B537" s="42"/>
      <c r="C537" s="42"/>
      <c r="D537" s="42"/>
      <c r="E537" s="42"/>
      <c r="F537" s="42"/>
      <c r="G537" s="42"/>
      <c r="H537" s="43"/>
      <c r="I537" s="43"/>
      <c r="J537" s="43"/>
      <c r="K537" s="43"/>
      <c r="L537" s="43"/>
      <c r="M537" s="42"/>
      <c r="N537" s="42"/>
      <c r="O537" s="42"/>
      <c r="P537" s="42"/>
      <c r="Q537" s="42"/>
      <c r="R537" s="42"/>
      <c r="S537" s="42"/>
      <c r="T537" s="42"/>
      <c r="U537" s="42"/>
      <c r="V537" s="42"/>
      <c r="W537" s="42"/>
      <c r="X537" s="42"/>
      <c r="Y537" s="43"/>
      <c r="Z537" s="42"/>
      <c r="AA537" s="42"/>
      <c r="AB537" s="44"/>
      <c r="AP537"/>
      <c r="AQ537" s="52"/>
      <c r="AR537" s="52"/>
      <c r="AS537"/>
      <c r="AT537" s="52"/>
      <c r="AU537" s="52"/>
      <c r="AV537"/>
      <c r="AW537" s="53"/>
      <c r="AX537" s="53"/>
      <c r="AY537" s="53"/>
      <c r="AZ537" s="53"/>
      <c r="BA537" s="53"/>
      <c r="BB537" s="52"/>
      <c r="BC537" s="52"/>
      <c r="BD537" s="52"/>
      <c r="BE537" s="52"/>
      <c r="BF537" s="83"/>
    </row>
    <row r="538" spans="1:58" ht="16" x14ac:dyDescent="0.35">
      <c r="A538" s="37"/>
      <c r="B538" s="38"/>
      <c r="C538" s="38"/>
      <c r="D538" s="38"/>
      <c r="E538" s="38"/>
      <c r="F538" s="38"/>
      <c r="G538" s="38"/>
      <c r="H538" s="39"/>
      <c r="I538" s="39"/>
      <c r="J538" s="39"/>
      <c r="K538" s="39"/>
      <c r="L538" s="39"/>
      <c r="M538" s="38"/>
      <c r="N538" s="38"/>
      <c r="O538" s="38"/>
      <c r="P538" s="38"/>
      <c r="Q538" s="38"/>
      <c r="R538" s="38"/>
      <c r="S538" s="38"/>
      <c r="T538" s="38"/>
      <c r="U538" s="38"/>
      <c r="V538" s="38"/>
      <c r="W538" s="38"/>
      <c r="X538" s="38"/>
      <c r="Y538" s="39"/>
      <c r="Z538" s="38"/>
      <c r="AA538" s="38"/>
      <c r="AB538" s="40"/>
      <c r="AP538"/>
      <c r="AQ538" s="48"/>
      <c r="AR538" s="48"/>
      <c r="AS538"/>
      <c r="AT538" s="48"/>
      <c r="AU538" s="48"/>
      <c r="AV538"/>
      <c r="AW538" s="49"/>
      <c r="AX538" s="49"/>
      <c r="AY538" s="49"/>
      <c r="AZ538" s="49"/>
      <c r="BA538" s="49"/>
      <c r="BB538" s="48"/>
      <c r="BC538" s="48"/>
      <c r="BD538" s="48"/>
      <c r="BE538" s="48"/>
      <c r="BF538" s="83"/>
    </row>
    <row r="539" spans="1:58" ht="16" x14ac:dyDescent="0.35">
      <c r="A539" s="41"/>
      <c r="B539" s="42"/>
      <c r="C539" s="42"/>
      <c r="D539" s="42"/>
      <c r="E539" s="42"/>
      <c r="F539" s="42"/>
      <c r="G539" s="42"/>
      <c r="H539" s="43"/>
      <c r="I539" s="43"/>
      <c r="J539" s="43"/>
      <c r="K539" s="43"/>
      <c r="L539" s="43"/>
      <c r="M539" s="42"/>
      <c r="N539" s="42"/>
      <c r="O539" s="42"/>
      <c r="P539" s="42"/>
      <c r="Q539" s="42"/>
      <c r="R539" s="42"/>
      <c r="S539" s="42"/>
      <c r="T539" s="42"/>
      <c r="U539" s="42"/>
      <c r="V539" s="42"/>
      <c r="W539" s="42"/>
      <c r="X539" s="42"/>
      <c r="Y539" s="43"/>
      <c r="Z539" s="42"/>
      <c r="AA539" s="42"/>
      <c r="AB539" s="44"/>
      <c r="AP539"/>
      <c r="AQ539" s="52"/>
      <c r="AR539" s="52"/>
      <c r="AS539"/>
      <c r="AT539" s="52"/>
      <c r="AU539" s="52"/>
      <c r="AV539"/>
      <c r="AW539" s="53"/>
      <c r="AX539" s="53"/>
      <c r="AY539" s="53"/>
      <c r="AZ539" s="53"/>
      <c r="BA539" s="53"/>
      <c r="BB539" s="52"/>
      <c r="BC539" s="52"/>
      <c r="BD539" s="52"/>
      <c r="BE539" s="52"/>
      <c r="BF539" s="83"/>
    </row>
    <row r="540" spans="1:58" ht="16" x14ac:dyDescent="0.35">
      <c r="A540" s="37"/>
      <c r="B540" s="38"/>
      <c r="C540" s="38"/>
      <c r="D540" s="38"/>
      <c r="E540" s="38"/>
      <c r="F540" s="38"/>
      <c r="G540" s="38"/>
      <c r="H540" s="39"/>
      <c r="I540" s="39"/>
      <c r="J540" s="39"/>
      <c r="K540" s="39"/>
      <c r="L540" s="39"/>
      <c r="M540" s="38"/>
      <c r="N540" s="38"/>
      <c r="O540" s="38"/>
      <c r="P540" s="38"/>
      <c r="Q540" s="38"/>
      <c r="R540" s="38"/>
      <c r="S540" s="38"/>
      <c r="T540" s="38"/>
      <c r="U540" s="38"/>
      <c r="V540" s="38"/>
      <c r="W540" s="38"/>
      <c r="X540" s="38"/>
      <c r="Y540" s="39"/>
      <c r="Z540" s="38"/>
      <c r="AA540" s="38"/>
      <c r="AB540" s="40"/>
      <c r="AP540"/>
      <c r="AQ540" s="48"/>
      <c r="AR540" s="48"/>
      <c r="AS540"/>
      <c r="AT540" s="48"/>
      <c r="AU540" s="48"/>
      <c r="AV540"/>
      <c r="AW540" s="49"/>
      <c r="AX540" s="49"/>
      <c r="AY540" s="49"/>
      <c r="AZ540" s="49"/>
      <c r="BA540" s="49"/>
      <c r="BB540" s="48"/>
      <c r="BC540" s="48"/>
      <c r="BD540" s="48"/>
      <c r="BE540" s="48"/>
      <c r="BF540" s="83"/>
    </row>
    <row r="541" spans="1:58" ht="16" x14ac:dyDescent="0.35">
      <c r="A541" s="41"/>
      <c r="B541" s="42"/>
      <c r="C541" s="42"/>
      <c r="D541" s="42"/>
      <c r="E541" s="42"/>
      <c r="F541" s="42"/>
      <c r="G541" s="42"/>
      <c r="H541" s="43"/>
      <c r="I541" s="43"/>
      <c r="J541" s="43"/>
      <c r="K541" s="43"/>
      <c r="L541" s="43"/>
      <c r="M541" s="42"/>
      <c r="N541" s="42"/>
      <c r="O541" s="42"/>
      <c r="P541" s="42"/>
      <c r="Q541" s="42"/>
      <c r="R541" s="42"/>
      <c r="S541" s="42"/>
      <c r="T541" s="42"/>
      <c r="U541" s="42"/>
      <c r="V541" s="42"/>
      <c r="W541" s="42"/>
      <c r="X541" s="42"/>
      <c r="Y541" s="43"/>
      <c r="Z541" s="42"/>
      <c r="AA541" s="42"/>
      <c r="AB541" s="44"/>
      <c r="AP541"/>
      <c r="AQ541" s="52"/>
      <c r="AR541" s="52"/>
      <c r="AS541"/>
      <c r="AT541" s="52"/>
      <c r="AU541" s="52"/>
      <c r="AV541"/>
      <c r="AW541" s="53"/>
      <c r="AX541" s="53"/>
      <c r="AY541" s="53"/>
      <c r="AZ541" s="53"/>
      <c r="BA541" s="53"/>
      <c r="BB541" s="52"/>
      <c r="BC541" s="52"/>
      <c r="BD541" s="52"/>
      <c r="BE541" s="52"/>
      <c r="BF541" s="83"/>
    </row>
    <row r="542" spans="1:58" ht="16" x14ac:dyDescent="0.35">
      <c r="A542" s="37"/>
      <c r="B542" s="38"/>
      <c r="C542" s="38"/>
      <c r="D542" s="38"/>
      <c r="E542" s="38"/>
      <c r="F542" s="38"/>
      <c r="G542" s="38"/>
      <c r="H542" s="39"/>
      <c r="I542" s="39"/>
      <c r="J542" s="39"/>
      <c r="K542" s="39"/>
      <c r="L542" s="39"/>
      <c r="M542" s="38"/>
      <c r="N542" s="38"/>
      <c r="O542" s="38"/>
      <c r="P542" s="38"/>
      <c r="Q542" s="38"/>
      <c r="R542" s="38"/>
      <c r="S542" s="38"/>
      <c r="T542" s="38"/>
      <c r="U542" s="38"/>
      <c r="V542" s="38"/>
      <c r="W542" s="38"/>
      <c r="X542" s="38"/>
      <c r="Y542" s="39"/>
      <c r="Z542" s="38"/>
      <c r="AA542" s="38"/>
      <c r="AB542" s="40"/>
      <c r="AP542"/>
      <c r="AQ542" s="48"/>
      <c r="AR542" s="48"/>
      <c r="AS542"/>
      <c r="AT542" s="48"/>
      <c r="AU542" s="48"/>
      <c r="AV542"/>
      <c r="AW542" s="49"/>
      <c r="AX542" s="49"/>
      <c r="AY542" s="49"/>
      <c r="AZ542" s="49"/>
      <c r="BA542" s="49"/>
      <c r="BB542" s="48"/>
      <c r="BC542" s="48"/>
      <c r="BD542" s="48"/>
      <c r="BE542" s="48"/>
      <c r="BF542" s="83"/>
    </row>
    <row r="543" spans="1:58" ht="16" x14ac:dyDescent="0.35">
      <c r="A543" s="41"/>
      <c r="B543" s="42"/>
      <c r="C543" s="42"/>
      <c r="D543" s="42"/>
      <c r="E543" s="42"/>
      <c r="F543" s="42"/>
      <c r="G543" s="42"/>
      <c r="H543" s="43"/>
      <c r="I543" s="43"/>
      <c r="J543" s="43"/>
      <c r="K543" s="43"/>
      <c r="L543" s="43"/>
      <c r="M543" s="42"/>
      <c r="N543" s="42"/>
      <c r="O543" s="42"/>
      <c r="P543" s="42"/>
      <c r="Q543" s="42"/>
      <c r="R543" s="42"/>
      <c r="S543" s="42"/>
      <c r="T543" s="42"/>
      <c r="U543" s="42"/>
      <c r="V543" s="42"/>
      <c r="W543" s="42"/>
      <c r="X543" s="42"/>
      <c r="Y543" s="43"/>
      <c r="Z543" s="42"/>
      <c r="AA543" s="42"/>
      <c r="AB543" s="44"/>
      <c r="AP543"/>
      <c r="AQ543" s="52"/>
      <c r="AR543" s="52"/>
      <c r="AS543"/>
      <c r="AT543" s="52"/>
      <c r="AU543" s="52"/>
      <c r="AV543"/>
      <c r="AW543" s="53"/>
      <c r="AX543" s="53"/>
      <c r="AY543" s="53"/>
      <c r="AZ543" s="53"/>
      <c r="BA543" s="53"/>
      <c r="BB543" s="52"/>
      <c r="BC543" s="52"/>
      <c r="BD543" s="52"/>
      <c r="BE543" s="52"/>
      <c r="BF543" s="83"/>
    </row>
    <row r="544" spans="1:58" ht="16" x14ac:dyDescent="0.35">
      <c r="A544" s="37"/>
      <c r="B544" s="38"/>
      <c r="C544" s="38"/>
      <c r="D544" s="38"/>
      <c r="E544" s="38"/>
      <c r="F544" s="38"/>
      <c r="G544" s="38"/>
      <c r="H544" s="39"/>
      <c r="I544" s="39"/>
      <c r="J544" s="39"/>
      <c r="K544" s="39"/>
      <c r="L544" s="39"/>
      <c r="M544" s="38"/>
      <c r="N544" s="38"/>
      <c r="O544" s="38"/>
      <c r="P544" s="38"/>
      <c r="Q544" s="38"/>
      <c r="R544" s="38"/>
      <c r="S544" s="38"/>
      <c r="T544" s="38"/>
      <c r="U544" s="38"/>
      <c r="V544" s="38"/>
      <c r="W544" s="38"/>
      <c r="X544" s="38"/>
      <c r="Y544" s="39"/>
      <c r="Z544" s="38"/>
      <c r="AA544" s="38"/>
      <c r="AB544" s="40"/>
      <c r="AP544"/>
      <c r="AQ544" s="48"/>
      <c r="AR544" s="48"/>
      <c r="AS544"/>
      <c r="AT544" s="48"/>
      <c r="AU544" s="48"/>
      <c r="AV544"/>
      <c r="AW544" s="49"/>
      <c r="AX544" s="49"/>
      <c r="AY544" s="49"/>
      <c r="AZ544" s="49"/>
      <c r="BA544" s="49"/>
      <c r="BB544" s="48"/>
      <c r="BC544" s="48"/>
      <c r="BD544" s="48"/>
      <c r="BE544" s="48"/>
      <c r="BF544" s="83"/>
    </row>
    <row r="545" spans="1:58" ht="16" x14ac:dyDescent="0.35">
      <c r="A545" s="41"/>
      <c r="B545" s="42"/>
      <c r="C545" s="42"/>
      <c r="D545" s="42"/>
      <c r="E545" s="42"/>
      <c r="F545" s="42"/>
      <c r="G545" s="42"/>
      <c r="H545" s="43"/>
      <c r="I545" s="43"/>
      <c r="J545" s="43"/>
      <c r="K545" s="43"/>
      <c r="L545" s="43"/>
      <c r="M545" s="42"/>
      <c r="N545" s="42"/>
      <c r="O545" s="42"/>
      <c r="P545" s="42"/>
      <c r="Q545" s="42"/>
      <c r="R545" s="42"/>
      <c r="S545" s="42"/>
      <c r="T545" s="42"/>
      <c r="U545" s="42"/>
      <c r="V545" s="42"/>
      <c r="W545" s="42"/>
      <c r="X545" s="42"/>
      <c r="Y545" s="43"/>
      <c r="Z545" s="42"/>
      <c r="AA545" s="42"/>
      <c r="AB545" s="44"/>
      <c r="AP545"/>
      <c r="AQ545" s="52"/>
      <c r="AR545" s="52"/>
      <c r="AS545"/>
      <c r="AT545" s="52"/>
      <c r="AU545" s="52"/>
      <c r="AV545"/>
      <c r="AW545" s="53"/>
      <c r="AX545" s="53"/>
      <c r="AY545" s="53"/>
      <c r="AZ545" s="53"/>
      <c r="BA545" s="53"/>
      <c r="BB545" s="52"/>
      <c r="BC545" s="52"/>
      <c r="BD545" s="52"/>
      <c r="BE545" s="52"/>
      <c r="BF545" s="83"/>
    </row>
    <row r="546" spans="1:58" ht="16" x14ac:dyDescent="0.35">
      <c r="A546" s="37"/>
      <c r="B546" s="38"/>
      <c r="C546" s="38"/>
      <c r="D546" s="38"/>
      <c r="E546" s="38"/>
      <c r="F546" s="38"/>
      <c r="G546" s="38"/>
      <c r="H546" s="39"/>
      <c r="I546" s="39"/>
      <c r="J546" s="39"/>
      <c r="K546" s="39"/>
      <c r="L546" s="39"/>
      <c r="M546" s="38"/>
      <c r="N546" s="38"/>
      <c r="O546" s="38"/>
      <c r="P546" s="38"/>
      <c r="Q546" s="38"/>
      <c r="R546" s="38"/>
      <c r="S546" s="38"/>
      <c r="T546" s="38"/>
      <c r="U546" s="38"/>
      <c r="V546" s="38"/>
      <c r="W546" s="38"/>
      <c r="X546" s="38"/>
      <c r="Y546" s="39"/>
      <c r="Z546" s="38"/>
      <c r="AA546" s="38"/>
      <c r="AB546" s="40"/>
      <c r="AP546"/>
      <c r="AQ546" s="48"/>
      <c r="AR546" s="48"/>
      <c r="AS546"/>
      <c r="AT546" s="48"/>
      <c r="AU546" s="48"/>
      <c r="AV546"/>
      <c r="AW546" s="49"/>
      <c r="AX546" s="49"/>
      <c r="AY546" s="49"/>
      <c r="AZ546" s="49"/>
      <c r="BA546" s="49"/>
      <c r="BB546" s="48"/>
      <c r="BC546" s="48"/>
      <c r="BD546" s="48"/>
      <c r="BE546" s="48"/>
      <c r="BF546" s="83"/>
    </row>
    <row r="547" spans="1:58" ht="16" x14ac:dyDescent="0.35">
      <c r="A547" s="41"/>
      <c r="B547" s="42"/>
      <c r="C547" s="42"/>
      <c r="D547" s="42"/>
      <c r="E547" s="42"/>
      <c r="F547" s="42"/>
      <c r="G547" s="42"/>
      <c r="H547" s="43"/>
      <c r="I547" s="43"/>
      <c r="J547" s="43"/>
      <c r="K547" s="43"/>
      <c r="L547" s="43"/>
      <c r="M547" s="42"/>
      <c r="N547" s="42"/>
      <c r="O547" s="42"/>
      <c r="P547" s="42"/>
      <c r="Q547" s="42"/>
      <c r="R547" s="42"/>
      <c r="S547" s="42"/>
      <c r="T547" s="42"/>
      <c r="U547" s="42"/>
      <c r="V547" s="42"/>
      <c r="W547" s="42"/>
      <c r="X547" s="42"/>
      <c r="Y547" s="43"/>
      <c r="Z547" s="42"/>
      <c r="AA547" s="42"/>
      <c r="AB547" s="44"/>
      <c r="AP547"/>
      <c r="AQ547" s="52"/>
      <c r="AR547" s="52"/>
      <c r="AS547"/>
      <c r="AT547" s="52"/>
      <c r="AU547" s="52"/>
      <c r="AV547"/>
      <c r="AW547" s="53"/>
      <c r="AX547" s="53"/>
      <c r="AY547" s="53"/>
      <c r="AZ547" s="53"/>
      <c r="BA547" s="53"/>
      <c r="BB547" s="52"/>
      <c r="BC547" s="52"/>
      <c r="BD547" s="52"/>
      <c r="BE547" s="52"/>
      <c r="BF547" s="83"/>
    </row>
    <row r="548" spans="1:58" ht="16" x14ac:dyDescent="0.35">
      <c r="A548" s="37"/>
      <c r="B548" s="38"/>
      <c r="C548" s="38"/>
      <c r="D548" s="38"/>
      <c r="E548" s="38"/>
      <c r="F548" s="38"/>
      <c r="G548" s="38"/>
      <c r="H548" s="39"/>
      <c r="I548" s="39"/>
      <c r="J548" s="39"/>
      <c r="K548" s="39"/>
      <c r="L548" s="39"/>
      <c r="M548" s="38"/>
      <c r="N548" s="38"/>
      <c r="O548" s="38"/>
      <c r="P548" s="38"/>
      <c r="Q548" s="38"/>
      <c r="R548" s="38"/>
      <c r="S548" s="38"/>
      <c r="T548" s="38"/>
      <c r="U548" s="38"/>
      <c r="V548" s="38"/>
      <c r="W548" s="38"/>
      <c r="X548" s="38"/>
      <c r="Y548" s="39"/>
      <c r="Z548" s="38"/>
      <c r="AA548" s="38"/>
      <c r="AB548" s="40"/>
      <c r="AP548"/>
      <c r="AQ548" s="48"/>
      <c r="AR548" s="48"/>
      <c r="AS548"/>
      <c r="AT548" s="48"/>
      <c r="AU548" s="48"/>
      <c r="AV548"/>
      <c r="AW548" s="49"/>
      <c r="AX548" s="49"/>
      <c r="AY548" s="49"/>
      <c r="AZ548" s="49"/>
      <c r="BA548" s="49"/>
      <c r="BB548" s="48"/>
      <c r="BC548" s="48"/>
      <c r="BD548" s="48"/>
      <c r="BE548" s="48"/>
      <c r="BF548" s="83"/>
    </row>
    <row r="549" spans="1:58" ht="16" x14ac:dyDescent="0.35">
      <c r="A549" s="41"/>
      <c r="B549" s="42"/>
      <c r="C549" s="42"/>
      <c r="D549" s="42"/>
      <c r="E549" s="42"/>
      <c r="F549" s="42"/>
      <c r="G549" s="42"/>
      <c r="H549" s="43"/>
      <c r="I549" s="43"/>
      <c r="J549" s="43"/>
      <c r="K549" s="43"/>
      <c r="L549" s="43"/>
      <c r="M549" s="42"/>
      <c r="N549" s="42"/>
      <c r="O549" s="42"/>
      <c r="P549" s="42"/>
      <c r="Q549" s="42"/>
      <c r="R549" s="42"/>
      <c r="S549" s="42"/>
      <c r="T549" s="42"/>
      <c r="U549" s="42"/>
      <c r="V549" s="42"/>
      <c r="W549" s="42"/>
      <c r="X549" s="42"/>
      <c r="Y549" s="43"/>
      <c r="Z549" s="42"/>
      <c r="AA549" s="42"/>
      <c r="AB549" s="44"/>
      <c r="AP549"/>
      <c r="AQ549" s="52"/>
      <c r="AR549" s="52"/>
      <c r="AS549"/>
      <c r="AT549" s="52"/>
      <c r="AU549" s="52"/>
      <c r="AV549"/>
      <c r="AW549" s="53"/>
      <c r="AX549" s="53"/>
      <c r="AY549" s="53"/>
      <c r="AZ549" s="53"/>
      <c r="BA549" s="53"/>
      <c r="BB549" s="52"/>
      <c r="BC549" s="52"/>
      <c r="BD549" s="52"/>
      <c r="BE549" s="52"/>
      <c r="BF549" s="83"/>
    </row>
    <row r="550" spans="1:58" ht="16" x14ac:dyDescent="0.35">
      <c r="A550" s="37"/>
      <c r="B550" s="38"/>
      <c r="C550" s="38"/>
      <c r="D550" s="38"/>
      <c r="E550" s="38"/>
      <c r="F550" s="38"/>
      <c r="G550" s="38"/>
      <c r="H550" s="39"/>
      <c r="I550" s="39"/>
      <c r="J550" s="39"/>
      <c r="K550" s="39"/>
      <c r="L550" s="39"/>
      <c r="M550" s="38"/>
      <c r="N550" s="38"/>
      <c r="O550" s="38"/>
      <c r="P550" s="38"/>
      <c r="Q550" s="38"/>
      <c r="R550" s="38"/>
      <c r="S550" s="38"/>
      <c r="T550" s="38"/>
      <c r="U550" s="38"/>
      <c r="V550" s="38"/>
      <c r="W550" s="38"/>
      <c r="X550" s="38"/>
      <c r="Y550" s="39"/>
      <c r="Z550" s="38"/>
      <c r="AA550" s="38"/>
      <c r="AB550" s="40"/>
      <c r="AP550"/>
      <c r="AQ550" s="48"/>
      <c r="AR550" s="48"/>
      <c r="AS550"/>
      <c r="AT550" s="48"/>
      <c r="AU550" s="48"/>
      <c r="AV550"/>
      <c r="AW550" s="49"/>
      <c r="AX550" s="49"/>
      <c r="AY550" s="49"/>
      <c r="AZ550" s="49"/>
      <c r="BA550" s="49"/>
      <c r="BB550" s="48"/>
      <c r="BC550" s="48"/>
      <c r="BD550" s="48"/>
      <c r="BE550" s="48"/>
      <c r="BF550" s="83"/>
    </row>
    <row r="551" spans="1:58" ht="16" x14ac:dyDescent="0.35">
      <c r="A551" s="41"/>
      <c r="B551" s="42"/>
      <c r="C551" s="42"/>
      <c r="D551" s="42"/>
      <c r="E551" s="42"/>
      <c r="F551" s="42"/>
      <c r="G551" s="42"/>
      <c r="H551" s="43"/>
      <c r="I551" s="43"/>
      <c r="J551" s="43"/>
      <c r="K551" s="43"/>
      <c r="L551" s="43"/>
      <c r="M551" s="42"/>
      <c r="N551" s="42"/>
      <c r="O551" s="42"/>
      <c r="P551" s="42"/>
      <c r="Q551" s="42"/>
      <c r="R551" s="42"/>
      <c r="S551" s="42"/>
      <c r="T551" s="42"/>
      <c r="U551" s="42"/>
      <c r="V551" s="42"/>
      <c r="W551" s="42"/>
      <c r="X551" s="42"/>
      <c r="Y551" s="43"/>
      <c r="Z551" s="42"/>
      <c r="AA551" s="42"/>
      <c r="AB551" s="44"/>
      <c r="AP551"/>
      <c r="AQ551" s="52"/>
      <c r="AR551" s="52"/>
      <c r="AS551"/>
      <c r="AT551" s="52"/>
      <c r="AU551" s="52"/>
      <c r="AV551"/>
      <c r="AW551" s="53"/>
      <c r="AX551" s="53"/>
      <c r="AY551" s="53"/>
      <c r="AZ551" s="53"/>
      <c r="BA551" s="53"/>
      <c r="BB551" s="52"/>
      <c r="BC551" s="52"/>
      <c r="BD551" s="52"/>
      <c r="BE551" s="52"/>
      <c r="BF551" s="83"/>
    </row>
    <row r="552" spans="1:58" ht="16" x14ac:dyDescent="0.35">
      <c r="A552" s="37"/>
      <c r="B552" s="38"/>
      <c r="C552" s="38"/>
      <c r="D552" s="38"/>
      <c r="E552" s="38"/>
      <c r="F552" s="38"/>
      <c r="G552" s="38"/>
      <c r="H552" s="39"/>
      <c r="I552" s="39"/>
      <c r="J552" s="39"/>
      <c r="K552" s="39"/>
      <c r="L552" s="39"/>
      <c r="M552" s="38"/>
      <c r="N552" s="38"/>
      <c r="O552" s="38"/>
      <c r="P552" s="38"/>
      <c r="Q552" s="38"/>
      <c r="R552" s="38"/>
      <c r="S552" s="38"/>
      <c r="T552" s="38"/>
      <c r="U552" s="38"/>
      <c r="V552" s="38"/>
      <c r="W552" s="38"/>
      <c r="X552" s="38"/>
      <c r="Y552" s="39"/>
      <c r="Z552" s="38"/>
      <c r="AA552" s="38"/>
      <c r="AB552" s="40"/>
      <c r="AP552"/>
      <c r="AQ552" s="48"/>
      <c r="AR552" s="48"/>
      <c r="AS552"/>
      <c r="AT552" s="48"/>
      <c r="AU552" s="48"/>
      <c r="AV552"/>
      <c r="AW552" s="49"/>
      <c r="AX552" s="49"/>
      <c r="AY552" s="49"/>
      <c r="AZ552" s="49"/>
      <c r="BA552" s="49"/>
      <c r="BB552" s="48"/>
      <c r="BC552" s="48"/>
      <c r="BD552" s="48"/>
      <c r="BE552" s="48"/>
      <c r="BF552" s="83"/>
    </row>
    <row r="553" spans="1:58" ht="16" x14ac:dyDescent="0.35">
      <c r="A553" s="41"/>
      <c r="B553" s="42"/>
      <c r="C553" s="42"/>
      <c r="D553" s="42"/>
      <c r="E553" s="42"/>
      <c r="F553" s="42"/>
      <c r="G553" s="42"/>
      <c r="H553" s="43"/>
      <c r="I553" s="43"/>
      <c r="J553" s="43"/>
      <c r="K553" s="43"/>
      <c r="L553" s="43"/>
      <c r="M553" s="42"/>
      <c r="N553" s="42"/>
      <c r="O553" s="42"/>
      <c r="P553" s="42"/>
      <c r="Q553" s="42"/>
      <c r="R553" s="42"/>
      <c r="S553" s="42"/>
      <c r="T553" s="42"/>
      <c r="U553" s="42"/>
      <c r="V553" s="42"/>
      <c r="W553" s="42"/>
      <c r="X553" s="42"/>
      <c r="Y553" s="43"/>
      <c r="Z553" s="42"/>
      <c r="AA553" s="42"/>
      <c r="AB553" s="44"/>
      <c r="AP553"/>
      <c r="AQ553" s="52"/>
      <c r="AR553" s="52"/>
      <c r="AS553"/>
      <c r="AT553" s="52"/>
      <c r="AU553" s="52"/>
      <c r="AV553"/>
      <c r="AW553" s="53"/>
      <c r="AX553" s="53"/>
      <c r="AY553" s="53"/>
      <c r="AZ553" s="53"/>
      <c r="BA553" s="53"/>
      <c r="BB553" s="52"/>
      <c r="BC553" s="52"/>
      <c r="BD553" s="52"/>
      <c r="BE553" s="52"/>
      <c r="BF553" s="83"/>
    </row>
    <row r="554" spans="1:58" ht="16" x14ac:dyDescent="0.35">
      <c r="A554" s="37"/>
      <c r="B554" s="38"/>
      <c r="C554" s="38"/>
      <c r="D554" s="38"/>
      <c r="E554" s="38"/>
      <c r="F554" s="38"/>
      <c r="G554" s="38"/>
      <c r="H554" s="39"/>
      <c r="I554" s="39"/>
      <c r="J554" s="39"/>
      <c r="K554" s="39"/>
      <c r="L554" s="39"/>
      <c r="M554" s="38"/>
      <c r="N554" s="38"/>
      <c r="O554" s="38"/>
      <c r="P554" s="38"/>
      <c r="Q554" s="38"/>
      <c r="R554" s="38"/>
      <c r="S554" s="38"/>
      <c r="T554" s="38"/>
      <c r="U554" s="38"/>
      <c r="V554" s="38"/>
      <c r="W554" s="38"/>
      <c r="X554" s="38"/>
      <c r="Y554" s="39"/>
      <c r="Z554" s="38"/>
      <c r="AA554" s="38"/>
      <c r="AB554" s="40"/>
      <c r="AP554"/>
      <c r="AQ554" s="48"/>
      <c r="AR554" s="48"/>
      <c r="AS554"/>
      <c r="AT554" s="48"/>
      <c r="AU554" s="48"/>
      <c r="AV554"/>
      <c r="AW554" s="49"/>
      <c r="AX554" s="49"/>
      <c r="AY554" s="49"/>
      <c r="AZ554" s="49"/>
      <c r="BA554" s="49"/>
      <c r="BB554" s="48"/>
      <c r="BC554" s="48"/>
      <c r="BD554" s="48"/>
      <c r="BE554" s="48"/>
      <c r="BF554" s="83"/>
    </row>
    <row r="555" spans="1:58" ht="16" x14ac:dyDescent="0.35">
      <c r="A555" s="41"/>
      <c r="B555" s="42"/>
      <c r="C555" s="42"/>
      <c r="D555" s="42"/>
      <c r="E555" s="42"/>
      <c r="F555" s="42"/>
      <c r="G555" s="42"/>
      <c r="H555" s="43"/>
      <c r="I555" s="43"/>
      <c r="J555" s="43"/>
      <c r="K555" s="43"/>
      <c r="L555" s="43"/>
      <c r="M555" s="42"/>
      <c r="N555" s="42"/>
      <c r="O555" s="42"/>
      <c r="P555" s="42"/>
      <c r="Q555" s="42"/>
      <c r="R555" s="42"/>
      <c r="S555" s="42"/>
      <c r="T555" s="42"/>
      <c r="U555" s="42"/>
      <c r="V555" s="42"/>
      <c r="W555" s="42"/>
      <c r="X555" s="42"/>
      <c r="Y555" s="43"/>
      <c r="Z555" s="42"/>
      <c r="AA555" s="42"/>
      <c r="AB555" s="44"/>
      <c r="AP555"/>
      <c r="AQ555" s="52"/>
      <c r="AR555" s="52"/>
      <c r="AS555"/>
      <c r="AT555" s="52"/>
      <c r="AU555" s="52"/>
      <c r="AV555"/>
      <c r="AW555" s="53"/>
      <c r="AX555" s="53"/>
      <c r="AY555" s="53"/>
      <c r="AZ555" s="53"/>
      <c r="BA555" s="53"/>
      <c r="BB555" s="52"/>
      <c r="BC555" s="52"/>
      <c r="BD555" s="52"/>
      <c r="BE555" s="52"/>
      <c r="BF555" s="83"/>
    </row>
    <row r="556" spans="1:58" ht="16" x14ac:dyDescent="0.35">
      <c r="A556" s="37"/>
      <c r="B556" s="38"/>
      <c r="C556" s="38"/>
      <c r="D556" s="38"/>
      <c r="E556" s="38"/>
      <c r="F556" s="38"/>
      <c r="G556" s="38"/>
      <c r="H556" s="39"/>
      <c r="I556" s="39"/>
      <c r="J556" s="39"/>
      <c r="K556" s="39"/>
      <c r="L556" s="39"/>
      <c r="M556" s="38"/>
      <c r="N556" s="38"/>
      <c r="O556" s="38"/>
      <c r="P556" s="38"/>
      <c r="Q556" s="38"/>
      <c r="R556" s="38"/>
      <c r="S556" s="38"/>
      <c r="T556" s="38"/>
      <c r="U556" s="38"/>
      <c r="V556" s="38"/>
      <c r="W556" s="38"/>
      <c r="X556" s="38"/>
      <c r="Y556" s="39"/>
      <c r="Z556" s="38"/>
      <c r="AA556" s="38"/>
      <c r="AB556" s="40"/>
      <c r="AP556"/>
      <c r="AQ556" s="48"/>
      <c r="AR556" s="48"/>
      <c r="AS556"/>
      <c r="AT556" s="48"/>
      <c r="AU556" s="48"/>
      <c r="AV556"/>
      <c r="AW556" s="49"/>
      <c r="AX556" s="49"/>
      <c r="AY556" s="49"/>
      <c r="AZ556" s="49"/>
      <c r="BA556" s="49"/>
      <c r="BB556" s="48"/>
      <c r="BC556" s="48"/>
      <c r="BD556" s="48"/>
      <c r="BE556" s="48"/>
      <c r="BF556" s="83"/>
    </row>
    <row r="557" spans="1:58" ht="16" x14ac:dyDescent="0.35">
      <c r="A557" s="41"/>
      <c r="B557" s="42"/>
      <c r="C557" s="42"/>
      <c r="D557" s="42"/>
      <c r="E557" s="42"/>
      <c r="F557" s="42"/>
      <c r="G557" s="42"/>
      <c r="H557" s="43"/>
      <c r="I557" s="43"/>
      <c r="J557" s="43"/>
      <c r="K557" s="43"/>
      <c r="L557" s="43"/>
      <c r="M557" s="42"/>
      <c r="N557" s="42"/>
      <c r="O557" s="42"/>
      <c r="P557" s="42"/>
      <c r="Q557" s="42"/>
      <c r="R557" s="42"/>
      <c r="S557" s="42"/>
      <c r="T557" s="42"/>
      <c r="U557" s="42"/>
      <c r="V557" s="42"/>
      <c r="W557" s="42"/>
      <c r="X557" s="42"/>
      <c r="Y557" s="43"/>
      <c r="Z557" s="42"/>
      <c r="AA557" s="42"/>
      <c r="AB557" s="44"/>
      <c r="AP557"/>
      <c r="AQ557" s="52"/>
      <c r="AR557" s="52"/>
      <c r="AS557"/>
      <c r="AT557" s="52"/>
      <c r="AU557" s="52"/>
      <c r="AV557"/>
      <c r="AW557" s="53"/>
      <c r="AX557" s="53"/>
      <c r="AY557" s="53"/>
      <c r="AZ557" s="53"/>
      <c r="BA557" s="53"/>
      <c r="BB557" s="52"/>
      <c r="BC557" s="52"/>
      <c r="BD557" s="52"/>
      <c r="BE557" s="52"/>
      <c r="BF557" s="83"/>
    </row>
    <row r="558" spans="1:58" ht="16" x14ac:dyDescent="0.35">
      <c r="A558" s="37"/>
      <c r="B558" s="38"/>
      <c r="C558" s="38"/>
      <c r="D558" s="38"/>
      <c r="E558" s="38"/>
      <c r="F558" s="38"/>
      <c r="G558" s="38"/>
      <c r="H558" s="39"/>
      <c r="I558" s="39"/>
      <c r="J558" s="39"/>
      <c r="K558" s="39"/>
      <c r="L558" s="39"/>
      <c r="M558" s="38"/>
      <c r="N558" s="38"/>
      <c r="O558" s="38"/>
      <c r="P558" s="38"/>
      <c r="Q558" s="38"/>
      <c r="R558" s="38"/>
      <c r="S558" s="38"/>
      <c r="T558" s="38"/>
      <c r="U558" s="38"/>
      <c r="V558" s="38"/>
      <c r="W558" s="38"/>
      <c r="X558" s="38"/>
      <c r="Y558" s="39"/>
      <c r="Z558" s="38"/>
      <c r="AA558" s="38"/>
      <c r="AB558" s="40"/>
      <c r="AP558"/>
      <c r="AQ558" s="48"/>
      <c r="AR558" s="48"/>
      <c r="AS558"/>
      <c r="AT558" s="48"/>
      <c r="AU558" s="48"/>
      <c r="AV558"/>
      <c r="AW558" s="49"/>
      <c r="AX558" s="49"/>
      <c r="AY558" s="49"/>
      <c r="AZ558" s="49"/>
      <c r="BA558" s="49"/>
      <c r="BB558" s="48"/>
      <c r="BC558" s="48"/>
      <c r="BD558" s="48"/>
      <c r="BE558" s="48"/>
      <c r="BF558" s="83"/>
    </row>
    <row r="559" spans="1:58" ht="16" x14ac:dyDescent="0.35">
      <c r="A559" s="41"/>
      <c r="B559" s="42"/>
      <c r="C559" s="42"/>
      <c r="D559" s="42"/>
      <c r="E559" s="42"/>
      <c r="F559" s="42"/>
      <c r="G559" s="42"/>
      <c r="H559" s="43"/>
      <c r="I559" s="43"/>
      <c r="J559" s="43"/>
      <c r="K559" s="43"/>
      <c r="L559" s="43"/>
      <c r="M559" s="42"/>
      <c r="N559" s="42"/>
      <c r="O559" s="42"/>
      <c r="P559" s="42"/>
      <c r="Q559" s="42"/>
      <c r="R559" s="42"/>
      <c r="S559" s="42"/>
      <c r="T559" s="42"/>
      <c r="U559" s="42"/>
      <c r="V559" s="42"/>
      <c r="W559" s="42"/>
      <c r="X559" s="42"/>
      <c r="Y559" s="43"/>
      <c r="Z559" s="42"/>
      <c r="AA559" s="42"/>
      <c r="AB559" s="44"/>
      <c r="AP559"/>
      <c r="AQ559" s="52"/>
      <c r="AR559" s="52"/>
      <c r="AS559"/>
      <c r="AT559" s="52"/>
      <c r="AU559" s="52"/>
      <c r="AV559"/>
      <c r="AW559" s="53"/>
      <c r="AX559" s="53"/>
      <c r="AY559" s="53"/>
      <c r="AZ559" s="53"/>
      <c r="BA559" s="53"/>
      <c r="BB559" s="52"/>
      <c r="BC559" s="52"/>
      <c r="BD559" s="52"/>
      <c r="BE559" s="52"/>
      <c r="BF559" s="83"/>
    </row>
    <row r="560" spans="1:58" ht="16" x14ac:dyDescent="0.35">
      <c r="A560" s="37"/>
      <c r="B560" s="38"/>
      <c r="C560" s="38"/>
      <c r="D560" s="38"/>
      <c r="E560" s="38"/>
      <c r="F560" s="38"/>
      <c r="G560" s="38"/>
      <c r="H560" s="39"/>
      <c r="I560" s="39"/>
      <c r="J560" s="39"/>
      <c r="K560" s="39"/>
      <c r="L560" s="39"/>
      <c r="M560" s="38"/>
      <c r="N560" s="38"/>
      <c r="O560" s="38"/>
      <c r="P560" s="38"/>
      <c r="Q560" s="38"/>
      <c r="R560" s="38"/>
      <c r="S560" s="38"/>
      <c r="T560" s="38"/>
      <c r="U560" s="38"/>
      <c r="V560" s="38"/>
      <c r="W560" s="38"/>
      <c r="X560" s="38"/>
      <c r="Y560" s="39"/>
      <c r="Z560" s="38"/>
      <c r="AA560" s="38"/>
      <c r="AB560" s="40"/>
      <c r="AP560"/>
      <c r="AQ560" s="48"/>
      <c r="AR560" s="48"/>
      <c r="AS560"/>
      <c r="AT560" s="48"/>
      <c r="AU560" s="48"/>
      <c r="AV560"/>
      <c r="AW560" s="49"/>
      <c r="AX560" s="49"/>
      <c r="AY560" s="49"/>
      <c r="AZ560" s="49"/>
      <c r="BA560" s="49"/>
      <c r="BB560" s="48"/>
      <c r="BC560" s="48"/>
      <c r="BD560" s="48"/>
      <c r="BE560" s="48"/>
      <c r="BF560" s="83"/>
    </row>
    <row r="561" spans="1:58" ht="16" x14ac:dyDescent="0.35">
      <c r="A561" s="41"/>
      <c r="B561" s="42"/>
      <c r="C561" s="42"/>
      <c r="D561" s="42"/>
      <c r="E561" s="42"/>
      <c r="F561" s="42"/>
      <c r="G561" s="42"/>
      <c r="H561" s="43"/>
      <c r="I561" s="43"/>
      <c r="J561" s="43"/>
      <c r="K561" s="43"/>
      <c r="L561" s="43"/>
      <c r="M561" s="42"/>
      <c r="N561" s="42"/>
      <c r="O561" s="42"/>
      <c r="P561" s="42"/>
      <c r="Q561" s="42"/>
      <c r="R561" s="42"/>
      <c r="S561" s="42"/>
      <c r="T561" s="42"/>
      <c r="U561" s="42"/>
      <c r="V561" s="42"/>
      <c r="W561" s="42"/>
      <c r="X561" s="42"/>
      <c r="Y561" s="43"/>
      <c r="Z561" s="42"/>
      <c r="AA561" s="42"/>
      <c r="AB561" s="44"/>
      <c r="AP561"/>
      <c r="AQ561" s="52"/>
      <c r="AR561" s="52"/>
      <c r="AS561"/>
      <c r="AT561" s="52"/>
      <c r="AU561" s="52"/>
      <c r="AV561"/>
      <c r="AW561" s="53"/>
      <c r="AX561" s="53"/>
      <c r="AY561" s="53"/>
      <c r="AZ561" s="53"/>
      <c r="BA561" s="53"/>
      <c r="BB561" s="52"/>
      <c r="BC561" s="52"/>
      <c r="BD561" s="52"/>
      <c r="BE561" s="52"/>
      <c r="BF561" s="83"/>
    </row>
    <row r="562" spans="1:58" ht="16" x14ac:dyDescent="0.35">
      <c r="A562" s="37"/>
      <c r="B562" s="38"/>
      <c r="C562" s="38"/>
      <c r="D562" s="38"/>
      <c r="E562" s="38"/>
      <c r="F562" s="38"/>
      <c r="G562" s="38"/>
      <c r="H562" s="39"/>
      <c r="I562" s="39"/>
      <c r="J562" s="39"/>
      <c r="K562" s="39"/>
      <c r="L562" s="39"/>
      <c r="M562" s="38"/>
      <c r="N562" s="38"/>
      <c r="O562" s="38"/>
      <c r="P562" s="38"/>
      <c r="Q562" s="38"/>
      <c r="R562" s="38"/>
      <c r="S562" s="38"/>
      <c r="T562" s="38"/>
      <c r="U562" s="38"/>
      <c r="V562" s="38"/>
      <c r="W562" s="38"/>
      <c r="X562" s="38"/>
      <c r="Y562" s="39"/>
      <c r="Z562" s="38"/>
      <c r="AA562" s="38"/>
      <c r="AB562" s="40"/>
      <c r="AP562"/>
      <c r="AQ562" s="48"/>
      <c r="AR562" s="48"/>
      <c r="AS562"/>
      <c r="AT562" s="48"/>
      <c r="AU562" s="48"/>
      <c r="AV562"/>
      <c r="AW562" s="49"/>
      <c r="AX562" s="49"/>
      <c r="AY562" s="49"/>
      <c r="AZ562" s="49"/>
      <c r="BA562" s="49"/>
      <c r="BB562" s="48"/>
      <c r="BC562" s="48"/>
      <c r="BD562" s="48"/>
      <c r="BE562" s="48"/>
      <c r="BF562" s="83"/>
    </row>
    <row r="563" spans="1:58" ht="16" x14ac:dyDescent="0.35">
      <c r="A563" s="41"/>
      <c r="B563" s="42"/>
      <c r="C563" s="42"/>
      <c r="D563" s="42"/>
      <c r="E563" s="42"/>
      <c r="F563" s="42"/>
      <c r="G563" s="42"/>
      <c r="H563" s="43"/>
      <c r="I563" s="43"/>
      <c r="J563" s="43"/>
      <c r="K563" s="43"/>
      <c r="L563" s="43"/>
      <c r="M563" s="42"/>
      <c r="N563" s="42"/>
      <c r="O563" s="42"/>
      <c r="P563" s="42"/>
      <c r="Q563" s="42"/>
      <c r="R563" s="42"/>
      <c r="S563" s="42"/>
      <c r="T563" s="42"/>
      <c r="U563" s="42"/>
      <c r="V563" s="42"/>
      <c r="W563" s="42"/>
      <c r="X563" s="42"/>
      <c r="Y563" s="43"/>
      <c r="Z563" s="42"/>
      <c r="AA563" s="42"/>
      <c r="AB563" s="44"/>
      <c r="AP563"/>
      <c r="AQ563" s="52"/>
      <c r="AR563" s="52"/>
      <c r="AS563"/>
      <c r="AT563" s="52"/>
      <c r="AU563" s="52"/>
      <c r="AV563"/>
      <c r="AW563" s="53"/>
      <c r="AX563" s="53"/>
      <c r="AY563" s="53"/>
      <c r="AZ563" s="53"/>
      <c r="BA563" s="53"/>
      <c r="BB563" s="52"/>
      <c r="BC563" s="52"/>
      <c r="BD563" s="52"/>
      <c r="BE563" s="52"/>
      <c r="BF563" s="83"/>
    </row>
    <row r="564" spans="1:58" ht="16" x14ac:dyDescent="0.35">
      <c r="A564" s="37"/>
      <c r="B564" s="38"/>
      <c r="C564" s="38"/>
      <c r="D564" s="38"/>
      <c r="E564" s="38"/>
      <c r="F564" s="38"/>
      <c r="G564" s="38"/>
      <c r="H564" s="39"/>
      <c r="I564" s="39"/>
      <c r="J564" s="39"/>
      <c r="K564" s="39"/>
      <c r="L564" s="39"/>
      <c r="M564" s="38"/>
      <c r="N564" s="38"/>
      <c r="O564" s="38"/>
      <c r="P564" s="38"/>
      <c r="Q564" s="38"/>
      <c r="R564" s="38"/>
      <c r="S564" s="38"/>
      <c r="T564" s="38"/>
      <c r="U564" s="38"/>
      <c r="V564" s="38"/>
      <c r="W564" s="38"/>
      <c r="X564" s="38"/>
      <c r="Y564" s="39"/>
      <c r="Z564" s="38"/>
      <c r="AA564" s="38"/>
      <c r="AB564" s="40"/>
      <c r="AP564"/>
      <c r="AQ564" s="48"/>
      <c r="AR564" s="48"/>
      <c r="AS564"/>
      <c r="AT564" s="48"/>
      <c r="AU564" s="48"/>
      <c r="AV564"/>
      <c r="AW564" s="49"/>
      <c r="AX564" s="49"/>
      <c r="AY564" s="49"/>
      <c r="AZ564" s="49"/>
      <c r="BA564" s="49"/>
      <c r="BB564" s="48"/>
      <c r="BC564" s="48"/>
      <c r="BD564" s="48"/>
      <c r="BE564" s="48"/>
      <c r="BF564" s="83"/>
    </row>
    <row r="565" spans="1:58" ht="16" x14ac:dyDescent="0.35">
      <c r="A565" s="41"/>
      <c r="B565" s="42"/>
      <c r="C565" s="42"/>
      <c r="D565" s="42"/>
      <c r="E565" s="42"/>
      <c r="F565" s="42"/>
      <c r="G565" s="42"/>
      <c r="H565" s="43"/>
      <c r="I565" s="43"/>
      <c r="J565" s="43"/>
      <c r="K565" s="43"/>
      <c r="L565" s="43"/>
      <c r="M565" s="42"/>
      <c r="N565" s="42"/>
      <c r="O565" s="42"/>
      <c r="P565" s="42"/>
      <c r="Q565" s="42"/>
      <c r="R565" s="42"/>
      <c r="S565" s="42"/>
      <c r="T565" s="42"/>
      <c r="U565" s="42"/>
      <c r="V565" s="42"/>
      <c r="W565" s="42"/>
      <c r="X565" s="42"/>
      <c r="Y565" s="43"/>
      <c r="Z565" s="42"/>
      <c r="AA565" s="42"/>
      <c r="AB565" s="44"/>
      <c r="AP565"/>
      <c r="AQ565" s="52"/>
      <c r="AR565" s="52"/>
      <c r="AS565"/>
      <c r="AT565" s="52"/>
      <c r="AU565" s="52"/>
      <c r="AV565"/>
      <c r="AW565" s="53"/>
      <c r="AX565" s="53"/>
      <c r="AY565" s="53"/>
      <c r="AZ565" s="53"/>
      <c r="BA565" s="53"/>
      <c r="BB565" s="52"/>
      <c r="BC565" s="52"/>
      <c r="BD565" s="52"/>
      <c r="BE565" s="52"/>
      <c r="BF565" s="83"/>
    </row>
    <row r="566" spans="1:58" ht="16" x14ac:dyDescent="0.35">
      <c r="A566" s="37"/>
      <c r="B566" s="38"/>
      <c r="C566" s="38"/>
      <c r="D566" s="38"/>
      <c r="E566" s="38"/>
      <c r="F566" s="38"/>
      <c r="G566" s="38"/>
      <c r="H566" s="39"/>
      <c r="I566" s="39"/>
      <c r="J566" s="39"/>
      <c r="K566" s="39"/>
      <c r="L566" s="39"/>
      <c r="M566" s="38"/>
      <c r="N566" s="38"/>
      <c r="O566" s="38"/>
      <c r="P566" s="38"/>
      <c r="Q566" s="38"/>
      <c r="R566" s="38"/>
      <c r="S566" s="38"/>
      <c r="T566" s="38"/>
      <c r="U566" s="38"/>
      <c r="V566" s="38"/>
      <c r="W566" s="38"/>
      <c r="X566" s="38"/>
      <c r="Y566" s="39"/>
      <c r="Z566" s="38"/>
      <c r="AA566" s="38"/>
      <c r="AB566" s="40"/>
      <c r="AP566"/>
      <c r="AQ566" s="48"/>
      <c r="AR566" s="48"/>
      <c r="AS566"/>
      <c r="AT566" s="48"/>
      <c r="AU566" s="48"/>
      <c r="AV566"/>
      <c r="AW566" s="49"/>
      <c r="AX566" s="49"/>
      <c r="AY566" s="49"/>
      <c r="AZ566" s="49"/>
      <c r="BA566" s="49"/>
      <c r="BB566" s="48"/>
      <c r="BC566" s="48"/>
      <c r="BD566" s="48"/>
      <c r="BE566" s="48"/>
      <c r="BF566" s="83"/>
    </row>
    <row r="567" spans="1:58" ht="16" x14ac:dyDescent="0.35">
      <c r="A567" s="41"/>
      <c r="B567" s="42"/>
      <c r="C567" s="42"/>
      <c r="D567" s="42"/>
      <c r="E567" s="42"/>
      <c r="F567" s="42"/>
      <c r="G567" s="42"/>
      <c r="H567" s="43"/>
      <c r="I567" s="43"/>
      <c r="J567" s="43"/>
      <c r="K567" s="43"/>
      <c r="L567" s="43"/>
      <c r="M567" s="42"/>
      <c r="N567" s="42"/>
      <c r="O567" s="42"/>
      <c r="P567" s="42"/>
      <c r="Q567" s="42"/>
      <c r="R567" s="42"/>
      <c r="S567" s="42"/>
      <c r="T567" s="42"/>
      <c r="U567" s="42"/>
      <c r="V567" s="42"/>
      <c r="W567" s="42"/>
      <c r="X567" s="42"/>
      <c r="Y567" s="43"/>
      <c r="Z567" s="42"/>
      <c r="AA567" s="42"/>
      <c r="AB567" s="44"/>
      <c r="AP567"/>
      <c r="AQ567" s="52"/>
      <c r="AR567" s="52"/>
      <c r="AS567"/>
      <c r="AT567" s="52"/>
      <c r="AU567" s="52"/>
      <c r="AV567"/>
      <c r="AW567" s="53"/>
      <c r="AX567" s="53"/>
      <c r="AY567" s="53"/>
      <c r="AZ567" s="53"/>
      <c r="BA567" s="53"/>
      <c r="BB567" s="52"/>
      <c r="BC567" s="52"/>
      <c r="BD567" s="52"/>
      <c r="BE567" s="52"/>
      <c r="BF567" s="83"/>
    </row>
    <row r="568" spans="1:58" ht="16" x14ac:dyDescent="0.35">
      <c r="A568" s="37"/>
      <c r="B568" s="38"/>
      <c r="C568" s="38"/>
      <c r="D568" s="38"/>
      <c r="E568" s="38"/>
      <c r="F568" s="38"/>
      <c r="G568" s="38"/>
      <c r="H568" s="39"/>
      <c r="I568" s="39"/>
      <c r="J568" s="39"/>
      <c r="K568" s="39"/>
      <c r="L568" s="39"/>
      <c r="M568" s="38"/>
      <c r="N568" s="38"/>
      <c r="O568" s="38"/>
      <c r="P568" s="38"/>
      <c r="Q568" s="38"/>
      <c r="R568" s="38"/>
      <c r="S568" s="38"/>
      <c r="T568" s="38"/>
      <c r="U568" s="38"/>
      <c r="V568" s="38"/>
      <c r="W568" s="38"/>
      <c r="X568" s="38"/>
      <c r="Y568" s="39"/>
      <c r="Z568" s="38"/>
      <c r="AA568" s="38"/>
      <c r="AB568" s="40"/>
      <c r="AP568"/>
      <c r="AQ568" s="48"/>
      <c r="AR568" s="48"/>
      <c r="AS568"/>
      <c r="AT568" s="48"/>
      <c r="AU568" s="48"/>
      <c r="AV568"/>
      <c r="AW568" s="49"/>
      <c r="AX568" s="49"/>
      <c r="AY568" s="49"/>
      <c r="AZ568" s="49"/>
      <c r="BA568" s="49"/>
      <c r="BB568" s="48"/>
      <c r="BC568" s="48"/>
      <c r="BD568" s="48"/>
      <c r="BE568" s="48"/>
      <c r="BF568" s="83"/>
    </row>
    <row r="569" spans="1:58" ht="16" x14ac:dyDescent="0.35">
      <c r="A569" s="41"/>
      <c r="B569" s="42"/>
      <c r="C569" s="42"/>
      <c r="D569" s="42"/>
      <c r="E569" s="42"/>
      <c r="F569" s="42"/>
      <c r="G569" s="42"/>
      <c r="H569" s="43"/>
      <c r="I569" s="43"/>
      <c r="J569" s="43"/>
      <c r="K569" s="43"/>
      <c r="L569" s="43"/>
      <c r="M569" s="42"/>
      <c r="N569" s="42"/>
      <c r="O569" s="42"/>
      <c r="P569" s="42"/>
      <c r="Q569" s="42"/>
      <c r="R569" s="42"/>
      <c r="S569" s="42"/>
      <c r="T569" s="42"/>
      <c r="U569" s="42"/>
      <c r="V569" s="42"/>
      <c r="W569" s="42"/>
      <c r="X569" s="42"/>
      <c r="Y569" s="43"/>
      <c r="Z569" s="42"/>
      <c r="AA569" s="42"/>
      <c r="AB569" s="44"/>
      <c r="AP569"/>
      <c r="AQ569" s="52"/>
      <c r="AR569" s="52"/>
      <c r="AS569"/>
      <c r="AT569" s="52"/>
      <c r="AU569" s="52"/>
      <c r="AV569"/>
      <c r="AW569" s="53"/>
      <c r="AX569" s="53"/>
      <c r="AY569" s="53"/>
      <c r="AZ569" s="53"/>
      <c r="BA569" s="53"/>
      <c r="BB569" s="52"/>
      <c r="BC569" s="52"/>
      <c r="BD569" s="52"/>
      <c r="BE569" s="52"/>
      <c r="BF569" s="83"/>
    </row>
    <row r="570" spans="1:58" ht="16" x14ac:dyDescent="0.35">
      <c r="A570" s="37"/>
      <c r="B570" s="38"/>
      <c r="C570" s="38"/>
      <c r="D570" s="38"/>
      <c r="E570" s="38"/>
      <c r="F570" s="38"/>
      <c r="G570" s="38"/>
      <c r="H570" s="39"/>
      <c r="I570" s="39"/>
      <c r="J570" s="39"/>
      <c r="K570" s="39"/>
      <c r="L570" s="39"/>
      <c r="M570" s="38"/>
      <c r="N570" s="38"/>
      <c r="O570" s="38"/>
      <c r="P570" s="38"/>
      <c r="Q570" s="38"/>
      <c r="R570" s="38"/>
      <c r="S570" s="38"/>
      <c r="T570" s="38"/>
      <c r="U570" s="38"/>
      <c r="V570" s="38"/>
      <c r="W570" s="38"/>
      <c r="X570" s="38"/>
      <c r="Y570" s="39"/>
      <c r="Z570" s="38"/>
      <c r="AA570" s="38"/>
      <c r="AB570" s="40"/>
      <c r="AP570"/>
      <c r="AQ570" s="48"/>
      <c r="AR570" s="48"/>
      <c r="AS570"/>
      <c r="AT570" s="48"/>
      <c r="AU570" s="48"/>
      <c r="AV570"/>
      <c r="AW570" s="49"/>
      <c r="AX570" s="49"/>
      <c r="AY570" s="49"/>
      <c r="AZ570" s="49"/>
      <c r="BA570" s="49"/>
      <c r="BB570" s="48"/>
      <c r="BC570" s="48"/>
      <c r="BD570" s="48"/>
      <c r="BE570" s="48"/>
      <c r="BF570" s="83"/>
    </row>
    <row r="571" spans="1:58" ht="16" x14ac:dyDescent="0.35">
      <c r="A571" s="41"/>
      <c r="B571" s="42"/>
      <c r="C571" s="42"/>
      <c r="D571" s="42"/>
      <c r="E571" s="42"/>
      <c r="F571" s="42"/>
      <c r="G571" s="42"/>
      <c r="H571" s="43"/>
      <c r="I571" s="43"/>
      <c r="J571" s="43"/>
      <c r="K571" s="43"/>
      <c r="L571" s="43"/>
      <c r="M571" s="42"/>
      <c r="N571" s="42"/>
      <c r="O571" s="42"/>
      <c r="P571" s="42"/>
      <c r="Q571" s="42"/>
      <c r="R571" s="42"/>
      <c r="S571" s="42"/>
      <c r="T571" s="42"/>
      <c r="U571" s="42"/>
      <c r="V571" s="42"/>
      <c r="W571" s="42"/>
      <c r="X571" s="42"/>
      <c r="Y571" s="43"/>
      <c r="Z571" s="42"/>
      <c r="AA571" s="42"/>
      <c r="AB571" s="44"/>
      <c r="AP571"/>
      <c r="AQ571" s="52"/>
      <c r="AR571" s="52"/>
      <c r="AS571"/>
      <c r="AT571" s="52"/>
      <c r="AU571" s="52"/>
      <c r="AV571"/>
      <c r="AW571" s="53"/>
      <c r="AX571" s="53"/>
      <c r="AY571" s="53"/>
      <c r="AZ571" s="53"/>
      <c r="BA571" s="53"/>
      <c r="BB571" s="52"/>
      <c r="BC571" s="52"/>
      <c r="BD571" s="52"/>
      <c r="BE571" s="52"/>
      <c r="BF571" s="83"/>
    </row>
    <row r="572" spans="1:58" ht="16" x14ac:dyDescent="0.35">
      <c r="A572" s="37"/>
      <c r="B572" s="38"/>
      <c r="C572" s="38"/>
      <c r="D572" s="38"/>
      <c r="E572" s="38"/>
      <c r="F572" s="38"/>
      <c r="G572" s="38"/>
      <c r="H572" s="39"/>
      <c r="I572" s="39"/>
      <c r="J572" s="39"/>
      <c r="K572" s="39"/>
      <c r="L572" s="39"/>
      <c r="M572" s="38"/>
      <c r="N572" s="38"/>
      <c r="O572" s="38"/>
      <c r="P572" s="38"/>
      <c r="Q572" s="38"/>
      <c r="R572" s="38"/>
      <c r="S572" s="38"/>
      <c r="T572" s="38"/>
      <c r="U572" s="38"/>
      <c r="V572" s="38"/>
      <c r="W572" s="38"/>
      <c r="X572" s="38"/>
      <c r="Y572" s="39"/>
      <c r="Z572" s="38"/>
      <c r="AA572" s="38"/>
      <c r="AB572" s="40"/>
      <c r="AP572"/>
      <c r="AQ572" s="48"/>
      <c r="AR572" s="48"/>
      <c r="AS572"/>
      <c r="AT572" s="48"/>
      <c r="AU572" s="48"/>
      <c r="AV572"/>
      <c r="AW572" s="49"/>
      <c r="AX572" s="49"/>
      <c r="AY572" s="49"/>
      <c r="AZ572" s="49"/>
      <c r="BA572" s="49"/>
      <c r="BB572" s="48"/>
      <c r="BC572" s="48"/>
      <c r="BD572" s="48"/>
      <c r="BE572" s="48"/>
      <c r="BF572" s="83"/>
    </row>
    <row r="573" spans="1:58" ht="16" x14ac:dyDescent="0.35">
      <c r="A573" s="41"/>
      <c r="B573" s="42"/>
      <c r="C573" s="42"/>
      <c r="D573" s="42"/>
      <c r="E573" s="42"/>
      <c r="F573" s="42"/>
      <c r="G573" s="42"/>
      <c r="H573" s="43"/>
      <c r="I573" s="43"/>
      <c r="J573" s="43"/>
      <c r="K573" s="43"/>
      <c r="L573" s="43"/>
      <c r="M573" s="42"/>
      <c r="N573" s="42"/>
      <c r="O573" s="42"/>
      <c r="P573" s="42"/>
      <c r="Q573" s="42"/>
      <c r="R573" s="42"/>
      <c r="S573" s="42"/>
      <c r="T573" s="42"/>
      <c r="U573" s="42"/>
      <c r="V573" s="42"/>
      <c r="W573" s="42"/>
      <c r="X573" s="42"/>
      <c r="Y573" s="43"/>
      <c r="Z573" s="42"/>
      <c r="AA573" s="42"/>
      <c r="AB573" s="44"/>
      <c r="AP573"/>
      <c r="AQ573" s="52"/>
      <c r="AR573" s="52"/>
      <c r="AS573"/>
      <c r="AT573" s="52"/>
      <c r="AU573" s="52"/>
      <c r="AV573"/>
      <c r="AW573" s="53"/>
      <c r="AX573" s="53"/>
      <c r="AY573" s="53"/>
      <c r="AZ573" s="53"/>
      <c r="BA573" s="53"/>
      <c r="BB573" s="52"/>
      <c r="BC573" s="52"/>
      <c r="BD573" s="52"/>
      <c r="BE573" s="52"/>
      <c r="BF573" s="83"/>
    </row>
    <row r="574" spans="1:58" ht="16" x14ac:dyDescent="0.35">
      <c r="A574" s="37"/>
      <c r="B574" s="38"/>
      <c r="C574" s="38"/>
      <c r="D574" s="38"/>
      <c r="E574" s="38"/>
      <c r="F574" s="38"/>
      <c r="G574" s="38"/>
      <c r="H574" s="39"/>
      <c r="I574" s="39"/>
      <c r="J574" s="39"/>
      <c r="K574" s="39"/>
      <c r="L574" s="39"/>
      <c r="M574" s="38"/>
      <c r="N574" s="38"/>
      <c r="O574" s="38"/>
      <c r="P574" s="38"/>
      <c r="Q574" s="38"/>
      <c r="R574" s="38"/>
      <c r="S574" s="38"/>
      <c r="T574" s="38"/>
      <c r="U574" s="38"/>
      <c r="V574" s="38"/>
      <c r="W574" s="38"/>
      <c r="X574" s="38"/>
      <c r="Y574" s="39"/>
      <c r="Z574" s="38"/>
      <c r="AA574" s="38"/>
      <c r="AB574" s="40"/>
      <c r="AP574"/>
      <c r="AQ574" s="48"/>
      <c r="AR574" s="48"/>
      <c r="AS574"/>
      <c r="AT574" s="48"/>
      <c r="AU574" s="48"/>
      <c r="AV574"/>
      <c r="AW574" s="49"/>
      <c r="AX574" s="49"/>
      <c r="AY574" s="49"/>
      <c r="AZ574" s="49"/>
      <c r="BA574" s="49"/>
      <c r="BB574" s="48"/>
      <c r="BC574" s="48"/>
      <c r="BD574" s="48"/>
      <c r="BE574" s="48"/>
      <c r="BF574" s="83"/>
    </row>
    <row r="575" spans="1:58" ht="16" x14ac:dyDescent="0.35">
      <c r="A575" s="41"/>
      <c r="B575" s="42"/>
      <c r="C575" s="42"/>
      <c r="D575" s="42"/>
      <c r="E575" s="42"/>
      <c r="F575" s="42"/>
      <c r="G575" s="42"/>
      <c r="H575" s="43"/>
      <c r="I575" s="43"/>
      <c r="J575" s="43"/>
      <c r="K575" s="43"/>
      <c r="L575" s="43"/>
      <c r="M575" s="42"/>
      <c r="N575" s="42"/>
      <c r="O575" s="42"/>
      <c r="P575" s="42"/>
      <c r="Q575" s="42"/>
      <c r="R575" s="42"/>
      <c r="S575" s="42"/>
      <c r="T575" s="42"/>
      <c r="U575" s="42"/>
      <c r="V575" s="42"/>
      <c r="W575" s="42"/>
      <c r="X575" s="42"/>
      <c r="Y575" s="43"/>
      <c r="Z575" s="42"/>
      <c r="AA575" s="42"/>
      <c r="AB575" s="44"/>
      <c r="AP575"/>
      <c r="AQ575" s="52"/>
      <c r="AR575" s="52"/>
      <c r="AS575"/>
      <c r="AT575" s="52"/>
      <c r="AU575" s="52"/>
      <c r="AV575"/>
      <c r="AW575" s="53"/>
      <c r="AX575" s="53"/>
      <c r="AY575" s="53"/>
      <c r="AZ575" s="53"/>
      <c r="BA575" s="53"/>
      <c r="BB575" s="52"/>
      <c r="BC575" s="52"/>
      <c r="BD575" s="52"/>
      <c r="BE575" s="52"/>
      <c r="BF575" s="83"/>
    </row>
    <row r="576" spans="1:58" ht="16" x14ac:dyDescent="0.35">
      <c r="A576" s="37"/>
      <c r="B576" s="38"/>
      <c r="C576" s="38"/>
      <c r="D576" s="38"/>
      <c r="E576" s="38"/>
      <c r="F576" s="38"/>
      <c r="G576" s="38"/>
      <c r="H576" s="39"/>
      <c r="I576" s="39"/>
      <c r="J576" s="39"/>
      <c r="K576" s="39"/>
      <c r="L576" s="39"/>
      <c r="M576" s="38"/>
      <c r="N576" s="38"/>
      <c r="O576" s="38"/>
      <c r="P576" s="38"/>
      <c r="Q576" s="38"/>
      <c r="R576" s="38"/>
      <c r="S576" s="38"/>
      <c r="T576" s="38"/>
      <c r="U576" s="38"/>
      <c r="V576" s="38"/>
      <c r="W576" s="38"/>
      <c r="X576" s="38"/>
      <c r="Y576" s="39"/>
      <c r="Z576" s="38"/>
      <c r="AA576" s="38"/>
      <c r="AB576" s="40"/>
      <c r="AP576"/>
      <c r="AQ576" s="48"/>
      <c r="AR576" s="48"/>
      <c r="AS576"/>
      <c r="AT576" s="48"/>
      <c r="AU576" s="48"/>
      <c r="AV576"/>
      <c r="AW576" s="49"/>
      <c r="AX576" s="49"/>
      <c r="AY576" s="49"/>
      <c r="AZ576" s="49"/>
      <c r="BA576" s="49"/>
      <c r="BB576" s="48"/>
      <c r="BC576" s="48"/>
      <c r="BD576" s="48"/>
      <c r="BE576" s="48"/>
      <c r="BF576" s="83"/>
    </row>
    <row r="577" spans="1:58" ht="16" x14ac:dyDescent="0.35">
      <c r="A577" s="41"/>
      <c r="B577" s="42"/>
      <c r="C577" s="42"/>
      <c r="D577" s="42"/>
      <c r="E577" s="42"/>
      <c r="F577" s="42"/>
      <c r="G577" s="42"/>
      <c r="H577" s="43"/>
      <c r="I577" s="43"/>
      <c r="J577" s="43"/>
      <c r="K577" s="43"/>
      <c r="L577" s="43"/>
      <c r="M577" s="42"/>
      <c r="N577" s="42"/>
      <c r="O577" s="42"/>
      <c r="P577" s="42"/>
      <c r="Q577" s="42"/>
      <c r="R577" s="42"/>
      <c r="S577" s="42"/>
      <c r="T577" s="42"/>
      <c r="U577" s="42"/>
      <c r="V577" s="42"/>
      <c r="W577" s="42"/>
      <c r="X577" s="42"/>
      <c r="Y577" s="43"/>
      <c r="Z577" s="42"/>
      <c r="AA577" s="42"/>
      <c r="AB577" s="44"/>
      <c r="AP577"/>
      <c r="AQ577" s="52"/>
      <c r="AR577" s="52"/>
      <c r="AS577"/>
      <c r="AT577" s="52"/>
      <c r="AU577" s="52"/>
      <c r="AV577"/>
      <c r="AW577" s="53"/>
      <c r="AX577" s="53"/>
      <c r="AY577" s="53"/>
      <c r="AZ577" s="53"/>
      <c r="BA577" s="53"/>
      <c r="BB577" s="52"/>
      <c r="BC577" s="52"/>
      <c r="BD577" s="52"/>
      <c r="BE577" s="52"/>
      <c r="BF577" s="83"/>
    </row>
    <row r="578" spans="1:58" ht="16" x14ac:dyDescent="0.35">
      <c r="A578" s="37"/>
      <c r="B578" s="38"/>
      <c r="C578" s="38"/>
      <c r="D578" s="38"/>
      <c r="E578" s="38"/>
      <c r="F578" s="38"/>
      <c r="G578" s="38"/>
      <c r="H578" s="39"/>
      <c r="I578" s="39"/>
      <c r="J578" s="39"/>
      <c r="K578" s="39"/>
      <c r="L578" s="39"/>
      <c r="M578" s="38"/>
      <c r="N578" s="38"/>
      <c r="O578" s="38"/>
      <c r="P578" s="38"/>
      <c r="Q578" s="38"/>
      <c r="R578" s="38"/>
      <c r="S578" s="38"/>
      <c r="T578" s="38"/>
      <c r="U578" s="38"/>
      <c r="V578" s="38"/>
      <c r="W578" s="38"/>
      <c r="X578" s="38"/>
      <c r="Y578" s="39"/>
      <c r="Z578" s="38"/>
      <c r="AA578" s="38"/>
      <c r="AB578" s="40"/>
      <c r="AP578"/>
      <c r="AQ578" s="48"/>
      <c r="AR578" s="48"/>
      <c r="AS578"/>
      <c r="AT578" s="48"/>
      <c r="AU578" s="48"/>
      <c r="AV578"/>
      <c r="AW578" s="49"/>
      <c r="AX578" s="49"/>
      <c r="AY578" s="49"/>
      <c r="AZ578" s="49"/>
      <c r="BA578" s="49"/>
      <c r="BB578" s="48"/>
      <c r="BC578" s="48"/>
      <c r="BD578" s="48"/>
      <c r="BE578" s="48"/>
      <c r="BF578" s="83"/>
    </row>
    <row r="579" spans="1:58" ht="16" x14ac:dyDescent="0.35">
      <c r="A579" s="41"/>
      <c r="B579" s="42"/>
      <c r="C579" s="42"/>
      <c r="D579" s="42"/>
      <c r="E579" s="42"/>
      <c r="F579" s="42"/>
      <c r="G579" s="42"/>
      <c r="H579" s="43"/>
      <c r="I579" s="43"/>
      <c r="J579" s="43"/>
      <c r="K579" s="43"/>
      <c r="L579" s="43"/>
      <c r="M579" s="42"/>
      <c r="N579" s="42"/>
      <c r="O579" s="42"/>
      <c r="P579" s="42"/>
      <c r="Q579" s="42"/>
      <c r="R579" s="42"/>
      <c r="S579" s="42"/>
      <c r="T579" s="42"/>
      <c r="U579" s="42"/>
      <c r="V579" s="42"/>
      <c r="W579" s="42"/>
      <c r="X579" s="42"/>
      <c r="Y579" s="43"/>
      <c r="Z579" s="42"/>
      <c r="AA579" s="42"/>
      <c r="AB579" s="44"/>
      <c r="AP579"/>
      <c r="AQ579" s="52"/>
      <c r="AR579" s="52"/>
      <c r="AS579"/>
      <c r="AT579" s="52"/>
      <c r="AU579" s="52"/>
      <c r="AV579"/>
      <c r="AW579" s="53"/>
      <c r="AX579" s="53"/>
      <c r="AY579" s="53"/>
      <c r="AZ579" s="53"/>
      <c r="BA579" s="53"/>
      <c r="BB579" s="52"/>
      <c r="BC579" s="52"/>
      <c r="BD579" s="52"/>
      <c r="BE579" s="52"/>
      <c r="BF579" s="83"/>
    </row>
    <row r="580" spans="1:58" ht="16" x14ac:dyDescent="0.35">
      <c r="A580" s="37"/>
      <c r="B580" s="38"/>
      <c r="C580" s="38"/>
      <c r="D580" s="38"/>
      <c r="E580" s="38"/>
      <c r="F580" s="38"/>
      <c r="G580" s="38"/>
      <c r="H580" s="39"/>
      <c r="I580" s="39"/>
      <c r="J580" s="39"/>
      <c r="K580" s="39"/>
      <c r="L580" s="39"/>
      <c r="M580" s="38"/>
      <c r="N580" s="38"/>
      <c r="O580" s="38"/>
      <c r="P580" s="38"/>
      <c r="Q580" s="38"/>
      <c r="R580" s="38"/>
      <c r="S580" s="38"/>
      <c r="T580" s="38"/>
      <c r="U580" s="38"/>
      <c r="V580" s="38"/>
      <c r="W580" s="38"/>
      <c r="X580" s="38"/>
      <c r="Y580" s="39"/>
      <c r="Z580" s="38"/>
      <c r="AA580" s="38"/>
      <c r="AB580" s="40"/>
      <c r="AP580"/>
      <c r="AQ580" s="48"/>
      <c r="AR580" s="48"/>
      <c r="AS580"/>
      <c r="AT580" s="48"/>
      <c r="AU580" s="48"/>
      <c r="AV580"/>
      <c r="AW580" s="49"/>
      <c r="AX580" s="49"/>
      <c r="AY580" s="49"/>
      <c r="AZ580" s="49"/>
      <c r="BA580" s="49"/>
      <c r="BB580" s="48"/>
      <c r="BC580" s="48"/>
      <c r="BD580" s="48"/>
      <c r="BE580" s="48"/>
      <c r="BF580" s="83"/>
    </row>
    <row r="581" spans="1:58" ht="16" x14ac:dyDescent="0.35">
      <c r="A581" s="41"/>
      <c r="B581" s="42"/>
      <c r="C581" s="42"/>
      <c r="D581" s="42"/>
      <c r="E581" s="42"/>
      <c r="F581" s="42"/>
      <c r="G581" s="42"/>
      <c r="H581" s="43"/>
      <c r="I581" s="43"/>
      <c r="J581" s="43"/>
      <c r="K581" s="43"/>
      <c r="L581" s="43"/>
      <c r="M581" s="42"/>
      <c r="N581" s="42"/>
      <c r="O581" s="42"/>
      <c r="P581" s="42"/>
      <c r="Q581" s="42"/>
      <c r="R581" s="42"/>
      <c r="S581" s="42"/>
      <c r="T581" s="42"/>
      <c r="U581" s="42"/>
      <c r="V581" s="42"/>
      <c r="W581" s="42"/>
      <c r="X581" s="42"/>
      <c r="Y581" s="43"/>
      <c r="Z581" s="42"/>
      <c r="AA581" s="42"/>
      <c r="AB581" s="44"/>
      <c r="AP581"/>
      <c r="AQ581" s="52"/>
      <c r="AR581" s="52"/>
      <c r="AS581"/>
      <c r="AT581" s="52"/>
      <c r="AU581" s="52"/>
      <c r="AV581"/>
      <c r="AW581" s="53"/>
      <c r="AX581" s="53"/>
      <c r="AY581" s="53"/>
      <c r="AZ581" s="53"/>
      <c r="BA581" s="53"/>
      <c r="BB581" s="52"/>
      <c r="BC581" s="52"/>
      <c r="BD581" s="52"/>
      <c r="BE581" s="52"/>
      <c r="BF581" s="83"/>
    </row>
    <row r="582" spans="1:58" ht="16" x14ac:dyDescent="0.35">
      <c r="A582" s="37"/>
      <c r="B582" s="38"/>
      <c r="C582" s="38"/>
      <c r="D582" s="38"/>
      <c r="E582" s="38"/>
      <c r="F582" s="38"/>
      <c r="G582" s="38"/>
      <c r="H582" s="39"/>
      <c r="I582" s="39"/>
      <c r="J582" s="39"/>
      <c r="K582" s="39"/>
      <c r="L582" s="39"/>
      <c r="M582" s="38"/>
      <c r="N582" s="38"/>
      <c r="O582" s="38"/>
      <c r="P582" s="38"/>
      <c r="Q582" s="38"/>
      <c r="R582" s="38"/>
      <c r="S582" s="38"/>
      <c r="T582" s="38"/>
      <c r="U582" s="38"/>
      <c r="V582" s="38"/>
      <c r="W582" s="38"/>
      <c r="X582" s="38"/>
      <c r="Y582" s="39"/>
      <c r="Z582" s="38"/>
      <c r="AA582" s="38"/>
      <c r="AB582" s="40"/>
      <c r="AP582"/>
      <c r="AQ582" s="48"/>
      <c r="AR582" s="48"/>
      <c r="AS582"/>
      <c r="AT582" s="48"/>
      <c r="AU582" s="48"/>
      <c r="AV582"/>
      <c r="AW582" s="49"/>
      <c r="AX582" s="49"/>
      <c r="AY582" s="49"/>
      <c r="AZ582" s="49"/>
      <c r="BA582" s="49"/>
      <c r="BB582" s="48"/>
      <c r="BC582" s="48"/>
      <c r="BD582" s="48"/>
      <c r="BE582" s="48"/>
      <c r="BF582" s="83"/>
    </row>
    <row r="583" spans="1:58" ht="16" x14ac:dyDescent="0.35">
      <c r="A583" s="41"/>
      <c r="B583" s="42"/>
      <c r="C583" s="42"/>
      <c r="D583" s="42"/>
      <c r="E583" s="42"/>
      <c r="F583" s="42"/>
      <c r="G583" s="42"/>
      <c r="H583" s="43"/>
      <c r="I583" s="43"/>
      <c r="J583" s="43"/>
      <c r="K583" s="43"/>
      <c r="L583" s="43"/>
      <c r="M583" s="42"/>
      <c r="N583" s="42"/>
      <c r="O583" s="42"/>
      <c r="P583" s="42"/>
      <c r="Q583" s="42"/>
      <c r="R583" s="42"/>
      <c r="S583" s="42"/>
      <c r="T583" s="42"/>
      <c r="U583" s="42"/>
      <c r="V583" s="42"/>
      <c r="W583" s="42"/>
      <c r="X583" s="42"/>
      <c r="Y583" s="43"/>
      <c r="Z583" s="42"/>
      <c r="AA583" s="42"/>
      <c r="AB583" s="44"/>
      <c r="AP583"/>
      <c r="AQ583" s="52"/>
      <c r="AR583" s="52"/>
      <c r="AS583"/>
      <c r="AT583" s="52"/>
      <c r="AU583" s="52"/>
      <c r="AV583"/>
      <c r="AW583" s="53"/>
      <c r="AX583" s="53"/>
      <c r="AY583" s="53"/>
      <c r="AZ583" s="53"/>
      <c r="BA583" s="53"/>
      <c r="BB583" s="52"/>
      <c r="BC583" s="52"/>
      <c r="BD583" s="52"/>
      <c r="BE583" s="52"/>
      <c r="BF583" s="83"/>
    </row>
    <row r="584" spans="1:58" ht="16" x14ac:dyDescent="0.35">
      <c r="A584" s="37"/>
      <c r="B584" s="38"/>
      <c r="C584" s="38"/>
      <c r="D584" s="38"/>
      <c r="E584" s="38"/>
      <c r="F584" s="38"/>
      <c r="G584" s="38"/>
      <c r="H584" s="39"/>
      <c r="I584" s="39"/>
      <c r="J584" s="39"/>
      <c r="K584" s="39"/>
      <c r="L584" s="39"/>
      <c r="M584" s="38"/>
      <c r="N584" s="38"/>
      <c r="O584" s="38"/>
      <c r="P584" s="38"/>
      <c r="Q584" s="38"/>
      <c r="R584" s="38"/>
      <c r="S584" s="38"/>
      <c r="T584" s="38"/>
      <c r="U584" s="38"/>
      <c r="V584" s="38"/>
      <c r="W584" s="38"/>
      <c r="X584" s="38"/>
      <c r="Y584" s="39"/>
      <c r="Z584" s="38"/>
      <c r="AA584" s="38"/>
      <c r="AB584" s="40"/>
      <c r="AP584"/>
      <c r="AQ584" s="48"/>
      <c r="AR584" s="48"/>
      <c r="AS584"/>
      <c r="AT584" s="48"/>
      <c r="AU584" s="48"/>
      <c r="AV584"/>
      <c r="AW584" s="49"/>
      <c r="AX584" s="49"/>
      <c r="AY584" s="49"/>
      <c r="AZ584" s="49"/>
      <c r="BA584" s="49"/>
      <c r="BB584" s="48"/>
      <c r="BC584" s="48"/>
      <c r="BD584" s="48"/>
      <c r="BE584" s="48"/>
      <c r="BF584" s="83"/>
    </row>
    <row r="585" spans="1:58" ht="16" x14ac:dyDescent="0.35">
      <c r="A585" s="41"/>
      <c r="B585" s="42"/>
      <c r="C585" s="42"/>
      <c r="D585" s="42"/>
      <c r="E585" s="42"/>
      <c r="F585" s="42"/>
      <c r="G585" s="42"/>
      <c r="H585" s="43"/>
      <c r="I585" s="43"/>
      <c r="J585" s="43"/>
      <c r="K585" s="43"/>
      <c r="L585" s="43"/>
      <c r="M585" s="42"/>
      <c r="N585" s="42"/>
      <c r="O585" s="42"/>
      <c r="P585" s="42"/>
      <c r="Q585" s="42"/>
      <c r="R585" s="42"/>
      <c r="S585" s="42"/>
      <c r="T585" s="42"/>
      <c r="U585" s="42"/>
      <c r="V585" s="42"/>
      <c r="W585" s="42"/>
      <c r="X585" s="42"/>
      <c r="Y585" s="43"/>
      <c r="Z585" s="42"/>
      <c r="AA585" s="42"/>
      <c r="AB585" s="44"/>
      <c r="AP585"/>
      <c r="AQ585" s="52"/>
      <c r="AR585" s="52"/>
      <c r="AS585"/>
      <c r="AT585" s="52"/>
      <c r="AU585" s="52"/>
      <c r="AV585"/>
      <c r="AW585" s="53"/>
      <c r="AX585" s="53"/>
      <c r="AY585" s="53"/>
      <c r="AZ585" s="53"/>
      <c r="BA585" s="53"/>
      <c r="BB585" s="52"/>
      <c r="BC585" s="52"/>
      <c r="BD585" s="52"/>
      <c r="BE585" s="52"/>
      <c r="BF585" s="83"/>
    </row>
    <row r="586" spans="1:58" ht="16" x14ac:dyDescent="0.35">
      <c r="A586" s="37"/>
      <c r="B586" s="38"/>
      <c r="C586" s="38"/>
      <c r="D586" s="38"/>
      <c r="E586" s="38"/>
      <c r="F586" s="38"/>
      <c r="G586" s="38"/>
      <c r="H586" s="39"/>
      <c r="I586" s="39"/>
      <c r="J586" s="39"/>
      <c r="K586" s="39"/>
      <c r="L586" s="39"/>
      <c r="M586" s="38"/>
      <c r="N586" s="38"/>
      <c r="O586" s="38"/>
      <c r="P586" s="38"/>
      <c r="Q586" s="38"/>
      <c r="R586" s="38"/>
      <c r="S586" s="38"/>
      <c r="T586" s="38"/>
      <c r="U586" s="38"/>
      <c r="V586" s="38"/>
      <c r="W586" s="38"/>
      <c r="X586" s="38"/>
      <c r="Y586" s="39"/>
      <c r="Z586" s="38"/>
      <c r="AA586" s="38"/>
      <c r="AB586" s="40"/>
      <c r="AP586"/>
      <c r="AQ586" s="48"/>
      <c r="AR586" s="48"/>
      <c r="AS586"/>
      <c r="AT586" s="48"/>
      <c r="AU586" s="48"/>
      <c r="AV586"/>
      <c r="AW586" s="49"/>
      <c r="AX586" s="49"/>
      <c r="AY586" s="49"/>
      <c r="AZ586" s="49"/>
      <c r="BA586" s="49"/>
      <c r="BB586" s="48"/>
      <c r="BC586" s="48"/>
      <c r="BD586" s="48"/>
      <c r="BE586" s="48"/>
      <c r="BF586" s="83"/>
    </row>
    <row r="587" spans="1:58" ht="16" x14ac:dyDescent="0.35">
      <c r="A587" s="41"/>
      <c r="B587" s="42"/>
      <c r="C587" s="42"/>
      <c r="D587" s="42"/>
      <c r="E587" s="42"/>
      <c r="F587" s="42"/>
      <c r="G587" s="42"/>
      <c r="H587" s="43"/>
      <c r="I587" s="43"/>
      <c r="J587" s="43"/>
      <c r="K587" s="43"/>
      <c r="L587" s="43"/>
      <c r="M587" s="42"/>
      <c r="N587" s="42"/>
      <c r="O587" s="42"/>
      <c r="P587" s="42"/>
      <c r="Q587" s="42"/>
      <c r="R587" s="42"/>
      <c r="S587" s="42"/>
      <c r="T587" s="42"/>
      <c r="U587" s="42"/>
      <c r="V587" s="42"/>
      <c r="W587" s="42"/>
      <c r="X587" s="42"/>
      <c r="Y587" s="43"/>
      <c r="Z587" s="42"/>
      <c r="AA587" s="42"/>
      <c r="AB587" s="44"/>
      <c r="AP587"/>
      <c r="AQ587" s="52"/>
      <c r="AR587" s="52"/>
      <c r="AS587"/>
      <c r="AT587" s="52"/>
      <c r="AU587" s="52"/>
      <c r="AV587"/>
      <c r="AW587" s="53"/>
      <c r="AX587" s="53"/>
      <c r="AY587" s="53"/>
      <c r="AZ587" s="53"/>
      <c r="BA587" s="53"/>
      <c r="BB587" s="52"/>
      <c r="BC587" s="52"/>
      <c r="BD587" s="52"/>
      <c r="BE587" s="52"/>
      <c r="BF587" s="83"/>
    </row>
    <row r="588" spans="1:58" ht="16" x14ac:dyDescent="0.35">
      <c r="A588" s="37"/>
      <c r="B588" s="38"/>
      <c r="C588" s="38"/>
      <c r="D588" s="38"/>
      <c r="E588" s="38"/>
      <c r="F588" s="38"/>
      <c r="G588" s="38"/>
      <c r="H588" s="39"/>
      <c r="I588" s="39"/>
      <c r="J588" s="39"/>
      <c r="K588" s="39"/>
      <c r="L588" s="39"/>
      <c r="M588" s="38"/>
      <c r="N588" s="38"/>
      <c r="O588" s="38"/>
      <c r="P588" s="38"/>
      <c r="Q588" s="38"/>
      <c r="R588" s="38"/>
      <c r="S588" s="38"/>
      <c r="T588" s="38"/>
      <c r="U588" s="38"/>
      <c r="V588" s="38"/>
      <c r="W588" s="38"/>
      <c r="X588" s="38"/>
      <c r="Y588" s="39"/>
      <c r="Z588" s="38"/>
      <c r="AA588" s="38"/>
      <c r="AB588" s="40"/>
      <c r="AP588"/>
      <c r="AQ588" s="48"/>
      <c r="AR588" s="48"/>
      <c r="AS588"/>
      <c r="AT588" s="48"/>
      <c r="AU588" s="48"/>
      <c r="AV588"/>
      <c r="AW588" s="49"/>
      <c r="AX588" s="49"/>
      <c r="AY588" s="49"/>
      <c r="AZ588" s="49"/>
      <c r="BA588" s="49"/>
      <c r="BB588" s="48"/>
      <c r="BC588" s="48"/>
      <c r="BD588" s="48"/>
      <c r="BE588" s="48"/>
      <c r="BF588" s="83"/>
    </row>
    <row r="589" spans="1:58" ht="16" x14ac:dyDescent="0.35">
      <c r="A589" s="41"/>
      <c r="B589" s="42"/>
      <c r="C589" s="42"/>
      <c r="D589" s="42"/>
      <c r="E589" s="42"/>
      <c r="F589" s="42"/>
      <c r="G589" s="42"/>
      <c r="H589" s="43"/>
      <c r="I589" s="43"/>
      <c r="J589" s="43"/>
      <c r="K589" s="43"/>
      <c r="L589" s="43"/>
      <c r="M589" s="42"/>
      <c r="N589" s="42"/>
      <c r="O589" s="42"/>
      <c r="P589" s="42"/>
      <c r="Q589" s="42"/>
      <c r="R589" s="42"/>
      <c r="S589" s="42"/>
      <c r="T589" s="42"/>
      <c r="U589" s="42"/>
      <c r="V589" s="42"/>
      <c r="W589" s="42"/>
      <c r="X589" s="42"/>
      <c r="Y589" s="43"/>
      <c r="Z589" s="42"/>
      <c r="AA589" s="42"/>
      <c r="AB589" s="44"/>
      <c r="AP589"/>
      <c r="AQ589" s="52"/>
      <c r="AR589" s="52"/>
      <c r="AS589"/>
      <c r="AT589" s="52"/>
      <c r="AU589" s="52"/>
      <c r="AV589"/>
      <c r="AW589" s="53"/>
      <c r="AX589" s="53"/>
      <c r="AY589" s="53"/>
      <c r="AZ589" s="53"/>
      <c r="BA589" s="53"/>
      <c r="BB589" s="52"/>
      <c r="BC589" s="52"/>
      <c r="BD589" s="52"/>
      <c r="BE589" s="52"/>
      <c r="BF589" s="83"/>
    </row>
    <row r="590" spans="1:58" ht="16" x14ac:dyDescent="0.35">
      <c r="A590" s="37"/>
      <c r="B590" s="38"/>
      <c r="C590" s="38"/>
      <c r="D590" s="38"/>
      <c r="E590" s="38"/>
      <c r="F590" s="38"/>
      <c r="G590" s="38"/>
      <c r="H590" s="39"/>
      <c r="I590" s="39"/>
      <c r="J590" s="39"/>
      <c r="K590" s="39"/>
      <c r="L590" s="39"/>
      <c r="M590" s="38"/>
      <c r="N590" s="38"/>
      <c r="O590" s="38"/>
      <c r="P590" s="38"/>
      <c r="Q590" s="38"/>
      <c r="R590" s="38"/>
      <c r="S590" s="38"/>
      <c r="T590" s="38"/>
      <c r="U590" s="38"/>
      <c r="V590" s="38"/>
      <c r="W590" s="38"/>
      <c r="X590" s="38"/>
      <c r="Y590" s="39"/>
      <c r="Z590" s="38"/>
      <c r="AA590" s="38"/>
      <c r="AB590" s="40"/>
      <c r="AP590"/>
      <c r="AQ590" s="48"/>
      <c r="AR590" s="48"/>
      <c r="AS590"/>
      <c r="AT590" s="48"/>
      <c r="AU590" s="48"/>
      <c r="AV590"/>
      <c r="AW590" s="49"/>
      <c r="AX590" s="49"/>
      <c r="AY590" s="49"/>
      <c r="AZ590" s="49"/>
      <c r="BA590" s="49"/>
      <c r="BB590" s="48"/>
      <c r="BC590" s="48"/>
      <c r="BD590" s="48"/>
      <c r="BE590" s="48"/>
      <c r="BF590" s="83"/>
    </row>
    <row r="591" spans="1:58" ht="16" x14ac:dyDescent="0.35">
      <c r="A591" s="41"/>
      <c r="B591" s="42"/>
      <c r="C591" s="42"/>
      <c r="D591" s="42"/>
      <c r="E591" s="42"/>
      <c r="F591" s="42"/>
      <c r="G591" s="42"/>
      <c r="H591" s="43"/>
      <c r="I591" s="43"/>
      <c r="J591" s="43"/>
      <c r="K591" s="43"/>
      <c r="L591" s="43"/>
      <c r="M591" s="42"/>
      <c r="N591" s="42"/>
      <c r="O591" s="42"/>
      <c r="P591" s="42"/>
      <c r="Q591" s="42"/>
      <c r="R591" s="42"/>
      <c r="S591" s="42"/>
      <c r="T591" s="42"/>
      <c r="U591" s="42"/>
      <c r="V591" s="42"/>
      <c r="W591" s="42"/>
      <c r="X591" s="42"/>
      <c r="Y591" s="43"/>
      <c r="Z591" s="42"/>
      <c r="AA591" s="42"/>
      <c r="AB591" s="44"/>
      <c r="AP591"/>
      <c r="AQ591" s="52"/>
      <c r="AR591" s="52"/>
      <c r="AS591"/>
      <c r="AT591" s="52"/>
      <c r="AU591" s="52"/>
      <c r="AV591"/>
      <c r="AW591" s="53"/>
      <c r="AX591" s="53"/>
      <c r="AY591" s="53"/>
      <c r="AZ591" s="53"/>
      <c r="BA591" s="53"/>
      <c r="BB591" s="52"/>
      <c r="BC591" s="52"/>
      <c r="BD591" s="52"/>
      <c r="BE591" s="52"/>
      <c r="BF591" s="83"/>
    </row>
    <row r="592" spans="1:58" ht="16" x14ac:dyDescent="0.35">
      <c r="A592" s="37"/>
      <c r="B592" s="38"/>
      <c r="C592" s="38"/>
      <c r="D592" s="38"/>
      <c r="E592" s="38"/>
      <c r="F592" s="38"/>
      <c r="G592" s="38"/>
      <c r="H592" s="39"/>
      <c r="I592" s="39"/>
      <c r="J592" s="39"/>
      <c r="K592" s="39"/>
      <c r="L592" s="39"/>
      <c r="M592" s="38"/>
      <c r="N592" s="38"/>
      <c r="O592" s="38"/>
      <c r="P592" s="38"/>
      <c r="Q592" s="38"/>
      <c r="R592" s="38"/>
      <c r="S592" s="38"/>
      <c r="T592" s="38"/>
      <c r="U592" s="38"/>
      <c r="V592" s="38"/>
      <c r="W592" s="38"/>
      <c r="X592" s="38"/>
      <c r="Y592" s="39"/>
      <c r="Z592" s="38"/>
      <c r="AA592" s="38"/>
      <c r="AB592" s="40"/>
      <c r="AP592"/>
      <c r="AQ592" s="48"/>
      <c r="AR592" s="48"/>
      <c r="AS592"/>
      <c r="AT592" s="48"/>
      <c r="AU592" s="48"/>
      <c r="AV592"/>
      <c r="AW592" s="49"/>
      <c r="AX592" s="49"/>
      <c r="AY592" s="49"/>
      <c r="AZ592" s="49"/>
      <c r="BA592" s="49"/>
      <c r="BB592" s="48"/>
      <c r="BC592" s="48"/>
      <c r="BD592" s="48"/>
      <c r="BE592" s="48"/>
      <c r="BF592" s="83"/>
    </row>
    <row r="593" spans="1:58" ht="16" x14ac:dyDescent="0.35">
      <c r="A593" s="41"/>
      <c r="B593" s="42"/>
      <c r="C593" s="42"/>
      <c r="D593" s="42"/>
      <c r="E593" s="42"/>
      <c r="F593" s="42"/>
      <c r="G593" s="42"/>
      <c r="H593" s="43"/>
      <c r="I593" s="43"/>
      <c r="J593" s="43"/>
      <c r="K593" s="43"/>
      <c r="L593" s="43"/>
      <c r="M593" s="42"/>
      <c r="N593" s="42"/>
      <c r="O593" s="42"/>
      <c r="P593" s="42"/>
      <c r="Q593" s="42"/>
      <c r="R593" s="42"/>
      <c r="S593" s="42"/>
      <c r="T593" s="42"/>
      <c r="U593" s="42"/>
      <c r="V593" s="42"/>
      <c r="W593" s="42"/>
      <c r="X593" s="42"/>
      <c r="Y593" s="43"/>
      <c r="Z593" s="42"/>
      <c r="AA593" s="42"/>
      <c r="AB593" s="44"/>
      <c r="AP593"/>
      <c r="AQ593" s="52"/>
      <c r="AR593" s="52"/>
      <c r="AS593"/>
      <c r="AT593" s="52"/>
      <c r="AU593" s="52"/>
      <c r="AV593"/>
      <c r="AW593" s="53"/>
      <c r="AX593" s="53"/>
      <c r="AY593" s="53"/>
      <c r="AZ593" s="53"/>
      <c r="BA593" s="53"/>
      <c r="BB593" s="52"/>
      <c r="BC593" s="52"/>
      <c r="BD593" s="52"/>
      <c r="BE593" s="52"/>
      <c r="BF593" s="83"/>
    </row>
    <row r="594" spans="1:58" ht="16" x14ac:dyDescent="0.35">
      <c r="A594" s="37"/>
      <c r="B594" s="38"/>
      <c r="C594" s="38"/>
      <c r="D594" s="38"/>
      <c r="E594" s="38"/>
      <c r="F594" s="38"/>
      <c r="G594" s="38"/>
      <c r="H594" s="39"/>
      <c r="I594" s="39"/>
      <c r="J594" s="39"/>
      <c r="K594" s="39"/>
      <c r="L594" s="39"/>
      <c r="M594" s="38"/>
      <c r="N594" s="38"/>
      <c r="O594" s="38"/>
      <c r="P594" s="38"/>
      <c r="Q594" s="38"/>
      <c r="R594" s="38"/>
      <c r="S594" s="38"/>
      <c r="T594" s="38"/>
      <c r="U594" s="38"/>
      <c r="V594" s="38"/>
      <c r="W594" s="38"/>
      <c r="X594" s="38"/>
      <c r="Y594" s="39"/>
      <c r="Z594" s="38"/>
      <c r="AA594" s="38"/>
      <c r="AB594" s="40"/>
      <c r="AP594"/>
      <c r="AQ594" s="48"/>
      <c r="AR594" s="48"/>
      <c r="AS594"/>
      <c r="AT594" s="48"/>
      <c r="AU594" s="48"/>
      <c r="AV594"/>
      <c r="AW594" s="49"/>
      <c r="AX594" s="49"/>
      <c r="AY594" s="49"/>
      <c r="AZ594" s="49"/>
      <c r="BA594" s="49"/>
      <c r="BB594" s="48"/>
      <c r="BC594" s="48"/>
      <c r="BD594" s="48"/>
      <c r="BE594" s="48"/>
      <c r="BF594" s="83"/>
    </row>
    <row r="595" spans="1:58" ht="16" x14ac:dyDescent="0.35">
      <c r="A595" s="41"/>
      <c r="B595" s="42"/>
      <c r="C595" s="42"/>
      <c r="D595" s="42"/>
      <c r="E595" s="42"/>
      <c r="F595" s="42"/>
      <c r="G595" s="42"/>
      <c r="H595" s="43"/>
      <c r="I595" s="43"/>
      <c r="J595" s="43"/>
      <c r="K595" s="43"/>
      <c r="L595" s="43"/>
      <c r="M595" s="42"/>
      <c r="N595" s="42"/>
      <c r="O595" s="42"/>
      <c r="P595" s="42"/>
      <c r="Q595" s="42"/>
      <c r="R595" s="42"/>
      <c r="S595" s="42"/>
      <c r="T595" s="42"/>
      <c r="U595" s="42"/>
      <c r="V595" s="42"/>
      <c r="W595" s="42"/>
      <c r="X595" s="42"/>
      <c r="Y595" s="43"/>
      <c r="Z595" s="42"/>
      <c r="AA595" s="42"/>
      <c r="AB595" s="44"/>
      <c r="AP595"/>
      <c r="AQ595" s="52"/>
      <c r="AR595" s="52"/>
      <c r="AS595"/>
      <c r="AT595" s="52"/>
      <c r="AU595" s="52"/>
      <c r="AV595"/>
      <c r="AW595" s="53"/>
      <c r="AX595" s="53"/>
      <c r="AY595" s="53"/>
      <c r="AZ595" s="53"/>
      <c r="BA595" s="53"/>
      <c r="BB595" s="52"/>
      <c r="BC595" s="52"/>
      <c r="BD595" s="52"/>
      <c r="BE595" s="52"/>
      <c r="BF595" s="83"/>
    </row>
    <row r="596" spans="1:58" ht="16" x14ac:dyDescent="0.35">
      <c r="A596" s="37"/>
      <c r="B596" s="38"/>
      <c r="C596" s="38"/>
      <c r="D596" s="38"/>
      <c r="E596" s="38"/>
      <c r="F596" s="38"/>
      <c r="G596" s="38"/>
      <c r="H596" s="39"/>
      <c r="I596" s="39"/>
      <c r="J596" s="39"/>
      <c r="K596" s="39"/>
      <c r="L596" s="39"/>
      <c r="M596" s="38"/>
      <c r="N596" s="38"/>
      <c r="O596" s="38"/>
      <c r="P596" s="38"/>
      <c r="Q596" s="38"/>
      <c r="R596" s="38"/>
      <c r="S596" s="38"/>
      <c r="T596" s="38"/>
      <c r="U596" s="38"/>
      <c r="V596" s="38"/>
      <c r="W596" s="38"/>
      <c r="X596" s="38"/>
      <c r="Y596" s="39"/>
      <c r="Z596" s="38"/>
      <c r="AA596" s="38"/>
      <c r="AB596" s="40"/>
      <c r="AP596"/>
      <c r="AQ596" s="48"/>
      <c r="AR596" s="48"/>
      <c r="AS596"/>
      <c r="AT596" s="48"/>
      <c r="AU596" s="48"/>
      <c r="AV596"/>
      <c r="AW596" s="49"/>
      <c r="AX596" s="49"/>
      <c r="AY596" s="49"/>
      <c r="AZ596" s="49"/>
      <c r="BA596" s="49"/>
      <c r="BB596" s="48"/>
      <c r="BC596" s="48"/>
      <c r="BD596" s="48"/>
      <c r="BE596" s="48"/>
      <c r="BF596" s="83"/>
    </row>
    <row r="597" spans="1:58" ht="16" x14ac:dyDescent="0.35">
      <c r="A597" s="41"/>
      <c r="B597" s="42"/>
      <c r="C597" s="42"/>
      <c r="D597" s="42"/>
      <c r="E597" s="42"/>
      <c r="F597" s="42"/>
      <c r="G597" s="42"/>
      <c r="H597" s="43"/>
      <c r="I597" s="43"/>
      <c r="J597" s="43"/>
      <c r="K597" s="43"/>
      <c r="L597" s="43"/>
      <c r="M597" s="42"/>
      <c r="N597" s="42"/>
      <c r="O597" s="42"/>
      <c r="P597" s="42"/>
      <c r="Q597" s="42"/>
      <c r="R597" s="42"/>
      <c r="S597" s="42"/>
      <c r="T597" s="42"/>
      <c r="U597" s="42"/>
      <c r="V597" s="42"/>
      <c r="W597" s="42"/>
      <c r="X597" s="42"/>
      <c r="Y597" s="43"/>
      <c r="Z597" s="42"/>
      <c r="AA597" s="42"/>
      <c r="AB597" s="44"/>
      <c r="AP597"/>
      <c r="AQ597" s="52"/>
      <c r="AR597" s="52"/>
      <c r="AS597"/>
      <c r="AT597" s="52"/>
      <c r="AU597" s="52"/>
      <c r="AV597"/>
      <c r="AW597" s="53"/>
      <c r="AX597" s="53"/>
      <c r="AY597" s="53"/>
      <c r="AZ597" s="53"/>
      <c r="BA597" s="53"/>
      <c r="BB597" s="52"/>
      <c r="BC597" s="52"/>
      <c r="BD597" s="52"/>
      <c r="BE597" s="52"/>
      <c r="BF597" s="83"/>
    </row>
    <row r="598" spans="1:58" ht="16" x14ac:dyDescent="0.35">
      <c r="A598" s="37"/>
      <c r="B598" s="38"/>
      <c r="C598" s="38"/>
      <c r="D598" s="38"/>
      <c r="E598" s="38"/>
      <c r="F598" s="38"/>
      <c r="G598" s="38"/>
      <c r="H598" s="39"/>
      <c r="I598" s="39"/>
      <c r="J598" s="39"/>
      <c r="K598" s="39"/>
      <c r="L598" s="39"/>
      <c r="M598" s="38"/>
      <c r="N598" s="38"/>
      <c r="O598" s="38"/>
      <c r="P598" s="38"/>
      <c r="Q598" s="38"/>
      <c r="R598" s="38"/>
      <c r="S598" s="38"/>
      <c r="T598" s="38"/>
      <c r="U598" s="38"/>
      <c r="V598" s="38"/>
      <c r="W598" s="38"/>
      <c r="X598" s="38"/>
      <c r="Y598" s="39"/>
      <c r="Z598" s="38"/>
      <c r="AA598" s="38"/>
      <c r="AB598" s="40"/>
      <c r="AP598"/>
      <c r="AQ598" s="48"/>
      <c r="AR598" s="48"/>
      <c r="AS598"/>
      <c r="AT598" s="48"/>
      <c r="AU598" s="48"/>
      <c r="AV598"/>
      <c r="AW598" s="49"/>
      <c r="AX598" s="49"/>
      <c r="AY598" s="49"/>
      <c r="AZ598" s="49"/>
      <c r="BA598" s="49"/>
      <c r="BB598" s="48"/>
      <c r="BC598" s="48"/>
      <c r="BD598" s="48"/>
      <c r="BE598" s="48"/>
      <c r="BF598" s="83"/>
    </row>
    <row r="599" spans="1:58" ht="16" x14ac:dyDescent="0.35">
      <c r="A599" s="41"/>
      <c r="B599" s="42"/>
      <c r="C599" s="42"/>
      <c r="D599" s="42"/>
      <c r="E599" s="42"/>
      <c r="F599" s="42"/>
      <c r="G599" s="42"/>
      <c r="H599" s="43"/>
      <c r="I599" s="43"/>
      <c r="J599" s="43"/>
      <c r="K599" s="43"/>
      <c r="L599" s="43"/>
      <c r="M599" s="42"/>
      <c r="N599" s="42"/>
      <c r="O599" s="42"/>
      <c r="P599" s="42"/>
      <c r="Q599" s="42"/>
      <c r="R599" s="42"/>
      <c r="S599" s="42"/>
      <c r="T599" s="42"/>
      <c r="U599" s="42"/>
      <c r="V599" s="42"/>
      <c r="W599" s="42"/>
      <c r="X599" s="42"/>
      <c r="Y599" s="43"/>
      <c r="Z599" s="42"/>
      <c r="AA599" s="42"/>
      <c r="AB599" s="44"/>
      <c r="AP599"/>
      <c r="AQ599" s="52"/>
      <c r="AR599" s="52"/>
      <c r="AS599"/>
      <c r="AT599" s="52"/>
      <c r="AU599" s="52"/>
      <c r="AV599"/>
      <c r="AW599" s="53"/>
      <c r="AX599" s="53"/>
      <c r="AY599" s="53"/>
      <c r="AZ599" s="53"/>
      <c r="BA599" s="53"/>
      <c r="BB599" s="52"/>
      <c r="BC599" s="52"/>
      <c r="BD599" s="52"/>
      <c r="BE599" s="52"/>
      <c r="BF599" s="83"/>
    </row>
    <row r="600" spans="1:58" ht="16" x14ac:dyDescent="0.35">
      <c r="A600" s="37"/>
      <c r="B600" s="38"/>
      <c r="C600" s="38"/>
      <c r="D600" s="38"/>
      <c r="E600" s="38"/>
      <c r="F600" s="38"/>
      <c r="G600" s="38"/>
      <c r="H600" s="39"/>
      <c r="I600" s="39"/>
      <c r="J600" s="39"/>
      <c r="K600" s="39"/>
      <c r="L600" s="39"/>
      <c r="M600" s="38"/>
      <c r="N600" s="38"/>
      <c r="O600" s="38"/>
      <c r="P600" s="38"/>
      <c r="Q600" s="38"/>
      <c r="R600" s="38"/>
      <c r="S600" s="38"/>
      <c r="T600" s="38"/>
      <c r="U600" s="38"/>
      <c r="V600" s="38"/>
      <c r="W600" s="38"/>
      <c r="X600" s="38"/>
      <c r="Y600" s="39"/>
      <c r="Z600" s="38"/>
      <c r="AA600" s="38"/>
      <c r="AB600" s="40"/>
      <c r="AP600"/>
      <c r="AQ600" s="48"/>
      <c r="AR600" s="48"/>
      <c r="AS600"/>
      <c r="AT600" s="48"/>
      <c r="AU600" s="48"/>
      <c r="AV600"/>
      <c r="AW600" s="49"/>
      <c r="AX600" s="49"/>
      <c r="AY600" s="49"/>
      <c r="AZ600" s="49"/>
      <c r="BA600" s="49"/>
      <c r="BB600" s="48"/>
      <c r="BC600" s="48"/>
      <c r="BD600" s="48"/>
      <c r="BE600" s="48"/>
      <c r="BF600" s="83"/>
    </row>
    <row r="601" spans="1:58" ht="16" x14ac:dyDescent="0.35">
      <c r="A601" s="41"/>
      <c r="B601" s="42"/>
      <c r="C601" s="42"/>
      <c r="D601" s="42"/>
      <c r="E601" s="42"/>
      <c r="F601" s="42"/>
      <c r="G601" s="42"/>
      <c r="H601" s="43"/>
      <c r="I601" s="43"/>
      <c r="J601" s="43"/>
      <c r="K601" s="43"/>
      <c r="L601" s="43"/>
      <c r="M601" s="42"/>
      <c r="N601" s="42"/>
      <c r="O601" s="42"/>
      <c r="P601" s="42"/>
      <c r="Q601" s="42"/>
      <c r="R601" s="42"/>
      <c r="S601" s="42"/>
      <c r="T601" s="42"/>
      <c r="U601" s="42"/>
      <c r="V601" s="42"/>
      <c r="W601" s="42"/>
      <c r="X601" s="42"/>
      <c r="Y601" s="43"/>
      <c r="Z601" s="42"/>
      <c r="AA601" s="42"/>
      <c r="AB601" s="44"/>
      <c r="AP601"/>
      <c r="AQ601" s="52"/>
      <c r="AR601" s="52"/>
      <c r="AS601"/>
      <c r="AT601" s="52"/>
      <c r="AU601" s="52"/>
      <c r="AV601"/>
      <c r="AW601" s="53"/>
      <c r="AX601" s="53"/>
      <c r="AY601" s="53"/>
      <c r="AZ601" s="53"/>
      <c r="BA601" s="53"/>
      <c r="BB601" s="52"/>
      <c r="BC601" s="52"/>
      <c r="BD601" s="52"/>
      <c r="BE601" s="52"/>
      <c r="BF601" s="83"/>
    </row>
    <row r="602" spans="1:58" ht="16" x14ac:dyDescent="0.35">
      <c r="A602" s="37"/>
      <c r="B602" s="38"/>
      <c r="C602" s="38"/>
      <c r="D602" s="38"/>
      <c r="E602" s="38"/>
      <c r="F602" s="38"/>
      <c r="G602" s="38"/>
      <c r="H602" s="39"/>
      <c r="I602" s="39"/>
      <c r="J602" s="39"/>
      <c r="K602" s="39"/>
      <c r="L602" s="39"/>
      <c r="M602" s="38"/>
      <c r="N602" s="38"/>
      <c r="O602" s="38"/>
      <c r="P602" s="38"/>
      <c r="Q602" s="38"/>
      <c r="R602" s="38"/>
      <c r="S602" s="38"/>
      <c r="T602" s="38"/>
      <c r="U602" s="38"/>
      <c r="V602" s="38"/>
      <c r="W602" s="38"/>
      <c r="X602" s="38"/>
      <c r="Y602" s="39"/>
      <c r="Z602" s="38"/>
      <c r="AA602" s="38"/>
      <c r="AB602" s="40"/>
      <c r="AP602"/>
      <c r="AQ602" s="48"/>
      <c r="AR602" s="48"/>
      <c r="AS602"/>
      <c r="AT602" s="48"/>
      <c r="AU602" s="48"/>
      <c r="AV602"/>
      <c r="AW602" s="49"/>
      <c r="AX602" s="49"/>
      <c r="AY602" s="49"/>
      <c r="AZ602" s="49"/>
      <c r="BA602" s="49"/>
      <c r="BB602" s="48"/>
      <c r="BC602" s="48"/>
      <c r="BD602" s="48"/>
      <c r="BE602" s="48"/>
      <c r="BF602" s="83"/>
    </row>
    <row r="603" spans="1:58" ht="16" x14ac:dyDescent="0.35">
      <c r="A603" s="41"/>
      <c r="B603" s="42"/>
      <c r="C603" s="42"/>
      <c r="D603" s="42"/>
      <c r="E603" s="42"/>
      <c r="F603" s="42"/>
      <c r="G603" s="42"/>
      <c r="H603" s="43"/>
      <c r="I603" s="43"/>
      <c r="J603" s="43"/>
      <c r="K603" s="43"/>
      <c r="L603" s="43"/>
      <c r="M603" s="42"/>
      <c r="N603" s="42"/>
      <c r="O603" s="42"/>
      <c r="P603" s="42"/>
      <c r="Q603" s="42"/>
      <c r="R603" s="42"/>
      <c r="S603" s="42"/>
      <c r="T603" s="42"/>
      <c r="U603" s="42"/>
      <c r="V603" s="42"/>
      <c r="W603" s="42"/>
      <c r="X603" s="42"/>
      <c r="Y603" s="43"/>
      <c r="Z603" s="42"/>
      <c r="AA603" s="42"/>
      <c r="AB603" s="44"/>
      <c r="AP603"/>
      <c r="AQ603" s="52"/>
      <c r="AR603" s="52"/>
      <c r="AS603"/>
      <c r="AT603" s="52"/>
      <c r="AU603" s="52"/>
      <c r="AV603"/>
      <c r="AW603" s="53"/>
      <c r="AX603" s="53"/>
      <c r="AY603" s="53"/>
      <c r="AZ603" s="53"/>
      <c r="BA603" s="53"/>
      <c r="BB603" s="52"/>
      <c r="BC603" s="52"/>
      <c r="BD603" s="52"/>
      <c r="BE603" s="52"/>
      <c r="BF603" s="83"/>
    </row>
    <row r="604" spans="1:58" ht="16" x14ac:dyDescent="0.35">
      <c r="A604" s="37"/>
      <c r="B604" s="38"/>
      <c r="C604" s="38"/>
      <c r="D604" s="38"/>
      <c r="E604" s="38"/>
      <c r="F604" s="38"/>
      <c r="G604" s="38"/>
      <c r="H604" s="39"/>
      <c r="I604" s="39"/>
      <c r="J604" s="39"/>
      <c r="K604" s="39"/>
      <c r="L604" s="39"/>
      <c r="M604" s="38"/>
      <c r="N604" s="38"/>
      <c r="O604" s="38"/>
      <c r="P604" s="38"/>
      <c r="Q604" s="38"/>
      <c r="R604" s="38"/>
      <c r="S604" s="38"/>
      <c r="T604" s="38"/>
      <c r="U604" s="38"/>
      <c r="V604" s="38"/>
      <c r="W604" s="38"/>
      <c r="X604" s="38"/>
      <c r="Y604" s="39"/>
      <c r="Z604" s="38"/>
      <c r="AA604" s="38"/>
      <c r="AB604" s="40"/>
      <c r="AP604"/>
      <c r="AQ604" s="48"/>
      <c r="AR604" s="48"/>
      <c r="AS604"/>
      <c r="AT604" s="48"/>
      <c r="AU604" s="48"/>
      <c r="AV604"/>
      <c r="AW604" s="49"/>
      <c r="AX604" s="49"/>
      <c r="AY604" s="49"/>
      <c r="AZ604" s="49"/>
      <c r="BA604" s="49"/>
      <c r="BB604" s="48"/>
      <c r="BC604" s="48"/>
      <c r="BD604" s="48"/>
      <c r="BE604" s="48"/>
      <c r="BF604" s="83"/>
    </row>
    <row r="605" spans="1:58" ht="16" x14ac:dyDescent="0.35">
      <c r="A605" s="41"/>
      <c r="B605" s="42"/>
      <c r="C605" s="42"/>
      <c r="D605" s="42"/>
      <c r="E605" s="42"/>
      <c r="F605" s="42"/>
      <c r="G605" s="42"/>
      <c r="H605" s="43"/>
      <c r="I605" s="43"/>
      <c r="J605" s="43"/>
      <c r="K605" s="43"/>
      <c r="L605" s="43"/>
      <c r="M605" s="42"/>
      <c r="N605" s="42"/>
      <c r="O605" s="42"/>
      <c r="P605" s="42"/>
      <c r="Q605" s="42"/>
      <c r="R605" s="42"/>
      <c r="S605" s="42"/>
      <c r="T605" s="42"/>
      <c r="U605" s="42"/>
      <c r="V605" s="42"/>
      <c r="W605" s="42"/>
      <c r="X605" s="42"/>
      <c r="Y605" s="43"/>
      <c r="Z605" s="42"/>
      <c r="AA605" s="42"/>
      <c r="AB605" s="44"/>
      <c r="AP605"/>
      <c r="AQ605" s="52"/>
      <c r="AR605" s="52"/>
      <c r="AS605"/>
      <c r="AT605" s="52"/>
      <c r="AU605" s="52"/>
      <c r="AV605"/>
      <c r="AW605" s="53"/>
      <c r="AX605" s="53"/>
      <c r="AY605" s="53"/>
      <c r="AZ605" s="53"/>
      <c r="BA605" s="53"/>
      <c r="BB605" s="52"/>
      <c r="BC605" s="52"/>
      <c r="BD605" s="52"/>
      <c r="BE605" s="52"/>
      <c r="BF605" s="83"/>
    </row>
    <row r="606" spans="1:58" ht="16" x14ac:dyDescent="0.35">
      <c r="A606" s="37"/>
      <c r="B606" s="38"/>
      <c r="C606" s="38"/>
      <c r="D606" s="38"/>
      <c r="E606" s="38"/>
      <c r="F606" s="38"/>
      <c r="G606" s="38"/>
      <c r="H606" s="39"/>
      <c r="I606" s="39"/>
      <c r="J606" s="39"/>
      <c r="K606" s="39"/>
      <c r="L606" s="39"/>
      <c r="M606" s="38"/>
      <c r="N606" s="38"/>
      <c r="O606" s="38"/>
      <c r="P606" s="38"/>
      <c r="Q606" s="38"/>
      <c r="R606" s="38"/>
      <c r="S606" s="38"/>
      <c r="T606" s="38"/>
      <c r="U606" s="38"/>
      <c r="V606" s="38"/>
      <c r="W606" s="38"/>
      <c r="X606" s="38"/>
      <c r="Y606" s="39"/>
      <c r="Z606" s="38"/>
      <c r="AA606" s="38"/>
      <c r="AB606" s="40"/>
      <c r="AP606"/>
      <c r="AQ606" s="48"/>
      <c r="AR606" s="48"/>
      <c r="AS606"/>
      <c r="AT606" s="48"/>
      <c r="AU606" s="48"/>
      <c r="AV606"/>
      <c r="AW606" s="49"/>
      <c r="AX606" s="49"/>
      <c r="AY606" s="49"/>
      <c r="AZ606" s="49"/>
      <c r="BA606" s="49"/>
      <c r="BB606" s="48"/>
      <c r="BC606" s="48"/>
      <c r="BD606" s="48"/>
      <c r="BE606" s="48"/>
      <c r="BF606" s="83"/>
    </row>
    <row r="607" spans="1:58" ht="16" x14ac:dyDescent="0.35">
      <c r="A607" s="41"/>
      <c r="B607" s="42"/>
      <c r="C607" s="42"/>
      <c r="D607" s="42"/>
      <c r="E607" s="42"/>
      <c r="F607" s="42"/>
      <c r="G607" s="42"/>
      <c r="H607" s="43"/>
      <c r="I607" s="43"/>
      <c r="J607" s="43"/>
      <c r="K607" s="43"/>
      <c r="L607" s="43"/>
      <c r="M607" s="42"/>
      <c r="N607" s="42"/>
      <c r="O607" s="42"/>
      <c r="P607" s="42"/>
      <c r="Q607" s="42"/>
      <c r="R607" s="42"/>
      <c r="S607" s="42"/>
      <c r="T607" s="42"/>
      <c r="U607" s="42"/>
      <c r="V607" s="42"/>
      <c r="W607" s="42"/>
      <c r="X607" s="42"/>
      <c r="Y607" s="43"/>
      <c r="Z607" s="42"/>
      <c r="AA607" s="42"/>
      <c r="AB607" s="44"/>
      <c r="AP607"/>
      <c r="AQ607" s="52"/>
      <c r="AR607" s="52"/>
      <c r="AS607"/>
      <c r="AT607" s="52"/>
      <c r="AU607" s="52"/>
      <c r="AV607"/>
      <c r="AW607" s="53"/>
      <c r="AX607" s="53"/>
      <c r="AY607" s="53"/>
      <c r="AZ607" s="53"/>
      <c r="BA607" s="53"/>
      <c r="BB607" s="52"/>
      <c r="BC607" s="52"/>
      <c r="BD607" s="52"/>
      <c r="BE607" s="52"/>
      <c r="BF607" s="83"/>
    </row>
    <row r="608" spans="1:58" ht="16" x14ac:dyDescent="0.35">
      <c r="A608" s="37"/>
      <c r="B608" s="38"/>
      <c r="C608" s="38"/>
      <c r="D608" s="38"/>
      <c r="E608" s="38"/>
      <c r="F608" s="38"/>
      <c r="G608" s="38"/>
      <c r="H608" s="39"/>
      <c r="I608" s="39"/>
      <c r="J608" s="39"/>
      <c r="K608" s="39"/>
      <c r="L608" s="39"/>
      <c r="M608" s="38"/>
      <c r="N608" s="38"/>
      <c r="O608" s="38"/>
      <c r="P608" s="38"/>
      <c r="Q608" s="38"/>
      <c r="R608" s="38"/>
      <c r="S608" s="38"/>
      <c r="T608" s="38"/>
      <c r="U608" s="38"/>
      <c r="V608" s="38"/>
      <c r="W608" s="38"/>
      <c r="X608" s="38"/>
      <c r="Y608" s="39"/>
      <c r="Z608" s="38"/>
      <c r="AA608" s="38"/>
      <c r="AB608" s="40"/>
      <c r="AP608"/>
      <c r="AQ608" s="48"/>
      <c r="AR608" s="48"/>
      <c r="AS608"/>
      <c r="AT608" s="48"/>
      <c r="AU608" s="48"/>
      <c r="AV608"/>
      <c r="AW608" s="49"/>
      <c r="AX608" s="49"/>
      <c r="AY608" s="49"/>
      <c r="AZ608" s="49"/>
      <c r="BA608" s="49"/>
      <c r="BB608" s="48"/>
      <c r="BC608" s="48"/>
      <c r="BD608" s="48"/>
      <c r="BE608" s="48"/>
      <c r="BF608" s="83"/>
    </row>
    <row r="609" spans="1:58" ht="16" x14ac:dyDescent="0.35">
      <c r="A609" s="41"/>
      <c r="B609" s="42"/>
      <c r="C609" s="42"/>
      <c r="D609" s="42"/>
      <c r="E609" s="42"/>
      <c r="F609" s="42"/>
      <c r="G609" s="42"/>
      <c r="H609" s="43"/>
      <c r="I609" s="43"/>
      <c r="J609" s="43"/>
      <c r="K609" s="43"/>
      <c r="L609" s="43"/>
      <c r="M609" s="42"/>
      <c r="N609" s="42"/>
      <c r="O609" s="42"/>
      <c r="P609" s="42"/>
      <c r="Q609" s="42"/>
      <c r="R609" s="42"/>
      <c r="S609" s="42"/>
      <c r="T609" s="42"/>
      <c r="U609" s="42"/>
      <c r="V609" s="42"/>
      <c r="W609" s="42"/>
      <c r="X609" s="42"/>
      <c r="Y609" s="43"/>
      <c r="Z609" s="42"/>
      <c r="AA609" s="42"/>
      <c r="AB609" s="44"/>
      <c r="AP609"/>
      <c r="AQ609" s="52"/>
      <c r="AR609" s="52"/>
      <c r="AS609"/>
      <c r="AT609" s="52"/>
      <c r="AU609" s="52"/>
      <c r="AV609"/>
      <c r="AW609" s="53"/>
      <c r="AX609" s="53"/>
      <c r="AY609" s="53"/>
      <c r="AZ609" s="53"/>
      <c r="BA609" s="53"/>
      <c r="BB609" s="52"/>
      <c r="BC609" s="52"/>
      <c r="BD609" s="52"/>
      <c r="BE609" s="52"/>
      <c r="BF609" s="83"/>
    </row>
    <row r="610" spans="1:58" ht="16" x14ac:dyDescent="0.35">
      <c r="A610" s="37"/>
      <c r="B610" s="38"/>
      <c r="C610" s="38"/>
      <c r="D610" s="38"/>
      <c r="E610" s="38"/>
      <c r="F610" s="38"/>
      <c r="G610" s="38"/>
      <c r="H610" s="39"/>
      <c r="I610" s="39"/>
      <c r="J610" s="39"/>
      <c r="K610" s="39"/>
      <c r="L610" s="39"/>
      <c r="M610" s="38"/>
      <c r="N610" s="38"/>
      <c r="O610" s="38"/>
      <c r="P610" s="38"/>
      <c r="Q610" s="38"/>
      <c r="R610" s="38"/>
      <c r="S610" s="38"/>
      <c r="T610" s="38"/>
      <c r="U610" s="38"/>
      <c r="V610" s="38"/>
      <c r="W610" s="38"/>
      <c r="X610" s="38"/>
      <c r="Y610" s="39"/>
      <c r="Z610" s="38"/>
      <c r="AA610" s="38"/>
      <c r="AB610" s="40"/>
      <c r="AP610"/>
      <c r="AQ610" s="48"/>
      <c r="AR610" s="48"/>
      <c r="AS610"/>
      <c r="AT610" s="48"/>
      <c r="AU610" s="48"/>
      <c r="AV610"/>
      <c r="AW610" s="49"/>
      <c r="AX610" s="49"/>
      <c r="AY610" s="49"/>
      <c r="AZ610" s="49"/>
      <c r="BA610" s="49"/>
      <c r="BB610" s="48"/>
      <c r="BC610" s="48"/>
      <c r="BD610" s="48"/>
      <c r="BE610" s="48"/>
      <c r="BF610" s="83"/>
    </row>
    <row r="611" spans="1:58" ht="16" x14ac:dyDescent="0.35">
      <c r="A611" s="41"/>
      <c r="B611" s="42"/>
      <c r="C611" s="42"/>
      <c r="D611" s="42"/>
      <c r="E611" s="42"/>
      <c r="F611" s="42"/>
      <c r="G611" s="42"/>
      <c r="H611" s="43"/>
      <c r="I611" s="43"/>
      <c r="J611" s="43"/>
      <c r="K611" s="43"/>
      <c r="L611" s="43"/>
      <c r="M611" s="42"/>
      <c r="N611" s="42"/>
      <c r="O611" s="42"/>
      <c r="P611" s="42"/>
      <c r="Q611" s="42"/>
      <c r="R611" s="42"/>
      <c r="S611" s="42"/>
      <c r="T611" s="42"/>
      <c r="U611" s="42"/>
      <c r="V611" s="42"/>
      <c r="W611" s="42"/>
      <c r="X611" s="42"/>
      <c r="Y611" s="43"/>
      <c r="Z611" s="42"/>
      <c r="AA611" s="42"/>
      <c r="AB611" s="44"/>
      <c r="AP611"/>
      <c r="AQ611" s="52"/>
      <c r="AR611" s="52"/>
      <c r="AS611"/>
      <c r="AT611" s="52"/>
      <c r="AU611" s="52"/>
      <c r="AV611"/>
      <c r="AW611" s="53"/>
      <c r="AX611" s="53"/>
      <c r="AY611" s="53"/>
      <c r="AZ611" s="53"/>
      <c r="BA611" s="53"/>
      <c r="BB611" s="52"/>
      <c r="BC611" s="52"/>
      <c r="BD611" s="52"/>
      <c r="BE611" s="52"/>
      <c r="BF611" s="83"/>
    </row>
    <row r="612" spans="1:58" ht="16" x14ac:dyDescent="0.35">
      <c r="A612" s="37"/>
      <c r="B612" s="38"/>
      <c r="C612" s="38"/>
      <c r="D612" s="38"/>
      <c r="E612" s="38"/>
      <c r="F612" s="38"/>
      <c r="G612" s="38"/>
      <c r="H612" s="39"/>
      <c r="I612" s="39"/>
      <c r="J612" s="39"/>
      <c r="K612" s="39"/>
      <c r="L612" s="39"/>
      <c r="M612" s="38"/>
      <c r="N612" s="38"/>
      <c r="O612" s="38"/>
      <c r="P612" s="38"/>
      <c r="Q612" s="38"/>
      <c r="R612" s="38"/>
      <c r="S612" s="38"/>
      <c r="T612" s="38"/>
      <c r="U612" s="38"/>
      <c r="V612" s="38"/>
      <c r="W612" s="38"/>
      <c r="X612" s="38"/>
      <c r="Y612" s="39"/>
      <c r="Z612" s="38"/>
      <c r="AA612" s="38"/>
      <c r="AB612" s="40"/>
      <c r="AP612"/>
      <c r="AQ612" s="48"/>
      <c r="AR612" s="48"/>
      <c r="AS612"/>
      <c r="AT612" s="48"/>
      <c r="AU612" s="48"/>
      <c r="AV612"/>
      <c r="AW612" s="49"/>
      <c r="AX612" s="49"/>
      <c r="AY612" s="49"/>
      <c r="AZ612" s="49"/>
      <c r="BA612" s="49"/>
      <c r="BB612" s="48"/>
      <c r="BC612" s="48"/>
      <c r="BD612" s="48"/>
      <c r="BE612" s="48"/>
      <c r="BF612" s="83"/>
    </row>
    <row r="613" spans="1:58" ht="16" x14ac:dyDescent="0.35">
      <c r="A613" s="41"/>
      <c r="B613" s="42"/>
      <c r="C613" s="42"/>
      <c r="D613" s="42"/>
      <c r="E613" s="42"/>
      <c r="F613" s="42"/>
      <c r="G613" s="42"/>
      <c r="H613" s="43"/>
      <c r="I613" s="43"/>
      <c r="J613" s="43"/>
      <c r="K613" s="43"/>
      <c r="L613" s="43"/>
      <c r="M613" s="42"/>
      <c r="N613" s="42"/>
      <c r="O613" s="42"/>
      <c r="P613" s="42"/>
      <c r="Q613" s="42"/>
      <c r="R613" s="42"/>
      <c r="S613" s="42"/>
      <c r="T613" s="42"/>
      <c r="U613" s="42"/>
      <c r="V613" s="42"/>
      <c r="W613" s="42"/>
      <c r="X613" s="42"/>
      <c r="Y613" s="43"/>
      <c r="Z613" s="42"/>
      <c r="AA613" s="42"/>
      <c r="AB613" s="44"/>
      <c r="AP613"/>
      <c r="AQ613" s="52"/>
      <c r="AR613" s="52"/>
      <c r="AS613"/>
      <c r="AT613" s="52"/>
      <c r="AU613" s="52"/>
      <c r="AV613"/>
      <c r="AW613" s="53"/>
      <c r="AX613" s="53"/>
      <c r="AY613" s="53"/>
      <c r="AZ613" s="53"/>
      <c r="BA613" s="53"/>
      <c r="BB613" s="52"/>
      <c r="BC613" s="52"/>
      <c r="BD613" s="52"/>
      <c r="BE613" s="52"/>
      <c r="BF613" s="83"/>
    </row>
    <row r="614" spans="1:58" ht="16" x14ac:dyDescent="0.35">
      <c r="A614" s="37"/>
      <c r="B614" s="38"/>
      <c r="C614" s="38"/>
      <c r="D614" s="38"/>
      <c r="E614" s="38"/>
      <c r="F614" s="38"/>
      <c r="G614" s="38"/>
      <c r="H614" s="39"/>
      <c r="I614" s="39"/>
      <c r="J614" s="39"/>
      <c r="K614" s="39"/>
      <c r="L614" s="39"/>
      <c r="M614" s="38"/>
      <c r="N614" s="38"/>
      <c r="O614" s="38"/>
      <c r="P614" s="38"/>
      <c r="Q614" s="38"/>
      <c r="R614" s="38"/>
      <c r="S614" s="38"/>
      <c r="T614" s="38"/>
      <c r="U614" s="38"/>
      <c r="V614" s="38"/>
      <c r="W614" s="38"/>
      <c r="X614" s="38"/>
      <c r="Y614" s="39"/>
      <c r="Z614" s="38"/>
      <c r="AA614" s="38"/>
      <c r="AB614" s="40"/>
      <c r="AP614"/>
      <c r="AQ614" s="48"/>
      <c r="AR614" s="48"/>
      <c r="AS614"/>
      <c r="AT614" s="48"/>
      <c r="AU614" s="48"/>
      <c r="AV614"/>
      <c r="AW614" s="49"/>
      <c r="AX614" s="49"/>
      <c r="AY614" s="49"/>
      <c r="AZ614" s="49"/>
      <c r="BA614" s="49"/>
      <c r="BB614" s="48"/>
      <c r="BC614" s="48"/>
      <c r="BD614" s="48"/>
      <c r="BE614" s="48"/>
      <c r="BF614" s="83"/>
    </row>
    <row r="615" spans="1:58" ht="16" x14ac:dyDescent="0.35">
      <c r="A615" s="41"/>
      <c r="B615" s="42"/>
      <c r="C615" s="42"/>
      <c r="D615" s="42"/>
      <c r="E615" s="42"/>
      <c r="F615" s="42"/>
      <c r="G615" s="42"/>
      <c r="H615" s="43"/>
      <c r="I615" s="43"/>
      <c r="J615" s="43"/>
      <c r="K615" s="43"/>
      <c r="L615" s="43"/>
      <c r="M615" s="42"/>
      <c r="N615" s="42"/>
      <c r="O615" s="42"/>
      <c r="P615" s="42"/>
      <c r="Q615" s="42"/>
      <c r="R615" s="42"/>
      <c r="S615" s="42"/>
      <c r="T615" s="42"/>
      <c r="U615" s="42"/>
      <c r="V615" s="42"/>
      <c r="W615" s="42"/>
      <c r="X615" s="42"/>
      <c r="Y615" s="43"/>
      <c r="Z615" s="42"/>
      <c r="AA615" s="42"/>
      <c r="AB615" s="44"/>
      <c r="AP615"/>
      <c r="AQ615" s="52"/>
      <c r="AR615" s="52"/>
      <c r="AS615"/>
      <c r="AT615" s="52"/>
      <c r="AU615" s="52"/>
      <c r="AV615"/>
      <c r="AW615" s="53"/>
      <c r="AX615" s="53"/>
      <c r="AY615" s="53"/>
      <c r="AZ615" s="53"/>
      <c r="BA615" s="53"/>
      <c r="BB615" s="52"/>
      <c r="BC615" s="52"/>
      <c r="BD615" s="52"/>
      <c r="BE615" s="52"/>
      <c r="BF615" s="83"/>
    </row>
    <row r="616" spans="1:58" ht="16" x14ac:dyDescent="0.35">
      <c r="A616" s="37"/>
      <c r="B616" s="38"/>
      <c r="C616" s="38"/>
      <c r="D616" s="38"/>
      <c r="E616" s="38"/>
      <c r="F616" s="38"/>
      <c r="G616" s="38"/>
      <c r="H616" s="39"/>
      <c r="I616" s="39"/>
      <c r="J616" s="39"/>
      <c r="K616" s="39"/>
      <c r="L616" s="39"/>
      <c r="M616" s="38"/>
      <c r="N616" s="38"/>
      <c r="O616" s="38"/>
      <c r="P616" s="38"/>
      <c r="Q616" s="38"/>
      <c r="R616" s="38"/>
      <c r="S616" s="38"/>
      <c r="T616" s="38"/>
      <c r="U616" s="38"/>
      <c r="V616" s="38"/>
      <c r="W616" s="38"/>
      <c r="X616" s="38"/>
      <c r="Y616" s="39"/>
      <c r="Z616" s="38"/>
      <c r="AA616" s="38"/>
      <c r="AB616" s="40"/>
      <c r="AP616"/>
      <c r="AQ616" s="48"/>
      <c r="AR616" s="48"/>
      <c r="AS616"/>
      <c r="AT616" s="48"/>
      <c r="AU616" s="48"/>
      <c r="AV616"/>
      <c r="AW616" s="49"/>
      <c r="AX616" s="49"/>
      <c r="AY616" s="49"/>
      <c r="AZ616" s="49"/>
      <c r="BA616" s="49"/>
      <c r="BB616" s="48"/>
      <c r="BC616" s="48"/>
      <c r="BD616" s="48"/>
      <c r="BE616" s="48"/>
      <c r="BF616" s="83"/>
    </row>
    <row r="617" spans="1:58" ht="16" x14ac:dyDescent="0.35">
      <c r="A617" s="41"/>
      <c r="B617" s="42"/>
      <c r="C617" s="42"/>
      <c r="D617" s="42"/>
      <c r="E617" s="42"/>
      <c r="F617" s="42"/>
      <c r="G617" s="42"/>
      <c r="H617" s="43"/>
      <c r="I617" s="43"/>
      <c r="J617" s="43"/>
      <c r="K617" s="43"/>
      <c r="L617" s="43"/>
      <c r="M617" s="42"/>
      <c r="N617" s="42"/>
      <c r="O617" s="42"/>
      <c r="P617" s="42"/>
      <c r="Q617" s="42"/>
      <c r="R617" s="42"/>
      <c r="S617" s="42"/>
      <c r="T617" s="42"/>
      <c r="U617" s="42"/>
      <c r="V617" s="42"/>
      <c r="W617" s="42"/>
      <c r="X617" s="42"/>
      <c r="Y617" s="43"/>
      <c r="Z617" s="42"/>
      <c r="AA617" s="42"/>
      <c r="AB617" s="44"/>
      <c r="AP617"/>
      <c r="AQ617" s="52"/>
      <c r="AR617" s="52"/>
      <c r="AS617"/>
      <c r="AT617" s="52"/>
      <c r="AU617" s="52"/>
      <c r="AV617"/>
      <c r="AW617" s="53"/>
      <c r="AX617" s="53"/>
      <c r="AY617" s="53"/>
      <c r="AZ617" s="53"/>
      <c r="BA617" s="53"/>
      <c r="BB617" s="52"/>
      <c r="BC617" s="52"/>
      <c r="BD617" s="52"/>
      <c r="BE617" s="52"/>
      <c r="BF617" s="83"/>
    </row>
    <row r="618" spans="1:58" ht="16" x14ac:dyDescent="0.35">
      <c r="A618" s="37"/>
      <c r="B618" s="38"/>
      <c r="C618" s="38"/>
      <c r="D618" s="38"/>
      <c r="E618" s="38"/>
      <c r="F618" s="38"/>
      <c r="G618" s="38"/>
      <c r="H618" s="39"/>
      <c r="I618" s="39"/>
      <c r="J618" s="39"/>
      <c r="K618" s="39"/>
      <c r="L618" s="39"/>
      <c r="M618" s="38"/>
      <c r="N618" s="38"/>
      <c r="O618" s="38"/>
      <c r="P618" s="38"/>
      <c r="Q618" s="38"/>
      <c r="R618" s="38"/>
      <c r="S618" s="38"/>
      <c r="T618" s="38"/>
      <c r="U618" s="38"/>
      <c r="V618" s="38"/>
      <c r="W618" s="38"/>
      <c r="X618" s="38"/>
      <c r="Y618" s="39"/>
      <c r="Z618" s="38"/>
      <c r="AA618" s="38"/>
      <c r="AB618" s="40"/>
      <c r="AP618"/>
      <c r="AQ618" s="48"/>
      <c r="AR618" s="48"/>
      <c r="AS618"/>
      <c r="AT618" s="48"/>
      <c r="AU618" s="48"/>
      <c r="AV618"/>
      <c r="AW618" s="49"/>
      <c r="AX618" s="49"/>
      <c r="AY618" s="49"/>
      <c r="AZ618" s="49"/>
      <c r="BA618" s="49"/>
      <c r="BB618" s="48"/>
      <c r="BC618" s="48"/>
      <c r="BD618" s="48"/>
      <c r="BE618" s="48"/>
      <c r="BF618" s="83"/>
    </row>
    <row r="619" spans="1:58" ht="16" x14ac:dyDescent="0.35">
      <c r="A619" s="41"/>
      <c r="B619" s="42"/>
      <c r="C619" s="42"/>
      <c r="D619" s="42"/>
      <c r="E619" s="42"/>
      <c r="F619" s="42"/>
      <c r="G619" s="42"/>
      <c r="H619" s="43"/>
      <c r="I619" s="43"/>
      <c r="J619" s="43"/>
      <c r="K619" s="43"/>
      <c r="L619" s="43"/>
      <c r="M619" s="42"/>
      <c r="N619" s="42"/>
      <c r="O619" s="42"/>
      <c r="P619" s="42"/>
      <c r="Q619" s="42"/>
      <c r="R619" s="42"/>
      <c r="S619" s="42"/>
      <c r="T619" s="42"/>
      <c r="U619" s="42"/>
      <c r="V619" s="42"/>
      <c r="W619" s="42"/>
      <c r="X619" s="42"/>
      <c r="Y619" s="43"/>
      <c r="Z619" s="42"/>
      <c r="AA619" s="42"/>
      <c r="AB619" s="44"/>
      <c r="AP619"/>
      <c r="AQ619" s="52"/>
      <c r="AR619" s="52"/>
      <c r="AS619"/>
      <c r="AT619" s="52"/>
      <c r="AU619" s="52"/>
      <c r="AV619"/>
      <c r="AW619" s="53"/>
      <c r="AX619" s="53"/>
      <c r="AY619" s="53"/>
      <c r="AZ619" s="53"/>
      <c r="BA619" s="53"/>
      <c r="BB619" s="52"/>
      <c r="BC619" s="52"/>
      <c r="BD619" s="52"/>
      <c r="BE619" s="52"/>
      <c r="BF619" s="83"/>
    </row>
    <row r="620" spans="1:58" ht="16" x14ac:dyDescent="0.35">
      <c r="A620" s="37"/>
      <c r="B620" s="38"/>
      <c r="C620" s="38"/>
      <c r="D620" s="38"/>
      <c r="E620" s="38"/>
      <c r="F620" s="38"/>
      <c r="G620" s="38"/>
      <c r="H620" s="39"/>
      <c r="I620" s="39"/>
      <c r="J620" s="39"/>
      <c r="K620" s="39"/>
      <c r="L620" s="39"/>
      <c r="M620" s="38"/>
      <c r="N620" s="38"/>
      <c r="O620" s="38"/>
      <c r="P620" s="38"/>
      <c r="Q620" s="38"/>
      <c r="R620" s="38"/>
      <c r="S620" s="38"/>
      <c r="T620" s="38"/>
      <c r="U620" s="38"/>
      <c r="V620" s="38"/>
      <c r="W620" s="38"/>
      <c r="X620" s="38"/>
      <c r="Y620" s="39"/>
      <c r="Z620" s="38"/>
      <c r="AA620" s="38"/>
      <c r="AB620" s="40"/>
      <c r="AP620"/>
      <c r="AQ620" s="48"/>
      <c r="AR620" s="48"/>
      <c r="AS620"/>
      <c r="AT620" s="48"/>
      <c r="AU620" s="48"/>
      <c r="AV620"/>
      <c r="AW620" s="49"/>
      <c r="AX620" s="49"/>
      <c r="AY620" s="49"/>
      <c r="AZ620" s="49"/>
      <c r="BA620" s="49"/>
      <c r="BB620" s="48"/>
      <c r="BC620" s="48"/>
      <c r="BD620" s="48"/>
      <c r="BE620" s="48"/>
      <c r="BF620" s="83"/>
    </row>
    <row r="621" spans="1:58" ht="16" x14ac:dyDescent="0.35">
      <c r="A621" s="41"/>
      <c r="B621" s="42"/>
      <c r="C621" s="42"/>
      <c r="D621" s="42"/>
      <c r="E621" s="42"/>
      <c r="F621" s="42"/>
      <c r="G621" s="42"/>
      <c r="H621" s="43"/>
      <c r="I621" s="43"/>
      <c r="J621" s="43"/>
      <c r="K621" s="43"/>
      <c r="L621" s="43"/>
      <c r="M621" s="42"/>
      <c r="N621" s="42"/>
      <c r="O621" s="42"/>
      <c r="P621" s="42"/>
      <c r="Q621" s="42"/>
      <c r="R621" s="42"/>
      <c r="S621" s="42"/>
      <c r="T621" s="42"/>
      <c r="U621" s="42"/>
      <c r="V621" s="42"/>
      <c r="W621" s="42"/>
      <c r="X621" s="42"/>
      <c r="Y621" s="43"/>
      <c r="Z621" s="42"/>
      <c r="AA621" s="42"/>
      <c r="AB621" s="44"/>
      <c r="AP621"/>
      <c r="AQ621" s="52"/>
      <c r="AR621" s="52"/>
      <c r="AS621"/>
      <c r="AT621" s="52"/>
      <c r="AU621" s="52"/>
      <c r="AV621"/>
      <c r="AW621" s="53"/>
      <c r="AX621" s="53"/>
      <c r="AY621" s="53"/>
      <c r="AZ621" s="53"/>
      <c r="BA621" s="53"/>
      <c r="BB621" s="52"/>
      <c r="BC621" s="52"/>
      <c r="BD621" s="52"/>
      <c r="BE621" s="52"/>
      <c r="BF621" s="83"/>
    </row>
    <row r="622" spans="1:58" ht="16" x14ac:dyDescent="0.35">
      <c r="A622" s="37"/>
      <c r="B622" s="38"/>
      <c r="C622" s="38"/>
      <c r="D622" s="38"/>
      <c r="E622" s="38"/>
      <c r="F622" s="38"/>
      <c r="G622" s="38"/>
      <c r="H622" s="39"/>
      <c r="I622" s="39"/>
      <c r="J622" s="39"/>
      <c r="K622" s="39"/>
      <c r="L622" s="39"/>
      <c r="M622" s="38"/>
      <c r="N622" s="38"/>
      <c r="O622" s="38"/>
      <c r="P622" s="38"/>
      <c r="Q622" s="38"/>
      <c r="R622" s="38"/>
      <c r="S622" s="38"/>
      <c r="T622" s="38"/>
      <c r="U622" s="38"/>
      <c r="V622" s="38"/>
      <c r="W622" s="38"/>
      <c r="X622" s="38"/>
      <c r="Y622" s="39"/>
      <c r="Z622" s="38"/>
      <c r="AA622" s="38"/>
      <c r="AB622" s="40"/>
      <c r="AP622"/>
      <c r="AQ622" s="48"/>
      <c r="AR622" s="48"/>
      <c r="AS622"/>
      <c r="AT622" s="48"/>
      <c r="AU622" s="48"/>
      <c r="AV622"/>
      <c r="AW622" s="49"/>
      <c r="AX622" s="49"/>
      <c r="AY622" s="49"/>
      <c r="AZ622" s="49"/>
      <c r="BA622" s="49"/>
      <c r="BB622" s="48"/>
      <c r="BC622" s="48"/>
      <c r="BD622" s="48"/>
      <c r="BE622" s="48"/>
      <c r="BF622" s="83"/>
    </row>
    <row r="623" spans="1:58" ht="16" x14ac:dyDescent="0.35">
      <c r="A623" s="41"/>
      <c r="B623" s="42"/>
      <c r="C623" s="42"/>
      <c r="D623" s="42"/>
      <c r="E623" s="42"/>
      <c r="F623" s="42"/>
      <c r="G623" s="42"/>
      <c r="H623" s="43"/>
      <c r="I623" s="43"/>
      <c r="J623" s="43"/>
      <c r="K623" s="43"/>
      <c r="L623" s="43"/>
      <c r="M623" s="42"/>
      <c r="N623" s="42"/>
      <c r="O623" s="42"/>
      <c r="P623" s="42"/>
      <c r="Q623" s="42"/>
      <c r="R623" s="42"/>
      <c r="S623" s="42"/>
      <c r="T623" s="42"/>
      <c r="U623" s="42"/>
      <c r="V623" s="42"/>
      <c r="W623" s="42"/>
      <c r="X623" s="42"/>
      <c r="Y623" s="43"/>
      <c r="Z623" s="42"/>
      <c r="AA623" s="42"/>
      <c r="AB623" s="44"/>
      <c r="AP623"/>
      <c r="AQ623" s="52"/>
      <c r="AR623" s="52"/>
      <c r="AS623"/>
      <c r="AT623" s="52"/>
      <c r="AU623" s="52"/>
      <c r="AV623"/>
      <c r="AW623" s="53"/>
      <c r="AX623" s="53"/>
      <c r="AY623" s="53"/>
      <c r="AZ623" s="53"/>
      <c r="BA623" s="53"/>
      <c r="BB623" s="52"/>
      <c r="BC623" s="52"/>
      <c r="BD623" s="52"/>
      <c r="BE623" s="52"/>
      <c r="BF623" s="83"/>
    </row>
    <row r="624" spans="1:58" ht="16" x14ac:dyDescent="0.35">
      <c r="A624" s="37"/>
      <c r="B624" s="38"/>
      <c r="C624" s="38"/>
      <c r="D624" s="38"/>
      <c r="E624" s="38"/>
      <c r="F624" s="38"/>
      <c r="G624" s="38"/>
      <c r="H624" s="39"/>
      <c r="I624" s="39"/>
      <c r="J624" s="39"/>
      <c r="K624" s="39"/>
      <c r="L624" s="39"/>
      <c r="M624" s="38"/>
      <c r="N624" s="38"/>
      <c r="O624" s="38"/>
      <c r="P624" s="38"/>
      <c r="Q624" s="38"/>
      <c r="R624" s="38"/>
      <c r="S624" s="38"/>
      <c r="T624" s="38"/>
      <c r="U624" s="38"/>
      <c r="V624" s="38"/>
      <c r="W624" s="38"/>
      <c r="X624" s="38"/>
      <c r="Y624" s="39"/>
      <c r="Z624" s="38"/>
      <c r="AA624" s="38"/>
      <c r="AB624" s="40"/>
      <c r="AP624"/>
      <c r="AQ624" s="48"/>
      <c r="AR624" s="48"/>
      <c r="AS624"/>
      <c r="AT624" s="48"/>
      <c r="AU624" s="48"/>
      <c r="AV624"/>
      <c r="AW624" s="49"/>
      <c r="AX624" s="49"/>
      <c r="AY624" s="49"/>
      <c r="AZ624" s="49"/>
      <c r="BA624" s="49"/>
      <c r="BB624" s="48"/>
      <c r="BC624" s="48"/>
      <c r="BD624" s="48"/>
      <c r="BE624" s="48"/>
      <c r="BF624" s="83"/>
    </row>
    <row r="625" spans="1:58" ht="16" x14ac:dyDescent="0.35">
      <c r="A625" s="41"/>
      <c r="B625" s="42"/>
      <c r="C625" s="42"/>
      <c r="D625" s="42"/>
      <c r="E625" s="42"/>
      <c r="F625" s="42"/>
      <c r="G625" s="42"/>
      <c r="H625" s="43"/>
      <c r="I625" s="43"/>
      <c r="J625" s="43"/>
      <c r="K625" s="43"/>
      <c r="L625" s="43"/>
      <c r="M625" s="42"/>
      <c r="N625" s="42"/>
      <c r="O625" s="42"/>
      <c r="P625" s="42"/>
      <c r="Q625" s="42"/>
      <c r="R625" s="42"/>
      <c r="S625" s="42"/>
      <c r="T625" s="42"/>
      <c r="U625" s="42"/>
      <c r="V625" s="42"/>
      <c r="W625" s="42"/>
      <c r="X625" s="42"/>
      <c r="Y625" s="43"/>
      <c r="Z625" s="42"/>
      <c r="AA625" s="42"/>
      <c r="AB625" s="44"/>
      <c r="AP625"/>
      <c r="AQ625" s="52"/>
      <c r="AR625" s="52"/>
      <c r="AS625"/>
      <c r="AT625" s="52"/>
      <c r="AU625" s="52"/>
      <c r="AV625"/>
      <c r="AW625" s="53"/>
      <c r="AX625" s="53"/>
      <c r="AY625" s="53"/>
      <c r="AZ625" s="53"/>
      <c r="BA625" s="53"/>
      <c r="BB625" s="52"/>
      <c r="BC625" s="52"/>
      <c r="BD625" s="52"/>
      <c r="BE625" s="52"/>
      <c r="BF625" s="83"/>
    </row>
    <row r="626" spans="1:58" ht="16" x14ac:dyDescent="0.35">
      <c r="A626" s="37"/>
      <c r="B626" s="38"/>
      <c r="C626" s="38"/>
      <c r="D626" s="38"/>
      <c r="E626" s="38"/>
      <c r="F626" s="38"/>
      <c r="G626" s="38"/>
      <c r="H626" s="39"/>
      <c r="I626" s="39"/>
      <c r="J626" s="39"/>
      <c r="K626" s="39"/>
      <c r="L626" s="39"/>
      <c r="M626" s="38"/>
      <c r="N626" s="38"/>
      <c r="O626" s="38"/>
      <c r="P626" s="38"/>
      <c r="Q626" s="38"/>
      <c r="R626" s="38"/>
      <c r="S626" s="38"/>
      <c r="T626" s="38"/>
      <c r="U626" s="38"/>
      <c r="V626" s="38"/>
      <c r="W626" s="38"/>
      <c r="X626" s="38"/>
      <c r="Y626" s="39"/>
      <c r="Z626" s="38"/>
      <c r="AA626" s="38"/>
      <c r="AB626" s="40"/>
      <c r="AP626"/>
      <c r="AQ626" s="48"/>
      <c r="AR626" s="48"/>
      <c r="AS626"/>
      <c r="AT626" s="48"/>
      <c r="AU626" s="48"/>
      <c r="AV626"/>
      <c r="AW626" s="49"/>
      <c r="AX626" s="49"/>
      <c r="AY626" s="49"/>
      <c r="AZ626" s="49"/>
      <c r="BA626" s="49"/>
      <c r="BB626" s="48"/>
      <c r="BC626" s="48"/>
      <c r="BD626" s="48"/>
      <c r="BE626" s="48"/>
      <c r="BF626" s="83"/>
    </row>
    <row r="627" spans="1:58" ht="16" x14ac:dyDescent="0.35">
      <c r="A627" s="41"/>
      <c r="B627" s="42"/>
      <c r="C627" s="42"/>
      <c r="D627" s="42"/>
      <c r="E627" s="42"/>
      <c r="F627" s="42"/>
      <c r="G627" s="42"/>
      <c r="H627" s="43"/>
      <c r="I627" s="43"/>
      <c r="J627" s="43"/>
      <c r="K627" s="43"/>
      <c r="L627" s="43"/>
      <c r="M627" s="42"/>
      <c r="N627" s="42"/>
      <c r="O627" s="42"/>
      <c r="P627" s="42"/>
      <c r="Q627" s="42"/>
      <c r="R627" s="42"/>
      <c r="S627" s="42"/>
      <c r="T627" s="42"/>
      <c r="U627" s="42"/>
      <c r="V627" s="42"/>
      <c r="W627" s="42"/>
      <c r="X627" s="42"/>
      <c r="Y627" s="43"/>
      <c r="Z627" s="42"/>
      <c r="AA627" s="42"/>
      <c r="AB627" s="44"/>
      <c r="AP627"/>
      <c r="AQ627" s="52"/>
      <c r="AR627" s="52"/>
      <c r="AS627"/>
      <c r="AT627" s="52"/>
      <c r="AU627" s="52"/>
      <c r="AV627"/>
      <c r="AW627" s="53"/>
      <c r="AX627" s="53"/>
      <c r="AY627" s="53"/>
      <c r="AZ627" s="53"/>
      <c r="BA627" s="53"/>
      <c r="BB627" s="52"/>
      <c r="BC627" s="52"/>
      <c r="BD627" s="52"/>
      <c r="BE627" s="52"/>
      <c r="BF627" s="83"/>
    </row>
    <row r="628" spans="1:58" ht="16" x14ac:dyDescent="0.35">
      <c r="A628" s="37"/>
      <c r="B628" s="38"/>
      <c r="C628" s="38"/>
      <c r="D628" s="38"/>
      <c r="E628" s="38"/>
      <c r="F628" s="38"/>
      <c r="G628" s="38"/>
      <c r="H628" s="39"/>
      <c r="I628" s="39"/>
      <c r="J628" s="39"/>
      <c r="K628" s="39"/>
      <c r="L628" s="39"/>
      <c r="M628" s="38"/>
      <c r="N628" s="38"/>
      <c r="O628" s="38"/>
      <c r="P628" s="38"/>
      <c r="Q628" s="38"/>
      <c r="R628" s="38"/>
      <c r="S628" s="38"/>
      <c r="T628" s="38"/>
      <c r="U628" s="38"/>
      <c r="V628" s="38"/>
      <c r="W628" s="38"/>
      <c r="X628" s="38"/>
      <c r="Y628" s="39"/>
      <c r="Z628" s="38"/>
      <c r="AA628" s="38"/>
      <c r="AB628" s="40"/>
      <c r="AP628"/>
      <c r="AQ628" s="48"/>
      <c r="AR628" s="48"/>
      <c r="AS628"/>
      <c r="AT628" s="48"/>
      <c r="AU628" s="48"/>
      <c r="AV628"/>
      <c r="AW628" s="49"/>
      <c r="AX628" s="49"/>
      <c r="AY628" s="49"/>
      <c r="AZ628" s="49"/>
      <c r="BA628" s="49"/>
      <c r="BB628" s="48"/>
      <c r="BC628" s="48"/>
      <c r="BD628" s="48"/>
      <c r="BE628" s="48"/>
      <c r="BF628" s="83"/>
    </row>
    <row r="629" spans="1:58" ht="16" x14ac:dyDescent="0.35">
      <c r="A629" s="41"/>
      <c r="B629" s="42"/>
      <c r="C629" s="42"/>
      <c r="D629" s="42"/>
      <c r="E629" s="42"/>
      <c r="F629" s="42"/>
      <c r="G629" s="42"/>
      <c r="H629" s="43"/>
      <c r="I629" s="43"/>
      <c r="J629" s="43"/>
      <c r="K629" s="43"/>
      <c r="L629" s="43"/>
      <c r="M629" s="42"/>
      <c r="N629" s="42"/>
      <c r="O629" s="42"/>
      <c r="P629" s="42"/>
      <c r="Q629" s="42"/>
      <c r="R629" s="42"/>
      <c r="S629" s="42"/>
      <c r="T629" s="42"/>
      <c r="U629" s="42"/>
      <c r="V629" s="42"/>
      <c r="W629" s="42"/>
      <c r="X629" s="42"/>
      <c r="Y629" s="43"/>
      <c r="Z629" s="42"/>
      <c r="AA629" s="42"/>
      <c r="AB629" s="44"/>
      <c r="AP629"/>
      <c r="AQ629" s="52"/>
      <c r="AR629" s="52"/>
      <c r="AS629"/>
      <c r="AT629" s="52"/>
      <c r="AU629" s="52"/>
      <c r="AV629"/>
      <c r="AW629" s="53"/>
      <c r="AX629" s="53"/>
      <c r="AY629" s="53"/>
      <c r="AZ629" s="53"/>
      <c r="BA629" s="53"/>
      <c r="BB629" s="52"/>
      <c r="BC629" s="52"/>
      <c r="BD629" s="52"/>
      <c r="BE629" s="52"/>
      <c r="BF629" s="83"/>
    </row>
    <row r="630" spans="1:58" ht="16" x14ac:dyDescent="0.35">
      <c r="A630" s="37"/>
      <c r="B630" s="38"/>
      <c r="C630" s="38"/>
      <c r="D630" s="38"/>
      <c r="E630" s="38"/>
      <c r="F630" s="38"/>
      <c r="G630" s="38"/>
      <c r="H630" s="39"/>
      <c r="I630" s="39"/>
      <c r="J630" s="39"/>
      <c r="K630" s="39"/>
      <c r="L630" s="39"/>
      <c r="M630" s="38"/>
      <c r="N630" s="38"/>
      <c r="O630" s="38"/>
      <c r="P630" s="38"/>
      <c r="Q630" s="38"/>
      <c r="R630" s="38"/>
      <c r="S630" s="38"/>
      <c r="T630" s="38"/>
      <c r="U630" s="38"/>
      <c r="V630" s="38"/>
      <c r="W630" s="38"/>
      <c r="X630" s="38"/>
      <c r="Y630" s="39"/>
      <c r="Z630" s="38"/>
      <c r="AA630" s="38"/>
      <c r="AB630" s="40"/>
      <c r="AP630"/>
      <c r="AQ630" s="48"/>
      <c r="AR630" s="48"/>
      <c r="AS630"/>
      <c r="AT630" s="48"/>
      <c r="AU630" s="48"/>
      <c r="AV630"/>
      <c r="AW630" s="49"/>
      <c r="AX630" s="49"/>
      <c r="AY630" s="49"/>
      <c r="AZ630" s="49"/>
      <c r="BA630" s="49"/>
      <c r="BB630" s="48"/>
      <c r="BC630" s="48"/>
      <c r="BD630" s="48"/>
      <c r="BE630" s="48"/>
      <c r="BF630" s="83"/>
    </row>
    <row r="631" spans="1:58" ht="16" x14ac:dyDescent="0.35">
      <c r="A631" s="41"/>
      <c r="B631" s="42"/>
      <c r="C631" s="42"/>
      <c r="D631" s="42"/>
      <c r="E631" s="42"/>
      <c r="F631" s="42"/>
      <c r="G631" s="42"/>
      <c r="H631" s="43"/>
      <c r="I631" s="43"/>
      <c r="J631" s="43"/>
      <c r="K631" s="43"/>
      <c r="L631" s="43"/>
      <c r="M631" s="42"/>
      <c r="N631" s="42"/>
      <c r="O631" s="42"/>
      <c r="P631" s="42"/>
      <c r="Q631" s="42"/>
      <c r="R631" s="42"/>
      <c r="S631" s="42"/>
      <c r="T631" s="42"/>
      <c r="U631" s="42"/>
      <c r="V631" s="42"/>
      <c r="W631" s="42"/>
      <c r="X631" s="42"/>
      <c r="Y631" s="43"/>
      <c r="Z631" s="42"/>
      <c r="AA631" s="42"/>
      <c r="AB631" s="44"/>
      <c r="AP631"/>
      <c r="AQ631" s="52"/>
      <c r="AR631" s="52"/>
      <c r="AS631"/>
      <c r="AT631" s="52"/>
      <c r="AU631" s="52"/>
      <c r="AV631"/>
      <c r="AW631" s="53"/>
      <c r="AX631" s="53"/>
      <c r="AY631" s="53"/>
      <c r="AZ631" s="53"/>
      <c r="BA631" s="53"/>
      <c r="BB631" s="52"/>
      <c r="BC631" s="52"/>
      <c r="BD631" s="52"/>
      <c r="BE631" s="52"/>
      <c r="BF631" s="83"/>
    </row>
    <row r="632" spans="1:58" ht="16" x14ac:dyDescent="0.35">
      <c r="A632" s="37"/>
      <c r="B632" s="38"/>
      <c r="C632" s="38"/>
      <c r="D632" s="38"/>
      <c r="E632" s="38"/>
      <c r="F632" s="38"/>
      <c r="G632" s="38"/>
      <c r="H632" s="39"/>
      <c r="I632" s="39"/>
      <c r="J632" s="39"/>
      <c r="K632" s="39"/>
      <c r="L632" s="39"/>
      <c r="M632" s="38"/>
      <c r="N632" s="38"/>
      <c r="O632" s="38"/>
      <c r="P632" s="38"/>
      <c r="Q632" s="38"/>
      <c r="R632" s="38"/>
      <c r="S632" s="38"/>
      <c r="T632" s="38"/>
      <c r="U632" s="38"/>
      <c r="V632" s="38"/>
      <c r="W632" s="38"/>
      <c r="X632" s="38"/>
      <c r="Y632" s="39"/>
      <c r="Z632" s="38"/>
      <c r="AA632" s="38"/>
      <c r="AB632" s="40"/>
      <c r="AP632"/>
      <c r="AQ632" s="48"/>
      <c r="AR632" s="48"/>
      <c r="AS632"/>
      <c r="AT632" s="48"/>
      <c r="AU632" s="48"/>
      <c r="AV632"/>
      <c r="AW632" s="49"/>
      <c r="AX632" s="49"/>
      <c r="AY632" s="49"/>
      <c r="AZ632" s="49"/>
      <c r="BA632" s="49"/>
      <c r="BB632" s="48"/>
      <c r="BC632" s="48"/>
      <c r="BD632" s="48"/>
      <c r="BE632" s="48"/>
      <c r="BF632" s="83"/>
    </row>
    <row r="633" spans="1:58" ht="16" x14ac:dyDescent="0.35">
      <c r="A633" s="41"/>
      <c r="B633" s="42"/>
      <c r="C633" s="42"/>
      <c r="D633" s="42"/>
      <c r="E633" s="42"/>
      <c r="F633" s="42"/>
      <c r="G633" s="42"/>
      <c r="H633" s="43"/>
      <c r="I633" s="43"/>
      <c r="J633" s="43"/>
      <c r="K633" s="43"/>
      <c r="L633" s="43"/>
      <c r="M633" s="42"/>
      <c r="N633" s="42"/>
      <c r="O633" s="42"/>
      <c r="P633" s="42"/>
      <c r="Q633" s="42"/>
      <c r="R633" s="42"/>
      <c r="S633" s="42"/>
      <c r="T633" s="42"/>
      <c r="U633" s="42"/>
      <c r="V633" s="42"/>
      <c r="W633" s="42"/>
      <c r="X633" s="42"/>
      <c r="Y633" s="43"/>
      <c r="Z633" s="42"/>
      <c r="AA633" s="42"/>
      <c r="AB633" s="44"/>
      <c r="AP633"/>
      <c r="AQ633" s="52"/>
      <c r="AR633" s="52"/>
      <c r="AS633"/>
      <c r="AT633" s="52"/>
      <c r="AU633" s="52"/>
      <c r="AV633"/>
      <c r="AW633" s="53"/>
      <c r="AX633" s="53"/>
      <c r="AY633" s="53"/>
      <c r="AZ633" s="53"/>
      <c r="BA633" s="53"/>
      <c r="BB633" s="52"/>
      <c r="BC633" s="52"/>
      <c r="BD633" s="52"/>
      <c r="BE633" s="52"/>
      <c r="BF633" s="83"/>
    </row>
    <row r="634" spans="1:58" ht="16" x14ac:dyDescent="0.35">
      <c r="A634" s="37"/>
      <c r="B634" s="38"/>
      <c r="C634" s="38"/>
      <c r="D634" s="38"/>
      <c r="E634" s="38"/>
      <c r="F634" s="38"/>
      <c r="G634" s="38"/>
      <c r="H634" s="39"/>
      <c r="I634" s="39"/>
      <c r="J634" s="39"/>
      <c r="K634" s="39"/>
      <c r="L634" s="39"/>
      <c r="M634" s="38"/>
      <c r="N634" s="38"/>
      <c r="O634" s="38"/>
      <c r="P634" s="38"/>
      <c r="Q634" s="38"/>
      <c r="R634" s="38"/>
      <c r="S634" s="38"/>
      <c r="T634" s="38"/>
      <c r="U634" s="38"/>
      <c r="V634" s="38"/>
      <c r="W634" s="38"/>
      <c r="X634" s="38"/>
      <c r="Y634" s="39"/>
      <c r="Z634" s="38"/>
      <c r="AA634" s="38"/>
      <c r="AB634" s="40"/>
      <c r="AP634"/>
      <c r="AQ634" s="48"/>
      <c r="AR634" s="48"/>
      <c r="AS634"/>
      <c r="AT634" s="48"/>
      <c r="AU634" s="48"/>
      <c r="AV634"/>
      <c r="AW634" s="49"/>
      <c r="AX634" s="49"/>
      <c r="AY634" s="49"/>
      <c r="AZ634" s="49"/>
      <c r="BA634" s="49"/>
      <c r="BB634" s="48"/>
      <c r="BC634" s="48"/>
      <c r="BD634" s="48"/>
      <c r="BE634" s="48"/>
      <c r="BF634" s="83"/>
    </row>
    <row r="635" spans="1:58" ht="16" x14ac:dyDescent="0.35">
      <c r="A635" s="41"/>
      <c r="B635" s="42"/>
      <c r="C635" s="42"/>
      <c r="D635" s="42"/>
      <c r="E635" s="42"/>
      <c r="F635" s="42"/>
      <c r="G635" s="42"/>
      <c r="H635" s="43"/>
      <c r="I635" s="43"/>
      <c r="J635" s="43"/>
      <c r="K635" s="43"/>
      <c r="L635" s="43"/>
      <c r="M635" s="42"/>
      <c r="N635" s="42"/>
      <c r="O635" s="42"/>
      <c r="P635" s="42"/>
      <c r="Q635" s="42"/>
      <c r="R635" s="42"/>
      <c r="S635" s="42"/>
      <c r="T635" s="42"/>
      <c r="U635" s="42"/>
      <c r="V635" s="42"/>
      <c r="W635" s="42"/>
      <c r="X635" s="42"/>
      <c r="Y635" s="43"/>
      <c r="Z635" s="42"/>
      <c r="AA635" s="42"/>
      <c r="AB635" s="44"/>
      <c r="AP635"/>
      <c r="AQ635" s="52"/>
      <c r="AR635" s="52"/>
      <c r="AS635"/>
      <c r="AT635" s="52"/>
      <c r="AU635" s="52"/>
      <c r="AV635"/>
      <c r="AW635" s="53"/>
      <c r="AX635" s="53"/>
      <c r="AY635" s="53"/>
      <c r="AZ635" s="53"/>
      <c r="BA635" s="53"/>
      <c r="BB635" s="52"/>
      <c r="BC635" s="52"/>
      <c r="BD635" s="52"/>
      <c r="BE635" s="52"/>
      <c r="BF635" s="83"/>
    </row>
    <row r="636" spans="1:58" ht="16" x14ac:dyDescent="0.35">
      <c r="A636" s="37"/>
      <c r="B636" s="38"/>
      <c r="C636" s="38"/>
      <c r="D636" s="38"/>
      <c r="E636" s="38"/>
      <c r="F636" s="38"/>
      <c r="G636" s="38"/>
      <c r="H636" s="39"/>
      <c r="I636" s="39"/>
      <c r="J636" s="39"/>
      <c r="K636" s="39"/>
      <c r="L636" s="39"/>
      <c r="M636" s="38"/>
      <c r="N636" s="38"/>
      <c r="O636" s="38"/>
      <c r="P636" s="38"/>
      <c r="Q636" s="38"/>
      <c r="R636" s="38"/>
      <c r="S636" s="38"/>
      <c r="T636" s="38"/>
      <c r="U636" s="38"/>
      <c r="V636" s="38"/>
      <c r="W636" s="38"/>
      <c r="X636" s="38"/>
      <c r="Y636" s="39"/>
      <c r="Z636" s="38"/>
      <c r="AA636" s="38"/>
      <c r="AB636" s="40"/>
      <c r="AP636"/>
      <c r="AQ636" s="48"/>
      <c r="AR636" s="48"/>
      <c r="AS636"/>
      <c r="AT636" s="48"/>
      <c r="AU636" s="48"/>
      <c r="AV636"/>
      <c r="AW636" s="49"/>
      <c r="AX636" s="49"/>
      <c r="AY636" s="49"/>
      <c r="AZ636" s="49"/>
      <c r="BA636" s="49"/>
      <c r="BB636" s="48"/>
      <c r="BC636" s="48"/>
      <c r="BD636" s="48"/>
      <c r="BE636" s="48"/>
      <c r="BF636" s="83"/>
    </row>
    <row r="637" spans="1:58" ht="16" x14ac:dyDescent="0.35">
      <c r="A637" s="41"/>
      <c r="B637" s="42"/>
      <c r="C637" s="42"/>
      <c r="D637" s="42"/>
      <c r="E637" s="42"/>
      <c r="F637" s="42"/>
      <c r="G637" s="42"/>
      <c r="H637" s="43"/>
      <c r="I637" s="43"/>
      <c r="J637" s="43"/>
      <c r="K637" s="43"/>
      <c r="L637" s="43"/>
      <c r="M637" s="42"/>
      <c r="N637" s="42"/>
      <c r="O637" s="42"/>
      <c r="P637" s="42"/>
      <c r="Q637" s="42"/>
      <c r="R637" s="42"/>
      <c r="S637" s="42"/>
      <c r="T637" s="42"/>
      <c r="U637" s="42"/>
      <c r="V637" s="42"/>
      <c r="W637" s="42"/>
      <c r="X637" s="42"/>
      <c r="Y637" s="43"/>
      <c r="Z637" s="42"/>
      <c r="AA637" s="42"/>
      <c r="AB637" s="44"/>
      <c r="AP637"/>
      <c r="AQ637" s="52"/>
      <c r="AR637" s="52"/>
      <c r="AS637"/>
      <c r="AT637" s="52"/>
      <c r="AU637" s="52"/>
      <c r="AV637"/>
      <c r="AW637" s="53"/>
      <c r="AX637" s="53"/>
      <c r="AY637" s="53"/>
      <c r="AZ637" s="53"/>
      <c r="BA637" s="53"/>
      <c r="BB637" s="52"/>
      <c r="BC637" s="52"/>
      <c r="BD637" s="52"/>
      <c r="BE637" s="52"/>
      <c r="BF637" s="83"/>
    </row>
    <row r="638" spans="1:58" ht="16" x14ac:dyDescent="0.35">
      <c r="A638" s="37"/>
      <c r="B638" s="38"/>
      <c r="C638" s="38"/>
      <c r="D638" s="38"/>
      <c r="E638" s="38"/>
      <c r="F638" s="38"/>
      <c r="G638" s="38"/>
      <c r="H638" s="39"/>
      <c r="I638" s="39"/>
      <c r="J638" s="39"/>
      <c r="K638" s="39"/>
      <c r="L638" s="39"/>
      <c r="M638" s="38"/>
      <c r="N638" s="38"/>
      <c r="O638" s="38"/>
      <c r="P638" s="38"/>
      <c r="Q638" s="38"/>
      <c r="R638" s="38"/>
      <c r="S638" s="38"/>
      <c r="T638" s="38"/>
      <c r="U638" s="38"/>
      <c r="V638" s="38"/>
      <c r="W638" s="38"/>
      <c r="X638" s="38"/>
      <c r="Y638" s="39"/>
      <c r="Z638" s="38"/>
      <c r="AA638" s="38"/>
      <c r="AB638" s="40"/>
      <c r="AP638"/>
      <c r="AQ638" s="48"/>
      <c r="AR638" s="48"/>
      <c r="AS638"/>
      <c r="AT638" s="48"/>
      <c r="AU638" s="48"/>
      <c r="AV638"/>
      <c r="AW638" s="49"/>
      <c r="AX638" s="49"/>
      <c r="AY638" s="49"/>
      <c r="AZ638" s="49"/>
      <c r="BA638" s="49"/>
      <c r="BB638" s="48"/>
      <c r="BC638" s="48"/>
      <c r="BD638" s="48"/>
      <c r="BE638" s="48"/>
      <c r="BF638" s="83"/>
    </row>
    <row r="639" spans="1:58" ht="16" x14ac:dyDescent="0.35">
      <c r="A639" s="41"/>
      <c r="B639" s="42"/>
      <c r="C639" s="42"/>
      <c r="D639" s="42"/>
      <c r="E639" s="42"/>
      <c r="F639" s="42"/>
      <c r="G639" s="42"/>
      <c r="H639" s="43"/>
      <c r="I639" s="43"/>
      <c r="J639" s="43"/>
      <c r="K639" s="43"/>
      <c r="L639" s="43"/>
      <c r="M639" s="42"/>
      <c r="N639" s="42"/>
      <c r="O639" s="42"/>
      <c r="P639" s="42"/>
      <c r="Q639" s="42"/>
      <c r="R639" s="42"/>
      <c r="S639" s="42"/>
      <c r="T639" s="42"/>
      <c r="U639" s="42"/>
      <c r="V639" s="42"/>
      <c r="W639" s="42"/>
      <c r="X639" s="42"/>
      <c r="Y639" s="43"/>
      <c r="Z639" s="42"/>
      <c r="AA639" s="42"/>
      <c r="AB639" s="44"/>
      <c r="AP639"/>
      <c r="AQ639" s="52"/>
      <c r="AR639" s="52"/>
      <c r="AS639"/>
      <c r="AT639" s="52"/>
      <c r="AU639" s="52"/>
      <c r="AV639"/>
      <c r="AW639" s="53"/>
      <c r="AX639" s="53"/>
      <c r="AY639" s="53"/>
      <c r="AZ639" s="53"/>
      <c r="BA639" s="53"/>
      <c r="BB639" s="52"/>
      <c r="BC639" s="52"/>
      <c r="BD639" s="52"/>
      <c r="BE639" s="52"/>
      <c r="BF639" s="83"/>
    </row>
    <row r="640" spans="1:58" ht="16" x14ac:dyDescent="0.35">
      <c r="A640" s="37"/>
      <c r="B640" s="38"/>
      <c r="C640" s="38"/>
      <c r="D640" s="38"/>
      <c r="E640" s="38"/>
      <c r="F640" s="38"/>
      <c r="G640" s="38"/>
      <c r="H640" s="39"/>
      <c r="I640" s="39"/>
      <c r="J640" s="39"/>
      <c r="K640" s="39"/>
      <c r="L640" s="39"/>
      <c r="M640" s="38"/>
      <c r="N640" s="38"/>
      <c r="O640" s="38"/>
      <c r="P640" s="38"/>
      <c r="Q640" s="38"/>
      <c r="R640" s="38"/>
      <c r="S640" s="38"/>
      <c r="T640" s="38"/>
      <c r="U640" s="38"/>
      <c r="V640" s="38"/>
      <c r="W640" s="38"/>
      <c r="X640" s="38"/>
      <c r="Y640" s="39"/>
      <c r="Z640" s="38"/>
      <c r="AA640" s="38"/>
      <c r="AB640" s="40"/>
      <c r="AP640"/>
      <c r="AQ640" s="48"/>
      <c r="AR640" s="48"/>
      <c r="AS640"/>
      <c r="AT640" s="48"/>
      <c r="AU640" s="48"/>
      <c r="AV640"/>
      <c r="AW640" s="49"/>
      <c r="AX640" s="49"/>
      <c r="AY640" s="49"/>
      <c r="AZ640" s="49"/>
      <c r="BA640" s="49"/>
      <c r="BB640" s="48"/>
      <c r="BC640" s="48"/>
      <c r="BD640" s="48"/>
      <c r="BE640" s="48"/>
      <c r="BF640" s="83"/>
    </row>
    <row r="641" spans="1:58" ht="16" x14ac:dyDescent="0.35">
      <c r="A641" s="41"/>
      <c r="B641" s="42"/>
      <c r="C641" s="42"/>
      <c r="D641" s="42"/>
      <c r="E641" s="42"/>
      <c r="F641" s="42"/>
      <c r="G641" s="42"/>
      <c r="H641" s="43"/>
      <c r="I641" s="43"/>
      <c r="J641" s="43"/>
      <c r="K641" s="43"/>
      <c r="L641" s="43"/>
      <c r="M641" s="42"/>
      <c r="N641" s="42"/>
      <c r="O641" s="42"/>
      <c r="P641" s="42"/>
      <c r="Q641" s="42"/>
      <c r="R641" s="42"/>
      <c r="S641" s="42"/>
      <c r="T641" s="42"/>
      <c r="U641" s="42"/>
      <c r="V641" s="42"/>
      <c r="W641" s="42"/>
      <c r="X641" s="42"/>
      <c r="Y641" s="43"/>
      <c r="Z641" s="42"/>
      <c r="AA641" s="42"/>
      <c r="AB641" s="44"/>
      <c r="AP641"/>
      <c r="AQ641" s="52"/>
      <c r="AR641" s="52"/>
      <c r="AS641"/>
      <c r="AT641" s="52"/>
      <c r="AU641" s="52"/>
      <c r="AV641"/>
      <c r="AW641" s="53"/>
      <c r="AX641" s="53"/>
      <c r="AY641" s="53"/>
      <c r="AZ641" s="53"/>
      <c r="BA641" s="53"/>
      <c r="BB641" s="52"/>
      <c r="BC641" s="52"/>
      <c r="BD641" s="52"/>
      <c r="BE641" s="52"/>
      <c r="BF641" s="83"/>
    </row>
    <row r="642" spans="1:58" ht="16" x14ac:dyDescent="0.35">
      <c r="A642" s="37"/>
      <c r="B642" s="38"/>
      <c r="C642" s="38"/>
      <c r="D642" s="38"/>
      <c r="E642" s="38"/>
      <c r="F642" s="38"/>
      <c r="G642" s="38"/>
      <c r="H642" s="39"/>
      <c r="I642" s="39"/>
      <c r="J642" s="39"/>
      <c r="K642" s="39"/>
      <c r="L642" s="39"/>
      <c r="M642" s="38"/>
      <c r="N642" s="38"/>
      <c r="O642" s="38"/>
      <c r="P642" s="38"/>
      <c r="Q642" s="38"/>
      <c r="R642" s="38"/>
      <c r="S642" s="38"/>
      <c r="T642" s="38"/>
      <c r="U642" s="38"/>
      <c r="V642" s="38"/>
      <c r="W642" s="38"/>
      <c r="X642" s="38"/>
      <c r="Y642" s="39"/>
      <c r="Z642" s="38"/>
      <c r="AA642" s="38"/>
      <c r="AB642" s="40"/>
      <c r="AP642"/>
      <c r="AQ642" s="48"/>
      <c r="AR642" s="48"/>
      <c r="AS642"/>
      <c r="AT642" s="48"/>
      <c r="AU642" s="48"/>
      <c r="AV642"/>
      <c r="AW642" s="49"/>
      <c r="AX642" s="49"/>
      <c r="AY642" s="49"/>
      <c r="AZ642" s="49"/>
      <c r="BA642" s="49"/>
      <c r="BB642" s="48"/>
      <c r="BC642" s="48"/>
      <c r="BD642" s="48"/>
      <c r="BE642" s="48"/>
      <c r="BF642" s="83"/>
    </row>
    <row r="643" spans="1:58" ht="16" x14ac:dyDescent="0.35">
      <c r="A643" s="41"/>
      <c r="B643" s="42"/>
      <c r="C643" s="42"/>
      <c r="D643" s="42"/>
      <c r="E643" s="42"/>
      <c r="F643" s="42"/>
      <c r="G643" s="42"/>
      <c r="H643" s="43"/>
      <c r="I643" s="43"/>
      <c r="J643" s="43"/>
      <c r="K643" s="43"/>
      <c r="L643" s="43"/>
      <c r="M643" s="42"/>
      <c r="N643" s="42"/>
      <c r="O643" s="42"/>
      <c r="P643" s="42"/>
      <c r="Q643" s="42"/>
      <c r="R643" s="42"/>
      <c r="S643" s="42"/>
      <c r="T643" s="42"/>
      <c r="U643" s="42"/>
      <c r="V643" s="42"/>
      <c r="W643" s="42"/>
      <c r="X643" s="42"/>
      <c r="Y643" s="43"/>
      <c r="Z643" s="42"/>
      <c r="AA643" s="42"/>
      <c r="AB643" s="44"/>
      <c r="AP643"/>
      <c r="AQ643" s="52"/>
      <c r="AR643" s="52"/>
      <c r="AS643"/>
      <c r="AT643" s="52"/>
      <c r="AU643" s="52"/>
      <c r="AV643"/>
      <c r="AW643" s="53"/>
      <c r="AX643" s="53"/>
      <c r="AY643" s="53"/>
      <c r="AZ643" s="53"/>
      <c r="BA643" s="53"/>
      <c r="BB643" s="52"/>
      <c r="BC643" s="52"/>
      <c r="BD643" s="52"/>
      <c r="BE643" s="52"/>
      <c r="BF643" s="83"/>
    </row>
    <row r="644" spans="1:58" ht="16" x14ac:dyDescent="0.35">
      <c r="A644" s="37"/>
      <c r="B644" s="38"/>
      <c r="C644" s="38"/>
      <c r="D644" s="38"/>
      <c r="E644" s="38"/>
      <c r="F644" s="38"/>
      <c r="G644" s="38"/>
      <c r="H644" s="39"/>
      <c r="I644" s="39"/>
      <c r="J644" s="39"/>
      <c r="K644" s="39"/>
      <c r="L644" s="39"/>
      <c r="M644" s="38"/>
      <c r="N644" s="38"/>
      <c r="O644" s="38"/>
      <c r="P644" s="38"/>
      <c r="Q644" s="38"/>
      <c r="R644" s="38"/>
      <c r="S644" s="38"/>
      <c r="T644" s="38"/>
      <c r="U644" s="38"/>
      <c r="V644" s="38"/>
      <c r="W644" s="38"/>
      <c r="X644" s="38"/>
      <c r="Y644" s="39"/>
      <c r="Z644" s="38"/>
      <c r="AA644" s="38"/>
      <c r="AB644" s="40"/>
      <c r="AP644"/>
      <c r="AQ644" s="48"/>
      <c r="AR644" s="48"/>
      <c r="AS644"/>
      <c r="AT644" s="48"/>
      <c r="AU644" s="48"/>
      <c r="AV644"/>
      <c r="AW644" s="49"/>
      <c r="AX644" s="49"/>
      <c r="AY644" s="49"/>
      <c r="AZ644" s="49"/>
      <c r="BA644" s="49"/>
      <c r="BB644" s="48"/>
      <c r="BC644" s="48"/>
      <c r="BD644" s="48"/>
      <c r="BE644" s="48"/>
      <c r="BF644" s="83"/>
    </row>
    <row r="645" spans="1:58" ht="16" x14ac:dyDescent="0.35">
      <c r="A645" s="41"/>
      <c r="B645" s="42"/>
      <c r="C645" s="42"/>
      <c r="D645" s="42"/>
      <c r="E645" s="42"/>
      <c r="F645" s="42"/>
      <c r="G645" s="42"/>
      <c r="H645" s="43"/>
      <c r="I645" s="43"/>
      <c r="J645" s="43"/>
      <c r="K645" s="43"/>
      <c r="L645" s="43"/>
      <c r="M645" s="42"/>
      <c r="N645" s="42"/>
      <c r="O645" s="42"/>
      <c r="P645" s="42"/>
      <c r="Q645" s="42"/>
      <c r="R645" s="42"/>
      <c r="S645" s="42"/>
      <c r="T645" s="42"/>
      <c r="U645" s="42"/>
      <c r="V645" s="42"/>
      <c r="W645" s="42"/>
      <c r="X645" s="42"/>
      <c r="Y645" s="43"/>
      <c r="Z645" s="42"/>
      <c r="AA645" s="42"/>
      <c r="AB645" s="44"/>
      <c r="AP645"/>
      <c r="AQ645" s="52"/>
      <c r="AR645" s="52"/>
      <c r="AS645"/>
      <c r="AT645" s="52"/>
      <c r="AU645" s="52"/>
      <c r="AV645"/>
      <c r="AW645" s="53"/>
      <c r="AX645" s="53"/>
      <c r="AY645" s="53"/>
      <c r="AZ645" s="53"/>
      <c r="BA645" s="53"/>
      <c r="BB645" s="52"/>
      <c r="BC645" s="52"/>
      <c r="BD645" s="52"/>
      <c r="BE645" s="52"/>
      <c r="BF645" s="83"/>
    </row>
    <row r="646" spans="1:58" ht="16" x14ac:dyDescent="0.35">
      <c r="A646" s="37"/>
      <c r="B646" s="38"/>
      <c r="C646" s="38"/>
      <c r="D646" s="38"/>
      <c r="E646" s="38"/>
      <c r="F646" s="38"/>
      <c r="G646" s="38"/>
      <c r="H646" s="39"/>
      <c r="I646" s="39"/>
      <c r="J646" s="39"/>
      <c r="K646" s="39"/>
      <c r="L646" s="39"/>
      <c r="M646" s="38"/>
      <c r="N646" s="38"/>
      <c r="O646" s="38"/>
      <c r="P646" s="38"/>
      <c r="Q646" s="38"/>
      <c r="R646" s="38"/>
      <c r="S646" s="38"/>
      <c r="T646" s="38"/>
      <c r="U646" s="38"/>
      <c r="V646" s="38"/>
      <c r="W646" s="38"/>
      <c r="X646" s="38"/>
      <c r="Y646" s="39"/>
      <c r="Z646" s="38"/>
      <c r="AA646" s="38"/>
      <c r="AB646" s="40"/>
      <c r="AP646"/>
      <c r="AQ646" s="48"/>
      <c r="AR646" s="48"/>
      <c r="AS646"/>
      <c r="AT646" s="48"/>
      <c r="AU646" s="48"/>
      <c r="AV646"/>
      <c r="AW646" s="49"/>
      <c r="AX646" s="49"/>
      <c r="AY646" s="49"/>
      <c r="AZ646" s="49"/>
      <c r="BA646" s="49"/>
      <c r="BB646" s="48"/>
      <c r="BC646" s="48"/>
      <c r="BD646" s="48"/>
      <c r="BE646" s="48"/>
      <c r="BF646" s="83"/>
    </row>
    <row r="647" spans="1:58" ht="16" x14ac:dyDescent="0.35">
      <c r="A647" s="41"/>
      <c r="B647" s="42"/>
      <c r="C647" s="42"/>
      <c r="D647" s="42"/>
      <c r="E647" s="42"/>
      <c r="F647" s="42"/>
      <c r="G647" s="42"/>
      <c r="H647" s="43"/>
      <c r="I647" s="43"/>
      <c r="J647" s="43"/>
      <c r="K647" s="43"/>
      <c r="L647" s="43"/>
      <c r="M647" s="42"/>
      <c r="N647" s="42"/>
      <c r="O647" s="42"/>
      <c r="P647" s="42"/>
      <c r="Q647" s="42"/>
      <c r="R647" s="42"/>
      <c r="S647" s="42"/>
      <c r="T647" s="42"/>
      <c r="U647" s="42"/>
      <c r="V647" s="42"/>
      <c r="W647" s="42"/>
      <c r="X647" s="42"/>
      <c r="Y647" s="43"/>
      <c r="Z647" s="42"/>
      <c r="AA647" s="42"/>
      <c r="AB647" s="44"/>
      <c r="AP647"/>
      <c r="AQ647" s="52"/>
      <c r="AR647" s="52"/>
      <c r="AS647"/>
      <c r="AT647" s="52"/>
      <c r="AU647" s="52"/>
      <c r="AV647"/>
      <c r="AW647" s="53"/>
      <c r="AX647" s="53"/>
      <c r="AY647" s="53"/>
      <c r="AZ647" s="53"/>
      <c r="BA647" s="53"/>
      <c r="BB647" s="52"/>
      <c r="BC647" s="52"/>
      <c r="BD647" s="52"/>
      <c r="BE647" s="52"/>
      <c r="BF647" s="83"/>
    </row>
    <row r="648" spans="1:58" ht="16" x14ac:dyDescent="0.35">
      <c r="A648" s="37"/>
      <c r="B648" s="38"/>
      <c r="C648" s="38"/>
      <c r="D648" s="38"/>
      <c r="E648" s="38"/>
      <c r="F648" s="38"/>
      <c r="G648" s="38"/>
      <c r="H648" s="39"/>
      <c r="I648" s="39"/>
      <c r="J648" s="39"/>
      <c r="K648" s="39"/>
      <c r="L648" s="39"/>
      <c r="M648" s="38"/>
      <c r="N648" s="38"/>
      <c r="O648" s="38"/>
      <c r="P648" s="38"/>
      <c r="Q648" s="38"/>
      <c r="R648" s="38"/>
      <c r="S648" s="38"/>
      <c r="T648" s="38"/>
      <c r="U648" s="38"/>
      <c r="V648" s="38"/>
      <c r="W648" s="38"/>
      <c r="X648" s="38"/>
      <c r="Y648" s="39"/>
      <c r="Z648" s="38"/>
      <c r="AA648" s="38"/>
      <c r="AB648" s="40"/>
      <c r="AP648"/>
      <c r="AQ648" s="48"/>
      <c r="AR648" s="48"/>
      <c r="AS648"/>
      <c r="AT648" s="48"/>
      <c r="AU648" s="48"/>
      <c r="AV648"/>
      <c r="AW648" s="49"/>
      <c r="AX648" s="49"/>
      <c r="AY648" s="49"/>
      <c r="AZ648" s="49"/>
      <c r="BA648" s="49"/>
      <c r="BB648" s="48"/>
      <c r="BC648" s="48"/>
      <c r="BD648" s="48"/>
      <c r="BE648" s="48"/>
      <c r="BF648" s="83"/>
    </row>
    <row r="649" spans="1:58" ht="16" x14ac:dyDescent="0.35">
      <c r="A649" s="41"/>
      <c r="B649" s="42"/>
      <c r="C649" s="42"/>
      <c r="D649" s="42"/>
      <c r="E649" s="42"/>
      <c r="F649" s="42"/>
      <c r="G649" s="42"/>
      <c r="H649" s="43"/>
      <c r="I649" s="43"/>
      <c r="J649" s="43"/>
      <c r="K649" s="43"/>
      <c r="L649" s="43"/>
      <c r="M649" s="42"/>
      <c r="N649" s="42"/>
      <c r="O649" s="42"/>
      <c r="P649" s="42"/>
      <c r="Q649" s="42"/>
      <c r="R649" s="42"/>
      <c r="S649" s="42"/>
      <c r="T649" s="42"/>
      <c r="U649" s="42"/>
      <c r="V649" s="42"/>
      <c r="W649" s="42"/>
      <c r="X649" s="42"/>
      <c r="Y649" s="43"/>
      <c r="Z649" s="42"/>
      <c r="AA649" s="42"/>
      <c r="AB649" s="44"/>
      <c r="AP649"/>
      <c r="AQ649" s="52"/>
      <c r="AR649" s="52"/>
      <c r="AS649"/>
      <c r="AT649" s="52"/>
      <c r="AU649" s="52"/>
      <c r="AV649"/>
      <c r="AW649" s="53"/>
      <c r="AX649" s="53"/>
      <c r="AY649" s="53"/>
      <c r="AZ649" s="53"/>
      <c r="BA649" s="53"/>
      <c r="BB649" s="52"/>
      <c r="BC649" s="52"/>
      <c r="BD649" s="52"/>
      <c r="BE649" s="52"/>
      <c r="BF649" s="83"/>
    </row>
    <row r="650" spans="1:58" ht="16" x14ac:dyDescent="0.35">
      <c r="A650" s="37"/>
      <c r="B650" s="38"/>
      <c r="C650" s="38"/>
      <c r="D650" s="38"/>
      <c r="E650" s="38"/>
      <c r="F650" s="38"/>
      <c r="G650" s="38"/>
      <c r="H650" s="39"/>
      <c r="I650" s="39"/>
      <c r="J650" s="39"/>
      <c r="K650" s="39"/>
      <c r="L650" s="39"/>
      <c r="M650" s="38"/>
      <c r="N650" s="38"/>
      <c r="O650" s="38"/>
      <c r="P650" s="38"/>
      <c r="Q650" s="38"/>
      <c r="R650" s="38"/>
      <c r="S650" s="38"/>
      <c r="T650" s="38"/>
      <c r="U650" s="38"/>
      <c r="V650" s="38"/>
      <c r="W650" s="38"/>
      <c r="X650" s="38"/>
      <c r="Y650" s="39"/>
      <c r="Z650" s="38"/>
      <c r="AA650" s="38"/>
      <c r="AB650" s="40"/>
      <c r="AP650"/>
      <c r="AQ650" s="48"/>
      <c r="AR650" s="48"/>
      <c r="AS650"/>
      <c r="AT650" s="48"/>
      <c r="AU650" s="48"/>
      <c r="AV650"/>
      <c r="AW650" s="49"/>
      <c r="AX650" s="49"/>
      <c r="AY650" s="49"/>
      <c r="AZ650" s="49"/>
      <c r="BA650" s="49"/>
      <c r="BB650" s="48"/>
      <c r="BC650" s="48"/>
      <c r="BD650" s="48"/>
      <c r="BE650" s="48"/>
      <c r="BF650" s="83"/>
    </row>
    <row r="651" spans="1:58" ht="16" x14ac:dyDescent="0.35">
      <c r="A651" s="41"/>
      <c r="B651" s="42"/>
      <c r="C651" s="42"/>
      <c r="D651" s="42"/>
      <c r="E651" s="42"/>
      <c r="F651" s="42"/>
      <c r="G651" s="42"/>
      <c r="H651" s="43"/>
      <c r="I651" s="43"/>
      <c r="J651" s="43"/>
      <c r="K651" s="43"/>
      <c r="L651" s="43"/>
      <c r="M651" s="42"/>
      <c r="N651" s="42"/>
      <c r="O651" s="42"/>
      <c r="P651" s="42"/>
      <c r="Q651" s="42"/>
      <c r="R651" s="42"/>
      <c r="S651" s="42"/>
      <c r="T651" s="42"/>
      <c r="U651" s="42"/>
      <c r="V651" s="42"/>
      <c r="W651" s="42"/>
      <c r="X651" s="42"/>
      <c r="Y651" s="43"/>
      <c r="Z651" s="42"/>
      <c r="AA651" s="42"/>
      <c r="AB651" s="44"/>
      <c r="AP651"/>
      <c r="AQ651" s="52"/>
      <c r="AR651" s="52"/>
      <c r="AS651"/>
      <c r="AT651" s="52"/>
      <c r="AU651" s="52"/>
      <c r="AV651"/>
      <c r="AW651" s="53"/>
      <c r="AX651" s="53"/>
      <c r="AY651" s="53"/>
      <c r="AZ651" s="53"/>
      <c r="BA651" s="53"/>
      <c r="BB651" s="52"/>
      <c r="BC651" s="52"/>
      <c r="BD651" s="52"/>
      <c r="BE651" s="52"/>
      <c r="BF651" s="83"/>
    </row>
    <row r="652" spans="1:58" ht="16" x14ac:dyDescent="0.35">
      <c r="A652" s="37"/>
      <c r="B652" s="38"/>
      <c r="C652" s="38"/>
      <c r="D652" s="38"/>
      <c r="E652" s="38"/>
      <c r="F652" s="38"/>
      <c r="G652" s="38"/>
      <c r="H652" s="39"/>
      <c r="I652" s="39"/>
      <c r="J652" s="39"/>
      <c r="K652" s="39"/>
      <c r="L652" s="39"/>
      <c r="M652" s="38"/>
      <c r="N652" s="38"/>
      <c r="O652" s="38"/>
      <c r="P652" s="38"/>
      <c r="Q652" s="38"/>
      <c r="R652" s="38"/>
      <c r="S652" s="38"/>
      <c r="T652" s="38"/>
      <c r="U652" s="38"/>
      <c r="V652" s="38"/>
      <c r="W652" s="38"/>
      <c r="X652" s="38"/>
      <c r="Y652" s="39"/>
      <c r="Z652" s="38"/>
      <c r="AA652" s="38"/>
      <c r="AB652" s="40"/>
      <c r="AP652"/>
      <c r="AQ652" s="48"/>
      <c r="AR652" s="48"/>
      <c r="AS652"/>
      <c r="AT652" s="48"/>
      <c r="AU652" s="48"/>
      <c r="AV652"/>
      <c r="AW652" s="49"/>
      <c r="AX652" s="49"/>
      <c r="AY652" s="49"/>
      <c r="AZ652" s="49"/>
      <c r="BA652" s="49"/>
      <c r="BB652" s="48"/>
      <c r="BC652" s="48"/>
      <c r="BD652" s="48"/>
      <c r="BE652" s="48"/>
      <c r="BF652" s="83"/>
    </row>
    <row r="653" spans="1:58" ht="16" x14ac:dyDescent="0.35">
      <c r="A653" s="41"/>
      <c r="B653" s="42"/>
      <c r="C653" s="42"/>
      <c r="D653" s="42"/>
      <c r="E653" s="42"/>
      <c r="F653" s="42"/>
      <c r="G653" s="42"/>
      <c r="H653" s="43"/>
      <c r="I653" s="43"/>
      <c r="J653" s="43"/>
      <c r="K653" s="43"/>
      <c r="L653" s="43"/>
      <c r="M653" s="42"/>
      <c r="N653" s="42"/>
      <c r="O653" s="42"/>
      <c r="P653" s="42"/>
      <c r="Q653" s="42"/>
      <c r="R653" s="42"/>
      <c r="S653" s="42"/>
      <c r="T653" s="42"/>
      <c r="U653" s="42"/>
      <c r="V653" s="42"/>
      <c r="W653" s="42"/>
      <c r="X653" s="42"/>
      <c r="Y653" s="43"/>
      <c r="Z653" s="42"/>
      <c r="AA653" s="42"/>
      <c r="AB653" s="44"/>
      <c r="AP653"/>
      <c r="AQ653" s="52"/>
      <c r="AR653" s="52"/>
      <c r="AS653"/>
      <c r="AT653" s="52"/>
      <c r="AU653" s="52"/>
      <c r="AV653"/>
      <c r="AW653" s="53"/>
      <c r="AX653" s="53"/>
      <c r="AY653" s="53"/>
      <c r="AZ653" s="53"/>
      <c r="BA653" s="53"/>
      <c r="BB653" s="52"/>
      <c r="BC653" s="52"/>
      <c r="BD653" s="52"/>
      <c r="BE653" s="52"/>
      <c r="BF653" s="83"/>
    </row>
    <row r="654" spans="1:58" ht="16" x14ac:dyDescent="0.35">
      <c r="A654" s="37"/>
      <c r="B654" s="38"/>
      <c r="C654" s="38"/>
      <c r="D654" s="38"/>
      <c r="E654" s="38"/>
      <c r="F654" s="38"/>
      <c r="G654" s="38"/>
      <c r="H654" s="39"/>
      <c r="I654" s="39"/>
      <c r="J654" s="39"/>
      <c r="K654" s="39"/>
      <c r="L654" s="39"/>
      <c r="M654" s="38"/>
      <c r="N654" s="38"/>
      <c r="O654" s="38"/>
      <c r="P654" s="38"/>
      <c r="Q654" s="38"/>
      <c r="R654" s="38"/>
      <c r="S654" s="38"/>
      <c r="T654" s="38"/>
      <c r="U654" s="38"/>
      <c r="V654" s="38"/>
      <c r="W654" s="38"/>
      <c r="X654" s="38"/>
      <c r="Y654" s="39"/>
      <c r="Z654" s="38"/>
      <c r="AA654" s="38"/>
      <c r="AB654" s="40"/>
      <c r="AP654"/>
      <c r="AQ654" s="48"/>
      <c r="AR654" s="48"/>
      <c r="AS654"/>
      <c r="AT654" s="48"/>
      <c r="AU654" s="48"/>
      <c r="AV654"/>
      <c r="AW654" s="49"/>
      <c r="AX654" s="49"/>
      <c r="AY654" s="49"/>
      <c r="AZ654" s="49"/>
      <c r="BA654" s="49"/>
      <c r="BB654" s="48"/>
      <c r="BC654" s="48"/>
      <c r="BD654" s="48"/>
      <c r="BE654" s="48"/>
      <c r="BF654" s="83"/>
    </row>
    <row r="655" spans="1:58" ht="16" x14ac:dyDescent="0.35">
      <c r="A655" s="41"/>
      <c r="B655" s="42"/>
      <c r="C655" s="42"/>
      <c r="D655" s="42"/>
      <c r="E655" s="42"/>
      <c r="F655" s="42"/>
      <c r="G655" s="42"/>
      <c r="H655" s="43"/>
      <c r="I655" s="43"/>
      <c r="J655" s="43"/>
      <c r="K655" s="43"/>
      <c r="L655" s="43"/>
      <c r="M655" s="42"/>
      <c r="N655" s="42"/>
      <c r="O655" s="42"/>
      <c r="P655" s="42"/>
      <c r="Q655" s="42"/>
      <c r="R655" s="42"/>
      <c r="S655" s="42"/>
      <c r="T655" s="42"/>
      <c r="U655" s="42"/>
      <c r="V655" s="42"/>
      <c r="W655" s="42"/>
      <c r="X655" s="42"/>
      <c r="Y655" s="43"/>
      <c r="Z655" s="42"/>
      <c r="AA655" s="42"/>
      <c r="AB655" s="44"/>
      <c r="AP655"/>
      <c r="AQ655" s="52"/>
      <c r="AR655" s="52"/>
      <c r="AS655"/>
      <c r="AT655" s="52"/>
      <c r="AU655" s="52"/>
      <c r="AV655"/>
      <c r="AW655" s="53"/>
      <c r="AX655" s="53"/>
      <c r="AY655" s="53"/>
      <c r="AZ655" s="53"/>
      <c r="BA655" s="53"/>
      <c r="BB655" s="52"/>
      <c r="BC655" s="52"/>
      <c r="BD655" s="52"/>
      <c r="BE655" s="52"/>
      <c r="BF655" s="83"/>
    </row>
    <row r="656" spans="1:58" ht="16" x14ac:dyDescent="0.35">
      <c r="A656" s="37"/>
      <c r="B656" s="38"/>
      <c r="C656" s="38"/>
      <c r="D656" s="38"/>
      <c r="E656" s="38"/>
      <c r="F656" s="38"/>
      <c r="G656" s="38"/>
      <c r="H656" s="39"/>
      <c r="I656" s="39"/>
      <c r="J656" s="39"/>
      <c r="K656" s="39"/>
      <c r="L656" s="39"/>
      <c r="M656" s="38"/>
      <c r="N656" s="38"/>
      <c r="O656" s="38"/>
      <c r="P656" s="38"/>
      <c r="Q656" s="38"/>
      <c r="R656" s="38"/>
      <c r="S656" s="38"/>
      <c r="T656" s="38"/>
      <c r="U656" s="38"/>
      <c r="V656" s="38"/>
      <c r="W656" s="38"/>
      <c r="X656" s="38"/>
      <c r="Y656" s="39"/>
      <c r="Z656" s="38"/>
      <c r="AA656" s="38"/>
      <c r="AB656" s="40"/>
      <c r="AP656"/>
      <c r="AQ656" s="48"/>
      <c r="AR656" s="48"/>
      <c r="AS656"/>
      <c r="AT656" s="48"/>
      <c r="AU656" s="48"/>
      <c r="AV656"/>
      <c r="AW656" s="49"/>
      <c r="AX656" s="49"/>
      <c r="AY656" s="49"/>
      <c r="AZ656" s="49"/>
      <c r="BA656" s="49"/>
      <c r="BB656" s="48"/>
      <c r="BC656" s="48"/>
      <c r="BD656" s="48"/>
      <c r="BE656" s="48"/>
      <c r="BF656" s="83"/>
    </row>
    <row r="657" spans="1:58" ht="16" x14ac:dyDescent="0.35">
      <c r="A657" s="41"/>
      <c r="B657" s="42"/>
      <c r="C657" s="42"/>
      <c r="D657" s="42"/>
      <c r="E657" s="42"/>
      <c r="F657" s="42"/>
      <c r="G657" s="42"/>
      <c r="H657" s="43"/>
      <c r="I657" s="43"/>
      <c r="J657" s="43"/>
      <c r="K657" s="43"/>
      <c r="L657" s="43"/>
      <c r="M657" s="42"/>
      <c r="N657" s="42"/>
      <c r="O657" s="42"/>
      <c r="P657" s="42"/>
      <c r="Q657" s="42"/>
      <c r="R657" s="42"/>
      <c r="S657" s="42"/>
      <c r="T657" s="42"/>
      <c r="U657" s="42"/>
      <c r="V657" s="42"/>
      <c r="W657" s="42"/>
      <c r="X657" s="42"/>
      <c r="Y657" s="43"/>
      <c r="Z657" s="42"/>
      <c r="AA657" s="42"/>
      <c r="AB657" s="44"/>
      <c r="AP657"/>
      <c r="AQ657" s="52"/>
      <c r="AR657" s="52"/>
      <c r="AS657"/>
      <c r="AT657" s="52"/>
      <c r="AU657" s="52"/>
      <c r="AV657"/>
      <c r="AW657" s="53"/>
      <c r="AX657" s="53"/>
      <c r="AY657" s="53"/>
      <c r="AZ657" s="53"/>
      <c r="BA657" s="53"/>
      <c r="BB657" s="52"/>
      <c r="BC657" s="52"/>
      <c r="BD657" s="52"/>
      <c r="BE657" s="52"/>
      <c r="BF657" s="83"/>
    </row>
    <row r="658" spans="1:58" ht="16" x14ac:dyDescent="0.35">
      <c r="A658" s="37"/>
      <c r="B658" s="38"/>
      <c r="C658" s="38"/>
      <c r="D658" s="38"/>
      <c r="E658" s="38"/>
      <c r="F658" s="38"/>
      <c r="G658" s="38"/>
      <c r="H658" s="39"/>
      <c r="I658" s="39"/>
      <c r="J658" s="39"/>
      <c r="K658" s="39"/>
      <c r="L658" s="39"/>
      <c r="M658" s="38"/>
      <c r="N658" s="38"/>
      <c r="O658" s="38"/>
      <c r="P658" s="38"/>
      <c r="Q658" s="38"/>
      <c r="R658" s="38"/>
      <c r="S658" s="38"/>
      <c r="T658" s="38"/>
      <c r="U658" s="38"/>
      <c r="V658" s="38"/>
      <c r="W658" s="38"/>
      <c r="X658" s="38"/>
      <c r="Y658" s="39"/>
      <c r="Z658" s="38"/>
      <c r="AA658" s="38"/>
      <c r="AB658" s="40"/>
      <c r="AP658"/>
      <c r="AQ658" s="48"/>
      <c r="AR658" s="48"/>
      <c r="AS658"/>
      <c r="AT658" s="48"/>
      <c r="AU658" s="48"/>
      <c r="AV658"/>
      <c r="AW658" s="49"/>
      <c r="AX658" s="49"/>
      <c r="AY658" s="49"/>
      <c r="AZ658" s="49"/>
      <c r="BA658" s="49"/>
      <c r="BB658" s="48"/>
      <c r="BC658" s="48"/>
      <c r="BD658" s="48"/>
      <c r="BE658" s="48"/>
      <c r="BF658" s="83"/>
    </row>
    <row r="659" spans="1:58" ht="16" x14ac:dyDescent="0.35">
      <c r="A659" s="41"/>
      <c r="B659" s="42"/>
      <c r="C659" s="42"/>
      <c r="D659" s="42"/>
      <c r="E659" s="42"/>
      <c r="F659" s="42"/>
      <c r="G659" s="42"/>
      <c r="H659" s="43"/>
      <c r="I659" s="43"/>
      <c r="J659" s="43"/>
      <c r="K659" s="43"/>
      <c r="L659" s="43"/>
      <c r="M659" s="42"/>
      <c r="N659" s="42"/>
      <c r="O659" s="42"/>
      <c r="P659" s="42"/>
      <c r="Q659" s="42"/>
      <c r="R659" s="42"/>
      <c r="S659" s="42"/>
      <c r="T659" s="42"/>
      <c r="U659" s="42"/>
      <c r="V659" s="42"/>
      <c r="W659" s="42"/>
      <c r="X659" s="42"/>
      <c r="Y659" s="43"/>
      <c r="Z659" s="42"/>
      <c r="AA659" s="42"/>
      <c r="AB659" s="44"/>
      <c r="AP659"/>
      <c r="AQ659" s="52"/>
      <c r="AR659" s="52"/>
      <c r="AS659"/>
      <c r="AT659" s="52"/>
      <c r="AU659" s="52"/>
      <c r="AV659"/>
      <c r="AW659" s="53"/>
      <c r="AX659" s="53"/>
      <c r="AY659" s="53"/>
      <c r="AZ659" s="53"/>
      <c r="BA659" s="53"/>
      <c r="BB659" s="52"/>
      <c r="BC659" s="52"/>
      <c r="BD659" s="52"/>
      <c r="BE659" s="52"/>
      <c r="BF659" s="83"/>
    </row>
    <row r="660" spans="1:58" ht="16" x14ac:dyDescent="0.35">
      <c r="A660" s="37"/>
      <c r="B660" s="38"/>
      <c r="C660" s="38"/>
      <c r="D660" s="38"/>
      <c r="E660" s="38"/>
      <c r="F660" s="38"/>
      <c r="G660" s="38"/>
      <c r="H660" s="39"/>
      <c r="I660" s="39"/>
      <c r="J660" s="39"/>
      <c r="K660" s="39"/>
      <c r="L660" s="39"/>
      <c r="M660" s="38"/>
      <c r="N660" s="38"/>
      <c r="O660" s="38"/>
      <c r="P660" s="38"/>
      <c r="Q660" s="38"/>
      <c r="R660" s="38"/>
      <c r="S660" s="38"/>
      <c r="T660" s="38"/>
      <c r="U660" s="38"/>
      <c r="V660" s="38"/>
      <c r="W660" s="38"/>
      <c r="X660" s="38"/>
      <c r="Y660" s="39"/>
      <c r="Z660" s="38"/>
      <c r="AA660" s="38"/>
      <c r="AB660" s="40"/>
      <c r="AP660"/>
      <c r="AQ660" s="48"/>
      <c r="AR660" s="48"/>
      <c r="AS660"/>
      <c r="AT660" s="48"/>
      <c r="AU660" s="48"/>
      <c r="AV660"/>
      <c r="AW660" s="49"/>
      <c r="AX660" s="49"/>
      <c r="AY660" s="49"/>
      <c r="AZ660" s="49"/>
      <c r="BA660" s="49"/>
      <c r="BB660" s="48"/>
      <c r="BC660" s="48"/>
      <c r="BD660" s="48"/>
      <c r="BE660" s="48"/>
      <c r="BF660" s="83"/>
    </row>
    <row r="661" spans="1:58" ht="16" x14ac:dyDescent="0.35">
      <c r="A661" s="41"/>
      <c r="B661" s="42"/>
      <c r="C661" s="42"/>
      <c r="D661" s="42"/>
      <c r="E661" s="42"/>
      <c r="F661" s="42"/>
      <c r="G661" s="42"/>
      <c r="H661" s="43"/>
      <c r="I661" s="43"/>
      <c r="J661" s="43"/>
      <c r="K661" s="43"/>
      <c r="L661" s="43"/>
      <c r="M661" s="42"/>
      <c r="N661" s="42"/>
      <c r="O661" s="42"/>
      <c r="P661" s="42"/>
      <c r="Q661" s="42"/>
      <c r="R661" s="42"/>
      <c r="S661" s="42"/>
      <c r="T661" s="42"/>
      <c r="U661" s="42"/>
      <c r="V661" s="42"/>
      <c r="W661" s="42"/>
      <c r="X661" s="42"/>
      <c r="Y661" s="43"/>
      <c r="Z661" s="42"/>
      <c r="AA661" s="42"/>
      <c r="AB661" s="44"/>
      <c r="AP661"/>
      <c r="AQ661" s="52"/>
      <c r="AR661" s="52"/>
      <c r="AS661"/>
      <c r="AT661" s="52"/>
      <c r="AU661" s="52"/>
      <c r="AV661"/>
      <c r="AW661" s="53"/>
      <c r="AX661" s="53"/>
      <c r="AY661" s="53"/>
      <c r="AZ661" s="53"/>
      <c r="BA661" s="53"/>
      <c r="BB661" s="52"/>
      <c r="BC661" s="52"/>
      <c r="BD661" s="52"/>
      <c r="BE661" s="52"/>
      <c r="BF661" s="83"/>
    </row>
    <row r="662" spans="1:58" ht="16" x14ac:dyDescent="0.35">
      <c r="A662" s="37"/>
      <c r="B662" s="38"/>
      <c r="C662" s="38"/>
      <c r="D662" s="38"/>
      <c r="E662" s="38"/>
      <c r="F662" s="38"/>
      <c r="G662" s="38"/>
      <c r="H662" s="39"/>
      <c r="I662" s="39"/>
      <c r="J662" s="39"/>
      <c r="K662" s="39"/>
      <c r="L662" s="39"/>
      <c r="M662" s="38"/>
      <c r="N662" s="38"/>
      <c r="O662" s="38"/>
      <c r="P662" s="38"/>
      <c r="Q662" s="38"/>
      <c r="R662" s="38"/>
      <c r="S662" s="38"/>
      <c r="T662" s="38"/>
      <c r="U662" s="38"/>
      <c r="V662" s="38"/>
      <c r="W662" s="38"/>
      <c r="X662" s="38"/>
      <c r="Y662" s="39"/>
      <c r="Z662" s="38"/>
      <c r="AA662" s="38"/>
      <c r="AB662" s="40"/>
      <c r="AP662"/>
      <c r="AQ662" s="48"/>
      <c r="AR662" s="48"/>
      <c r="AS662"/>
      <c r="AT662" s="48"/>
      <c r="AU662" s="48"/>
      <c r="AV662"/>
      <c r="AW662" s="49"/>
      <c r="AX662" s="49"/>
      <c r="AY662" s="49"/>
      <c r="AZ662" s="49"/>
      <c r="BA662" s="49"/>
      <c r="BB662" s="48"/>
      <c r="BC662" s="48"/>
      <c r="BD662" s="48"/>
      <c r="BE662" s="48"/>
      <c r="BF662" s="83"/>
    </row>
    <row r="663" spans="1:58" ht="16" x14ac:dyDescent="0.35">
      <c r="A663" s="41"/>
      <c r="B663" s="42"/>
      <c r="C663" s="42"/>
      <c r="D663" s="42"/>
      <c r="E663" s="42"/>
      <c r="F663" s="42"/>
      <c r="G663" s="42"/>
      <c r="H663" s="43"/>
      <c r="I663" s="43"/>
      <c r="J663" s="43"/>
      <c r="K663" s="43"/>
      <c r="L663" s="43"/>
      <c r="M663" s="42"/>
      <c r="N663" s="42"/>
      <c r="O663" s="42"/>
      <c r="P663" s="42"/>
      <c r="Q663" s="42"/>
      <c r="R663" s="42"/>
      <c r="S663" s="42"/>
      <c r="T663" s="42"/>
      <c r="U663" s="42"/>
      <c r="V663" s="42"/>
      <c r="W663" s="42"/>
      <c r="X663" s="42"/>
      <c r="Y663" s="43"/>
      <c r="Z663" s="42"/>
      <c r="AA663" s="42"/>
      <c r="AB663" s="44"/>
      <c r="AP663"/>
      <c r="AQ663" s="52"/>
      <c r="AR663" s="52"/>
      <c r="AS663"/>
      <c r="AT663" s="52"/>
      <c r="AU663" s="52"/>
      <c r="AV663"/>
      <c r="AW663" s="53"/>
      <c r="AX663" s="53"/>
      <c r="AY663" s="53"/>
      <c r="AZ663" s="53"/>
      <c r="BA663" s="53"/>
      <c r="BB663" s="52"/>
      <c r="BC663" s="52"/>
      <c r="BD663" s="52"/>
      <c r="BE663" s="52"/>
      <c r="BF663" s="83"/>
    </row>
    <row r="664" spans="1:58" ht="16" x14ac:dyDescent="0.35">
      <c r="A664" s="37"/>
      <c r="B664" s="38"/>
      <c r="C664" s="38"/>
      <c r="D664" s="38"/>
      <c r="E664" s="38"/>
      <c r="F664" s="38"/>
      <c r="G664" s="38"/>
      <c r="H664" s="39"/>
      <c r="I664" s="39"/>
      <c r="J664" s="39"/>
      <c r="K664" s="39"/>
      <c r="L664" s="39"/>
      <c r="M664" s="38"/>
      <c r="N664" s="38"/>
      <c r="O664" s="38"/>
      <c r="P664" s="38"/>
      <c r="Q664" s="38"/>
      <c r="R664" s="38"/>
      <c r="S664" s="38"/>
      <c r="T664" s="38"/>
      <c r="U664" s="38"/>
      <c r="V664" s="38"/>
      <c r="W664" s="38"/>
      <c r="X664" s="38"/>
      <c r="Y664" s="39"/>
      <c r="Z664" s="38"/>
      <c r="AA664" s="38"/>
      <c r="AB664" s="40"/>
      <c r="AP664"/>
      <c r="AQ664" s="48"/>
      <c r="AR664" s="48"/>
      <c r="AS664"/>
      <c r="AT664" s="48"/>
      <c r="AU664" s="48"/>
      <c r="AV664"/>
      <c r="AW664" s="49"/>
      <c r="AX664" s="49"/>
      <c r="AY664" s="49"/>
      <c r="AZ664" s="49"/>
      <c r="BA664" s="49"/>
      <c r="BB664" s="48"/>
      <c r="BC664" s="48"/>
      <c r="BD664" s="48"/>
      <c r="BE664" s="48"/>
      <c r="BF664" s="83"/>
    </row>
    <row r="665" spans="1:58" ht="16" x14ac:dyDescent="0.35">
      <c r="A665" s="41"/>
      <c r="B665" s="42"/>
      <c r="C665" s="42"/>
      <c r="D665" s="42"/>
      <c r="E665" s="42"/>
      <c r="F665" s="42"/>
      <c r="G665" s="42"/>
      <c r="H665" s="43"/>
      <c r="I665" s="43"/>
      <c r="J665" s="43"/>
      <c r="K665" s="43"/>
      <c r="L665" s="43"/>
      <c r="M665" s="42"/>
      <c r="N665" s="42"/>
      <c r="O665" s="42"/>
      <c r="P665" s="42"/>
      <c r="Q665" s="42"/>
      <c r="R665" s="42"/>
      <c r="S665" s="42"/>
      <c r="T665" s="42"/>
      <c r="U665" s="42"/>
      <c r="V665" s="42"/>
      <c r="W665" s="42"/>
      <c r="X665" s="42"/>
      <c r="Y665" s="43"/>
      <c r="Z665" s="42"/>
      <c r="AA665" s="42"/>
      <c r="AB665" s="44"/>
      <c r="AP665"/>
      <c r="AQ665" s="52"/>
      <c r="AR665" s="52"/>
      <c r="AS665"/>
      <c r="AT665" s="52"/>
      <c r="AU665" s="52"/>
      <c r="AV665"/>
      <c r="AW665" s="53"/>
      <c r="AX665" s="53"/>
      <c r="AY665" s="53"/>
      <c r="AZ665" s="53"/>
      <c r="BA665" s="53"/>
      <c r="BB665" s="52"/>
      <c r="BC665" s="52"/>
      <c r="BD665" s="52"/>
      <c r="BE665" s="52"/>
      <c r="BF665" s="83"/>
    </row>
    <row r="666" spans="1:58" ht="16" x14ac:dyDescent="0.35">
      <c r="A666" s="37"/>
      <c r="B666" s="38"/>
      <c r="C666" s="38"/>
      <c r="D666" s="38"/>
      <c r="E666" s="38"/>
      <c r="F666" s="38"/>
      <c r="G666" s="38"/>
      <c r="H666" s="39"/>
      <c r="I666" s="39"/>
      <c r="J666" s="39"/>
      <c r="K666" s="39"/>
      <c r="L666" s="39"/>
      <c r="M666" s="38"/>
      <c r="N666" s="38"/>
      <c r="O666" s="38"/>
      <c r="P666" s="38"/>
      <c r="Q666" s="38"/>
      <c r="R666" s="38"/>
      <c r="S666" s="38"/>
      <c r="T666" s="38"/>
      <c r="U666" s="38"/>
      <c r="V666" s="38"/>
      <c r="W666" s="38"/>
      <c r="X666" s="38"/>
      <c r="Y666" s="39"/>
      <c r="Z666" s="38"/>
      <c r="AA666" s="38"/>
      <c r="AB666" s="40"/>
      <c r="AP666"/>
      <c r="AQ666" s="48"/>
      <c r="AR666" s="48"/>
      <c r="AS666"/>
      <c r="AT666" s="48"/>
      <c r="AU666" s="48"/>
      <c r="AV666"/>
      <c r="AW666" s="49"/>
      <c r="AX666" s="49"/>
      <c r="AY666" s="49"/>
      <c r="AZ666" s="49"/>
      <c r="BA666" s="49"/>
      <c r="BB666" s="48"/>
      <c r="BC666" s="48"/>
      <c r="BD666" s="48"/>
      <c r="BE666" s="48"/>
      <c r="BF666" s="83"/>
    </row>
    <row r="667" spans="1:58" ht="16" x14ac:dyDescent="0.35">
      <c r="A667" s="41"/>
      <c r="B667" s="42"/>
      <c r="C667" s="42"/>
      <c r="D667" s="42"/>
      <c r="E667" s="42"/>
      <c r="F667" s="42"/>
      <c r="G667" s="42"/>
      <c r="H667" s="43"/>
      <c r="I667" s="43"/>
      <c r="J667" s="43"/>
      <c r="K667" s="43"/>
      <c r="L667" s="43"/>
      <c r="M667" s="42"/>
      <c r="N667" s="42"/>
      <c r="O667" s="42"/>
      <c r="P667" s="42"/>
      <c r="Q667" s="42"/>
      <c r="R667" s="42"/>
      <c r="S667" s="42"/>
      <c r="T667" s="42"/>
      <c r="U667" s="42"/>
      <c r="V667" s="42"/>
      <c r="W667" s="42"/>
      <c r="X667" s="42"/>
      <c r="Y667" s="43"/>
      <c r="Z667" s="42"/>
      <c r="AA667" s="42"/>
      <c r="AB667" s="44"/>
      <c r="AP667"/>
      <c r="AQ667" s="52"/>
      <c r="AR667" s="52"/>
      <c r="AS667"/>
      <c r="AT667" s="52"/>
      <c r="AU667" s="52"/>
      <c r="AV667"/>
      <c r="AW667" s="53"/>
      <c r="AX667" s="53"/>
      <c r="AY667" s="53"/>
      <c r="AZ667" s="53"/>
      <c r="BA667" s="53"/>
      <c r="BB667" s="52"/>
      <c r="BC667" s="52"/>
      <c r="BD667" s="52"/>
      <c r="BE667" s="52"/>
      <c r="BF667" s="83"/>
    </row>
    <row r="668" spans="1:58" ht="16" x14ac:dyDescent="0.35">
      <c r="A668" s="37"/>
      <c r="B668" s="38"/>
      <c r="C668" s="38"/>
      <c r="D668" s="38"/>
      <c r="E668" s="38"/>
      <c r="F668" s="38"/>
      <c r="G668" s="38"/>
      <c r="H668" s="39"/>
      <c r="I668" s="39"/>
      <c r="J668" s="39"/>
      <c r="K668" s="39"/>
      <c r="L668" s="39"/>
      <c r="M668" s="38"/>
      <c r="N668" s="38"/>
      <c r="O668" s="38"/>
      <c r="P668" s="38"/>
      <c r="Q668" s="38"/>
      <c r="R668" s="38"/>
      <c r="S668" s="38"/>
      <c r="T668" s="38"/>
      <c r="U668" s="38"/>
      <c r="V668" s="38"/>
      <c r="W668" s="38"/>
      <c r="X668" s="38"/>
      <c r="Y668" s="39"/>
      <c r="Z668" s="38"/>
      <c r="AA668" s="38"/>
      <c r="AB668" s="40"/>
      <c r="AP668"/>
      <c r="AQ668" s="48"/>
      <c r="AR668" s="48"/>
      <c r="AS668"/>
      <c r="AT668" s="48"/>
      <c r="AU668" s="48"/>
      <c r="AV668"/>
      <c r="AW668" s="49"/>
      <c r="AX668" s="49"/>
      <c r="AY668" s="49"/>
      <c r="AZ668" s="49"/>
      <c r="BA668" s="49"/>
      <c r="BB668" s="48"/>
      <c r="BC668" s="48"/>
      <c r="BD668" s="48"/>
      <c r="BE668" s="48"/>
      <c r="BF668" s="83"/>
    </row>
    <row r="669" spans="1:58" ht="16" x14ac:dyDescent="0.35">
      <c r="A669" s="41"/>
      <c r="B669" s="42"/>
      <c r="C669" s="42"/>
      <c r="D669" s="42"/>
      <c r="E669" s="42"/>
      <c r="F669" s="42"/>
      <c r="G669" s="42"/>
      <c r="H669" s="43"/>
      <c r="I669" s="43"/>
      <c r="J669" s="43"/>
      <c r="K669" s="43"/>
      <c r="L669" s="43"/>
      <c r="M669" s="42"/>
      <c r="N669" s="42"/>
      <c r="O669" s="42"/>
      <c r="P669" s="42"/>
      <c r="Q669" s="42"/>
      <c r="R669" s="42"/>
      <c r="S669" s="42"/>
      <c r="T669" s="42"/>
      <c r="U669" s="42"/>
      <c r="V669" s="42"/>
      <c r="W669" s="42"/>
      <c r="X669" s="42"/>
      <c r="Y669" s="43"/>
      <c r="Z669" s="42"/>
      <c r="AA669" s="42"/>
      <c r="AB669" s="44"/>
      <c r="AP669"/>
      <c r="AQ669" s="52"/>
      <c r="AR669" s="52"/>
      <c r="AS669"/>
      <c r="AT669" s="52"/>
      <c r="AU669" s="52"/>
      <c r="AV669"/>
      <c r="AW669" s="53"/>
      <c r="AX669" s="53"/>
      <c r="AY669" s="53"/>
      <c r="AZ669" s="53"/>
      <c r="BA669" s="53"/>
      <c r="BB669" s="52"/>
      <c r="BC669" s="52"/>
      <c r="BD669" s="52"/>
      <c r="BE669" s="52"/>
      <c r="BF669" s="83"/>
    </row>
    <row r="670" spans="1:58" ht="16" x14ac:dyDescent="0.35">
      <c r="A670" s="37"/>
      <c r="B670" s="38"/>
      <c r="C670" s="38"/>
      <c r="D670" s="38"/>
      <c r="E670" s="38"/>
      <c r="F670" s="38"/>
      <c r="G670" s="38"/>
      <c r="H670" s="39"/>
      <c r="I670" s="39"/>
      <c r="J670" s="39"/>
      <c r="K670" s="39"/>
      <c r="L670" s="39"/>
      <c r="M670" s="38"/>
      <c r="N670" s="38"/>
      <c r="O670" s="38"/>
      <c r="P670" s="38"/>
      <c r="Q670" s="38"/>
      <c r="R670" s="38"/>
      <c r="S670" s="38"/>
      <c r="T670" s="38"/>
      <c r="U670" s="38"/>
      <c r="V670" s="38"/>
      <c r="W670" s="38"/>
      <c r="X670" s="38"/>
      <c r="Y670" s="39"/>
      <c r="Z670" s="38"/>
      <c r="AA670" s="38"/>
      <c r="AB670" s="40"/>
      <c r="AP670"/>
      <c r="AQ670" s="48"/>
      <c r="AR670" s="48"/>
      <c r="AS670"/>
      <c r="AT670" s="48"/>
      <c r="AU670" s="48"/>
      <c r="AV670"/>
      <c r="AW670" s="49"/>
      <c r="AX670" s="49"/>
      <c r="AY670" s="49"/>
      <c r="AZ670" s="49"/>
      <c r="BA670" s="49"/>
      <c r="BB670" s="48"/>
      <c r="BC670" s="48"/>
      <c r="BD670" s="48"/>
      <c r="BE670" s="48"/>
      <c r="BF670" s="83"/>
    </row>
    <row r="671" spans="1:58" ht="16" x14ac:dyDescent="0.35">
      <c r="A671" s="41"/>
      <c r="B671" s="42"/>
      <c r="C671" s="42"/>
      <c r="D671" s="42"/>
      <c r="E671" s="42"/>
      <c r="F671" s="42"/>
      <c r="G671" s="42"/>
      <c r="H671" s="43"/>
      <c r="I671" s="43"/>
      <c r="J671" s="43"/>
      <c r="K671" s="43"/>
      <c r="L671" s="43"/>
      <c r="M671" s="42"/>
      <c r="N671" s="42"/>
      <c r="O671" s="42"/>
      <c r="P671" s="42"/>
      <c r="Q671" s="42"/>
      <c r="R671" s="42"/>
      <c r="S671" s="42"/>
      <c r="T671" s="42"/>
      <c r="U671" s="42"/>
      <c r="V671" s="42"/>
      <c r="W671" s="42"/>
      <c r="X671" s="42"/>
      <c r="Y671" s="43"/>
      <c r="Z671" s="42"/>
      <c r="AA671" s="42"/>
      <c r="AB671" s="44"/>
      <c r="AP671"/>
      <c r="AQ671" s="52"/>
      <c r="AR671" s="52"/>
      <c r="AS671"/>
      <c r="AT671" s="52"/>
      <c r="AU671" s="52"/>
      <c r="AV671"/>
      <c r="AW671" s="53"/>
      <c r="AX671" s="53"/>
      <c r="AY671" s="53"/>
      <c r="AZ671" s="53"/>
      <c r="BA671" s="53"/>
      <c r="BB671" s="52"/>
      <c r="BC671" s="52"/>
      <c r="BD671" s="52"/>
      <c r="BE671" s="52"/>
      <c r="BF671" s="83"/>
    </row>
    <row r="672" spans="1:58" ht="16" x14ac:dyDescent="0.35">
      <c r="A672" s="37"/>
      <c r="B672" s="38"/>
      <c r="C672" s="38"/>
      <c r="D672" s="38"/>
      <c r="E672" s="38"/>
      <c r="F672" s="38"/>
      <c r="G672" s="38"/>
      <c r="H672" s="39"/>
      <c r="I672" s="39"/>
      <c r="J672" s="39"/>
      <c r="K672" s="39"/>
      <c r="L672" s="39"/>
      <c r="M672" s="38"/>
      <c r="N672" s="38"/>
      <c r="O672" s="38"/>
      <c r="P672" s="38"/>
      <c r="Q672" s="38"/>
      <c r="R672" s="38"/>
      <c r="S672" s="38"/>
      <c r="T672" s="38"/>
      <c r="U672" s="38"/>
      <c r="V672" s="38"/>
      <c r="W672" s="38"/>
      <c r="X672" s="38"/>
      <c r="Y672" s="39"/>
      <c r="Z672" s="38"/>
      <c r="AA672" s="38"/>
      <c r="AB672" s="40"/>
      <c r="AP672"/>
      <c r="AQ672" s="48"/>
      <c r="AR672" s="48"/>
      <c r="AS672"/>
      <c r="AT672" s="48"/>
      <c r="AU672" s="48"/>
      <c r="AV672"/>
      <c r="AW672" s="49"/>
      <c r="AX672" s="49"/>
      <c r="AY672" s="49"/>
      <c r="AZ672" s="49"/>
      <c r="BA672" s="49"/>
      <c r="BB672" s="48"/>
      <c r="BC672" s="48"/>
      <c r="BD672" s="48"/>
      <c r="BE672" s="48"/>
      <c r="BF672" s="83"/>
    </row>
    <row r="673" spans="1:58" ht="16" x14ac:dyDescent="0.35">
      <c r="A673" s="41"/>
      <c r="B673" s="42"/>
      <c r="C673" s="42"/>
      <c r="D673" s="42"/>
      <c r="E673" s="42"/>
      <c r="F673" s="42"/>
      <c r="G673" s="42"/>
      <c r="H673" s="43"/>
      <c r="I673" s="43"/>
      <c r="J673" s="43"/>
      <c r="K673" s="43"/>
      <c r="L673" s="43"/>
      <c r="M673" s="42"/>
      <c r="N673" s="42"/>
      <c r="O673" s="42"/>
      <c r="P673" s="42"/>
      <c r="Q673" s="42"/>
      <c r="R673" s="42"/>
      <c r="S673" s="42"/>
      <c r="T673" s="42"/>
      <c r="U673" s="42"/>
      <c r="V673" s="42"/>
      <c r="W673" s="42"/>
      <c r="X673" s="42"/>
      <c r="Y673" s="43"/>
      <c r="Z673" s="42"/>
      <c r="AA673" s="42"/>
      <c r="AB673" s="44"/>
      <c r="AP673"/>
      <c r="AQ673" s="52"/>
      <c r="AR673" s="52"/>
      <c r="AS673"/>
      <c r="AT673" s="52"/>
      <c r="AU673" s="52"/>
      <c r="AV673"/>
      <c r="AW673" s="53"/>
      <c r="AX673" s="53"/>
      <c r="AY673" s="53"/>
      <c r="AZ673" s="53"/>
      <c r="BA673" s="53"/>
      <c r="BB673" s="52"/>
      <c r="BC673" s="52"/>
      <c r="BD673" s="52"/>
      <c r="BE673" s="52"/>
      <c r="BF673" s="83"/>
    </row>
    <row r="674" spans="1:58" ht="16" x14ac:dyDescent="0.35">
      <c r="A674" s="37"/>
      <c r="B674" s="38"/>
      <c r="C674" s="38"/>
      <c r="D674" s="38"/>
      <c r="E674" s="38"/>
      <c r="F674" s="38"/>
      <c r="G674" s="38"/>
      <c r="H674" s="39"/>
      <c r="I674" s="39"/>
      <c r="J674" s="39"/>
      <c r="K674" s="39"/>
      <c r="L674" s="39"/>
      <c r="M674" s="38"/>
      <c r="N674" s="38"/>
      <c r="O674" s="38"/>
      <c r="P674" s="38"/>
      <c r="Q674" s="38"/>
      <c r="R674" s="38"/>
      <c r="S674" s="38"/>
      <c r="T674" s="38"/>
      <c r="U674" s="38"/>
      <c r="V674" s="38"/>
      <c r="W674" s="38"/>
      <c r="X674" s="38"/>
      <c r="Y674" s="39"/>
      <c r="Z674" s="38"/>
      <c r="AA674" s="38"/>
      <c r="AB674" s="40"/>
      <c r="AP674"/>
      <c r="AQ674" s="48"/>
      <c r="AR674" s="48"/>
      <c r="AS674"/>
      <c r="AT674" s="48"/>
      <c r="AU674" s="48"/>
      <c r="AV674"/>
      <c r="AW674" s="49"/>
      <c r="AX674" s="49"/>
      <c r="AY674" s="49"/>
      <c r="AZ674" s="49"/>
      <c r="BA674" s="49"/>
      <c r="BB674" s="48"/>
      <c r="BC674" s="48"/>
      <c r="BD674" s="48"/>
      <c r="BE674" s="48"/>
      <c r="BF674" s="83"/>
    </row>
    <row r="675" spans="1:58" ht="16" x14ac:dyDescent="0.35">
      <c r="A675" s="41"/>
      <c r="B675" s="42"/>
      <c r="C675" s="42"/>
      <c r="D675" s="42"/>
      <c r="E675" s="42"/>
      <c r="F675" s="42"/>
      <c r="G675" s="42"/>
      <c r="H675" s="43"/>
      <c r="I675" s="43"/>
      <c r="J675" s="43"/>
      <c r="K675" s="43"/>
      <c r="L675" s="43"/>
      <c r="M675" s="42"/>
      <c r="N675" s="42"/>
      <c r="O675" s="42"/>
      <c r="P675" s="42"/>
      <c r="Q675" s="42"/>
      <c r="R675" s="42"/>
      <c r="S675" s="42"/>
      <c r="T675" s="42"/>
      <c r="U675" s="42"/>
      <c r="V675" s="42"/>
      <c r="W675" s="42"/>
      <c r="X675" s="42"/>
      <c r="Y675" s="43"/>
      <c r="Z675" s="42"/>
      <c r="AA675" s="42"/>
      <c r="AB675" s="44"/>
      <c r="AP675"/>
      <c r="AQ675" s="52"/>
      <c r="AR675" s="52"/>
      <c r="AS675"/>
      <c r="AT675" s="52"/>
      <c r="AU675" s="52"/>
      <c r="AV675"/>
      <c r="AW675" s="53"/>
      <c r="AX675" s="53"/>
      <c r="AY675" s="53"/>
      <c r="AZ675" s="53"/>
      <c r="BA675" s="53"/>
      <c r="BB675" s="52"/>
      <c r="BC675" s="52"/>
      <c r="BD675" s="52"/>
      <c r="BE675" s="52"/>
      <c r="BF675" s="83"/>
    </row>
    <row r="676" spans="1:58" ht="16" x14ac:dyDescent="0.35">
      <c r="A676" s="37"/>
      <c r="B676" s="38"/>
      <c r="C676" s="38"/>
      <c r="D676" s="38"/>
      <c r="E676" s="38"/>
      <c r="F676" s="38"/>
      <c r="G676" s="38"/>
      <c r="H676" s="39"/>
      <c r="I676" s="39"/>
      <c r="J676" s="39"/>
      <c r="K676" s="39"/>
      <c r="L676" s="39"/>
      <c r="M676" s="38"/>
      <c r="N676" s="38"/>
      <c r="O676" s="38"/>
      <c r="P676" s="38"/>
      <c r="Q676" s="38"/>
      <c r="R676" s="38"/>
      <c r="S676" s="38"/>
      <c r="T676" s="38"/>
      <c r="U676" s="38"/>
      <c r="V676" s="38"/>
      <c r="W676" s="38"/>
      <c r="X676" s="38"/>
      <c r="Y676" s="39"/>
      <c r="Z676" s="38"/>
      <c r="AA676" s="38"/>
      <c r="AB676" s="40"/>
      <c r="AP676"/>
      <c r="AQ676" s="48"/>
      <c r="AR676" s="48"/>
      <c r="AS676"/>
      <c r="AT676" s="48"/>
      <c r="AU676" s="48"/>
      <c r="AV676"/>
      <c r="AW676" s="49"/>
      <c r="AX676" s="49"/>
      <c r="AY676" s="49"/>
      <c r="AZ676" s="49"/>
      <c r="BA676" s="49"/>
      <c r="BB676" s="48"/>
      <c r="BC676" s="48"/>
      <c r="BD676" s="48"/>
      <c r="BE676" s="48"/>
      <c r="BF676" s="83"/>
    </row>
    <row r="677" spans="1:58" ht="16" x14ac:dyDescent="0.35">
      <c r="A677" s="41"/>
      <c r="B677" s="42"/>
      <c r="C677" s="42"/>
      <c r="D677" s="42"/>
      <c r="E677" s="42"/>
      <c r="F677" s="42"/>
      <c r="G677" s="42"/>
      <c r="H677" s="43"/>
      <c r="I677" s="43"/>
      <c r="J677" s="43"/>
      <c r="K677" s="43"/>
      <c r="L677" s="43"/>
      <c r="M677" s="42"/>
      <c r="N677" s="42"/>
      <c r="O677" s="42"/>
      <c r="P677" s="42"/>
      <c r="Q677" s="42"/>
      <c r="R677" s="42"/>
      <c r="S677" s="42"/>
      <c r="T677" s="42"/>
      <c r="U677" s="42"/>
      <c r="V677" s="42"/>
      <c r="W677" s="42"/>
      <c r="X677" s="42"/>
      <c r="Y677" s="43"/>
      <c r="Z677" s="42"/>
      <c r="AA677" s="42"/>
      <c r="AB677" s="44"/>
      <c r="AP677"/>
      <c r="AQ677" s="52"/>
      <c r="AR677" s="52"/>
      <c r="AS677"/>
      <c r="AT677" s="52"/>
      <c r="AU677" s="52"/>
      <c r="AV677"/>
      <c r="AW677" s="53"/>
      <c r="AX677" s="53"/>
      <c r="AY677" s="53"/>
      <c r="AZ677" s="53"/>
      <c r="BA677" s="53"/>
      <c r="BB677" s="52"/>
      <c r="BC677" s="52"/>
      <c r="BD677" s="52"/>
      <c r="BE677" s="52"/>
      <c r="BF677" s="83"/>
    </row>
    <row r="678" spans="1:58" ht="16" x14ac:dyDescent="0.35">
      <c r="A678" s="37"/>
      <c r="B678" s="38"/>
      <c r="C678" s="38"/>
      <c r="D678" s="38"/>
      <c r="E678" s="38"/>
      <c r="F678" s="38"/>
      <c r="G678" s="38"/>
      <c r="H678" s="39"/>
      <c r="I678" s="39"/>
      <c r="J678" s="39"/>
      <c r="K678" s="39"/>
      <c r="L678" s="39"/>
      <c r="M678" s="38"/>
      <c r="N678" s="38"/>
      <c r="O678" s="38"/>
      <c r="P678" s="38"/>
      <c r="Q678" s="38"/>
      <c r="R678" s="38"/>
      <c r="S678" s="38"/>
      <c r="T678" s="38"/>
      <c r="U678" s="38"/>
      <c r="V678" s="38"/>
      <c r="W678" s="38"/>
      <c r="X678" s="38"/>
      <c r="Y678" s="39"/>
      <c r="Z678" s="38"/>
      <c r="AA678" s="38"/>
      <c r="AB678" s="40"/>
      <c r="AP678"/>
      <c r="AQ678" s="48"/>
      <c r="AR678" s="48"/>
      <c r="AS678"/>
      <c r="AT678" s="48"/>
      <c r="AU678" s="48"/>
      <c r="AV678"/>
      <c r="AW678" s="49"/>
      <c r="AX678" s="49"/>
      <c r="AY678" s="49"/>
      <c r="AZ678" s="49"/>
      <c r="BA678" s="49"/>
      <c r="BB678" s="48"/>
      <c r="BC678" s="48"/>
      <c r="BD678" s="48"/>
      <c r="BE678" s="48"/>
      <c r="BF678" s="83"/>
    </row>
    <row r="679" spans="1:58" ht="16" x14ac:dyDescent="0.35">
      <c r="A679" s="41"/>
      <c r="B679" s="42"/>
      <c r="C679" s="42"/>
      <c r="D679" s="42"/>
      <c r="E679" s="42"/>
      <c r="F679" s="42"/>
      <c r="G679" s="42"/>
      <c r="H679" s="43"/>
      <c r="I679" s="43"/>
      <c r="J679" s="43"/>
      <c r="K679" s="43"/>
      <c r="L679" s="43"/>
      <c r="M679" s="42"/>
      <c r="N679" s="42"/>
      <c r="O679" s="42"/>
      <c r="P679" s="42"/>
      <c r="Q679" s="42"/>
      <c r="R679" s="42"/>
      <c r="S679" s="42"/>
      <c r="T679" s="42"/>
      <c r="U679" s="42"/>
      <c r="V679" s="42"/>
      <c r="W679" s="42"/>
      <c r="X679" s="42"/>
      <c r="Y679" s="43"/>
      <c r="Z679" s="42"/>
      <c r="AA679" s="42"/>
      <c r="AB679" s="44"/>
      <c r="AP679"/>
      <c r="AQ679" s="52"/>
      <c r="AR679" s="52"/>
      <c r="AS679"/>
      <c r="AT679" s="52"/>
      <c r="AU679" s="52"/>
      <c r="AV679"/>
      <c r="AW679" s="53"/>
      <c r="AX679" s="53"/>
      <c r="AY679" s="53"/>
      <c r="AZ679" s="53"/>
      <c r="BA679" s="53"/>
      <c r="BB679" s="52"/>
      <c r="BC679" s="52"/>
      <c r="BD679" s="52"/>
      <c r="BE679" s="52"/>
      <c r="BF679" s="83"/>
    </row>
    <row r="680" spans="1:58" ht="16" x14ac:dyDescent="0.35">
      <c r="A680" s="37"/>
      <c r="B680" s="38"/>
      <c r="C680" s="38"/>
      <c r="D680" s="38"/>
      <c r="E680" s="38"/>
      <c r="F680" s="38"/>
      <c r="G680" s="38"/>
      <c r="H680" s="39"/>
      <c r="I680" s="39"/>
      <c r="J680" s="39"/>
      <c r="K680" s="39"/>
      <c r="L680" s="39"/>
      <c r="M680" s="38"/>
      <c r="N680" s="38"/>
      <c r="O680" s="38"/>
      <c r="P680" s="38"/>
      <c r="Q680" s="38"/>
      <c r="R680" s="38"/>
      <c r="S680" s="38"/>
      <c r="T680" s="38"/>
      <c r="U680" s="38"/>
      <c r="V680" s="38"/>
      <c r="W680" s="38"/>
      <c r="X680" s="38"/>
      <c r="Y680" s="39"/>
      <c r="Z680" s="38"/>
      <c r="AA680" s="38"/>
      <c r="AB680" s="40"/>
      <c r="AP680"/>
      <c r="AQ680" s="48"/>
      <c r="AR680" s="48"/>
      <c r="AS680"/>
      <c r="AT680" s="48"/>
      <c r="AU680" s="48"/>
      <c r="AV680"/>
      <c r="AW680" s="49"/>
      <c r="AX680" s="49"/>
      <c r="AY680" s="49"/>
      <c r="AZ680" s="49"/>
      <c r="BA680" s="49"/>
      <c r="BB680" s="48"/>
      <c r="BC680" s="48"/>
      <c r="BD680" s="48"/>
      <c r="BE680" s="48"/>
      <c r="BF680" s="83"/>
    </row>
    <row r="681" spans="1:58" ht="16" x14ac:dyDescent="0.35">
      <c r="A681" s="41"/>
      <c r="B681" s="42"/>
      <c r="C681" s="42"/>
      <c r="D681" s="42"/>
      <c r="E681" s="42"/>
      <c r="F681" s="42"/>
      <c r="G681" s="42"/>
      <c r="H681" s="43"/>
      <c r="I681" s="43"/>
      <c r="J681" s="43"/>
      <c r="K681" s="43"/>
      <c r="L681" s="43"/>
      <c r="M681" s="42"/>
      <c r="N681" s="42"/>
      <c r="O681" s="42"/>
      <c r="P681" s="42"/>
      <c r="Q681" s="42"/>
      <c r="R681" s="42"/>
      <c r="S681" s="42"/>
      <c r="T681" s="42"/>
      <c r="U681" s="42"/>
      <c r="V681" s="42"/>
      <c r="W681" s="42"/>
      <c r="X681" s="42"/>
      <c r="Y681" s="43"/>
      <c r="Z681" s="42"/>
      <c r="AA681" s="42"/>
      <c r="AB681" s="44"/>
      <c r="AP681"/>
      <c r="AQ681" s="52"/>
      <c r="AR681" s="52"/>
      <c r="AS681"/>
      <c r="AT681" s="52"/>
      <c r="AU681" s="52"/>
      <c r="AV681"/>
      <c r="AW681" s="53"/>
      <c r="AX681" s="53"/>
      <c r="AY681" s="53"/>
      <c r="AZ681" s="53"/>
      <c r="BA681" s="53"/>
      <c r="BB681" s="52"/>
      <c r="BC681" s="52"/>
      <c r="BD681" s="52"/>
      <c r="BE681" s="52"/>
      <c r="BF681" s="83"/>
    </row>
    <row r="682" spans="1:58" ht="16" x14ac:dyDescent="0.35">
      <c r="A682" s="37"/>
      <c r="B682" s="38"/>
      <c r="C682" s="38"/>
      <c r="D682" s="38"/>
      <c r="E682" s="38"/>
      <c r="F682" s="38"/>
      <c r="G682" s="38"/>
      <c r="H682" s="39"/>
      <c r="I682" s="39"/>
      <c r="J682" s="39"/>
      <c r="K682" s="39"/>
      <c r="L682" s="39"/>
      <c r="M682" s="38"/>
      <c r="N682" s="38"/>
      <c r="O682" s="38"/>
      <c r="P682" s="38"/>
      <c r="Q682" s="38"/>
      <c r="R682" s="38"/>
      <c r="S682" s="38"/>
      <c r="T682" s="38"/>
      <c r="U682" s="38"/>
      <c r="V682" s="38"/>
      <c r="W682" s="38"/>
      <c r="X682" s="38"/>
      <c r="Y682" s="39"/>
      <c r="Z682" s="38"/>
      <c r="AA682" s="38"/>
      <c r="AB682" s="40"/>
      <c r="AP682"/>
      <c r="AQ682" s="48"/>
      <c r="AR682" s="48"/>
      <c r="AS682"/>
      <c r="AT682" s="48"/>
      <c r="AU682" s="48"/>
      <c r="AV682"/>
      <c r="AW682" s="49"/>
      <c r="AX682" s="49"/>
      <c r="AY682" s="49"/>
      <c r="AZ682" s="49"/>
      <c r="BA682" s="49"/>
      <c r="BB682" s="48"/>
      <c r="BC682" s="48"/>
      <c r="BD682" s="48"/>
      <c r="BE682" s="48"/>
      <c r="BF682" s="83"/>
    </row>
    <row r="683" spans="1:58" ht="16" x14ac:dyDescent="0.35">
      <c r="A683" s="41"/>
      <c r="B683" s="42"/>
      <c r="C683" s="42"/>
      <c r="D683" s="42"/>
      <c r="E683" s="42"/>
      <c r="F683" s="42"/>
      <c r="G683" s="42"/>
      <c r="H683" s="43"/>
      <c r="I683" s="43"/>
      <c r="J683" s="43"/>
      <c r="K683" s="43"/>
      <c r="L683" s="43"/>
      <c r="M683" s="42"/>
      <c r="N683" s="42"/>
      <c r="O683" s="42"/>
      <c r="P683" s="42"/>
      <c r="Q683" s="42"/>
      <c r="R683" s="42"/>
      <c r="S683" s="42"/>
      <c r="T683" s="42"/>
      <c r="U683" s="42"/>
      <c r="V683" s="42"/>
      <c r="W683" s="42"/>
      <c r="X683" s="42"/>
      <c r="Y683" s="43"/>
      <c r="Z683" s="42"/>
      <c r="AA683" s="42"/>
      <c r="AB683" s="44"/>
      <c r="AP683"/>
      <c r="AQ683" s="52"/>
      <c r="AR683" s="52"/>
      <c r="AS683"/>
      <c r="AT683" s="52"/>
      <c r="AU683" s="52"/>
      <c r="AV683"/>
      <c r="AW683" s="53"/>
      <c r="AX683" s="53"/>
      <c r="AY683" s="53"/>
      <c r="AZ683" s="53"/>
      <c r="BA683" s="53"/>
      <c r="BB683" s="52"/>
      <c r="BC683" s="52"/>
      <c r="BD683" s="52"/>
      <c r="BE683" s="52"/>
      <c r="BF683" s="83"/>
    </row>
    <row r="684" spans="1:58" ht="16" x14ac:dyDescent="0.35">
      <c r="A684" s="37"/>
      <c r="B684" s="38"/>
      <c r="C684" s="38"/>
      <c r="D684" s="38"/>
      <c r="E684" s="38"/>
      <c r="F684" s="38"/>
      <c r="G684" s="38"/>
      <c r="H684" s="39"/>
      <c r="I684" s="39"/>
      <c r="J684" s="39"/>
      <c r="K684" s="39"/>
      <c r="L684" s="39"/>
      <c r="M684" s="38"/>
      <c r="N684" s="38"/>
      <c r="O684" s="38"/>
      <c r="P684" s="38"/>
      <c r="Q684" s="38"/>
      <c r="R684" s="38"/>
      <c r="S684" s="38"/>
      <c r="T684" s="38"/>
      <c r="U684" s="38"/>
      <c r="V684" s="38"/>
      <c r="W684" s="38"/>
      <c r="X684" s="38"/>
      <c r="Y684" s="39"/>
      <c r="Z684" s="38"/>
      <c r="AA684" s="38"/>
      <c r="AB684" s="40"/>
      <c r="AP684"/>
      <c r="AQ684" s="48"/>
      <c r="AR684" s="48"/>
      <c r="AS684"/>
      <c r="AT684" s="48"/>
      <c r="AU684" s="48"/>
      <c r="AV684"/>
      <c r="AW684" s="49"/>
      <c r="AX684" s="49"/>
      <c r="AY684" s="49"/>
      <c r="AZ684" s="49"/>
      <c r="BA684" s="49"/>
      <c r="BB684" s="48"/>
      <c r="BC684" s="48"/>
      <c r="BD684" s="48"/>
      <c r="BE684" s="48"/>
      <c r="BF684" s="83"/>
    </row>
    <row r="685" spans="1:58" ht="16" x14ac:dyDescent="0.35">
      <c r="A685" s="41"/>
      <c r="B685" s="42"/>
      <c r="C685" s="42"/>
      <c r="D685" s="42"/>
      <c r="E685" s="42"/>
      <c r="F685" s="42"/>
      <c r="G685" s="42"/>
      <c r="H685" s="43"/>
      <c r="I685" s="43"/>
      <c r="J685" s="43"/>
      <c r="K685" s="43"/>
      <c r="L685" s="43"/>
      <c r="M685" s="42"/>
      <c r="N685" s="42"/>
      <c r="O685" s="42"/>
      <c r="P685" s="42"/>
      <c r="Q685" s="42"/>
      <c r="R685" s="42"/>
      <c r="S685" s="42"/>
      <c r="T685" s="42"/>
      <c r="U685" s="42"/>
      <c r="V685" s="42"/>
      <c r="W685" s="42"/>
      <c r="X685" s="42"/>
      <c r="Y685" s="43"/>
      <c r="Z685" s="42"/>
      <c r="AA685" s="42"/>
      <c r="AB685" s="44"/>
      <c r="AP685"/>
      <c r="AQ685" s="52"/>
      <c r="AR685" s="52"/>
      <c r="AS685"/>
      <c r="AT685" s="52"/>
      <c r="AU685" s="52"/>
      <c r="AV685"/>
      <c r="AW685" s="53"/>
      <c r="AX685" s="53"/>
      <c r="AY685" s="53"/>
      <c r="AZ685" s="53"/>
      <c r="BA685" s="53"/>
      <c r="BB685" s="52"/>
      <c r="BC685" s="52"/>
      <c r="BD685" s="52"/>
      <c r="BE685" s="52"/>
      <c r="BF685" s="83"/>
    </row>
    <row r="686" spans="1:58" ht="16" x14ac:dyDescent="0.35">
      <c r="A686" s="37"/>
      <c r="B686" s="38"/>
      <c r="C686" s="38"/>
      <c r="D686" s="38"/>
      <c r="E686" s="38"/>
      <c r="F686" s="38"/>
      <c r="G686" s="38"/>
      <c r="H686" s="39"/>
      <c r="I686" s="39"/>
      <c r="J686" s="39"/>
      <c r="K686" s="39"/>
      <c r="L686" s="39"/>
      <c r="M686" s="38"/>
      <c r="N686" s="38"/>
      <c r="O686" s="38"/>
      <c r="P686" s="38"/>
      <c r="Q686" s="38"/>
      <c r="R686" s="38"/>
      <c r="S686" s="38"/>
      <c r="T686" s="38"/>
      <c r="U686" s="38"/>
      <c r="V686" s="38"/>
      <c r="W686" s="38"/>
      <c r="X686" s="38"/>
      <c r="Y686" s="39"/>
      <c r="Z686" s="38"/>
      <c r="AA686" s="38"/>
      <c r="AB686" s="40"/>
      <c r="AP686"/>
      <c r="AQ686" s="48"/>
      <c r="AR686" s="48"/>
      <c r="AS686"/>
      <c r="AT686" s="48"/>
      <c r="AU686" s="48"/>
      <c r="AV686"/>
      <c r="AW686" s="49"/>
      <c r="AX686" s="49"/>
      <c r="AY686" s="49"/>
      <c r="AZ686" s="49"/>
      <c r="BA686" s="49"/>
      <c r="BB686" s="48"/>
      <c r="BC686" s="48"/>
      <c r="BD686" s="48"/>
      <c r="BE686" s="48"/>
      <c r="BF686" s="83"/>
    </row>
    <row r="687" spans="1:58" ht="16" x14ac:dyDescent="0.35">
      <c r="A687" s="41"/>
      <c r="B687" s="42"/>
      <c r="C687" s="42"/>
      <c r="D687" s="42"/>
      <c r="E687" s="42"/>
      <c r="F687" s="42"/>
      <c r="G687" s="42"/>
      <c r="H687" s="43"/>
      <c r="I687" s="43"/>
      <c r="J687" s="43"/>
      <c r="K687" s="43"/>
      <c r="L687" s="43"/>
      <c r="M687" s="42"/>
      <c r="N687" s="42"/>
      <c r="O687" s="42"/>
      <c r="P687" s="42"/>
      <c r="Q687" s="42"/>
      <c r="R687" s="42"/>
      <c r="S687" s="42"/>
      <c r="T687" s="42"/>
      <c r="U687" s="42"/>
      <c r="V687" s="42"/>
      <c r="W687" s="42"/>
      <c r="X687" s="42"/>
      <c r="Y687" s="43"/>
      <c r="Z687" s="42"/>
      <c r="AA687" s="42"/>
      <c r="AB687" s="44"/>
      <c r="AP687"/>
      <c r="AQ687" s="52"/>
      <c r="AR687" s="52"/>
      <c r="AS687"/>
      <c r="AT687" s="52"/>
      <c r="AU687" s="52"/>
      <c r="AV687"/>
      <c r="AW687" s="53"/>
      <c r="AX687" s="53"/>
      <c r="AY687" s="53"/>
      <c r="AZ687" s="53"/>
      <c r="BA687" s="53"/>
      <c r="BB687" s="52"/>
      <c r="BC687" s="52"/>
      <c r="BD687" s="52"/>
      <c r="BE687" s="52"/>
      <c r="BF687" s="83"/>
    </row>
    <row r="688" spans="1:58" ht="16" x14ac:dyDescent="0.35">
      <c r="A688" s="37"/>
      <c r="B688" s="38"/>
      <c r="C688" s="38"/>
      <c r="D688" s="38"/>
      <c r="E688" s="38"/>
      <c r="F688" s="38"/>
      <c r="G688" s="38"/>
      <c r="H688" s="39"/>
      <c r="I688" s="39"/>
      <c r="J688" s="39"/>
      <c r="K688" s="39"/>
      <c r="L688" s="39"/>
      <c r="M688" s="38"/>
      <c r="N688" s="38"/>
      <c r="O688" s="38"/>
      <c r="P688" s="38"/>
      <c r="Q688" s="38"/>
      <c r="R688" s="38"/>
      <c r="S688" s="38"/>
      <c r="T688" s="38"/>
      <c r="U688" s="38"/>
      <c r="V688" s="38"/>
      <c r="W688" s="38"/>
      <c r="X688" s="38"/>
      <c r="Y688" s="39"/>
      <c r="Z688" s="38"/>
      <c r="AA688" s="38"/>
      <c r="AB688" s="40"/>
      <c r="AP688"/>
      <c r="AQ688" s="48"/>
      <c r="AR688" s="48"/>
      <c r="AS688"/>
      <c r="AT688" s="48"/>
      <c r="AU688" s="48"/>
      <c r="AV688"/>
      <c r="AW688" s="49"/>
      <c r="AX688" s="49"/>
      <c r="AY688" s="49"/>
      <c r="AZ688" s="49"/>
      <c r="BA688" s="49"/>
      <c r="BB688" s="48"/>
      <c r="BC688" s="48"/>
      <c r="BD688" s="48"/>
      <c r="BE688" s="48"/>
      <c r="BF688" s="83"/>
    </row>
    <row r="689" spans="1:58" ht="16" x14ac:dyDescent="0.35">
      <c r="A689" s="41"/>
      <c r="B689" s="42"/>
      <c r="C689" s="42"/>
      <c r="D689" s="42"/>
      <c r="E689" s="42"/>
      <c r="F689" s="42"/>
      <c r="G689" s="42"/>
      <c r="H689" s="43"/>
      <c r="I689" s="43"/>
      <c r="J689" s="43"/>
      <c r="K689" s="43"/>
      <c r="L689" s="43"/>
      <c r="M689" s="42"/>
      <c r="N689" s="42"/>
      <c r="O689" s="42"/>
      <c r="P689" s="42"/>
      <c r="Q689" s="42"/>
      <c r="R689" s="42"/>
      <c r="S689" s="42"/>
      <c r="T689" s="42"/>
      <c r="U689" s="42"/>
      <c r="V689" s="42"/>
      <c r="W689" s="42"/>
      <c r="X689" s="42"/>
      <c r="Y689" s="43"/>
      <c r="Z689" s="42"/>
      <c r="AA689" s="42"/>
      <c r="AB689" s="44"/>
      <c r="AP689"/>
      <c r="AQ689" s="52"/>
      <c r="AR689" s="52"/>
      <c r="AS689"/>
      <c r="AT689" s="52"/>
      <c r="AU689" s="52"/>
      <c r="AV689"/>
      <c r="AW689" s="53"/>
      <c r="AX689" s="53"/>
      <c r="AY689" s="53"/>
      <c r="AZ689" s="53"/>
      <c r="BA689" s="53"/>
      <c r="BB689" s="52"/>
      <c r="BC689" s="52"/>
      <c r="BD689" s="52"/>
      <c r="BE689" s="52"/>
      <c r="BF689" s="83"/>
    </row>
    <row r="690" spans="1:58" ht="16" x14ac:dyDescent="0.35">
      <c r="A690" s="37"/>
      <c r="B690" s="38"/>
      <c r="C690" s="38"/>
      <c r="D690" s="38"/>
      <c r="E690" s="38"/>
      <c r="F690" s="38"/>
      <c r="G690" s="38"/>
      <c r="H690" s="39"/>
      <c r="I690" s="39"/>
      <c r="J690" s="39"/>
      <c r="K690" s="39"/>
      <c r="L690" s="39"/>
      <c r="M690" s="38"/>
      <c r="N690" s="38"/>
      <c r="O690" s="38"/>
      <c r="P690" s="38"/>
      <c r="Q690" s="38"/>
      <c r="R690" s="38"/>
      <c r="S690" s="38"/>
      <c r="T690" s="38"/>
      <c r="U690" s="38"/>
      <c r="V690" s="38"/>
      <c r="W690" s="38"/>
      <c r="X690" s="38"/>
      <c r="Y690" s="39"/>
      <c r="Z690" s="38"/>
      <c r="AA690" s="38"/>
      <c r="AB690" s="40"/>
      <c r="AP690"/>
      <c r="AQ690" s="48"/>
      <c r="AR690" s="48"/>
      <c r="AS690"/>
      <c r="AT690" s="48"/>
      <c r="AU690" s="48"/>
      <c r="AV690"/>
      <c r="AW690" s="49"/>
      <c r="AX690" s="49"/>
      <c r="AY690" s="49"/>
      <c r="AZ690" s="49"/>
      <c r="BA690" s="49"/>
      <c r="BB690" s="48"/>
      <c r="BC690" s="48"/>
      <c r="BD690" s="48"/>
      <c r="BE690" s="48"/>
      <c r="BF690" s="83"/>
    </row>
    <row r="691" spans="1:58" ht="16" x14ac:dyDescent="0.35">
      <c r="A691" s="41"/>
      <c r="B691" s="42"/>
      <c r="C691" s="42"/>
      <c r="D691" s="42"/>
      <c r="E691" s="42"/>
      <c r="F691" s="42"/>
      <c r="G691" s="42"/>
      <c r="H691" s="43"/>
      <c r="I691" s="43"/>
      <c r="J691" s="43"/>
      <c r="K691" s="43"/>
      <c r="L691" s="43"/>
      <c r="M691" s="42"/>
      <c r="N691" s="42"/>
      <c r="O691" s="42"/>
      <c r="P691" s="42"/>
      <c r="Q691" s="42"/>
      <c r="R691" s="42"/>
      <c r="S691" s="42"/>
      <c r="T691" s="42"/>
      <c r="U691" s="42"/>
      <c r="V691" s="42"/>
      <c r="W691" s="42"/>
      <c r="X691" s="42"/>
      <c r="Y691" s="43"/>
      <c r="Z691" s="42"/>
      <c r="AA691" s="42"/>
      <c r="AB691" s="44"/>
      <c r="AP691"/>
      <c r="AQ691" s="52"/>
      <c r="AR691" s="52"/>
      <c r="AS691"/>
      <c r="AT691" s="52"/>
      <c r="AU691" s="52"/>
      <c r="AV691"/>
      <c r="AW691" s="53"/>
      <c r="AX691" s="53"/>
      <c r="AY691" s="53"/>
      <c r="AZ691" s="53"/>
      <c r="BA691" s="53"/>
      <c r="BB691" s="52"/>
      <c r="BC691" s="52"/>
      <c r="BD691" s="52"/>
      <c r="BE691" s="52"/>
      <c r="BF691" s="83"/>
    </row>
    <row r="692" spans="1:58" ht="16" x14ac:dyDescent="0.35">
      <c r="A692" s="37"/>
      <c r="B692" s="38"/>
      <c r="C692" s="38"/>
      <c r="D692" s="38"/>
      <c r="E692" s="38"/>
      <c r="F692" s="38"/>
      <c r="G692" s="38"/>
      <c r="H692" s="39"/>
      <c r="I692" s="39"/>
      <c r="J692" s="39"/>
      <c r="K692" s="39"/>
      <c r="L692" s="39"/>
      <c r="M692" s="38"/>
      <c r="N692" s="38"/>
      <c r="O692" s="38"/>
      <c r="P692" s="38"/>
      <c r="Q692" s="38"/>
      <c r="R692" s="38"/>
      <c r="S692" s="38"/>
      <c r="T692" s="38"/>
      <c r="U692" s="38"/>
      <c r="V692" s="38"/>
      <c r="W692" s="38"/>
      <c r="X692" s="38"/>
      <c r="Y692" s="39"/>
      <c r="Z692" s="38"/>
      <c r="AA692" s="38"/>
      <c r="AB692" s="40"/>
      <c r="AP692"/>
      <c r="AQ692" s="48"/>
      <c r="AR692" s="48"/>
      <c r="AS692"/>
      <c r="AT692" s="48"/>
      <c r="AU692" s="48"/>
      <c r="AV692"/>
      <c r="AW692" s="49"/>
      <c r="AX692" s="49"/>
      <c r="AY692" s="49"/>
      <c r="AZ692" s="49"/>
      <c r="BA692" s="49"/>
      <c r="BB692" s="48"/>
      <c r="BC692" s="48"/>
      <c r="BD692" s="48"/>
      <c r="BE692" s="48"/>
      <c r="BF692" s="83"/>
    </row>
    <row r="693" spans="1:58" ht="16" x14ac:dyDescent="0.35">
      <c r="A693" s="41"/>
      <c r="B693" s="42"/>
      <c r="C693" s="42"/>
      <c r="D693" s="42"/>
      <c r="E693" s="42"/>
      <c r="F693" s="42"/>
      <c r="G693" s="42"/>
      <c r="H693" s="43"/>
      <c r="I693" s="43"/>
      <c r="J693" s="43"/>
      <c r="K693" s="43"/>
      <c r="L693" s="43"/>
      <c r="M693" s="42"/>
      <c r="N693" s="42"/>
      <c r="O693" s="42"/>
      <c r="P693" s="42"/>
      <c r="Q693" s="42"/>
      <c r="R693" s="42"/>
      <c r="S693" s="42"/>
      <c r="T693" s="42"/>
      <c r="U693" s="42"/>
      <c r="V693" s="42"/>
      <c r="W693" s="42"/>
      <c r="X693" s="42"/>
      <c r="Y693" s="43"/>
      <c r="Z693" s="42"/>
      <c r="AA693" s="42"/>
      <c r="AB693" s="44"/>
      <c r="AP693"/>
      <c r="AQ693" s="52"/>
      <c r="AR693" s="52"/>
      <c r="AS693"/>
      <c r="AT693" s="52"/>
      <c r="AU693" s="52"/>
      <c r="AV693"/>
      <c r="AW693" s="53"/>
      <c r="AX693" s="53"/>
      <c r="AY693" s="53"/>
      <c r="AZ693" s="53"/>
      <c r="BA693" s="53"/>
      <c r="BB693" s="52"/>
      <c r="BC693" s="52"/>
      <c r="BD693" s="52"/>
      <c r="BE693" s="52"/>
      <c r="BF693" s="83"/>
    </row>
    <row r="694" spans="1:58" ht="16" x14ac:dyDescent="0.35">
      <c r="A694" s="37"/>
      <c r="B694" s="38"/>
      <c r="C694" s="38"/>
      <c r="D694" s="38"/>
      <c r="E694" s="38"/>
      <c r="F694" s="38"/>
      <c r="G694" s="38"/>
      <c r="H694" s="39"/>
      <c r="I694" s="39"/>
      <c r="J694" s="39"/>
      <c r="K694" s="39"/>
      <c r="L694" s="39"/>
      <c r="M694" s="38"/>
      <c r="N694" s="38"/>
      <c r="O694" s="38"/>
      <c r="P694" s="38"/>
      <c r="Q694" s="38"/>
      <c r="R694" s="38"/>
      <c r="S694" s="38"/>
      <c r="T694" s="38"/>
      <c r="U694" s="38"/>
      <c r="V694" s="38"/>
      <c r="W694" s="38"/>
      <c r="X694" s="38"/>
      <c r="Y694" s="39"/>
      <c r="Z694" s="38"/>
      <c r="AA694" s="38"/>
      <c r="AB694" s="40"/>
      <c r="AP694"/>
      <c r="AQ694" s="48"/>
      <c r="AR694" s="48"/>
      <c r="AS694"/>
      <c r="AT694" s="48"/>
      <c r="AU694" s="48"/>
      <c r="AV694"/>
      <c r="AW694" s="49"/>
      <c r="AX694" s="49"/>
      <c r="AY694" s="49"/>
      <c r="AZ694" s="49"/>
      <c r="BA694" s="49"/>
      <c r="BB694" s="48"/>
      <c r="BC694" s="48"/>
      <c r="BD694" s="48"/>
      <c r="BE694" s="48"/>
      <c r="BF694" s="83"/>
    </row>
    <row r="695" spans="1:58" ht="16" x14ac:dyDescent="0.35">
      <c r="A695" s="41"/>
      <c r="B695" s="42"/>
      <c r="C695" s="42"/>
      <c r="D695" s="42"/>
      <c r="E695" s="42"/>
      <c r="F695" s="42"/>
      <c r="G695" s="42"/>
      <c r="H695" s="43"/>
      <c r="I695" s="43"/>
      <c r="J695" s="43"/>
      <c r="K695" s="43"/>
      <c r="L695" s="43"/>
      <c r="M695" s="42"/>
      <c r="N695" s="42"/>
      <c r="O695" s="42"/>
      <c r="P695" s="42"/>
      <c r="Q695" s="42"/>
      <c r="R695" s="42"/>
      <c r="S695" s="42"/>
      <c r="T695" s="42"/>
      <c r="U695" s="42"/>
      <c r="V695" s="42"/>
      <c r="W695" s="42"/>
      <c r="X695" s="42"/>
      <c r="Y695" s="43"/>
      <c r="Z695" s="42"/>
      <c r="AA695" s="42"/>
      <c r="AB695" s="44"/>
      <c r="AP695"/>
      <c r="AQ695" s="52"/>
      <c r="AR695" s="52"/>
      <c r="AS695"/>
      <c r="AT695" s="52"/>
      <c r="AU695" s="52"/>
      <c r="AV695"/>
      <c r="AW695" s="53"/>
      <c r="AX695" s="53"/>
      <c r="AY695" s="53"/>
      <c r="AZ695" s="53"/>
      <c r="BA695" s="53"/>
      <c r="BB695" s="52"/>
      <c r="BC695" s="52"/>
      <c r="BD695" s="52"/>
      <c r="BE695" s="52"/>
      <c r="BF695" s="83"/>
    </row>
    <row r="696" spans="1:58" ht="16" x14ac:dyDescent="0.35">
      <c r="A696" s="37"/>
      <c r="B696" s="38"/>
      <c r="C696" s="38"/>
      <c r="D696" s="38"/>
      <c r="E696" s="38"/>
      <c r="F696" s="38"/>
      <c r="G696" s="38"/>
      <c r="H696" s="39"/>
      <c r="I696" s="39"/>
      <c r="J696" s="39"/>
      <c r="K696" s="39"/>
      <c r="L696" s="39"/>
      <c r="M696" s="38"/>
      <c r="N696" s="38"/>
      <c r="O696" s="38"/>
      <c r="P696" s="38"/>
      <c r="Q696" s="38"/>
      <c r="R696" s="38"/>
      <c r="S696" s="38"/>
      <c r="T696" s="38"/>
      <c r="U696" s="38"/>
      <c r="V696" s="38"/>
      <c r="W696" s="38"/>
      <c r="X696" s="38"/>
      <c r="Y696" s="39"/>
      <c r="Z696" s="38"/>
      <c r="AA696" s="38"/>
      <c r="AB696" s="40"/>
      <c r="AP696"/>
      <c r="AQ696" s="48"/>
      <c r="AR696" s="48"/>
      <c r="AS696"/>
      <c r="AT696" s="48"/>
      <c r="AU696" s="48"/>
      <c r="AV696"/>
      <c r="AW696" s="49"/>
      <c r="AX696" s="49"/>
      <c r="AY696" s="49"/>
      <c r="AZ696" s="49"/>
      <c r="BA696" s="49"/>
      <c r="BB696" s="48"/>
      <c r="BC696" s="48"/>
      <c r="BD696" s="48"/>
      <c r="BE696" s="48"/>
      <c r="BF696" s="83"/>
    </row>
    <row r="697" spans="1:58" ht="16" x14ac:dyDescent="0.35">
      <c r="A697" s="41"/>
      <c r="B697" s="42"/>
      <c r="C697" s="42"/>
      <c r="D697" s="42"/>
      <c r="E697" s="42"/>
      <c r="F697" s="42"/>
      <c r="G697" s="42"/>
      <c r="H697" s="43"/>
      <c r="I697" s="43"/>
      <c r="J697" s="43"/>
      <c r="K697" s="43"/>
      <c r="L697" s="43"/>
      <c r="M697" s="42"/>
      <c r="N697" s="42"/>
      <c r="O697" s="42"/>
      <c r="P697" s="42"/>
      <c r="Q697" s="42"/>
      <c r="R697" s="42"/>
      <c r="S697" s="42"/>
      <c r="T697" s="42"/>
      <c r="U697" s="42"/>
      <c r="V697" s="42"/>
      <c r="W697" s="42"/>
      <c r="X697" s="42"/>
      <c r="Y697" s="43"/>
      <c r="Z697" s="42"/>
      <c r="AA697" s="42"/>
      <c r="AB697" s="44"/>
      <c r="AP697"/>
      <c r="AQ697" s="52"/>
      <c r="AR697" s="52"/>
      <c r="AS697"/>
      <c r="AT697" s="52"/>
      <c r="AU697" s="52"/>
      <c r="AV697"/>
      <c r="AW697" s="53"/>
      <c r="AX697" s="53"/>
      <c r="AY697" s="53"/>
      <c r="AZ697" s="53"/>
      <c r="BA697" s="53"/>
      <c r="BB697" s="52"/>
      <c r="BC697" s="52"/>
      <c r="BD697" s="52"/>
      <c r="BE697" s="52"/>
      <c r="BF697" s="83"/>
    </row>
    <row r="698" spans="1:58" ht="16" x14ac:dyDescent="0.35">
      <c r="A698" s="37"/>
      <c r="B698" s="38"/>
      <c r="C698" s="38"/>
      <c r="D698" s="38"/>
      <c r="E698" s="38"/>
      <c r="F698" s="38"/>
      <c r="G698" s="38"/>
      <c r="H698" s="39"/>
      <c r="I698" s="39"/>
      <c r="J698" s="39"/>
      <c r="K698" s="39"/>
      <c r="L698" s="39"/>
      <c r="M698" s="38"/>
      <c r="N698" s="38"/>
      <c r="O698" s="38"/>
      <c r="P698" s="38"/>
      <c r="Q698" s="38"/>
      <c r="R698" s="38"/>
      <c r="S698" s="38"/>
      <c r="T698" s="38"/>
      <c r="U698" s="38"/>
      <c r="V698" s="38"/>
      <c r="W698" s="38"/>
      <c r="X698" s="38"/>
      <c r="Y698" s="39"/>
      <c r="Z698" s="38"/>
      <c r="AA698" s="38"/>
      <c r="AB698" s="40"/>
      <c r="AP698"/>
      <c r="AQ698" s="48"/>
      <c r="AR698" s="48"/>
      <c r="AS698"/>
      <c r="AT698" s="48"/>
      <c r="AU698" s="48"/>
      <c r="AV698"/>
      <c r="AW698" s="49"/>
      <c r="AX698" s="49"/>
      <c r="AY698" s="49"/>
      <c r="AZ698" s="49"/>
      <c r="BA698" s="49"/>
      <c r="BB698" s="48"/>
      <c r="BC698" s="48"/>
      <c r="BD698" s="48"/>
      <c r="BE698" s="48"/>
      <c r="BF698" s="83"/>
    </row>
    <row r="699" spans="1:58" ht="16" x14ac:dyDescent="0.35">
      <c r="A699" s="41"/>
      <c r="B699" s="42"/>
      <c r="C699" s="42"/>
      <c r="D699" s="42"/>
      <c r="E699" s="42"/>
      <c r="F699" s="42"/>
      <c r="G699" s="42"/>
      <c r="H699" s="43"/>
      <c r="I699" s="43"/>
      <c r="J699" s="43"/>
      <c r="K699" s="43"/>
      <c r="L699" s="43"/>
      <c r="M699" s="42"/>
      <c r="N699" s="42"/>
      <c r="O699" s="42"/>
      <c r="P699" s="42"/>
      <c r="Q699" s="42"/>
      <c r="R699" s="42"/>
      <c r="S699" s="42"/>
      <c r="T699" s="42"/>
      <c r="U699" s="42"/>
      <c r="V699" s="42"/>
      <c r="W699" s="42"/>
      <c r="X699" s="42"/>
      <c r="Y699" s="43"/>
      <c r="Z699" s="42"/>
      <c r="AA699" s="42"/>
      <c r="AB699" s="44"/>
      <c r="AP699"/>
      <c r="AQ699" s="52"/>
      <c r="AR699" s="52"/>
      <c r="AS699"/>
      <c r="AT699" s="52"/>
      <c r="AU699" s="52"/>
      <c r="AV699"/>
      <c r="AW699" s="53"/>
      <c r="AX699" s="53"/>
      <c r="AY699" s="53"/>
      <c r="AZ699" s="53"/>
      <c r="BA699" s="53"/>
      <c r="BB699" s="52"/>
      <c r="BC699" s="52"/>
      <c r="BD699" s="52"/>
      <c r="BE699" s="52"/>
      <c r="BF699" s="83"/>
    </row>
    <row r="700" spans="1:58" ht="16" x14ac:dyDescent="0.35">
      <c r="A700" s="37"/>
      <c r="B700" s="38"/>
      <c r="C700" s="38"/>
      <c r="D700" s="38"/>
      <c r="E700" s="38"/>
      <c r="F700" s="38"/>
      <c r="G700" s="38"/>
      <c r="H700" s="39"/>
      <c r="I700" s="39"/>
      <c r="J700" s="39"/>
      <c r="K700" s="39"/>
      <c r="L700" s="39"/>
      <c r="M700" s="38"/>
      <c r="N700" s="38"/>
      <c r="O700" s="38"/>
      <c r="P700" s="38"/>
      <c r="Q700" s="38"/>
      <c r="R700" s="38"/>
      <c r="S700" s="38"/>
      <c r="T700" s="38"/>
      <c r="U700" s="38"/>
      <c r="V700" s="38"/>
      <c r="W700" s="38"/>
      <c r="X700" s="38"/>
      <c r="Y700" s="39"/>
      <c r="Z700" s="38"/>
      <c r="AA700" s="38"/>
      <c r="AB700" s="40"/>
      <c r="AP700"/>
      <c r="AQ700" s="48"/>
      <c r="AR700" s="48"/>
      <c r="AS700"/>
      <c r="AT700" s="48"/>
      <c r="AU700" s="48"/>
      <c r="AV700"/>
      <c r="AW700" s="49"/>
      <c r="AX700" s="49"/>
      <c r="AY700" s="49"/>
      <c r="AZ700" s="49"/>
      <c r="BA700" s="49"/>
      <c r="BB700" s="48"/>
      <c r="BC700" s="48"/>
      <c r="BD700" s="48"/>
      <c r="BE700" s="48"/>
      <c r="BF700" s="83"/>
    </row>
    <row r="701" spans="1:58" ht="16" x14ac:dyDescent="0.35">
      <c r="A701" s="41"/>
      <c r="B701" s="42"/>
      <c r="C701" s="42"/>
      <c r="D701" s="42"/>
      <c r="E701" s="42"/>
      <c r="F701" s="42"/>
      <c r="G701" s="42"/>
      <c r="H701" s="43"/>
      <c r="I701" s="43"/>
      <c r="J701" s="43"/>
      <c r="K701" s="43"/>
      <c r="L701" s="43"/>
      <c r="M701" s="42"/>
      <c r="N701" s="42"/>
      <c r="O701" s="42"/>
      <c r="P701" s="42"/>
      <c r="Q701" s="42"/>
      <c r="R701" s="42"/>
      <c r="S701" s="42"/>
      <c r="T701" s="42"/>
      <c r="U701" s="42"/>
      <c r="V701" s="42"/>
      <c r="W701" s="42"/>
      <c r="X701" s="42"/>
      <c r="Y701" s="43"/>
      <c r="Z701" s="42"/>
      <c r="AA701" s="42"/>
      <c r="AB701" s="44"/>
      <c r="AP701"/>
      <c r="AQ701" s="52"/>
      <c r="AR701" s="52"/>
      <c r="AS701"/>
      <c r="AT701" s="52"/>
      <c r="AU701" s="52"/>
      <c r="AV701"/>
      <c r="AW701" s="53"/>
      <c r="AX701" s="53"/>
      <c r="AY701" s="53"/>
      <c r="AZ701" s="53"/>
      <c r="BA701" s="53"/>
      <c r="BB701" s="52"/>
      <c r="BC701" s="52"/>
      <c r="BD701" s="52"/>
      <c r="BE701" s="52"/>
      <c r="BF701" s="83"/>
    </row>
    <row r="702" spans="1:58" ht="16" x14ac:dyDescent="0.35">
      <c r="A702" s="37"/>
      <c r="B702" s="38"/>
      <c r="C702" s="38"/>
      <c r="D702" s="38"/>
      <c r="E702" s="38"/>
      <c r="F702" s="38"/>
      <c r="G702" s="38"/>
      <c r="H702" s="39"/>
      <c r="I702" s="39"/>
      <c r="J702" s="39"/>
      <c r="K702" s="39"/>
      <c r="L702" s="39"/>
      <c r="M702" s="38"/>
      <c r="N702" s="38"/>
      <c r="O702" s="38"/>
      <c r="P702" s="38"/>
      <c r="Q702" s="38"/>
      <c r="R702" s="38"/>
      <c r="S702" s="38"/>
      <c r="T702" s="38"/>
      <c r="U702" s="38"/>
      <c r="V702" s="38"/>
      <c r="W702" s="38"/>
      <c r="X702" s="38"/>
      <c r="Y702" s="39"/>
      <c r="Z702" s="38"/>
      <c r="AA702" s="38"/>
      <c r="AB702" s="40"/>
      <c r="AP702"/>
      <c r="AQ702" s="48"/>
      <c r="AR702" s="48"/>
      <c r="AS702"/>
      <c r="AT702" s="48"/>
      <c r="AU702" s="48"/>
      <c r="AV702"/>
      <c r="AW702" s="49"/>
      <c r="AX702" s="49"/>
      <c r="AY702" s="49"/>
      <c r="AZ702" s="49"/>
      <c r="BA702" s="49"/>
      <c r="BB702" s="48"/>
      <c r="BC702" s="48"/>
      <c r="BD702" s="48"/>
      <c r="BE702" s="48"/>
      <c r="BF702" s="83"/>
    </row>
    <row r="703" spans="1:58" ht="16" x14ac:dyDescent="0.35">
      <c r="A703" s="41"/>
      <c r="B703" s="42"/>
      <c r="C703" s="42"/>
      <c r="D703" s="42"/>
      <c r="E703" s="42"/>
      <c r="F703" s="42"/>
      <c r="G703" s="42"/>
      <c r="H703" s="43"/>
      <c r="I703" s="43"/>
      <c r="J703" s="43"/>
      <c r="K703" s="43"/>
      <c r="L703" s="43"/>
      <c r="M703" s="42"/>
      <c r="N703" s="42"/>
      <c r="O703" s="42"/>
      <c r="P703" s="42"/>
      <c r="Q703" s="42"/>
      <c r="R703" s="42"/>
      <c r="S703" s="42"/>
      <c r="T703" s="42"/>
      <c r="U703" s="42"/>
      <c r="V703" s="42"/>
      <c r="W703" s="42"/>
      <c r="X703" s="42"/>
      <c r="Y703" s="43"/>
      <c r="Z703" s="42"/>
      <c r="AA703" s="42"/>
      <c r="AB703" s="44"/>
      <c r="AP703"/>
      <c r="AQ703" s="52"/>
      <c r="AR703" s="52"/>
      <c r="AS703"/>
      <c r="AT703" s="52"/>
      <c r="AU703" s="52"/>
      <c r="AV703"/>
      <c r="AW703" s="53"/>
      <c r="AX703" s="53"/>
      <c r="AY703" s="53"/>
      <c r="AZ703" s="53"/>
      <c r="BA703" s="53"/>
      <c r="BB703" s="52"/>
      <c r="BC703" s="52"/>
      <c r="BD703" s="52"/>
      <c r="BE703" s="52"/>
      <c r="BF703" s="83"/>
    </row>
    <row r="704" spans="1:58" ht="16" x14ac:dyDescent="0.35">
      <c r="A704" s="37"/>
      <c r="B704" s="38"/>
      <c r="C704" s="38"/>
      <c r="D704" s="38"/>
      <c r="E704" s="38"/>
      <c r="F704" s="38"/>
      <c r="G704" s="38"/>
      <c r="H704" s="39"/>
      <c r="I704" s="39"/>
      <c r="J704" s="39"/>
      <c r="K704" s="39"/>
      <c r="L704" s="39"/>
      <c r="M704" s="38"/>
      <c r="N704" s="38"/>
      <c r="O704" s="38"/>
      <c r="P704" s="38"/>
      <c r="Q704" s="38"/>
      <c r="R704" s="38"/>
      <c r="S704" s="38"/>
      <c r="T704" s="38"/>
      <c r="U704" s="38"/>
      <c r="V704" s="38"/>
      <c r="W704" s="38"/>
      <c r="X704" s="38"/>
      <c r="Y704" s="39"/>
      <c r="Z704" s="38"/>
      <c r="AA704" s="38"/>
      <c r="AB704" s="40"/>
      <c r="AP704"/>
      <c r="AQ704" s="48"/>
      <c r="AR704" s="48"/>
      <c r="AS704"/>
      <c r="AT704" s="48"/>
      <c r="AU704" s="48"/>
      <c r="AV704"/>
      <c r="AW704" s="49"/>
      <c r="AX704" s="49"/>
      <c r="AY704" s="49"/>
      <c r="AZ704" s="49"/>
      <c r="BA704" s="49"/>
      <c r="BB704" s="48"/>
      <c r="BC704" s="48"/>
      <c r="BD704" s="48"/>
      <c r="BE704" s="48"/>
      <c r="BF704" s="83"/>
    </row>
    <row r="705" spans="1:58" ht="16" x14ac:dyDescent="0.35">
      <c r="A705" s="41"/>
      <c r="B705" s="42"/>
      <c r="C705" s="42"/>
      <c r="D705" s="42"/>
      <c r="E705" s="42"/>
      <c r="F705" s="42"/>
      <c r="G705" s="42"/>
      <c r="H705" s="43"/>
      <c r="I705" s="43"/>
      <c r="J705" s="43"/>
      <c r="K705" s="43"/>
      <c r="L705" s="43"/>
      <c r="M705" s="42"/>
      <c r="N705" s="42"/>
      <c r="O705" s="42"/>
      <c r="P705" s="42"/>
      <c r="Q705" s="42"/>
      <c r="R705" s="42"/>
      <c r="S705" s="42"/>
      <c r="T705" s="42"/>
      <c r="U705" s="42"/>
      <c r="V705" s="42"/>
      <c r="W705" s="42"/>
      <c r="X705" s="42"/>
      <c r="Y705" s="43"/>
      <c r="Z705" s="42"/>
      <c r="AA705" s="42"/>
      <c r="AB705" s="44"/>
      <c r="AP705"/>
      <c r="AQ705" s="52"/>
      <c r="AR705" s="52"/>
      <c r="AS705"/>
      <c r="AT705" s="52"/>
      <c r="AU705" s="52"/>
      <c r="AV705"/>
      <c r="AW705" s="53"/>
      <c r="AX705" s="53"/>
      <c r="AY705" s="53"/>
      <c r="AZ705" s="53"/>
      <c r="BA705" s="53"/>
      <c r="BB705" s="52"/>
      <c r="BC705" s="52"/>
      <c r="BD705" s="52"/>
      <c r="BE705" s="52"/>
      <c r="BF705" s="83"/>
    </row>
    <row r="706" spans="1:58" ht="16" x14ac:dyDescent="0.35">
      <c r="A706" s="37"/>
      <c r="B706" s="38"/>
      <c r="C706" s="38"/>
      <c r="D706" s="38"/>
      <c r="E706" s="38"/>
      <c r="F706" s="38"/>
      <c r="G706" s="38"/>
      <c r="H706" s="39"/>
      <c r="I706" s="39"/>
      <c r="J706" s="39"/>
      <c r="K706" s="39"/>
      <c r="L706" s="39"/>
      <c r="M706" s="38"/>
      <c r="N706" s="38"/>
      <c r="O706" s="38"/>
      <c r="P706" s="38"/>
      <c r="Q706" s="38"/>
      <c r="R706" s="38"/>
      <c r="S706" s="38"/>
      <c r="T706" s="38"/>
      <c r="U706" s="38"/>
      <c r="V706" s="38"/>
      <c r="W706" s="38"/>
      <c r="X706" s="38"/>
      <c r="Y706" s="39"/>
      <c r="Z706" s="38"/>
      <c r="AA706" s="38"/>
      <c r="AB706" s="40"/>
      <c r="AP706"/>
      <c r="AQ706" s="48"/>
      <c r="AR706" s="48"/>
      <c r="AS706"/>
      <c r="AT706" s="48"/>
      <c r="AU706" s="48"/>
      <c r="AV706"/>
      <c r="AW706" s="49"/>
      <c r="AX706" s="49"/>
      <c r="AY706" s="49"/>
      <c r="AZ706" s="49"/>
      <c r="BA706" s="49"/>
      <c r="BB706" s="48"/>
      <c r="BC706" s="48"/>
      <c r="BD706" s="48"/>
      <c r="BE706" s="48"/>
      <c r="BF706" s="83"/>
    </row>
    <row r="707" spans="1:58" ht="16" x14ac:dyDescent="0.35">
      <c r="A707" s="41"/>
      <c r="B707" s="42"/>
      <c r="C707" s="42"/>
      <c r="D707" s="42"/>
      <c r="E707" s="42"/>
      <c r="F707" s="42"/>
      <c r="G707" s="42"/>
      <c r="H707" s="43"/>
      <c r="I707" s="43"/>
      <c r="J707" s="43"/>
      <c r="K707" s="43"/>
      <c r="L707" s="43"/>
      <c r="M707" s="42"/>
      <c r="N707" s="42"/>
      <c r="O707" s="42"/>
      <c r="P707" s="42"/>
      <c r="Q707" s="42"/>
      <c r="R707" s="42"/>
      <c r="S707" s="42"/>
      <c r="T707" s="42"/>
      <c r="U707" s="42"/>
      <c r="V707" s="42"/>
      <c r="W707" s="42"/>
      <c r="X707" s="42"/>
      <c r="Y707" s="43"/>
      <c r="Z707" s="42"/>
      <c r="AA707" s="42"/>
      <c r="AB707" s="44"/>
      <c r="AP707"/>
      <c r="AQ707" s="52"/>
      <c r="AR707" s="52"/>
      <c r="AS707"/>
      <c r="AT707" s="52"/>
      <c r="AU707" s="52"/>
      <c r="AV707"/>
      <c r="AW707" s="53"/>
      <c r="AX707" s="53"/>
      <c r="AY707" s="53"/>
      <c r="AZ707" s="53"/>
      <c r="BA707" s="53"/>
      <c r="BB707" s="52"/>
      <c r="BC707" s="52"/>
      <c r="BD707" s="52"/>
      <c r="BE707" s="52"/>
      <c r="BF707" s="83"/>
    </row>
    <row r="708" spans="1:58" ht="16" x14ac:dyDescent="0.35">
      <c r="A708" s="37"/>
      <c r="B708" s="38"/>
      <c r="C708" s="38"/>
      <c r="D708" s="38"/>
      <c r="E708" s="38"/>
      <c r="F708" s="38"/>
      <c r="G708" s="38"/>
      <c r="H708" s="39"/>
      <c r="I708" s="39"/>
      <c r="J708" s="39"/>
      <c r="K708" s="39"/>
      <c r="L708" s="39"/>
      <c r="M708" s="38"/>
      <c r="N708" s="38"/>
      <c r="O708" s="38"/>
      <c r="P708" s="38"/>
      <c r="Q708" s="38"/>
      <c r="R708" s="38"/>
      <c r="S708" s="38"/>
      <c r="T708" s="38"/>
      <c r="U708" s="38"/>
      <c r="V708" s="38"/>
      <c r="W708" s="38"/>
      <c r="X708" s="38"/>
      <c r="Y708" s="39"/>
      <c r="Z708" s="38"/>
      <c r="AA708" s="38"/>
      <c r="AB708" s="40"/>
      <c r="AP708"/>
      <c r="AQ708" s="48"/>
      <c r="AR708" s="48"/>
      <c r="AS708"/>
      <c r="AT708" s="48"/>
      <c r="AU708" s="48"/>
      <c r="AV708"/>
      <c r="AW708" s="49"/>
      <c r="AX708" s="49"/>
      <c r="AY708" s="49"/>
      <c r="AZ708" s="49"/>
      <c r="BA708" s="49"/>
      <c r="BB708" s="48"/>
      <c r="BC708" s="48"/>
      <c r="BD708" s="48"/>
      <c r="BE708" s="48"/>
      <c r="BF708" s="83"/>
    </row>
    <row r="709" spans="1:58" ht="16" x14ac:dyDescent="0.35">
      <c r="A709" s="41"/>
      <c r="B709" s="42"/>
      <c r="C709" s="42"/>
      <c r="D709" s="42"/>
      <c r="E709" s="42"/>
      <c r="F709" s="42"/>
      <c r="G709" s="42"/>
      <c r="H709" s="43"/>
      <c r="I709" s="43"/>
      <c r="J709" s="43"/>
      <c r="K709" s="43"/>
      <c r="L709" s="43"/>
      <c r="M709" s="42"/>
      <c r="N709" s="42"/>
      <c r="O709" s="42"/>
      <c r="P709" s="42"/>
      <c r="Q709" s="42"/>
      <c r="R709" s="42"/>
      <c r="S709" s="42"/>
      <c r="T709" s="42"/>
      <c r="U709" s="42"/>
      <c r="V709" s="42"/>
      <c r="W709" s="42"/>
      <c r="X709" s="42"/>
      <c r="Y709" s="43"/>
      <c r="Z709" s="42"/>
      <c r="AA709" s="42"/>
      <c r="AB709" s="44"/>
      <c r="AP709"/>
      <c r="AQ709" s="52"/>
      <c r="AR709" s="52"/>
      <c r="AS709"/>
      <c r="AT709" s="52"/>
      <c r="AU709" s="52"/>
      <c r="AV709"/>
      <c r="AW709" s="53"/>
      <c r="AX709" s="53"/>
      <c r="AY709" s="53"/>
      <c r="AZ709" s="53"/>
      <c r="BA709" s="53"/>
      <c r="BB709" s="52"/>
      <c r="BC709" s="52"/>
      <c r="BD709" s="52"/>
      <c r="BE709" s="52"/>
      <c r="BF709" s="83"/>
    </row>
    <row r="710" spans="1:58" ht="16" x14ac:dyDescent="0.35">
      <c r="A710" s="37"/>
      <c r="B710" s="38"/>
      <c r="C710" s="38"/>
      <c r="D710" s="38"/>
      <c r="E710" s="38"/>
      <c r="F710" s="38"/>
      <c r="G710" s="38"/>
      <c r="H710" s="39"/>
      <c r="I710" s="39"/>
      <c r="J710" s="39"/>
      <c r="K710" s="39"/>
      <c r="L710" s="39"/>
      <c r="M710" s="38"/>
      <c r="N710" s="38"/>
      <c r="O710" s="38"/>
      <c r="P710" s="38"/>
      <c r="Q710" s="38"/>
      <c r="R710" s="38"/>
      <c r="S710" s="38"/>
      <c r="T710" s="38"/>
      <c r="U710" s="38"/>
      <c r="V710" s="38"/>
      <c r="W710" s="38"/>
      <c r="X710" s="38"/>
      <c r="Y710" s="39"/>
      <c r="Z710" s="38"/>
      <c r="AA710" s="38"/>
      <c r="AB710" s="40"/>
      <c r="AP710"/>
      <c r="AQ710" s="48"/>
      <c r="AR710" s="48"/>
      <c r="AS710"/>
      <c r="AT710" s="48"/>
      <c r="AU710" s="48"/>
      <c r="AV710"/>
      <c r="AW710" s="49"/>
      <c r="AX710" s="49"/>
      <c r="AY710" s="49"/>
      <c r="AZ710" s="49"/>
      <c r="BA710" s="49"/>
      <c r="BB710" s="48"/>
      <c r="BC710" s="48"/>
      <c r="BD710" s="48"/>
      <c r="BE710" s="48"/>
      <c r="BF710" s="83"/>
    </row>
    <row r="711" spans="1:58" ht="16" x14ac:dyDescent="0.35">
      <c r="A711" s="41"/>
      <c r="B711" s="42"/>
      <c r="C711" s="42"/>
      <c r="D711" s="42"/>
      <c r="E711" s="42"/>
      <c r="F711" s="42"/>
      <c r="G711" s="42"/>
      <c r="H711" s="43"/>
      <c r="I711" s="43"/>
      <c r="J711" s="43"/>
      <c r="K711" s="43"/>
      <c r="L711" s="43"/>
      <c r="M711" s="42"/>
      <c r="N711" s="42"/>
      <c r="O711" s="42"/>
      <c r="P711" s="42"/>
      <c r="Q711" s="42"/>
      <c r="R711" s="42"/>
      <c r="S711" s="42"/>
      <c r="T711" s="42"/>
      <c r="U711" s="42"/>
      <c r="V711" s="42"/>
      <c r="W711" s="42"/>
      <c r="X711" s="42"/>
      <c r="Y711" s="43"/>
      <c r="Z711" s="42"/>
      <c r="AA711" s="42"/>
      <c r="AB711" s="44"/>
      <c r="AP711"/>
      <c r="AQ711" s="52"/>
      <c r="AR711" s="52"/>
      <c r="AS711"/>
      <c r="AT711" s="52"/>
      <c r="AU711" s="52"/>
      <c r="AV711"/>
      <c r="AW711" s="53"/>
      <c r="AX711" s="53"/>
      <c r="AY711" s="53"/>
      <c r="AZ711" s="53"/>
      <c r="BA711" s="53"/>
      <c r="BB711" s="52"/>
      <c r="BC711" s="52"/>
      <c r="BD711" s="52"/>
      <c r="BE711" s="52"/>
      <c r="BF711" s="83"/>
    </row>
    <row r="712" spans="1:58" ht="16" x14ac:dyDescent="0.35">
      <c r="A712" s="37"/>
      <c r="B712" s="38"/>
      <c r="C712" s="38"/>
      <c r="D712" s="38"/>
      <c r="E712" s="38"/>
      <c r="F712" s="38"/>
      <c r="G712" s="38"/>
      <c r="H712" s="39"/>
      <c r="I712" s="39"/>
      <c r="J712" s="39"/>
      <c r="K712" s="39"/>
      <c r="L712" s="39"/>
      <c r="M712" s="38"/>
      <c r="N712" s="38"/>
      <c r="O712" s="38"/>
      <c r="P712" s="38"/>
      <c r="Q712" s="38"/>
      <c r="R712" s="38"/>
      <c r="S712" s="38"/>
      <c r="T712" s="38"/>
      <c r="U712" s="38"/>
      <c r="V712" s="38"/>
      <c r="W712" s="38"/>
      <c r="X712" s="38"/>
      <c r="Y712" s="39"/>
      <c r="Z712" s="38"/>
      <c r="AA712" s="38"/>
      <c r="AB712" s="40"/>
      <c r="AP712"/>
      <c r="AQ712" s="48"/>
      <c r="AR712" s="48"/>
      <c r="AS712"/>
      <c r="AT712" s="48"/>
      <c r="AU712" s="48"/>
      <c r="AV712"/>
      <c r="AW712" s="49"/>
      <c r="AX712" s="49"/>
      <c r="AY712" s="49"/>
      <c r="AZ712" s="49"/>
      <c r="BA712" s="49"/>
      <c r="BB712" s="48"/>
      <c r="BC712" s="48"/>
      <c r="BD712" s="48"/>
      <c r="BE712" s="48"/>
      <c r="BF712" s="83"/>
    </row>
    <row r="713" spans="1:58" ht="16" x14ac:dyDescent="0.35">
      <c r="A713" s="41"/>
      <c r="B713" s="42"/>
      <c r="C713" s="42"/>
      <c r="D713" s="42"/>
      <c r="E713" s="42"/>
      <c r="F713" s="42"/>
      <c r="G713" s="42"/>
      <c r="H713" s="43"/>
      <c r="I713" s="43"/>
      <c r="J713" s="43"/>
      <c r="K713" s="43"/>
      <c r="L713" s="43"/>
      <c r="M713" s="42"/>
      <c r="N713" s="42"/>
      <c r="O713" s="42"/>
      <c r="P713" s="42"/>
      <c r="Q713" s="42"/>
      <c r="R713" s="42"/>
      <c r="S713" s="42"/>
      <c r="T713" s="42"/>
      <c r="U713" s="42"/>
      <c r="V713" s="42"/>
      <c r="W713" s="42"/>
      <c r="X713" s="42"/>
      <c r="Y713" s="43"/>
      <c r="Z713" s="42"/>
      <c r="AA713" s="42"/>
      <c r="AB713" s="44"/>
      <c r="AP713"/>
      <c r="AQ713" s="52"/>
      <c r="AR713" s="52"/>
      <c r="AS713"/>
      <c r="AT713" s="52"/>
      <c r="AU713" s="52"/>
      <c r="AV713"/>
      <c r="AW713" s="53"/>
      <c r="AX713" s="53"/>
      <c r="AY713" s="53"/>
      <c r="AZ713" s="53"/>
      <c r="BA713" s="53"/>
      <c r="BB713" s="52"/>
      <c r="BC713" s="52"/>
      <c r="BD713" s="52"/>
      <c r="BE713" s="52"/>
      <c r="BF713" s="83"/>
    </row>
    <row r="714" spans="1:58" ht="16" x14ac:dyDescent="0.35">
      <c r="A714" s="37"/>
      <c r="B714" s="38"/>
      <c r="C714" s="38"/>
      <c r="D714" s="38"/>
      <c r="E714" s="38"/>
      <c r="F714" s="38"/>
      <c r="G714" s="38"/>
      <c r="H714" s="39"/>
      <c r="I714" s="39"/>
      <c r="J714" s="39"/>
      <c r="K714" s="39"/>
      <c r="L714" s="39"/>
      <c r="M714" s="38"/>
      <c r="N714" s="38"/>
      <c r="O714" s="38"/>
      <c r="P714" s="38"/>
      <c r="Q714" s="38"/>
      <c r="R714" s="38"/>
      <c r="S714" s="38"/>
      <c r="T714" s="38"/>
      <c r="U714" s="38"/>
      <c r="V714" s="38"/>
      <c r="W714" s="38"/>
      <c r="X714" s="38"/>
      <c r="Y714" s="39"/>
      <c r="Z714" s="38"/>
      <c r="AA714" s="38"/>
      <c r="AB714" s="40"/>
      <c r="AP714"/>
      <c r="AQ714" s="48"/>
      <c r="AR714" s="48"/>
      <c r="AS714"/>
      <c r="AT714" s="48"/>
      <c r="AU714" s="48"/>
      <c r="AV714"/>
      <c r="AW714" s="49"/>
      <c r="AX714" s="49"/>
      <c r="AY714" s="49"/>
      <c r="AZ714" s="49"/>
      <c r="BA714" s="49"/>
      <c r="BB714" s="48"/>
      <c r="BC714" s="48"/>
      <c r="BD714" s="48"/>
      <c r="BE714" s="48"/>
      <c r="BF714" s="83"/>
    </row>
    <row r="715" spans="1:58" ht="16" x14ac:dyDescent="0.35">
      <c r="A715" s="41"/>
      <c r="B715" s="42"/>
      <c r="C715" s="42"/>
      <c r="D715" s="42"/>
      <c r="E715" s="42"/>
      <c r="F715" s="42"/>
      <c r="G715" s="42"/>
      <c r="H715" s="43"/>
      <c r="I715" s="43"/>
      <c r="J715" s="43"/>
      <c r="K715" s="43"/>
      <c r="L715" s="43"/>
      <c r="M715" s="42"/>
      <c r="N715" s="42"/>
      <c r="O715" s="42"/>
      <c r="P715" s="42"/>
      <c r="Q715" s="42"/>
      <c r="R715" s="42"/>
      <c r="S715" s="42"/>
      <c r="T715" s="42"/>
      <c r="U715" s="42"/>
      <c r="V715" s="42"/>
      <c r="W715" s="42"/>
      <c r="X715" s="42"/>
      <c r="Y715" s="43"/>
      <c r="Z715" s="42"/>
      <c r="AA715" s="42"/>
      <c r="AB715" s="44"/>
      <c r="AP715"/>
      <c r="AQ715" s="52"/>
      <c r="AR715" s="52"/>
      <c r="AS715"/>
      <c r="AT715" s="52"/>
      <c r="AU715" s="52"/>
      <c r="AV715"/>
      <c r="AW715" s="53"/>
      <c r="AX715" s="53"/>
      <c r="AY715" s="53"/>
      <c r="AZ715" s="53"/>
      <c r="BA715" s="53"/>
      <c r="BB715" s="52"/>
      <c r="BC715" s="52"/>
      <c r="BD715" s="52"/>
      <c r="BE715" s="52"/>
      <c r="BF715" s="83"/>
    </row>
    <row r="716" spans="1:58" ht="16" x14ac:dyDescent="0.35">
      <c r="A716" s="37"/>
      <c r="B716" s="38"/>
      <c r="C716" s="38"/>
      <c r="D716" s="38"/>
      <c r="E716" s="38"/>
      <c r="F716" s="38"/>
      <c r="G716" s="38"/>
      <c r="H716" s="39"/>
      <c r="I716" s="39"/>
      <c r="J716" s="39"/>
      <c r="K716" s="39"/>
      <c r="L716" s="39"/>
      <c r="M716" s="38"/>
      <c r="N716" s="38"/>
      <c r="O716" s="38"/>
      <c r="P716" s="38"/>
      <c r="Q716" s="38"/>
      <c r="R716" s="38"/>
      <c r="S716" s="38"/>
      <c r="T716" s="38"/>
      <c r="U716" s="38"/>
      <c r="V716" s="38"/>
      <c r="W716" s="38"/>
      <c r="X716" s="38"/>
      <c r="Y716" s="39"/>
      <c r="Z716" s="38"/>
      <c r="AA716" s="38"/>
      <c r="AB716" s="40"/>
      <c r="AP716"/>
      <c r="AQ716" s="48"/>
      <c r="AR716" s="48"/>
      <c r="AS716"/>
      <c r="AT716" s="48"/>
      <c r="AU716" s="48"/>
      <c r="AV716"/>
      <c r="AW716" s="49"/>
      <c r="AX716" s="49"/>
      <c r="AY716" s="49"/>
      <c r="AZ716" s="49"/>
      <c r="BA716" s="49"/>
      <c r="BB716" s="48"/>
      <c r="BC716" s="48"/>
      <c r="BD716" s="48"/>
      <c r="BE716" s="48"/>
      <c r="BF716" s="83"/>
    </row>
    <row r="717" spans="1:58" ht="16" x14ac:dyDescent="0.35">
      <c r="A717" s="41"/>
      <c r="B717" s="42"/>
      <c r="C717" s="42"/>
      <c r="D717" s="42"/>
      <c r="E717" s="42"/>
      <c r="F717" s="42"/>
      <c r="G717" s="42"/>
      <c r="H717" s="43"/>
      <c r="I717" s="43"/>
      <c r="J717" s="43"/>
      <c r="K717" s="43"/>
      <c r="L717" s="43"/>
      <c r="M717" s="42"/>
      <c r="N717" s="42"/>
      <c r="O717" s="42"/>
      <c r="P717" s="42"/>
      <c r="Q717" s="42"/>
      <c r="R717" s="42"/>
      <c r="S717" s="42"/>
      <c r="T717" s="42"/>
      <c r="U717" s="42"/>
      <c r="V717" s="42"/>
      <c r="W717" s="42"/>
      <c r="X717" s="42"/>
      <c r="Y717" s="43"/>
      <c r="Z717" s="42"/>
      <c r="AA717" s="42"/>
      <c r="AB717" s="44"/>
      <c r="AP717"/>
      <c r="AQ717" s="52"/>
      <c r="AR717" s="52"/>
      <c r="AS717"/>
      <c r="AT717" s="52"/>
      <c r="AU717" s="52"/>
      <c r="AV717"/>
      <c r="AW717" s="53"/>
      <c r="AX717" s="53"/>
      <c r="AY717" s="53"/>
      <c r="AZ717" s="53"/>
      <c r="BA717" s="53"/>
      <c r="BB717" s="52"/>
      <c r="BC717" s="52"/>
      <c r="BD717" s="52"/>
      <c r="BE717" s="52"/>
      <c r="BF717" s="83"/>
    </row>
    <row r="718" spans="1:58" ht="16" x14ac:dyDescent="0.35">
      <c r="A718" s="37"/>
      <c r="B718" s="38"/>
      <c r="C718" s="38"/>
      <c r="D718" s="38"/>
      <c r="E718" s="38"/>
      <c r="F718" s="38"/>
      <c r="G718" s="38"/>
      <c r="H718" s="39"/>
      <c r="I718" s="39"/>
      <c r="J718" s="39"/>
      <c r="K718" s="39"/>
      <c r="L718" s="39"/>
      <c r="M718" s="38"/>
      <c r="N718" s="38"/>
      <c r="O718" s="38"/>
      <c r="P718" s="38"/>
      <c r="Q718" s="38"/>
      <c r="R718" s="38"/>
      <c r="S718" s="38"/>
      <c r="T718" s="38"/>
      <c r="U718" s="38"/>
      <c r="V718" s="38"/>
      <c r="W718" s="38"/>
      <c r="X718" s="38"/>
      <c r="Y718" s="39"/>
      <c r="Z718" s="38"/>
      <c r="AA718" s="38"/>
      <c r="AB718" s="40"/>
      <c r="AP718"/>
      <c r="AQ718" s="48"/>
      <c r="AR718" s="48"/>
      <c r="AS718"/>
      <c r="AT718" s="48"/>
      <c r="AU718" s="48"/>
      <c r="AV718"/>
      <c r="AW718" s="49"/>
      <c r="AX718" s="49"/>
      <c r="AY718" s="49"/>
      <c r="AZ718" s="49"/>
      <c r="BA718" s="49"/>
      <c r="BB718" s="48"/>
      <c r="BC718" s="48"/>
      <c r="BD718" s="48"/>
      <c r="BE718" s="48"/>
      <c r="BF718" s="83"/>
    </row>
    <row r="719" spans="1:58" ht="16" x14ac:dyDescent="0.35">
      <c r="A719" s="41"/>
      <c r="B719" s="42"/>
      <c r="C719" s="42"/>
      <c r="D719" s="42"/>
      <c r="E719" s="42"/>
      <c r="F719" s="42"/>
      <c r="G719" s="42"/>
      <c r="H719" s="43"/>
      <c r="I719" s="43"/>
      <c r="J719" s="43"/>
      <c r="K719" s="43"/>
      <c r="L719" s="43"/>
      <c r="M719" s="42"/>
      <c r="N719" s="42"/>
      <c r="O719" s="42"/>
      <c r="P719" s="42"/>
      <c r="Q719" s="42"/>
      <c r="R719" s="42"/>
      <c r="S719" s="42"/>
      <c r="T719" s="42"/>
      <c r="U719" s="42"/>
      <c r="V719" s="42"/>
      <c r="W719" s="42"/>
      <c r="X719" s="42"/>
      <c r="Y719" s="43"/>
      <c r="Z719" s="42"/>
      <c r="AA719" s="42"/>
      <c r="AB719" s="44"/>
      <c r="AP719"/>
      <c r="AQ719" s="52"/>
      <c r="AR719" s="52"/>
      <c r="AS719"/>
      <c r="AT719" s="52"/>
      <c r="AU719" s="52"/>
      <c r="AV719"/>
      <c r="AW719" s="53"/>
      <c r="AX719" s="53"/>
      <c r="AY719" s="53"/>
      <c r="AZ719" s="53"/>
      <c r="BA719" s="53"/>
      <c r="BB719" s="52"/>
      <c r="BC719" s="52"/>
      <c r="BD719" s="52"/>
      <c r="BE719" s="52"/>
      <c r="BF719" s="83"/>
    </row>
    <row r="720" spans="1:58" ht="16" x14ac:dyDescent="0.35">
      <c r="A720" s="37"/>
      <c r="B720" s="38"/>
      <c r="C720" s="38"/>
      <c r="D720" s="38"/>
      <c r="E720" s="38"/>
      <c r="F720" s="38"/>
      <c r="G720" s="38"/>
      <c r="H720" s="39"/>
      <c r="I720" s="39"/>
      <c r="J720" s="39"/>
      <c r="K720" s="39"/>
      <c r="L720" s="39"/>
      <c r="M720" s="38"/>
      <c r="N720" s="38"/>
      <c r="O720" s="38"/>
      <c r="P720" s="38"/>
      <c r="Q720" s="38"/>
      <c r="R720" s="38"/>
      <c r="S720" s="38"/>
      <c r="T720" s="38"/>
      <c r="U720" s="38"/>
      <c r="V720" s="38"/>
      <c r="W720" s="38"/>
      <c r="X720" s="38"/>
      <c r="Y720" s="39"/>
      <c r="Z720" s="38"/>
      <c r="AA720" s="38"/>
      <c r="AB720" s="40"/>
      <c r="AP720"/>
      <c r="AQ720" s="48"/>
      <c r="AR720" s="48"/>
      <c r="AS720"/>
      <c r="AT720" s="48"/>
      <c r="AU720" s="48"/>
      <c r="AV720"/>
      <c r="AW720" s="49"/>
      <c r="AX720" s="49"/>
      <c r="AY720" s="49"/>
      <c r="AZ720" s="49"/>
      <c r="BA720" s="49"/>
      <c r="BB720" s="48"/>
      <c r="BC720" s="48"/>
      <c r="BD720" s="48"/>
      <c r="BE720" s="48"/>
      <c r="BF720" s="83"/>
    </row>
    <row r="721" spans="1:58" ht="16" x14ac:dyDescent="0.35">
      <c r="A721" s="41"/>
      <c r="B721" s="42"/>
      <c r="C721" s="42"/>
      <c r="D721" s="42"/>
      <c r="E721" s="42"/>
      <c r="F721" s="42"/>
      <c r="G721" s="42"/>
      <c r="H721" s="43"/>
      <c r="I721" s="43"/>
      <c r="J721" s="43"/>
      <c r="K721" s="43"/>
      <c r="L721" s="43"/>
      <c r="M721" s="42"/>
      <c r="N721" s="42"/>
      <c r="O721" s="42"/>
      <c r="P721" s="42"/>
      <c r="Q721" s="42"/>
      <c r="R721" s="42"/>
      <c r="S721" s="42"/>
      <c r="T721" s="42"/>
      <c r="U721" s="42"/>
      <c r="V721" s="42"/>
      <c r="W721" s="42"/>
      <c r="X721" s="42"/>
      <c r="Y721" s="43"/>
      <c r="Z721" s="42"/>
      <c r="AA721" s="42"/>
      <c r="AB721" s="44"/>
      <c r="AP721"/>
      <c r="AQ721" s="52"/>
      <c r="AR721" s="52"/>
      <c r="AS721"/>
      <c r="AT721" s="52"/>
      <c r="AU721" s="52"/>
      <c r="AV721"/>
      <c r="AW721" s="53"/>
      <c r="AX721" s="53"/>
      <c r="AY721" s="53"/>
      <c r="AZ721" s="53"/>
      <c r="BA721" s="53"/>
      <c r="BB721" s="52"/>
      <c r="BC721" s="52"/>
      <c r="BD721" s="52"/>
      <c r="BE721" s="52"/>
      <c r="BF721" s="83"/>
    </row>
    <row r="722" spans="1:58" ht="16" x14ac:dyDescent="0.35">
      <c r="A722" s="37"/>
      <c r="B722" s="38"/>
      <c r="C722" s="38"/>
      <c r="D722" s="38"/>
      <c r="E722" s="38"/>
      <c r="F722" s="38"/>
      <c r="G722" s="38"/>
      <c r="H722" s="39"/>
      <c r="I722" s="39"/>
      <c r="J722" s="39"/>
      <c r="K722" s="39"/>
      <c r="L722" s="39"/>
      <c r="M722" s="38"/>
      <c r="N722" s="38"/>
      <c r="O722" s="38"/>
      <c r="P722" s="38"/>
      <c r="Q722" s="38"/>
      <c r="R722" s="38"/>
      <c r="S722" s="38"/>
      <c r="T722" s="38"/>
      <c r="U722" s="38"/>
      <c r="V722" s="38"/>
      <c r="W722" s="38"/>
      <c r="X722" s="38"/>
      <c r="Y722" s="39"/>
      <c r="Z722" s="38"/>
      <c r="AA722" s="38"/>
      <c r="AB722" s="40"/>
      <c r="AP722"/>
      <c r="AQ722" s="48"/>
      <c r="AR722" s="48"/>
      <c r="AS722"/>
      <c r="AT722" s="48"/>
      <c r="AU722" s="48"/>
      <c r="AV722"/>
      <c r="AW722" s="49"/>
      <c r="AX722" s="49"/>
      <c r="AY722" s="49"/>
      <c r="AZ722" s="49"/>
      <c r="BA722" s="49"/>
      <c r="BB722" s="48"/>
      <c r="BC722" s="48"/>
      <c r="BD722" s="48"/>
      <c r="BE722" s="48"/>
      <c r="BF722" s="83"/>
    </row>
    <row r="723" spans="1:58" ht="16" x14ac:dyDescent="0.35">
      <c r="A723" s="41"/>
      <c r="B723" s="42"/>
      <c r="C723" s="42"/>
      <c r="D723" s="42"/>
      <c r="E723" s="42"/>
      <c r="F723" s="42"/>
      <c r="G723" s="42"/>
      <c r="H723" s="43"/>
      <c r="I723" s="43"/>
      <c r="J723" s="43"/>
      <c r="K723" s="43"/>
      <c r="L723" s="43"/>
      <c r="M723" s="42"/>
      <c r="N723" s="42"/>
      <c r="O723" s="42"/>
      <c r="P723" s="42"/>
      <c r="Q723" s="42"/>
      <c r="R723" s="42"/>
      <c r="S723" s="42"/>
      <c r="T723" s="42"/>
      <c r="U723" s="42"/>
      <c r="V723" s="42"/>
      <c r="W723" s="42"/>
      <c r="X723" s="42"/>
      <c r="Y723" s="43"/>
      <c r="Z723" s="42"/>
      <c r="AA723" s="42"/>
      <c r="AB723" s="44"/>
      <c r="AP723"/>
      <c r="AQ723" s="52"/>
      <c r="AR723" s="52"/>
      <c r="AS723"/>
      <c r="AT723" s="52"/>
      <c r="AU723" s="52"/>
      <c r="AV723"/>
      <c r="AW723" s="53"/>
      <c r="AX723" s="53"/>
      <c r="AY723" s="53"/>
      <c r="AZ723" s="53"/>
      <c r="BA723" s="53"/>
      <c r="BB723" s="52"/>
      <c r="BC723" s="52"/>
      <c r="BD723" s="52"/>
      <c r="BE723" s="52"/>
      <c r="BF723" s="83"/>
    </row>
    <row r="724" spans="1:58" ht="16" x14ac:dyDescent="0.35">
      <c r="A724" s="37"/>
      <c r="B724" s="38"/>
      <c r="C724" s="38"/>
      <c r="D724" s="38"/>
      <c r="E724" s="38"/>
      <c r="F724" s="38"/>
      <c r="G724" s="38"/>
      <c r="H724" s="39"/>
      <c r="I724" s="39"/>
      <c r="J724" s="39"/>
      <c r="K724" s="39"/>
      <c r="L724" s="39"/>
      <c r="M724" s="38"/>
      <c r="N724" s="38"/>
      <c r="O724" s="38"/>
      <c r="P724" s="38"/>
      <c r="Q724" s="38"/>
      <c r="R724" s="38"/>
      <c r="S724" s="38"/>
      <c r="T724" s="38"/>
      <c r="U724" s="38"/>
      <c r="V724" s="38"/>
      <c r="W724" s="38"/>
      <c r="X724" s="38"/>
      <c r="Y724" s="39"/>
      <c r="Z724" s="38"/>
      <c r="AA724" s="38"/>
      <c r="AB724" s="40"/>
      <c r="AP724"/>
      <c r="AQ724" s="48"/>
      <c r="AR724" s="48"/>
      <c r="AS724"/>
      <c r="AT724" s="48"/>
      <c r="AU724" s="48"/>
      <c r="AV724"/>
      <c r="AW724" s="49"/>
      <c r="AX724" s="49"/>
      <c r="AY724" s="49"/>
      <c r="AZ724" s="49"/>
      <c r="BA724" s="49"/>
      <c r="BB724" s="48"/>
      <c r="BC724" s="48"/>
      <c r="BD724" s="48"/>
      <c r="BE724" s="48"/>
      <c r="BF724" s="83"/>
    </row>
    <row r="725" spans="1:58" ht="16" x14ac:dyDescent="0.35">
      <c r="A725" s="41"/>
      <c r="B725" s="42"/>
      <c r="C725" s="42"/>
      <c r="D725" s="42"/>
      <c r="E725" s="42"/>
      <c r="F725" s="42"/>
      <c r="G725" s="42"/>
      <c r="H725" s="43"/>
      <c r="I725" s="43"/>
      <c r="J725" s="43"/>
      <c r="K725" s="43"/>
      <c r="L725" s="43"/>
      <c r="M725" s="42"/>
      <c r="N725" s="42"/>
      <c r="O725" s="42"/>
      <c r="P725" s="42"/>
      <c r="Q725" s="42"/>
      <c r="R725" s="42"/>
      <c r="S725" s="42"/>
      <c r="T725" s="42"/>
      <c r="U725" s="42"/>
      <c r="V725" s="42"/>
      <c r="W725" s="42"/>
      <c r="X725" s="42"/>
      <c r="Y725" s="43"/>
      <c r="Z725" s="42"/>
      <c r="AA725" s="42"/>
      <c r="AB725" s="44"/>
      <c r="AP725"/>
      <c r="AQ725" s="52"/>
      <c r="AR725" s="52"/>
      <c r="AS725"/>
      <c r="AT725" s="52"/>
      <c r="AU725" s="52"/>
      <c r="AV725"/>
      <c r="AW725" s="53"/>
      <c r="AX725" s="53"/>
      <c r="AY725" s="53"/>
      <c r="AZ725" s="53"/>
      <c r="BA725" s="53"/>
      <c r="BB725" s="52"/>
      <c r="BC725" s="52"/>
      <c r="BD725" s="52"/>
      <c r="BE725" s="52"/>
      <c r="BF725" s="83"/>
    </row>
    <row r="726" spans="1:58" ht="16" x14ac:dyDescent="0.35">
      <c r="A726" s="37"/>
      <c r="B726" s="38"/>
      <c r="C726" s="38"/>
      <c r="D726" s="38"/>
      <c r="E726" s="38"/>
      <c r="F726" s="38"/>
      <c r="G726" s="38"/>
      <c r="H726" s="39"/>
      <c r="I726" s="39"/>
      <c r="J726" s="39"/>
      <c r="K726" s="39"/>
      <c r="L726" s="39"/>
      <c r="M726" s="38"/>
      <c r="N726" s="38"/>
      <c r="O726" s="38"/>
      <c r="P726" s="38"/>
      <c r="Q726" s="38"/>
      <c r="R726" s="38"/>
      <c r="S726" s="38"/>
      <c r="T726" s="38"/>
      <c r="U726" s="38"/>
      <c r="V726" s="38"/>
      <c r="W726" s="38"/>
      <c r="X726" s="38"/>
      <c r="Y726" s="39"/>
      <c r="Z726" s="38"/>
      <c r="AA726" s="38"/>
      <c r="AB726" s="40"/>
      <c r="AP726"/>
      <c r="AQ726" s="48"/>
      <c r="AR726" s="48"/>
      <c r="AS726"/>
      <c r="AT726" s="48"/>
      <c r="AU726" s="48"/>
      <c r="AV726"/>
      <c r="AW726" s="49"/>
      <c r="AX726" s="49"/>
      <c r="AY726" s="49"/>
      <c r="AZ726" s="49"/>
      <c r="BA726" s="49"/>
      <c r="BB726" s="48"/>
      <c r="BC726" s="48"/>
      <c r="BD726" s="48"/>
      <c r="BE726" s="48"/>
      <c r="BF726" s="83"/>
    </row>
    <row r="727" spans="1:58" ht="16" x14ac:dyDescent="0.35">
      <c r="A727" s="41"/>
      <c r="B727" s="42"/>
      <c r="C727" s="42"/>
      <c r="D727" s="42"/>
      <c r="E727" s="42"/>
      <c r="F727" s="42"/>
      <c r="G727" s="42"/>
      <c r="H727" s="43"/>
      <c r="I727" s="43"/>
      <c r="J727" s="43"/>
      <c r="K727" s="43"/>
      <c r="L727" s="43"/>
      <c r="M727" s="42"/>
      <c r="N727" s="42"/>
      <c r="O727" s="42"/>
      <c r="P727" s="42"/>
      <c r="Q727" s="42"/>
      <c r="R727" s="42"/>
      <c r="S727" s="42"/>
      <c r="T727" s="42"/>
      <c r="U727" s="42"/>
      <c r="V727" s="42"/>
      <c r="W727" s="42"/>
      <c r="X727" s="42"/>
      <c r="Y727" s="43"/>
      <c r="Z727" s="42"/>
      <c r="AA727" s="42"/>
      <c r="AB727" s="44"/>
      <c r="AP727"/>
      <c r="AQ727" s="52"/>
      <c r="AR727" s="52"/>
      <c r="AS727"/>
      <c r="AT727" s="52"/>
      <c r="AU727" s="52"/>
      <c r="AV727"/>
      <c r="AW727" s="53"/>
      <c r="AX727" s="53"/>
      <c r="AY727" s="53"/>
      <c r="AZ727" s="53"/>
      <c r="BA727" s="53"/>
      <c r="BB727" s="52"/>
      <c r="BC727" s="52"/>
      <c r="BD727" s="52"/>
      <c r="BE727" s="52"/>
      <c r="BF727" s="83"/>
    </row>
    <row r="728" spans="1:58" ht="16" x14ac:dyDescent="0.35">
      <c r="A728" s="37"/>
      <c r="B728" s="38"/>
      <c r="C728" s="38"/>
      <c r="D728" s="38"/>
      <c r="E728" s="38"/>
      <c r="F728" s="38"/>
      <c r="G728" s="38"/>
      <c r="H728" s="39"/>
      <c r="I728" s="39"/>
      <c r="J728" s="39"/>
      <c r="K728" s="39"/>
      <c r="L728" s="39"/>
      <c r="M728" s="38"/>
      <c r="N728" s="38"/>
      <c r="O728" s="38"/>
      <c r="P728" s="38"/>
      <c r="Q728" s="38"/>
      <c r="R728" s="38"/>
      <c r="S728" s="38"/>
      <c r="T728" s="38"/>
      <c r="U728" s="38"/>
      <c r="V728" s="38"/>
      <c r="W728" s="38"/>
      <c r="X728" s="38"/>
      <c r="Y728" s="39"/>
      <c r="Z728" s="38"/>
      <c r="AA728" s="38"/>
      <c r="AB728" s="40"/>
      <c r="AP728"/>
      <c r="AQ728" s="48"/>
      <c r="AR728" s="48"/>
      <c r="AS728"/>
      <c r="AT728" s="48"/>
      <c r="AU728" s="48"/>
      <c r="AV728"/>
      <c r="AW728" s="49"/>
      <c r="AX728" s="49"/>
      <c r="AY728" s="49"/>
      <c r="AZ728" s="49"/>
      <c r="BA728" s="49"/>
      <c r="BB728" s="48"/>
      <c r="BC728" s="48"/>
      <c r="BD728" s="48"/>
      <c r="BE728" s="48"/>
      <c r="BF728" s="83"/>
    </row>
    <row r="729" spans="1:58" ht="16" x14ac:dyDescent="0.35">
      <c r="A729" s="41"/>
      <c r="B729" s="42"/>
      <c r="C729" s="42"/>
      <c r="D729" s="42"/>
      <c r="E729" s="42"/>
      <c r="F729" s="42"/>
      <c r="G729" s="42"/>
      <c r="H729" s="43"/>
      <c r="I729" s="43"/>
      <c r="J729" s="43"/>
      <c r="K729" s="43"/>
      <c r="L729" s="43"/>
      <c r="M729" s="42"/>
      <c r="N729" s="42"/>
      <c r="O729" s="42"/>
      <c r="P729" s="42"/>
      <c r="Q729" s="42"/>
      <c r="R729" s="42"/>
      <c r="S729" s="42"/>
      <c r="T729" s="42"/>
      <c r="U729" s="42"/>
      <c r="V729" s="42"/>
      <c r="W729" s="42"/>
      <c r="X729" s="42"/>
      <c r="Y729" s="43"/>
      <c r="Z729" s="42"/>
      <c r="AA729" s="42"/>
      <c r="AB729" s="44"/>
      <c r="AP729"/>
      <c r="AQ729" s="52"/>
      <c r="AR729" s="52"/>
      <c r="AS729"/>
      <c r="AT729" s="52"/>
      <c r="AU729" s="52"/>
      <c r="AV729"/>
      <c r="AW729" s="53"/>
      <c r="AX729" s="53"/>
      <c r="AY729" s="53"/>
      <c r="AZ729" s="53"/>
      <c r="BA729" s="53"/>
      <c r="BB729" s="52"/>
      <c r="BC729" s="52"/>
      <c r="BD729" s="52"/>
      <c r="BE729" s="52"/>
      <c r="BF729" s="83"/>
    </row>
    <row r="730" spans="1:58" ht="16" x14ac:dyDescent="0.35">
      <c r="A730" s="37"/>
      <c r="B730" s="38"/>
      <c r="C730" s="38"/>
      <c r="D730" s="38"/>
      <c r="E730" s="38"/>
      <c r="F730" s="38"/>
      <c r="G730" s="38"/>
      <c r="H730" s="39"/>
      <c r="I730" s="39"/>
      <c r="J730" s="39"/>
      <c r="K730" s="39"/>
      <c r="L730" s="39"/>
      <c r="M730" s="38"/>
      <c r="N730" s="38"/>
      <c r="O730" s="38"/>
      <c r="P730" s="38"/>
      <c r="Q730" s="38"/>
      <c r="R730" s="38"/>
      <c r="S730" s="38"/>
      <c r="T730" s="38"/>
      <c r="U730" s="38"/>
      <c r="V730" s="38"/>
      <c r="W730" s="38"/>
      <c r="X730" s="38"/>
      <c r="Y730" s="39"/>
      <c r="Z730" s="38"/>
      <c r="AA730" s="38"/>
      <c r="AB730" s="40"/>
      <c r="AP730"/>
      <c r="AQ730" s="48"/>
      <c r="AR730" s="48"/>
      <c r="AS730"/>
      <c r="AT730" s="48"/>
      <c r="AU730" s="48"/>
      <c r="AV730"/>
      <c r="AW730" s="49"/>
      <c r="AX730" s="49"/>
      <c r="AY730" s="49"/>
      <c r="AZ730" s="49"/>
      <c r="BA730" s="49"/>
      <c r="BB730" s="48"/>
      <c r="BC730" s="48"/>
      <c r="BD730" s="48"/>
      <c r="BE730" s="48"/>
      <c r="BF730" s="83"/>
    </row>
    <row r="731" spans="1:58" ht="16" x14ac:dyDescent="0.35">
      <c r="A731" s="41"/>
      <c r="B731" s="42"/>
      <c r="C731" s="42"/>
      <c r="D731" s="42"/>
      <c r="E731" s="42"/>
      <c r="F731" s="42"/>
      <c r="G731" s="42"/>
      <c r="H731" s="43"/>
      <c r="I731" s="43"/>
      <c r="J731" s="43"/>
      <c r="K731" s="43"/>
      <c r="L731" s="43"/>
      <c r="M731" s="42"/>
      <c r="N731" s="42"/>
      <c r="O731" s="42"/>
      <c r="P731" s="42"/>
      <c r="Q731" s="42"/>
      <c r="R731" s="42"/>
      <c r="S731" s="42"/>
      <c r="T731" s="42"/>
      <c r="U731" s="42"/>
      <c r="V731" s="42"/>
      <c r="W731" s="42"/>
      <c r="X731" s="42"/>
      <c r="Y731" s="43"/>
      <c r="Z731" s="42"/>
      <c r="AA731" s="42"/>
      <c r="AB731" s="44"/>
      <c r="AP731"/>
      <c r="AQ731" s="52"/>
      <c r="AR731" s="52"/>
      <c r="AS731"/>
      <c r="AT731" s="52"/>
      <c r="AU731" s="52"/>
      <c r="AV731"/>
      <c r="AW731" s="53"/>
      <c r="AX731" s="53"/>
      <c r="AY731" s="53"/>
      <c r="AZ731" s="53"/>
      <c r="BA731" s="53"/>
      <c r="BB731" s="52"/>
      <c r="BC731" s="52"/>
      <c r="BD731" s="52"/>
      <c r="BE731" s="52"/>
      <c r="BF731" s="83"/>
    </row>
    <row r="732" spans="1:58" ht="16" x14ac:dyDescent="0.35">
      <c r="A732" s="37"/>
      <c r="B732" s="38"/>
      <c r="C732" s="38"/>
      <c r="D732" s="38"/>
      <c r="E732" s="38"/>
      <c r="F732" s="38"/>
      <c r="G732" s="38"/>
      <c r="H732" s="39"/>
      <c r="I732" s="39"/>
      <c r="J732" s="39"/>
      <c r="K732" s="39"/>
      <c r="L732" s="39"/>
      <c r="M732" s="38"/>
      <c r="N732" s="38"/>
      <c r="O732" s="38"/>
      <c r="P732" s="38"/>
      <c r="Q732" s="38"/>
      <c r="R732" s="38"/>
      <c r="S732" s="38"/>
      <c r="T732" s="38"/>
      <c r="U732" s="38"/>
      <c r="V732" s="38"/>
      <c r="W732" s="38"/>
      <c r="X732" s="38"/>
      <c r="Y732" s="39"/>
      <c r="Z732" s="38"/>
      <c r="AA732" s="38"/>
      <c r="AB732" s="40"/>
      <c r="AP732"/>
      <c r="AQ732" s="48"/>
      <c r="AR732" s="48"/>
      <c r="AS732"/>
      <c r="AT732" s="48"/>
      <c r="AU732" s="48"/>
      <c r="AV732"/>
      <c r="AW732" s="49"/>
      <c r="AX732" s="49"/>
      <c r="AY732" s="49"/>
      <c r="AZ732" s="49"/>
      <c r="BA732" s="49"/>
      <c r="BB732" s="48"/>
      <c r="BC732" s="48"/>
      <c r="BD732" s="48"/>
      <c r="BE732" s="48"/>
      <c r="BF732" s="83"/>
    </row>
    <row r="733" spans="1:58" ht="16" x14ac:dyDescent="0.35">
      <c r="A733" s="41"/>
      <c r="B733" s="42"/>
      <c r="C733" s="42"/>
      <c r="D733" s="42"/>
      <c r="E733" s="42"/>
      <c r="F733" s="42"/>
      <c r="G733" s="42"/>
      <c r="H733" s="43"/>
      <c r="I733" s="43"/>
      <c r="J733" s="43"/>
      <c r="K733" s="43"/>
      <c r="L733" s="43"/>
      <c r="M733" s="42"/>
      <c r="N733" s="42"/>
      <c r="O733" s="42"/>
      <c r="P733" s="42"/>
      <c r="Q733" s="42"/>
      <c r="R733" s="42"/>
      <c r="S733" s="42"/>
      <c r="T733" s="42"/>
      <c r="U733" s="42"/>
      <c r="V733" s="42"/>
      <c r="W733" s="42"/>
      <c r="X733" s="42"/>
      <c r="Y733" s="43"/>
      <c r="Z733" s="42"/>
      <c r="AA733" s="42"/>
      <c r="AB733" s="44"/>
      <c r="AP733"/>
      <c r="AQ733" s="52"/>
      <c r="AR733" s="52"/>
      <c r="AS733"/>
      <c r="AT733" s="52"/>
      <c r="AU733" s="52"/>
      <c r="AV733"/>
      <c r="AW733" s="53"/>
      <c r="AX733" s="53"/>
      <c r="AY733" s="53"/>
      <c r="AZ733" s="53"/>
      <c r="BA733" s="53"/>
      <c r="BB733" s="52"/>
      <c r="BC733" s="52"/>
      <c r="BD733" s="52"/>
      <c r="BE733" s="52"/>
      <c r="BF733" s="83"/>
    </row>
    <row r="734" spans="1:58" ht="16" x14ac:dyDescent="0.35">
      <c r="A734" s="37"/>
      <c r="B734" s="38"/>
      <c r="C734" s="38"/>
      <c r="D734" s="38"/>
      <c r="E734" s="38"/>
      <c r="F734" s="38"/>
      <c r="G734" s="38"/>
      <c r="H734" s="39"/>
      <c r="I734" s="39"/>
      <c r="J734" s="39"/>
      <c r="K734" s="39"/>
      <c r="L734" s="39"/>
      <c r="M734" s="38"/>
      <c r="N734" s="38"/>
      <c r="O734" s="38"/>
      <c r="P734" s="38"/>
      <c r="Q734" s="38"/>
      <c r="R734" s="38"/>
      <c r="S734" s="38"/>
      <c r="T734" s="38"/>
      <c r="U734" s="38"/>
      <c r="V734" s="38"/>
      <c r="W734" s="38"/>
      <c r="X734" s="38"/>
      <c r="Y734" s="39"/>
      <c r="Z734" s="38"/>
      <c r="AA734" s="38"/>
      <c r="AB734" s="40"/>
      <c r="AP734"/>
      <c r="AQ734" s="48"/>
      <c r="AR734" s="48"/>
      <c r="AS734"/>
      <c r="AT734" s="48"/>
      <c r="AU734" s="48"/>
      <c r="AV734"/>
      <c r="AW734" s="49"/>
      <c r="AX734" s="49"/>
      <c r="AY734" s="49"/>
      <c r="AZ734" s="49"/>
      <c r="BA734" s="49"/>
      <c r="BB734" s="48"/>
      <c r="BC734" s="48"/>
      <c r="BD734" s="48"/>
      <c r="BE734" s="48"/>
      <c r="BF734" s="83"/>
    </row>
    <row r="735" spans="1:58" ht="16" x14ac:dyDescent="0.35">
      <c r="A735" s="41"/>
      <c r="B735" s="42"/>
      <c r="C735" s="42"/>
      <c r="D735" s="42"/>
      <c r="E735" s="42"/>
      <c r="F735" s="42"/>
      <c r="G735" s="42"/>
      <c r="H735" s="43"/>
      <c r="I735" s="43"/>
      <c r="J735" s="43"/>
      <c r="K735" s="43"/>
      <c r="L735" s="43"/>
      <c r="M735" s="42"/>
      <c r="N735" s="42"/>
      <c r="O735" s="42"/>
      <c r="P735" s="42"/>
      <c r="Q735" s="42"/>
      <c r="R735" s="42"/>
      <c r="S735" s="42"/>
      <c r="T735" s="42"/>
      <c r="U735" s="42"/>
      <c r="V735" s="42"/>
      <c r="W735" s="42"/>
      <c r="X735" s="42"/>
      <c r="Y735" s="43"/>
      <c r="Z735" s="42"/>
      <c r="AA735" s="42"/>
      <c r="AB735" s="44"/>
      <c r="AP735"/>
      <c r="AQ735" s="52"/>
      <c r="AR735" s="52"/>
      <c r="AS735"/>
      <c r="AT735" s="52"/>
      <c r="AU735" s="52"/>
      <c r="AV735"/>
      <c r="AW735" s="53"/>
      <c r="AX735" s="53"/>
      <c r="AY735" s="53"/>
      <c r="AZ735" s="53"/>
      <c r="BA735" s="53"/>
      <c r="BB735" s="52"/>
      <c r="BC735" s="52"/>
      <c r="BD735" s="52"/>
      <c r="BE735" s="52"/>
      <c r="BF735" s="83"/>
    </row>
    <row r="736" spans="1:58" ht="16" x14ac:dyDescent="0.35">
      <c r="A736" s="37"/>
      <c r="B736" s="38"/>
      <c r="C736" s="38"/>
      <c r="D736" s="38"/>
      <c r="E736" s="38"/>
      <c r="F736" s="38"/>
      <c r="G736" s="38"/>
      <c r="H736" s="39"/>
      <c r="I736" s="39"/>
      <c r="J736" s="39"/>
      <c r="K736" s="39"/>
      <c r="L736" s="39"/>
      <c r="M736" s="38"/>
      <c r="N736" s="38"/>
      <c r="O736" s="38"/>
      <c r="P736" s="38"/>
      <c r="Q736" s="38"/>
      <c r="R736" s="38"/>
      <c r="S736" s="38"/>
      <c r="T736" s="38"/>
      <c r="U736" s="38"/>
      <c r="V736" s="38"/>
      <c r="W736" s="38"/>
      <c r="X736" s="38"/>
      <c r="Y736" s="39"/>
      <c r="Z736" s="38"/>
      <c r="AA736" s="38"/>
      <c r="AB736" s="40"/>
      <c r="AP736"/>
      <c r="AQ736" s="48"/>
      <c r="AR736" s="48"/>
      <c r="AS736"/>
      <c r="AT736" s="48"/>
      <c r="AU736" s="48"/>
      <c r="AV736"/>
      <c r="AW736" s="49"/>
      <c r="AX736" s="49"/>
      <c r="AY736" s="49"/>
      <c r="AZ736" s="49"/>
      <c r="BA736" s="49"/>
      <c r="BB736" s="48"/>
      <c r="BC736" s="48"/>
      <c r="BD736" s="48"/>
      <c r="BE736" s="48"/>
      <c r="BF736" s="83"/>
    </row>
    <row r="737" spans="1:58" ht="16" x14ac:dyDescent="0.35">
      <c r="A737" s="41"/>
      <c r="B737" s="42"/>
      <c r="C737" s="42"/>
      <c r="D737" s="42"/>
      <c r="E737" s="42"/>
      <c r="F737" s="42"/>
      <c r="G737" s="42"/>
      <c r="H737" s="43"/>
      <c r="I737" s="43"/>
      <c r="J737" s="43"/>
      <c r="K737" s="43"/>
      <c r="L737" s="43"/>
      <c r="M737" s="42"/>
      <c r="N737" s="42"/>
      <c r="O737" s="42"/>
      <c r="P737" s="42"/>
      <c r="Q737" s="42"/>
      <c r="R737" s="42"/>
      <c r="S737" s="42"/>
      <c r="T737" s="42"/>
      <c r="U737" s="42"/>
      <c r="V737" s="42"/>
      <c r="W737" s="42"/>
      <c r="X737" s="42"/>
      <c r="Y737" s="43"/>
      <c r="Z737" s="42"/>
      <c r="AA737" s="42"/>
      <c r="AB737" s="44"/>
      <c r="AP737"/>
      <c r="AQ737" s="52"/>
      <c r="AR737" s="52"/>
      <c r="AS737"/>
      <c r="AT737" s="52"/>
      <c r="AU737" s="52"/>
      <c r="AV737"/>
      <c r="AW737" s="53"/>
      <c r="AX737" s="53"/>
      <c r="AY737" s="53"/>
      <c r="AZ737" s="53"/>
      <c r="BA737" s="53"/>
      <c r="BB737" s="52"/>
      <c r="BC737" s="52"/>
      <c r="BD737" s="52"/>
      <c r="BE737" s="52"/>
      <c r="BF737" s="83"/>
    </row>
    <row r="738" spans="1:58" ht="16" x14ac:dyDescent="0.35">
      <c r="A738" s="37"/>
      <c r="B738" s="38"/>
      <c r="C738" s="38"/>
      <c r="D738" s="38"/>
      <c r="E738" s="38"/>
      <c r="F738" s="38"/>
      <c r="G738" s="38"/>
      <c r="H738" s="39"/>
      <c r="I738" s="39"/>
      <c r="J738" s="39"/>
      <c r="K738" s="39"/>
      <c r="L738" s="39"/>
      <c r="M738" s="38"/>
      <c r="N738" s="38"/>
      <c r="O738" s="38"/>
      <c r="P738" s="38"/>
      <c r="Q738" s="38"/>
      <c r="R738" s="38"/>
      <c r="S738" s="38"/>
      <c r="T738" s="38"/>
      <c r="U738" s="38"/>
      <c r="V738" s="38"/>
      <c r="W738" s="38"/>
      <c r="X738" s="38"/>
      <c r="Y738" s="39"/>
      <c r="Z738" s="38"/>
      <c r="AA738" s="38"/>
      <c r="AB738" s="40"/>
      <c r="AP738"/>
      <c r="AQ738" s="48"/>
      <c r="AR738" s="48"/>
      <c r="AS738"/>
      <c r="AT738" s="48"/>
      <c r="AU738" s="48"/>
      <c r="AV738"/>
      <c r="AW738" s="49"/>
      <c r="AX738" s="49"/>
      <c r="AY738" s="49"/>
      <c r="AZ738" s="49"/>
      <c r="BA738" s="49"/>
      <c r="BB738" s="48"/>
      <c r="BC738" s="48"/>
      <c r="BD738" s="48"/>
      <c r="BE738" s="48"/>
      <c r="BF738" s="83"/>
    </row>
    <row r="739" spans="1:58" ht="16" x14ac:dyDescent="0.35">
      <c r="A739" s="41"/>
      <c r="B739" s="42"/>
      <c r="C739" s="42"/>
      <c r="D739" s="42"/>
      <c r="E739" s="42"/>
      <c r="F739" s="42"/>
      <c r="G739" s="42"/>
      <c r="H739" s="43"/>
      <c r="I739" s="43"/>
      <c r="J739" s="43"/>
      <c r="K739" s="43"/>
      <c r="L739" s="43"/>
      <c r="M739" s="42"/>
      <c r="N739" s="42"/>
      <c r="O739" s="42"/>
      <c r="P739" s="42"/>
      <c r="Q739" s="42"/>
      <c r="R739" s="42"/>
      <c r="S739" s="42"/>
      <c r="T739" s="42"/>
      <c r="U739" s="42"/>
      <c r="V739" s="42"/>
      <c r="W739" s="42"/>
      <c r="X739" s="42"/>
      <c r="Y739" s="43"/>
      <c r="Z739" s="42"/>
      <c r="AA739" s="42"/>
      <c r="AB739" s="44"/>
      <c r="AP739"/>
      <c r="AQ739" s="52"/>
      <c r="AR739" s="52"/>
      <c r="AS739"/>
      <c r="AT739" s="52"/>
      <c r="AU739" s="52"/>
      <c r="AV739"/>
      <c r="AW739" s="53"/>
      <c r="AX739" s="53"/>
      <c r="AY739" s="53"/>
      <c r="AZ739" s="53"/>
      <c r="BA739" s="53"/>
      <c r="BB739" s="52"/>
      <c r="BC739" s="52"/>
      <c r="BD739" s="52"/>
      <c r="BE739" s="52"/>
      <c r="BF739" s="83"/>
    </row>
    <row r="740" spans="1:58" ht="16" x14ac:dyDescent="0.35">
      <c r="A740" s="37"/>
      <c r="B740" s="38"/>
      <c r="C740" s="38"/>
      <c r="D740" s="38"/>
      <c r="E740" s="38"/>
      <c r="F740" s="38"/>
      <c r="G740" s="38"/>
      <c r="H740" s="39"/>
      <c r="I740" s="39"/>
      <c r="J740" s="39"/>
      <c r="K740" s="39"/>
      <c r="L740" s="39"/>
      <c r="M740" s="38"/>
      <c r="N740" s="38"/>
      <c r="O740" s="38"/>
      <c r="P740" s="38"/>
      <c r="Q740" s="38"/>
      <c r="R740" s="38"/>
      <c r="S740" s="38"/>
      <c r="T740" s="38"/>
      <c r="U740" s="38"/>
      <c r="V740" s="38"/>
      <c r="W740" s="38"/>
      <c r="X740" s="38"/>
      <c r="Y740" s="39"/>
      <c r="Z740" s="38"/>
      <c r="AA740" s="38"/>
      <c r="AB740" s="40"/>
      <c r="AP740"/>
      <c r="AQ740" s="48"/>
      <c r="AR740" s="48"/>
      <c r="AS740"/>
      <c r="AT740" s="48"/>
      <c r="AU740" s="48"/>
      <c r="AV740"/>
      <c r="AW740" s="49"/>
      <c r="AX740" s="49"/>
      <c r="AY740" s="49"/>
      <c r="AZ740" s="49"/>
      <c r="BA740" s="49"/>
      <c r="BB740" s="48"/>
      <c r="BC740" s="48"/>
      <c r="BD740" s="48"/>
      <c r="BE740" s="48"/>
      <c r="BF740" s="83"/>
    </row>
    <row r="741" spans="1:58" ht="16" x14ac:dyDescent="0.35">
      <c r="A741" s="41"/>
      <c r="B741" s="42"/>
      <c r="C741" s="42"/>
      <c r="D741" s="42"/>
      <c r="E741" s="42"/>
      <c r="F741" s="42"/>
      <c r="G741" s="42"/>
      <c r="H741" s="43"/>
      <c r="I741" s="43"/>
      <c r="J741" s="43"/>
      <c r="K741" s="43"/>
      <c r="L741" s="43"/>
      <c r="M741" s="42"/>
      <c r="N741" s="42"/>
      <c r="O741" s="42"/>
      <c r="P741" s="42"/>
      <c r="Q741" s="42"/>
      <c r="R741" s="42"/>
      <c r="S741" s="42"/>
      <c r="T741" s="42"/>
      <c r="U741" s="42"/>
      <c r="V741" s="42"/>
      <c r="W741" s="42"/>
      <c r="X741" s="42"/>
      <c r="Y741" s="43"/>
      <c r="Z741" s="42"/>
      <c r="AA741" s="42"/>
      <c r="AB741" s="44"/>
      <c r="AP741"/>
      <c r="AQ741" s="52"/>
      <c r="AR741" s="52"/>
      <c r="AS741"/>
      <c r="AT741" s="52"/>
      <c r="AU741" s="52"/>
      <c r="AV741"/>
      <c r="AW741" s="53"/>
      <c r="AX741" s="53"/>
      <c r="AY741" s="53"/>
      <c r="AZ741" s="53"/>
      <c r="BA741" s="53"/>
      <c r="BB741" s="52"/>
      <c r="BC741" s="52"/>
      <c r="BD741" s="52"/>
      <c r="BE741" s="52"/>
      <c r="BF741" s="83"/>
    </row>
    <row r="742" spans="1:58" ht="16" x14ac:dyDescent="0.35">
      <c r="A742" s="37"/>
      <c r="B742" s="38"/>
      <c r="C742" s="38"/>
      <c r="D742" s="38"/>
      <c r="E742" s="38"/>
      <c r="F742" s="38"/>
      <c r="G742" s="38"/>
      <c r="H742" s="39"/>
      <c r="I742" s="39"/>
      <c r="J742" s="39"/>
      <c r="K742" s="39"/>
      <c r="L742" s="39"/>
      <c r="M742" s="38"/>
      <c r="N742" s="38"/>
      <c r="O742" s="38"/>
      <c r="P742" s="38"/>
      <c r="Q742" s="38"/>
      <c r="R742" s="38"/>
      <c r="S742" s="38"/>
      <c r="T742" s="38"/>
      <c r="U742" s="38"/>
      <c r="V742" s="38"/>
      <c r="W742" s="38"/>
      <c r="X742" s="38"/>
      <c r="Y742" s="39"/>
      <c r="Z742" s="38"/>
      <c r="AA742" s="38"/>
      <c r="AB742" s="40"/>
      <c r="AP742"/>
      <c r="AQ742" s="48"/>
      <c r="AR742" s="48"/>
      <c r="AS742"/>
      <c r="AT742" s="48"/>
      <c r="AU742" s="48"/>
      <c r="AV742"/>
      <c r="AW742" s="49"/>
      <c r="AX742" s="49"/>
      <c r="AY742" s="49"/>
      <c r="AZ742" s="49"/>
      <c r="BA742" s="49"/>
      <c r="BB742" s="48"/>
      <c r="BC742" s="48"/>
      <c r="BD742" s="48"/>
      <c r="BE742" s="48"/>
      <c r="BF742" s="83"/>
    </row>
    <row r="743" spans="1:58" ht="16" x14ac:dyDescent="0.35">
      <c r="A743" s="41"/>
      <c r="B743" s="42"/>
      <c r="C743" s="42"/>
      <c r="D743" s="42"/>
      <c r="E743" s="42"/>
      <c r="F743" s="42"/>
      <c r="G743" s="42"/>
      <c r="H743" s="43"/>
      <c r="I743" s="43"/>
      <c r="J743" s="43"/>
      <c r="K743" s="43"/>
      <c r="L743" s="43"/>
      <c r="M743" s="42"/>
      <c r="N743" s="42"/>
      <c r="O743" s="42"/>
      <c r="P743" s="42"/>
      <c r="Q743" s="42"/>
      <c r="R743" s="42"/>
      <c r="S743" s="42"/>
      <c r="T743" s="42"/>
      <c r="U743" s="42"/>
      <c r="V743" s="42"/>
      <c r="W743" s="42"/>
      <c r="X743" s="42"/>
      <c r="Y743" s="43"/>
      <c r="Z743" s="42"/>
      <c r="AA743" s="42"/>
      <c r="AB743" s="44"/>
      <c r="AP743"/>
      <c r="AQ743" s="52"/>
      <c r="AR743" s="52"/>
      <c r="AS743"/>
      <c r="AT743" s="52"/>
      <c r="AU743" s="52"/>
      <c r="AV743"/>
      <c r="AW743" s="53"/>
      <c r="AX743" s="53"/>
      <c r="AY743" s="53"/>
      <c r="AZ743" s="53"/>
      <c r="BA743" s="53"/>
      <c r="BB743" s="52"/>
      <c r="BC743" s="52"/>
      <c r="BD743" s="52"/>
      <c r="BE743" s="52"/>
      <c r="BF743" s="83"/>
    </row>
    <row r="744" spans="1:58" ht="16" x14ac:dyDescent="0.35">
      <c r="A744" s="37"/>
      <c r="B744" s="38"/>
      <c r="C744" s="38"/>
      <c r="D744" s="38"/>
      <c r="E744" s="38"/>
      <c r="F744" s="38"/>
      <c r="G744" s="38"/>
      <c r="H744" s="39"/>
      <c r="I744" s="39"/>
      <c r="J744" s="39"/>
      <c r="K744" s="39"/>
      <c r="L744" s="39"/>
      <c r="M744" s="38"/>
      <c r="N744" s="38"/>
      <c r="O744" s="38"/>
      <c r="P744" s="38"/>
      <c r="Q744" s="38"/>
      <c r="R744" s="38"/>
      <c r="S744" s="38"/>
      <c r="T744" s="38"/>
      <c r="U744" s="38"/>
      <c r="V744" s="38"/>
      <c r="W744" s="38"/>
      <c r="X744" s="38"/>
      <c r="Y744" s="39"/>
      <c r="Z744" s="38"/>
      <c r="AA744" s="38"/>
      <c r="AB744" s="40"/>
      <c r="AP744"/>
      <c r="AQ744" s="48"/>
      <c r="AR744" s="48"/>
      <c r="AS744"/>
      <c r="AT744" s="48"/>
      <c r="AU744" s="48"/>
      <c r="AV744"/>
      <c r="AW744" s="49"/>
      <c r="AX744" s="49"/>
      <c r="AY744" s="49"/>
      <c r="AZ744" s="49"/>
      <c r="BA744" s="49"/>
      <c r="BB744" s="48"/>
      <c r="BC744" s="48"/>
      <c r="BD744" s="48"/>
      <c r="BE744" s="48"/>
      <c r="BF744" s="83"/>
    </row>
    <row r="745" spans="1:58" ht="16" x14ac:dyDescent="0.35">
      <c r="A745" s="41"/>
      <c r="B745" s="42"/>
      <c r="C745" s="42"/>
      <c r="D745" s="42"/>
      <c r="E745" s="42"/>
      <c r="F745" s="42"/>
      <c r="G745" s="42"/>
      <c r="H745" s="43"/>
      <c r="I745" s="43"/>
      <c r="J745" s="43"/>
      <c r="K745" s="43"/>
      <c r="L745" s="43"/>
      <c r="M745" s="42"/>
      <c r="N745" s="42"/>
      <c r="O745" s="42"/>
      <c r="P745" s="42"/>
      <c r="Q745" s="42"/>
      <c r="R745" s="42"/>
      <c r="S745" s="42"/>
      <c r="T745" s="42"/>
      <c r="U745" s="42"/>
      <c r="V745" s="42"/>
      <c r="W745" s="42"/>
      <c r="X745" s="42"/>
      <c r="Y745" s="43"/>
      <c r="Z745" s="42"/>
      <c r="AA745" s="42"/>
      <c r="AB745" s="44"/>
      <c r="AP745"/>
      <c r="AQ745" s="52"/>
      <c r="AR745" s="52"/>
      <c r="AS745"/>
      <c r="AT745" s="52"/>
      <c r="AU745" s="52"/>
      <c r="AV745"/>
      <c r="AW745" s="53"/>
      <c r="AX745" s="53"/>
      <c r="AY745" s="53"/>
      <c r="AZ745" s="53"/>
      <c r="BA745" s="53"/>
      <c r="BB745" s="52"/>
      <c r="BC745" s="52"/>
      <c r="BD745" s="52"/>
      <c r="BE745" s="52"/>
      <c r="BF745" s="83"/>
    </row>
    <row r="746" spans="1:58" ht="16" x14ac:dyDescent="0.35">
      <c r="A746" s="37"/>
      <c r="B746" s="38"/>
      <c r="C746" s="38"/>
      <c r="D746" s="38"/>
      <c r="E746" s="38"/>
      <c r="F746" s="38"/>
      <c r="G746" s="38"/>
      <c r="H746" s="39"/>
      <c r="I746" s="39"/>
      <c r="J746" s="39"/>
      <c r="K746" s="39"/>
      <c r="L746" s="39"/>
      <c r="M746" s="38"/>
      <c r="N746" s="38"/>
      <c r="O746" s="38"/>
      <c r="P746" s="38"/>
      <c r="Q746" s="38"/>
      <c r="R746" s="38"/>
      <c r="S746" s="38"/>
      <c r="T746" s="38"/>
      <c r="U746" s="38"/>
      <c r="V746" s="38"/>
      <c r="W746" s="38"/>
      <c r="X746" s="38"/>
      <c r="Y746" s="39"/>
      <c r="Z746" s="38"/>
      <c r="AA746" s="38"/>
      <c r="AB746" s="40"/>
      <c r="AP746"/>
      <c r="AQ746" s="48"/>
      <c r="AR746" s="48"/>
      <c r="AS746"/>
      <c r="AT746" s="48"/>
      <c r="AU746" s="48"/>
      <c r="AV746"/>
      <c r="AW746" s="49"/>
      <c r="AX746" s="49"/>
      <c r="AY746" s="49"/>
      <c r="AZ746" s="49"/>
      <c r="BA746" s="49"/>
      <c r="BB746" s="48"/>
      <c r="BC746" s="48"/>
      <c r="BD746" s="48"/>
      <c r="BE746" s="48"/>
      <c r="BF746" s="83"/>
    </row>
    <row r="747" spans="1:58" ht="16" x14ac:dyDescent="0.35">
      <c r="A747" s="41"/>
      <c r="B747" s="42"/>
      <c r="C747" s="42"/>
      <c r="D747" s="42"/>
      <c r="E747" s="42"/>
      <c r="F747" s="42"/>
      <c r="G747" s="42"/>
      <c r="H747" s="43"/>
      <c r="I747" s="43"/>
      <c r="J747" s="43"/>
      <c r="K747" s="43"/>
      <c r="L747" s="43"/>
      <c r="M747" s="42"/>
      <c r="N747" s="42"/>
      <c r="O747" s="42"/>
      <c r="P747" s="42"/>
      <c r="Q747" s="42"/>
      <c r="R747" s="42"/>
      <c r="S747" s="42"/>
      <c r="T747" s="42"/>
      <c r="U747" s="42"/>
      <c r="V747" s="42"/>
      <c r="W747" s="42"/>
      <c r="X747" s="42"/>
      <c r="Y747" s="43"/>
      <c r="Z747" s="42"/>
      <c r="AA747" s="42"/>
      <c r="AB747" s="44"/>
      <c r="AP747"/>
      <c r="AQ747" s="52"/>
      <c r="AR747" s="52"/>
      <c r="AS747"/>
      <c r="AT747" s="52"/>
      <c r="AU747" s="52"/>
      <c r="AV747"/>
      <c r="AW747" s="53"/>
      <c r="AX747" s="53"/>
      <c r="AY747" s="53"/>
      <c r="AZ747" s="53"/>
      <c r="BA747" s="53"/>
      <c r="BB747" s="52"/>
      <c r="BC747" s="52"/>
      <c r="BD747" s="52"/>
      <c r="BE747" s="52"/>
      <c r="BF747" s="83"/>
    </row>
    <row r="748" spans="1:58" ht="16" x14ac:dyDescent="0.35">
      <c r="A748" s="37"/>
      <c r="B748" s="38"/>
      <c r="C748" s="38"/>
      <c r="D748" s="38"/>
      <c r="E748" s="38"/>
      <c r="F748" s="38"/>
      <c r="G748" s="38"/>
      <c r="H748" s="39"/>
      <c r="I748" s="39"/>
      <c r="J748" s="39"/>
      <c r="K748" s="39"/>
      <c r="L748" s="39"/>
      <c r="M748" s="38"/>
      <c r="N748" s="38"/>
      <c r="O748" s="38"/>
      <c r="P748" s="38"/>
      <c r="Q748" s="38"/>
      <c r="R748" s="38"/>
      <c r="S748" s="38"/>
      <c r="T748" s="38"/>
      <c r="U748" s="38"/>
      <c r="V748" s="38"/>
      <c r="W748" s="38"/>
      <c r="X748" s="38"/>
      <c r="Y748" s="39"/>
      <c r="Z748" s="38"/>
      <c r="AA748" s="38"/>
      <c r="AB748" s="40"/>
      <c r="AP748"/>
      <c r="AQ748" s="48"/>
      <c r="AR748" s="48"/>
      <c r="AS748"/>
      <c r="AT748" s="48"/>
      <c r="AU748" s="48"/>
      <c r="AV748"/>
      <c r="AW748" s="49"/>
      <c r="AX748" s="49"/>
      <c r="AY748" s="49"/>
      <c r="AZ748" s="49"/>
      <c r="BA748" s="49"/>
      <c r="BB748" s="48"/>
      <c r="BC748" s="48"/>
      <c r="BD748" s="48"/>
      <c r="BE748" s="48"/>
      <c r="BF748" s="83"/>
    </row>
    <row r="749" spans="1:58" ht="16" x14ac:dyDescent="0.35">
      <c r="A749" s="41"/>
      <c r="B749" s="42"/>
      <c r="C749" s="42"/>
      <c r="D749" s="42"/>
      <c r="E749" s="42"/>
      <c r="F749" s="42"/>
      <c r="G749" s="42"/>
      <c r="H749" s="43"/>
      <c r="I749" s="43"/>
      <c r="J749" s="43"/>
      <c r="K749" s="43"/>
      <c r="L749" s="43"/>
      <c r="M749" s="42"/>
      <c r="N749" s="42"/>
      <c r="O749" s="42"/>
      <c r="P749" s="42"/>
      <c r="Q749" s="42"/>
      <c r="R749" s="42"/>
      <c r="S749" s="42"/>
      <c r="T749" s="42"/>
      <c r="U749" s="42"/>
      <c r="V749" s="42"/>
      <c r="W749" s="42"/>
      <c r="X749" s="42"/>
      <c r="Y749" s="43"/>
      <c r="Z749" s="42"/>
      <c r="AA749" s="42"/>
      <c r="AB749" s="44"/>
      <c r="AP749"/>
      <c r="AQ749" s="52"/>
      <c r="AR749" s="52"/>
      <c r="AS749"/>
      <c r="AT749" s="52"/>
      <c r="AU749" s="52"/>
      <c r="AV749"/>
      <c r="AW749" s="53"/>
      <c r="AX749" s="53"/>
      <c r="AY749" s="53"/>
      <c r="AZ749" s="53"/>
      <c r="BA749" s="53"/>
      <c r="BB749" s="52"/>
      <c r="BC749" s="52"/>
      <c r="BD749" s="52"/>
      <c r="BE749" s="52"/>
      <c r="BF749" s="83"/>
    </row>
    <row r="750" spans="1:58" ht="16" x14ac:dyDescent="0.35">
      <c r="A750" s="37"/>
      <c r="B750" s="38"/>
      <c r="C750" s="38"/>
      <c r="D750" s="38"/>
      <c r="E750" s="38"/>
      <c r="F750" s="38"/>
      <c r="G750" s="38"/>
      <c r="H750" s="39"/>
      <c r="I750" s="39"/>
      <c r="J750" s="39"/>
      <c r="K750" s="39"/>
      <c r="L750" s="39"/>
      <c r="M750" s="38"/>
      <c r="N750" s="38"/>
      <c r="O750" s="38"/>
      <c r="P750" s="38"/>
      <c r="Q750" s="38"/>
      <c r="R750" s="38"/>
      <c r="S750" s="38"/>
      <c r="T750" s="38"/>
      <c r="U750" s="38"/>
      <c r="V750" s="38"/>
      <c r="W750" s="38"/>
      <c r="X750" s="38"/>
      <c r="Y750" s="39"/>
      <c r="Z750" s="38"/>
      <c r="AA750" s="38"/>
      <c r="AB750" s="40"/>
      <c r="AP750"/>
      <c r="AQ750" s="48"/>
      <c r="AR750" s="48"/>
      <c r="AS750"/>
      <c r="AT750" s="48"/>
      <c r="AU750" s="48"/>
      <c r="AV750"/>
      <c r="AW750" s="49"/>
      <c r="AX750" s="49"/>
      <c r="AY750" s="49"/>
      <c r="AZ750" s="49"/>
      <c r="BA750" s="49"/>
      <c r="BB750" s="48"/>
      <c r="BC750" s="48"/>
      <c r="BD750" s="48"/>
      <c r="BE750" s="48"/>
      <c r="BF750" s="83"/>
    </row>
    <row r="751" spans="1:58" ht="16" x14ac:dyDescent="0.35">
      <c r="A751" s="41"/>
      <c r="B751" s="42"/>
      <c r="C751" s="42"/>
      <c r="D751" s="42"/>
      <c r="E751" s="42"/>
      <c r="F751" s="42"/>
      <c r="G751" s="42"/>
      <c r="H751" s="43"/>
      <c r="I751" s="43"/>
      <c r="J751" s="43"/>
      <c r="K751" s="43"/>
      <c r="L751" s="43"/>
      <c r="M751" s="42"/>
      <c r="N751" s="42"/>
      <c r="O751" s="42"/>
      <c r="P751" s="42"/>
      <c r="Q751" s="42"/>
      <c r="R751" s="42"/>
      <c r="S751" s="42"/>
      <c r="T751" s="42"/>
      <c r="U751" s="42"/>
      <c r="V751" s="42"/>
      <c r="W751" s="42"/>
      <c r="X751" s="42"/>
      <c r="Y751" s="43"/>
      <c r="Z751" s="42"/>
      <c r="AA751" s="42"/>
      <c r="AB751" s="44"/>
      <c r="AP751"/>
      <c r="AQ751" s="52"/>
      <c r="AR751" s="52"/>
      <c r="AS751"/>
      <c r="AT751" s="52"/>
      <c r="AU751" s="52"/>
      <c r="AV751"/>
      <c r="AW751" s="53"/>
      <c r="AX751" s="53"/>
      <c r="AY751" s="53"/>
      <c r="AZ751" s="53"/>
      <c r="BA751" s="53"/>
      <c r="BB751" s="52"/>
      <c r="BC751" s="52"/>
      <c r="BD751" s="52"/>
      <c r="BE751" s="52"/>
      <c r="BF751" s="83"/>
    </row>
    <row r="752" spans="1:58" ht="16" x14ac:dyDescent="0.35">
      <c r="A752" s="37"/>
      <c r="B752" s="38"/>
      <c r="C752" s="38"/>
      <c r="D752" s="38"/>
      <c r="E752" s="38"/>
      <c r="F752" s="38"/>
      <c r="G752" s="38"/>
      <c r="H752" s="39"/>
      <c r="I752" s="39"/>
      <c r="J752" s="39"/>
      <c r="K752" s="39"/>
      <c r="L752" s="39"/>
      <c r="M752" s="38"/>
      <c r="N752" s="38"/>
      <c r="O752" s="38"/>
      <c r="P752" s="38"/>
      <c r="Q752" s="38"/>
      <c r="R752" s="38"/>
      <c r="S752" s="38"/>
      <c r="T752" s="38"/>
      <c r="U752" s="38"/>
      <c r="V752" s="38"/>
      <c r="W752" s="38"/>
      <c r="X752" s="38"/>
      <c r="Y752" s="39"/>
      <c r="Z752" s="38"/>
      <c r="AA752" s="38"/>
      <c r="AB752" s="40"/>
      <c r="AP752"/>
      <c r="AQ752" s="48"/>
      <c r="AR752" s="48"/>
      <c r="AS752"/>
      <c r="AT752" s="48"/>
      <c r="AU752" s="48"/>
      <c r="AV752"/>
      <c r="AW752" s="49"/>
      <c r="AX752" s="49"/>
      <c r="AY752" s="49"/>
      <c r="AZ752" s="49"/>
      <c r="BA752" s="49"/>
      <c r="BB752" s="48"/>
      <c r="BC752" s="48"/>
      <c r="BD752" s="48"/>
      <c r="BE752" s="48"/>
      <c r="BF752" s="83"/>
    </row>
    <row r="753" spans="1:58" ht="16" x14ac:dyDescent="0.35">
      <c r="A753" s="41"/>
      <c r="B753" s="42"/>
      <c r="C753" s="42"/>
      <c r="D753" s="42"/>
      <c r="E753" s="42"/>
      <c r="F753" s="42"/>
      <c r="G753" s="42"/>
      <c r="H753" s="43"/>
      <c r="I753" s="43"/>
      <c r="J753" s="43"/>
      <c r="K753" s="43"/>
      <c r="L753" s="43"/>
      <c r="M753" s="42"/>
      <c r="N753" s="42"/>
      <c r="O753" s="42"/>
      <c r="P753" s="42"/>
      <c r="Q753" s="42"/>
      <c r="R753" s="42"/>
      <c r="S753" s="42"/>
      <c r="T753" s="42"/>
      <c r="U753" s="42"/>
      <c r="V753" s="42"/>
      <c r="W753" s="42"/>
      <c r="X753" s="42"/>
      <c r="Y753" s="43"/>
      <c r="Z753" s="42"/>
      <c r="AA753" s="42"/>
      <c r="AB753" s="44"/>
      <c r="AP753"/>
      <c r="AQ753" s="52"/>
      <c r="AR753" s="52"/>
      <c r="AS753"/>
      <c r="AT753" s="52"/>
      <c r="AU753" s="52"/>
      <c r="AV753"/>
      <c r="AW753" s="53"/>
      <c r="AX753" s="53"/>
      <c r="AY753" s="53"/>
      <c r="AZ753" s="53"/>
      <c r="BA753" s="53"/>
      <c r="BB753" s="52"/>
      <c r="BC753" s="52"/>
      <c r="BD753" s="52"/>
      <c r="BE753" s="52"/>
      <c r="BF753" s="83"/>
    </row>
    <row r="754" spans="1:58" ht="16" x14ac:dyDescent="0.35">
      <c r="A754" s="37"/>
      <c r="B754" s="38"/>
      <c r="C754" s="38"/>
      <c r="D754" s="38"/>
      <c r="E754" s="38"/>
      <c r="F754" s="38"/>
      <c r="G754" s="38"/>
      <c r="H754" s="39"/>
      <c r="I754" s="39"/>
      <c r="J754" s="39"/>
      <c r="K754" s="39"/>
      <c r="L754" s="39"/>
      <c r="M754" s="38"/>
      <c r="N754" s="38"/>
      <c r="O754" s="38"/>
      <c r="P754" s="38"/>
      <c r="Q754" s="38"/>
      <c r="R754" s="38"/>
      <c r="S754" s="38"/>
      <c r="T754" s="38"/>
      <c r="U754" s="38"/>
      <c r="V754" s="38"/>
      <c r="W754" s="38"/>
      <c r="X754" s="38"/>
      <c r="Y754" s="39"/>
      <c r="Z754" s="38"/>
      <c r="AA754" s="38"/>
      <c r="AB754" s="40"/>
      <c r="AP754"/>
      <c r="AQ754" s="48"/>
      <c r="AR754" s="48"/>
      <c r="AS754"/>
      <c r="AT754" s="48"/>
      <c r="AU754" s="48"/>
      <c r="AV754"/>
      <c r="AW754" s="49"/>
      <c r="AX754" s="49"/>
      <c r="AY754" s="49"/>
      <c r="AZ754" s="49"/>
      <c r="BA754" s="49"/>
      <c r="BB754" s="48"/>
      <c r="BC754" s="48"/>
      <c r="BD754" s="48"/>
      <c r="BE754" s="48"/>
      <c r="BF754" s="83"/>
    </row>
    <row r="755" spans="1:58" ht="16" x14ac:dyDescent="0.35">
      <c r="A755" s="41"/>
      <c r="B755" s="42"/>
      <c r="C755" s="42"/>
      <c r="D755" s="42"/>
      <c r="E755" s="42"/>
      <c r="F755" s="42"/>
      <c r="G755" s="42"/>
      <c r="H755" s="43"/>
      <c r="I755" s="43"/>
      <c r="J755" s="43"/>
      <c r="K755" s="43"/>
      <c r="L755" s="43"/>
      <c r="M755" s="42"/>
      <c r="N755" s="42"/>
      <c r="O755" s="42"/>
      <c r="P755" s="42"/>
      <c r="Q755" s="42"/>
      <c r="R755" s="42"/>
      <c r="S755" s="42"/>
      <c r="T755" s="42"/>
      <c r="U755" s="42"/>
      <c r="V755" s="42"/>
      <c r="W755" s="42"/>
      <c r="X755" s="42"/>
      <c r="Y755" s="43"/>
      <c r="Z755" s="42"/>
      <c r="AA755" s="42"/>
      <c r="AB755" s="44"/>
      <c r="AP755"/>
      <c r="AQ755" s="52"/>
      <c r="AR755" s="52"/>
      <c r="AS755"/>
      <c r="AT755" s="52"/>
      <c r="AU755" s="52"/>
      <c r="AV755"/>
      <c r="AW755" s="53"/>
      <c r="AX755" s="53"/>
      <c r="AY755" s="53"/>
      <c r="AZ755" s="53"/>
      <c r="BA755" s="53"/>
      <c r="BB755" s="52"/>
      <c r="BC755" s="52"/>
      <c r="BD755" s="52"/>
      <c r="BE755" s="52"/>
      <c r="BF755" s="83"/>
    </row>
    <row r="756" spans="1:58" ht="16" x14ac:dyDescent="0.35">
      <c r="A756" s="37"/>
      <c r="B756" s="38"/>
      <c r="C756" s="38"/>
      <c r="D756" s="38"/>
      <c r="E756" s="38"/>
      <c r="F756" s="38"/>
      <c r="G756" s="38"/>
      <c r="H756" s="39"/>
      <c r="I756" s="39"/>
      <c r="J756" s="39"/>
      <c r="K756" s="39"/>
      <c r="L756" s="39"/>
      <c r="M756" s="38"/>
      <c r="N756" s="38"/>
      <c r="O756" s="38"/>
      <c r="P756" s="38"/>
      <c r="Q756" s="38"/>
      <c r="R756" s="38"/>
      <c r="S756" s="38"/>
      <c r="T756" s="38"/>
      <c r="U756" s="38"/>
      <c r="V756" s="38"/>
      <c r="W756" s="38"/>
      <c r="X756" s="38"/>
      <c r="Y756" s="39"/>
      <c r="Z756" s="38"/>
      <c r="AA756" s="38"/>
      <c r="AB756" s="40"/>
      <c r="AP756"/>
      <c r="AQ756" s="48"/>
      <c r="AR756" s="48"/>
      <c r="AS756"/>
      <c r="AT756" s="48"/>
      <c r="AU756" s="48"/>
      <c r="AV756"/>
      <c r="AW756" s="49"/>
      <c r="AX756" s="49"/>
      <c r="AY756" s="49"/>
      <c r="AZ756" s="49"/>
      <c r="BA756" s="49"/>
      <c r="BB756" s="48"/>
      <c r="BC756" s="48"/>
      <c r="BD756" s="48"/>
      <c r="BE756" s="48"/>
      <c r="BF756" s="83"/>
    </row>
    <row r="757" spans="1:58" ht="16" x14ac:dyDescent="0.35">
      <c r="A757" s="41"/>
      <c r="B757" s="42"/>
      <c r="C757" s="42"/>
      <c r="D757" s="42"/>
      <c r="E757" s="42"/>
      <c r="F757" s="42"/>
      <c r="G757" s="42"/>
      <c r="H757" s="43"/>
      <c r="I757" s="43"/>
      <c r="J757" s="43"/>
      <c r="K757" s="43"/>
      <c r="L757" s="43"/>
      <c r="M757" s="42"/>
      <c r="N757" s="42"/>
      <c r="O757" s="42"/>
      <c r="P757" s="42"/>
      <c r="Q757" s="42"/>
      <c r="R757" s="42"/>
      <c r="S757" s="42"/>
      <c r="T757" s="42"/>
      <c r="U757" s="42"/>
      <c r="V757" s="42"/>
      <c r="W757" s="42"/>
      <c r="X757" s="42"/>
      <c r="Y757" s="43"/>
      <c r="Z757" s="42"/>
      <c r="AA757" s="42"/>
      <c r="AB757" s="44"/>
      <c r="AP757"/>
      <c r="AQ757" s="52"/>
      <c r="AR757" s="52"/>
      <c r="AS757"/>
      <c r="AT757" s="52"/>
      <c r="AU757" s="52"/>
      <c r="AV757"/>
      <c r="AW757" s="53"/>
      <c r="AX757" s="53"/>
      <c r="AY757" s="53"/>
      <c r="AZ757" s="53"/>
      <c r="BA757" s="53"/>
      <c r="BB757" s="52"/>
      <c r="BC757" s="52"/>
      <c r="BD757" s="52"/>
      <c r="BE757" s="52"/>
      <c r="BF757" s="83"/>
    </row>
    <row r="758" spans="1:58" ht="16" x14ac:dyDescent="0.35">
      <c r="A758" s="37"/>
      <c r="B758" s="38"/>
      <c r="C758" s="38"/>
      <c r="D758" s="38"/>
      <c r="E758" s="38"/>
      <c r="F758" s="38"/>
      <c r="G758" s="38"/>
      <c r="H758" s="39"/>
      <c r="I758" s="39"/>
      <c r="J758" s="39"/>
      <c r="K758" s="39"/>
      <c r="L758" s="39"/>
      <c r="M758" s="38"/>
      <c r="N758" s="38"/>
      <c r="O758" s="38"/>
      <c r="P758" s="38"/>
      <c r="Q758" s="38"/>
      <c r="R758" s="38"/>
      <c r="S758" s="38"/>
      <c r="T758" s="38"/>
      <c r="U758" s="38"/>
      <c r="V758" s="38"/>
      <c r="W758" s="38"/>
      <c r="X758" s="38"/>
      <c r="Y758" s="39"/>
      <c r="Z758" s="38"/>
      <c r="AA758" s="38"/>
      <c r="AB758" s="40"/>
      <c r="AP758"/>
      <c r="AQ758" s="48"/>
      <c r="AR758" s="48"/>
      <c r="AS758"/>
      <c r="AT758" s="48"/>
      <c r="AU758" s="48"/>
      <c r="AV758"/>
      <c r="AW758" s="49"/>
      <c r="AX758" s="49"/>
      <c r="AY758" s="49"/>
      <c r="AZ758" s="49"/>
      <c r="BA758" s="49"/>
      <c r="BB758" s="48"/>
      <c r="BC758" s="48"/>
      <c r="BD758" s="48"/>
      <c r="BE758" s="48"/>
      <c r="BF758" s="83"/>
    </row>
    <row r="759" spans="1:58" ht="16" x14ac:dyDescent="0.35">
      <c r="A759" s="41"/>
      <c r="B759" s="42"/>
      <c r="C759" s="42"/>
      <c r="D759" s="42"/>
      <c r="E759" s="42"/>
      <c r="F759" s="42"/>
      <c r="G759" s="42"/>
      <c r="H759" s="43"/>
      <c r="I759" s="43"/>
      <c r="J759" s="43"/>
      <c r="K759" s="43"/>
      <c r="L759" s="43"/>
      <c r="M759" s="42"/>
      <c r="N759" s="42"/>
      <c r="O759" s="42"/>
      <c r="P759" s="42"/>
      <c r="Q759" s="42"/>
      <c r="R759" s="42"/>
      <c r="S759" s="42"/>
      <c r="T759" s="42"/>
      <c r="U759" s="42"/>
      <c r="V759" s="42"/>
      <c r="W759" s="42"/>
      <c r="X759" s="42"/>
      <c r="Y759" s="43"/>
      <c r="Z759" s="42"/>
      <c r="AA759" s="42"/>
      <c r="AB759" s="44"/>
      <c r="AP759"/>
      <c r="AQ759" s="52"/>
      <c r="AR759" s="52"/>
      <c r="AS759"/>
      <c r="AT759" s="52"/>
      <c r="AU759" s="52"/>
      <c r="AV759"/>
      <c r="AW759" s="53"/>
      <c r="AX759" s="53"/>
      <c r="AY759" s="53"/>
      <c r="AZ759" s="53"/>
      <c r="BA759" s="53"/>
      <c r="BB759" s="52"/>
      <c r="BC759" s="52"/>
      <c r="BD759" s="52"/>
      <c r="BE759" s="52"/>
      <c r="BF759" s="83"/>
    </row>
    <row r="760" spans="1:58" ht="16" x14ac:dyDescent="0.35">
      <c r="A760" s="37"/>
      <c r="B760" s="38"/>
      <c r="C760" s="38"/>
      <c r="D760" s="38"/>
      <c r="E760" s="38"/>
      <c r="F760" s="38"/>
      <c r="G760" s="38"/>
      <c r="H760" s="39"/>
      <c r="I760" s="39"/>
      <c r="J760" s="39"/>
      <c r="K760" s="39"/>
      <c r="L760" s="39"/>
      <c r="M760" s="38"/>
      <c r="N760" s="38"/>
      <c r="O760" s="38"/>
      <c r="P760" s="38"/>
      <c r="Q760" s="38"/>
      <c r="R760" s="38"/>
      <c r="S760" s="38"/>
      <c r="T760" s="38"/>
      <c r="U760" s="38"/>
      <c r="V760" s="38"/>
      <c r="W760" s="38"/>
      <c r="X760" s="38"/>
      <c r="Y760" s="39"/>
      <c r="Z760" s="38"/>
      <c r="AA760" s="38"/>
      <c r="AB760" s="40"/>
      <c r="AP760"/>
      <c r="AQ760" s="48"/>
      <c r="AR760" s="48"/>
      <c r="AS760"/>
      <c r="AT760" s="48"/>
      <c r="AU760" s="48"/>
      <c r="AV760"/>
      <c r="AW760" s="49"/>
      <c r="AX760" s="49"/>
      <c r="AY760" s="49"/>
      <c r="AZ760" s="49"/>
      <c r="BA760" s="49"/>
      <c r="BB760" s="48"/>
      <c r="BC760" s="48"/>
      <c r="BD760" s="48"/>
      <c r="BE760" s="48"/>
      <c r="BF760" s="83"/>
    </row>
    <row r="761" spans="1:58" ht="16" x14ac:dyDescent="0.35">
      <c r="A761" s="41"/>
      <c r="B761" s="42"/>
      <c r="C761" s="42"/>
      <c r="D761" s="42"/>
      <c r="E761" s="42"/>
      <c r="F761" s="42"/>
      <c r="G761" s="42"/>
      <c r="H761" s="43"/>
      <c r="I761" s="43"/>
      <c r="J761" s="43"/>
      <c r="K761" s="43"/>
      <c r="L761" s="43"/>
      <c r="M761" s="42"/>
      <c r="N761" s="42"/>
      <c r="O761" s="42"/>
      <c r="P761" s="42"/>
      <c r="Q761" s="42"/>
      <c r="R761" s="42"/>
      <c r="S761" s="42"/>
      <c r="T761" s="42"/>
      <c r="U761" s="42"/>
      <c r="V761" s="42"/>
      <c r="W761" s="42"/>
      <c r="X761" s="42"/>
      <c r="Y761" s="43"/>
      <c r="Z761" s="42"/>
      <c r="AA761" s="42"/>
      <c r="AB761" s="44"/>
      <c r="AP761"/>
      <c r="AQ761" s="52"/>
      <c r="AR761" s="52"/>
      <c r="AS761"/>
      <c r="AT761" s="52"/>
      <c r="AU761" s="52"/>
      <c r="AV761"/>
      <c r="AW761" s="53"/>
      <c r="AX761" s="53"/>
      <c r="AY761" s="53"/>
      <c r="AZ761" s="53"/>
      <c r="BA761" s="53"/>
      <c r="BB761" s="52"/>
      <c r="BC761" s="52"/>
      <c r="BD761" s="52"/>
      <c r="BE761" s="52"/>
      <c r="BF761" s="83"/>
    </row>
    <row r="762" spans="1:58" ht="16" x14ac:dyDescent="0.35">
      <c r="A762" s="37"/>
      <c r="B762" s="38"/>
      <c r="C762" s="38"/>
      <c r="D762" s="38"/>
      <c r="E762" s="38"/>
      <c r="F762" s="38"/>
      <c r="G762" s="38"/>
      <c r="H762" s="39"/>
      <c r="I762" s="39"/>
      <c r="J762" s="39"/>
      <c r="K762" s="39"/>
      <c r="L762" s="39"/>
      <c r="M762" s="38"/>
      <c r="N762" s="38"/>
      <c r="O762" s="38"/>
      <c r="P762" s="38"/>
      <c r="Q762" s="38"/>
      <c r="R762" s="38"/>
      <c r="S762" s="38"/>
      <c r="T762" s="38"/>
      <c r="U762" s="38"/>
      <c r="V762" s="38"/>
      <c r="W762" s="38"/>
      <c r="X762" s="38"/>
      <c r="Y762" s="39"/>
      <c r="Z762" s="38"/>
      <c r="AA762" s="38"/>
      <c r="AB762" s="40"/>
      <c r="AP762"/>
      <c r="AQ762" s="48"/>
      <c r="AR762" s="48"/>
      <c r="AS762"/>
      <c r="AT762" s="48"/>
      <c r="AU762" s="48"/>
      <c r="AV762"/>
      <c r="AW762" s="49"/>
      <c r="AX762" s="49"/>
      <c r="AY762" s="49"/>
      <c r="AZ762" s="49"/>
      <c r="BA762" s="49"/>
      <c r="BB762" s="48"/>
      <c r="BC762" s="48"/>
      <c r="BD762" s="48"/>
      <c r="BE762" s="48"/>
      <c r="BF762" s="83"/>
    </row>
    <row r="763" spans="1:58" ht="16" x14ac:dyDescent="0.35">
      <c r="A763" s="41"/>
      <c r="B763" s="42"/>
      <c r="C763" s="42"/>
      <c r="D763" s="42"/>
      <c r="E763" s="42"/>
      <c r="F763" s="42"/>
      <c r="G763" s="42"/>
      <c r="H763" s="43"/>
      <c r="I763" s="43"/>
      <c r="J763" s="43"/>
      <c r="K763" s="43"/>
      <c r="L763" s="43"/>
      <c r="M763" s="42"/>
      <c r="N763" s="42"/>
      <c r="O763" s="42"/>
      <c r="P763" s="42"/>
      <c r="Q763" s="42"/>
      <c r="R763" s="42"/>
      <c r="S763" s="42"/>
      <c r="T763" s="42"/>
      <c r="U763" s="42"/>
      <c r="V763" s="42"/>
      <c r="W763" s="42"/>
      <c r="X763" s="42"/>
      <c r="Y763" s="43"/>
      <c r="Z763" s="42"/>
      <c r="AA763" s="42"/>
      <c r="AB763" s="44"/>
      <c r="AP763"/>
      <c r="AQ763" s="52"/>
      <c r="AR763" s="52"/>
      <c r="AS763"/>
      <c r="AT763" s="52"/>
      <c r="AU763" s="52"/>
      <c r="AV763"/>
      <c r="AW763" s="53"/>
      <c r="AX763" s="53"/>
      <c r="AY763" s="53"/>
      <c r="AZ763" s="53"/>
      <c r="BA763" s="53"/>
      <c r="BB763" s="52"/>
      <c r="BC763" s="52"/>
      <c r="BD763" s="52"/>
      <c r="BE763" s="52"/>
      <c r="BF763" s="83"/>
    </row>
    <row r="764" spans="1:58" ht="16" x14ac:dyDescent="0.35">
      <c r="A764" s="37"/>
      <c r="B764" s="38"/>
      <c r="C764" s="38"/>
      <c r="D764" s="38"/>
      <c r="E764" s="38"/>
      <c r="F764" s="38"/>
      <c r="G764" s="38"/>
      <c r="H764" s="39"/>
      <c r="I764" s="39"/>
      <c r="J764" s="39"/>
      <c r="K764" s="39"/>
      <c r="L764" s="39"/>
      <c r="M764" s="38"/>
      <c r="N764" s="38"/>
      <c r="O764" s="38"/>
      <c r="P764" s="38"/>
      <c r="Q764" s="38"/>
      <c r="R764" s="38"/>
      <c r="S764" s="38"/>
      <c r="T764" s="38"/>
      <c r="U764" s="38"/>
      <c r="V764" s="38"/>
      <c r="W764" s="38"/>
      <c r="X764" s="38"/>
      <c r="Y764" s="39"/>
      <c r="Z764" s="38"/>
      <c r="AA764" s="38"/>
      <c r="AB764" s="40"/>
      <c r="AP764"/>
      <c r="AQ764" s="48"/>
      <c r="AR764" s="48"/>
      <c r="AS764"/>
      <c r="AT764" s="48"/>
      <c r="AU764" s="48"/>
      <c r="AV764"/>
      <c r="AW764" s="49"/>
      <c r="AX764" s="49"/>
      <c r="AY764" s="49"/>
      <c r="AZ764" s="49"/>
      <c r="BA764" s="49"/>
      <c r="BB764" s="48"/>
      <c r="BC764" s="48"/>
      <c r="BD764" s="48"/>
      <c r="BE764" s="48"/>
      <c r="BF764" s="83"/>
    </row>
    <row r="765" spans="1:58" ht="16" x14ac:dyDescent="0.35">
      <c r="A765" s="41"/>
      <c r="B765" s="42"/>
      <c r="C765" s="42"/>
      <c r="D765" s="42"/>
      <c r="E765" s="42"/>
      <c r="F765" s="42"/>
      <c r="G765" s="42"/>
      <c r="H765" s="43"/>
      <c r="I765" s="43"/>
      <c r="J765" s="43"/>
      <c r="K765" s="43"/>
      <c r="L765" s="43"/>
      <c r="M765" s="42"/>
      <c r="N765" s="42"/>
      <c r="O765" s="42"/>
      <c r="P765" s="42"/>
      <c r="Q765" s="42"/>
      <c r="R765" s="42"/>
      <c r="S765" s="42"/>
      <c r="T765" s="42"/>
      <c r="U765" s="42"/>
      <c r="V765" s="42"/>
      <c r="W765" s="42"/>
      <c r="X765" s="42"/>
      <c r="Y765" s="43"/>
      <c r="Z765" s="42"/>
      <c r="AA765" s="42"/>
      <c r="AB765" s="44"/>
      <c r="AP765"/>
      <c r="AQ765" s="52"/>
      <c r="AR765" s="52"/>
      <c r="AS765"/>
      <c r="AT765" s="52"/>
      <c r="AU765" s="52"/>
      <c r="AV765"/>
      <c r="AW765" s="53"/>
      <c r="AX765" s="53"/>
      <c r="AY765" s="53"/>
      <c r="AZ765" s="53"/>
      <c r="BA765" s="53"/>
      <c r="BB765" s="52"/>
      <c r="BC765" s="52"/>
      <c r="BD765" s="52"/>
      <c r="BE765" s="52"/>
      <c r="BF765" s="83"/>
    </row>
    <row r="766" spans="1:58" ht="16" x14ac:dyDescent="0.35">
      <c r="A766" s="37"/>
      <c r="B766" s="38"/>
      <c r="C766" s="38"/>
      <c r="D766" s="38"/>
      <c r="E766" s="38"/>
      <c r="F766" s="38"/>
      <c r="G766" s="38"/>
      <c r="H766" s="39"/>
      <c r="I766" s="39"/>
      <c r="J766" s="39"/>
      <c r="K766" s="39"/>
      <c r="L766" s="39"/>
      <c r="M766" s="38"/>
      <c r="N766" s="38"/>
      <c r="O766" s="38"/>
      <c r="P766" s="38"/>
      <c r="Q766" s="38"/>
      <c r="R766" s="38"/>
      <c r="S766" s="38"/>
      <c r="T766" s="38"/>
      <c r="U766" s="38"/>
      <c r="V766" s="38"/>
      <c r="W766" s="38"/>
      <c r="X766" s="38"/>
      <c r="Y766" s="39"/>
      <c r="Z766" s="38"/>
      <c r="AA766" s="38"/>
      <c r="AB766" s="40"/>
      <c r="AP766"/>
      <c r="AQ766" s="48"/>
      <c r="AR766" s="48"/>
      <c r="AS766"/>
      <c r="AT766" s="48"/>
      <c r="AU766" s="48"/>
      <c r="AV766"/>
      <c r="AW766" s="49"/>
      <c r="AX766" s="49"/>
      <c r="AY766" s="49"/>
      <c r="AZ766" s="49"/>
      <c r="BA766" s="49"/>
      <c r="BB766" s="48"/>
      <c r="BC766" s="48"/>
      <c r="BD766" s="48"/>
      <c r="BE766" s="48"/>
      <c r="BF766" s="83"/>
    </row>
    <row r="767" spans="1:58" ht="16" x14ac:dyDescent="0.35">
      <c r="A767" s="41"/>
      <c r="B767" s="42"/>
      <c r="C767" s="42"/>
      <c r="D767" s="42"/>
      <c r="E767" s="42"/>
      <c r="F767" s="42"/>
      <c r="G767" s="42"/>
      <c r="H767" s="43"/>
      <c r="I767" s="43"/>
      <c r="J767" s="43"/>
      <c r="K767" s="43"/>
      <c r="L767" s="43"/>
      <c r="M767" s="42"/>
      <c r="N767" s="42"/>
      <c r="O767" s="42"/>
      <c r="P767" s="42"/>
      <c r="Q767" s="42"/>
      <c r="R767" s="42"/>
      <c r="S767" s="42"/>
      <c r="T767" s="42"/>
      <c r="U767" s="42"/>
      <c r="V767" s="42"/>
      <c r="W767" s="42"/>
      <c r="X767" s="42"/>
      <c r="Y767" s="43"/>
      <c r="Z767" s="42"/>
      <c r="AA767" s="42"/>
      <c r="AB767" s="44"/>
      <c r="AP767"/>
      <c r="AQ767" s="52"/>
      <c r="AR767" s="52"/>
      <c r="AS767"/>
      <c r="AT767" s="52"/>
      <c r="AU767" s="52"/>
      <c r="AV767"/>
      <c r="AW767" s="53"/>
      <c r="AX767" s="53"/>
      <c r="AY767" s="53"/>
      <c r="AZ767" s="53"/>
      <c r="BA767" s="53"/>
      <c r="BB767" s="52"/>
      <c r="BC767" s="52"/>
      <c r="BD767" s="52"/>
      <c r="BE767" s="52"/>
      <c r="BF767" s="83"/>
    </row>
    <row r="768" spans="1:58" ht="16" x14ac:dyDescent="0.35">
      <c r="A768" s="37"/>
      <c r="B768" s="38"/>
      <c r="C768" s="38"/>
      <c r="D768" s="38"/>
      <c r="E768" s="38"/>
      <c r="F768" s="38"/>
      <c r="G768" s="38"/>
      <c r="H768" s="39"/>
      <c r="I768" s="39"/>
      <c r="J768" s="39"/>
      <c r="K768" s="39"/>
      <c r="L768" s="39"/>
      <c r="M768" s="38"/>
      <c r="N768" s="38"/>
      <c r="O768" s="38"/>
      <c r="P768" s="38"/>
      <c r="Q768" s="38"/>
      <c r="R768" s="38"/>
      <c r="S768" s="38"/>
      <c r="T768" s="38"/>
      <c r="U768" s="38"/>
      <c r="V768" s="38"/>
      <c r="W768" s="38"/>
      <c r="X768" s="38"/>
      <c r="Y768" s="39"/>
      <c r="Z768" s="38"/>
      <c r="AA768" s="38"/>
      <c r="AB768" s="40"/>
      <c r="AP768"/>
      <c r="AQ768" s="48"/>
      <c r="AR768" s="48"/>
      <c r="AS768"/>
      <c r="AT768" s="48"/>
      <c r="AU768" s="48"/>
      <c r="AV768"/>
      <c r="AW768" s="49"/>
      <c r="AX768" s="49"/>
      <c r="AY768" s="49"/>
      <c r="AZ768" s="49"/>
      <c r="BA768" s="49"/>
      <c r="BB768" s="48"/>
      <c r="BC768" s="48"/>
      <c r="BD768" s="48"/>
      <c r="BE768" s="48"/>
      <c r="BF768" s="83"/>
    </row>
    <row r="769" spans="1:58" ht="16" x14ac:dyDescent="0.35">
      <c r="A769" s="41"/>
      <c r="B769" s="42"/>
      <c r="C769" s="42"/>
      <c r="D769" s="42"/>
      <c r="E769" s="42"/>
      <c r="F769" s="42"/>
      <c r="G769" s="42"/>
      <c r="H769" s="43"/>
      <c r="I769" s="43"/>
      <c r="J769" s="43"/>
      <c r="K769" s="43"/>
      <c r="L769" s="43"/>
      <c r="M769" s="42"/>
      <c r="N769" s="42"/>
      <c r="O769" s="42"/>
      <c r="P769" s="42"/>
      <c r="Q769" s="42"/>
      <c r="R769" s="42"/>
      <c r="S769" s="42"/>
      <c r="T769" s="42"/>
      <c r="U769" s="42"/>
      <c r="V769" s="42"/>
      <c r="W769" s="42"/>
      <c r="X769" s="42"/>
      <c r="Y769" s="43"/>
      <c r="Z769" s="42"/>
      <c r="AA769" s="42"/>
      <c r="AB769" s="44"/>
      <c r="AP769"/>
      <c r="AQ769" s="52"/>
      <c r="AR769" s="52"/>
      <c r="AS769"/>
      <c r="AT769" s="52"/>
      <c r="AU769" s="52"/>
      <c r="AV769"/>
      <c r="AW769" s="53"/>
      <c r="AX769" s="53"/>
      <c r="AY769" s="53"/>
      <c r="AZ769" s="53"/>
      <c r="BA769" s="53"/>
      <c r="BB769" s="52"/>
      <c r="BC769" s="52"/>
      <c r="BD769" s="52"/>
      <c r="BE769" s="52"/>
      <c r="BF769" s="83"/>
    </row>
    <row r="770" spans="1:58" ht="16" x14ac:dyDescent="0.35">
      <c r="A770" s="37"/>
      <c r="B770" s="38"/>
      <c r="C770" s="38"/>
      <c r="D770" s="38"/>
      <c r="E770" s="38"/>
      <c r="F770" s="38"/>
      <c r="G770" s="38"/>
      <c r="H770" s="39"/>
      <c r="I770" s="39"/>
      <c r="J770" s="39"/>
      <c r="K770" s="39"/>
      <c r="L770" s="39"/>
      <c r="M770" s="38"/>
      <c r="N770" s="38"/>
      <c r="O770" s="38"/>
      <c r="P770" s="38"/>
      <c r="Q770" s="38"/>
      <c r="R770" s="38"/>
      <c r="S770" s="38"/>
      <c r="T770" s="38"/>
      <c r="U770" s="38"/>
      <c r="V770" s="38"/>
      <c r="W770" s="38"/>
      <c r="X770" s="38"/>
      <c r="Y770" s="39"/>
      <c r="Z770" s="38"/>
      <c r="AA770" s="38"/>
      <c r="AB770" s="40"/>
      <c r="AP770"/>
      <c r="AQ770" s="48"/>
      <c r="AR770" s="48"/>
      <c r="AS770"/>
      <c r="AT770" s="48"/>
      <c r="AU770" s="48"/>
      <c r="AV770"/>
      <c r="AW770" s="49"/>
      <c r="AX770" s="49"/>
      <c r="AY770" s="49"/>
      <c r="AZ770" s="49"/>
      <c r="BA770" s="49"/>
      <c r="BB770" s="48"/>
      <c r="BC770" s="48"/>
      <c r="BD770" s="48"/>
      <c r="BE770" s="48"/>
      <c r="BF770" s="83"/>
    </row>
    <row r="771" spans="1:58" ht="16" x14ac:dyDescent="0.35">
      <c r="A771" s="41"/>
      <c r="B771" s="42"/>
      <c r="C771" s="42"/>
      <c r="D771" s="42"/>
      <c r="E771" s="42"/>
      <c r="F771" s="42"/>
      <c r="G771" s="42"/>
      <c r="H771" s="43"/>
      <c r="I771" s="43"/>
      <c r="J771" s="43"/>
      <c r="K771" s="43"/>
      <c r="L771" s="43"/>
      <c r="M771" s="42"/>
      <c r="N771" s="42"/>
      <c r="O771" s="42"/>
      <c r="P771" s="42"/>
      <c r="Q771" s="42"/>
      <c r="R771" s="42"/>
      <c r="S771" s="42"/>
      <c r="T771" s="42"/>
      <c r="U771" s="42"/>
      <c r="V771" s="42"/>
      <c r="W771" s="42"/>
      <c r="X771" s="42"/>
      <c r="Y771" s="43"/>
      <c r="Z771" s="42"/>
      <c r="AA771" s="42"/>
      <c r="AB771" s="44"/>
      <c r="AP771"/>
      <c r="AQ771" s="52"/>
      <c r="AR771" s="52"/>
      <c r="AS771"/>
      <c r="AT771" s="52"/>
      <c r="AU771" s="52"/>
      <c r="AV771"/>
      <c r="AW771" s="53"/>
      <c r="AX771" s="53"/>
      <c r="AY771" s="53"/>
      <c r="AZ771" s="53"/>
      <c r="BA771" s="53"/>
      <c r="BB771" s="52"/>
      <c r="BC771" s="52"/>
      <c r="BD771" s="52"/>
      <c r="BE771" s="52"/>
      <c r="BF771" s="83"/>
    </row>
    <row r="772" spans="1:58" ht="16" x14ac:dyDescent="0.35">
      <c r="A772" s="37"/>
      <c r="B772" s="38"/>
      <c r="C772" s="38"/>
      <c r="D772" s="38"/>
      <c r="E772" s="38"/>
      <c r="F772" s="38"/>
      <c r="G772" s="38"/>
      <c r="H772" s="39"/>
      <c r="I772" s="39"/>
      <c r="J772" s="39"/>
      <c r="K772" s="39"/>
      <c r="L772" s="39"/>
      <c r="M772" s="38"/>
      <c r="N772" s="38"/>
      <c r="O772" s="38"/>
      <c r="P772" s="38"/>
      <c r="Q772" s="38"/>
      <c r="R772" s="38"/>
      <c r="S772" s="38"/>
      <c r="T772" s="38"/>
      <c r="U772" s="38"/>
      <c r="V772" s="38"/>
      <c r="W772" s="38"/>
      <c r="X772" s="38"/>
      <c r="Y772" s="39"/>
      <c r="Z772" s="38"/>
      <c r="AA772" s="38"/>
      <c r="AB772" s="40"/>
      <c r="AP772"/>
      <c r="AQ772" s="48"/>
      <c r="AR772" s="48"/>
      <c r="AS772"/>
      <c r="AT772" s="48"/>
      <c r="AU772" s="48"/>
      <c r="AV772"/>
      <c r="AW772" s="49"/>
      <c r="AX772" s="49"/>
      <c r="AY772" s="49"/>
      <c r="AZ772" s="49"/>
      <c r="BA772" s="49"/>
      <c r="BB772" s="48"/>
      <c r="BC772" s="48"/>
      <c r="BD772" s="48"/>
      <c r="BE772" s="48"/>
      <c r="BF772" s="83"/>
    </row>
    <row r="773" spans="1:58" ht="16" x14ac:dyDescent="0.35">
      <c r="A773" s="41"/>
      <c r="B773" s="42"/>
      <c r="C773" s="42"/>
      <c r="D773" s="42"/>
      <c r="E773" s="42"/>
      <c r="F773" s="42"/>
      <c r="G773" s="42"/>
      <c r="H773" s="43"/>
      <c r="I773" s="43"/>
      <c r="J773" s="43"/>
      <c r="K773" s="43"/>
      <c r="L773" s="43"/>
      <c r="M773" s="42"/>
      <c r="N773" s="42"/>
      <c r="O773" s="42"/>
      <c r="P773" s="42"/>
      <c r="Q773" s="42"/>
      <c r="R773" s="42"/>
      <c r="S773" s="42"/>
      <c r="T773" s="42"/>
      <c r="U773" s="42"/>
      <c r="V773" s="42"/>
      <c r="W773" s="42"/>
      <c r="X773" s="42"/>
      <c r="Y773" s="43"/>
      <c r="Z773" s="42"/>
      <c r="AA773" s="42"/>
      <c r="AB773" s="44"/>
      <c r="AP773"/>
      <c r="AQ773" s="52"/>
      <c r="AR773" s="52"/>
      <c r="AS773"/>
      <c r="AT773" s="52"/>
      <c r="AU773" s="52"/>
      <c r="AV773"/>
      <c r="AW773" s="53"/>
      <c r="AX773" s="53"/>
      <c r="AY773" s="53"/>
      <c r="AZ773" s="53"/>
      <c r="BA773" s="53"/>
      <c r="BB773" s="52"/>
      <c r="BC773" s="52"/>
      <c r="BD773" s="52"/>
      <c r="BE773" s="52"/>
      <c r="BF773" s="83"/>
    </row>
    <row r="774" spans="1:58" ht="16" x14ac:dyDescent="0.35">
      <c r="A774" s="37"/>
      <c r="B774" s="38"/>
      <c r="C774" s="38"/>
      <c r="D774" s="38"/>
      <c r="E774" s="38"/>
      <c r="F774" s="38"/>
      <c r="G774" s="38"/>
      <c r="H774" s="39"/>
      <c r="I774" s="39"/>
      <c r="J774" s="39"/>
      <c r="K774" s="39"/>
      <c r="L774" s="39"/>
      <c r="M774" s="38"/>
      <c r="N774" s="38"/>
      <c r="O774" s="38"/>
      <c r="P774" s="38"/>
      <c r="Q774" s="38"/>
      <c r="R774" s="38"/>
      <c r="S774" s="38"/>
      <c r="T774" s="38"/>
      <c r="U774" s="38"/>
      <c r="V774" s="38"/>
      <c r="W774" s="38"/>
      <c r="X774" s="38"/>
      <c r="Y774" s="39"/>
      <c r="Z774" s="38"/>
      <c r="AA774" s="38"/>
      <c r="AB774" s="40"/>
      <c r="AP774"/>
      <c r="AQ774" s="48"/>
      <c r="AR774" s="48"/>
      <c r="AS774"/>
      <c r="AT774" s="48"/>
      <c r="AU774" s="48"/>
      <c r="AV774"/>
      <c r="AW774" s="49"/>
      <c r="AX774" s="49"/>
      <c r="AY774" s="49"/>
      <c r="AZ774" s="49"/>
      <c r="BA774" s="49"/>
      <c r="BB774" s="48"/>
      <c r="BC774" s="48"/>
      <c r="BD774" s="48"/>
      <c r="BE774" s="48"/>
      <c r="BF774" s="83"/>
    </row>
    <row r="775" spans="1:58" ht="16" x14ac:dyDescent="0.35">
      <c r="A775" s="41"/>
      <c r="B775" s="42"/>
      <c r="C775" s="42"/>
      <c r="D775" s="42"/>
      <c r="E775" s="42"/>
      <c r="F775" s="42"/>
      <c r="G775" s="42"/>
      <c r="H775" s="43"/>
      <c r="I775" s="43"/>
      <c r="J775" s="43"/>
      <c r="K775" s="43"/>
      <c r="L775" s="43"/>
      <c r="M775" s="42"/>
      <c r="N775" s="42"/>
      <c r="O775" s="42"/>
      <c r="P775" s="42"/>
      <c r="Q775" s="42"/>
      <c r="R775" s="42"/>
      <c r="S775" s="42"/>
      <c r="T775" s="42"/>
      <c r="U775" s="42"/>
      <c r="V775" s="42"/>
      <c r="W775" s="42"/>
      <c r="X775" s="42"/>
      <c r="Y775" s="43"/>
      <c r="Z775" s="42"/>
      <c r="AA775" s="42"/>
      <c r="AB775" s="44"/>
      <c r="AP775"/>
      <c r="AQ775" s="52"/>
      <c r="AR775" s="52"/>
      <c r="AS775"/>
      <c r="AT775" s="52"/>
      <c r="AU775" s="52"/>
      <c r="AV775"/>
      <c r="AW775" s="53"/>
      <c r="AX775" s="53"/>
      <c r="AY775" s="53"/>
      <c r="AZ775" s="53"/>
      <c r="BA775" s="53"/>
      <c r="BB775" s="52"/>
      <c r="BC775" s="52"/>
      <c r="BD775" s="52"/>
      <c r="BE775" s="52"/>
      <c r="BF775" s="83"/>
    </row>
    <row r="776" spans="1:58" ht="16" x14ac:dyDescent="0.35">
      <c r="A776" s="37"/>
      <c r="B776" s="38"/>
      <c r="C776" s="38"/>
      <c r="D776" s="38"/>
      <c r="E776" s="38"/>
      <c r="F776" s="38"/>
      <c r="G776" s="38"/>
      <c r="H776" s="39"/>
      <c r="I776" s="39"/>
      <c r="J776" s="39"/>
      <c r="K776" s="39"/>
      <c r="L776" s="39"/>
      <c r="M776" s="38"/>
      <c r="N776" s="38"/>
      <c r="O776" s="38"/>
      <c r="P776" s="38"/>
      <c r="Q776" s="38"/>
      <c r="R776" s="38"/>
      <c r="S776" s="38"/>
      <c r="T776" s="38"/>
      <c r="U776" s="38"/>
      <c r="V776" s="38"/>
      <c r="W776" s="38"/>
      <c r="X776" s="38"/>
      <c r="Y776" s="39"/>
      <c r="Z776" s="38"/>
      <c r="AA776" s="38"/>
      <c r="AB776" s="40"/>
      <c r="AP776"/>
      <c r="AQ776" s="48"/>
      <c r="AR776" s="48"/>
      <c r="AS776"/>
      <c r="AT776" s="48"/>
      <c r="AU776" s="48"/>
      <c r="AV776"/>
      <c r="AW776" s="49"/>
      <c r="AX776" s="49"/>
      <c r="AY776" s="49"/>
      <c r="AZ776" s="49"/>
      <c r="BA776" s="49"/>
      <c r="BB776" s="48"/>
      <c r="BC776" s="48"/>
      <c r="BD776" s="48"/>
      <c r="BE776" s="48"/>
      <c r="BF776" s="83"/>
    </row>
    <row r="777" spans="1:58" ht="16" x14ac:dyDescent="0.35">
      <c r="A777" s="41"/>
      <c r="B777" s="42"/>
      <c r="C777" s="42"/>
      <c r="D777" s="42"/>
      <c r="E777" s="42"/>
      <c r="F777" s="42"/>
      <c r="G777" s="42"/>
      <c r="H777" s="43"/>
      <c r="I777" s="43"/>
      <c r="J777" s="43"/>
      <c r="K777" s="43"/>
      <c r="L777" s="43"/>
      <c r="M777" s="42"/>
      <c r="N777" s="42"/>
      <c r="O777" s="42"/>
      <c r="P777" s="42"/>
      <c r="Q777" s="42"/>
      <c r="R777" s="42"/>
      <c r="S777" s="42"/>
      <c r="T777" s="42"/>
      <c r="U777" s="42"/>
      <c r="V777" s="42"/>
      <c r="W777" s="42"/>
      <c r="X777" s="42"/>
      <c r="Y777" s="43"/>
      <c r="Z777" s="42"/>
      <c r="AA777" s="42"/>
      <c r="AB777" s="44"/>
      <c r="AP777"/>
      <c r="AQ777" s="52"/>
      <c r="AR777" s="52"/>
      <c r="AS777"/>
      <c r="AT777" s="52"/>
      <c r="AU777" s="52"/>
      <c r="AV777"/>
      <c r="AW777" s="53"/>
      <c r="AX777" s="53"/>
      <c r="AY777" s="53"/>
      <c r="AZ777" s="53"/>
      <c r="BA777" s="53"/>
      <c r="BB777" s="52"/>
      <c r="BC777" s="52"/>
      <c r="BD777" s="52"/>
      <c r="BE777" s="52"/>
      <c r="BF777" s="83"/>
    </row>
    <row r="778" spans="1:58" ht="16" x14ac:dyDescent="0.35">
      <c r="A778" s="37"/>
      <c r="B778" s="38"/>
      <c r="C778" s="38"/>
      <c r="D778" s="38"/>
      <c r="E778" s="38"/>
      <c r="F778" s="38"/>
      <c r="G778" s="38"/>
      <c r="H778" s="39"/>
      <c r="I778" s="39"/>
      <c r="J778" s="39"/>
      <c r="K778" s="39"/>
      <c r="L778" s="39"/>
      <c r="M778" s="38"/>
      <c r="N778" s="38"/>
      <c r="O778" s="38"/>
      <c r="P778" s="38"/>
      <c r="Q778" s="38"/>
      <c r="R778" s="38"/>
      <c r="S778" s="38"/>
      <c r="T778" s="38"/>
      <c r="U778" s="38"/>
      <c r="V778" s="38"/>
      <c r="W778" s="38"/>
      <c r="X778" s="38"/>
      <c r="Y778" s="39"/>
      <c r="Z778" s="38"/>
      <c r="AA778" s="38"/>
      <c r="AB778" s="40"/>
      <c r="AP778"/>
      <c r="AQ778" s="48"/>
      <c r="AR778" s="48"/>
      <c r="AS778"/>
      <c r="AT778" s="48"/>
      <c r="AU778" s="48"/>
      <c r="AV778"/>
      <c r="AW778" s="49"/>
      <c r="AX778" s="49"/>
      <c r="AY778" s="49"/>
      <c r="AZ778" s="49"/>
      <c r="BA778" s="49"/>
      <c r="BB778" s="48"/>
      <c r="BC778" s="48"/>
      <c r="BD778" s="48"/>
      <c r="BE778" s="48"/>
      <c r="BF778" s="83"/>
    </row>
    <row r="779" spans="1:58" ht="16" x14ac:dyDescent="0.35">
      <c r="A779" s="41"/>
      <c r="B779" s="42"/>
      <c r="C779" s="42"/>
      <c r="D779" s="42"/>
      <c r="E779" s="42"/>
      <c r="F779" s="42"/>
      <c r="G779" s="42"/>
      <c r="H779" s="43"/>
      <c r="I779" s="43"/>
      <c r="J779" s="43"/>
      <c r="K779" s="43"/>
      <c r="L779" s="43"/>
      <c r="M779" s="42"/>
      <c r="N779" s="42"/>
      <c r="O779" s="42"/>
      <c r="P779" s="42"/>
      <c r="Q779" s="42"/>
      <c r="R779" s="42"/>
      <c r="S779" s="42"/>
      <c r="T779" s="42"/>
      <c r="U779" s="42"/>
      <c r="V779" s="42"/>
      <c r="W779" s="42"/>
      <c r="X779" s="42"/>
      <c r="Y779" s="43"/>
      <c r="Z779" s="42"/>
      <c r="AA779" s="42"/>
      <c r="AB779" s="44"/>
      <c r="AP779"/>
      <c r="AQ779" s="52"/>
      <c r="AR779" s="52"/>
      <c r="AS779"/>
      <c r="AT779" s="52"/>
      <c r="AU779" s="52"/>
      <c r="AV779"/>
      <c r="AW779" s="53"/>
      <c r="AX779" s="53"/>
      <c r="AY779" s="53"/>
      <c r="AZ779" s="53"/>
      <c r="BA779" s="53"/>
      <c r="BB779" s="52"/>
      <c r="BC779" s="52"/>
      <c r="BD779" s="52"/>
      <c r="BE779" s="52"/>
      <c r="BF779" s="83"/>
    </row>
    <row r="780" spans="1:58" ht="16" x14ac:dyDescent="0.35">
      <c r="A780" s="37"/>
      <c r="B780" s="38"/>
      <c r="C780" s="38"/>
      <c r="D780" s="38"/>
      <c r="E780" s="38"/>
      <c r="F780" s="38"/>
      <c r="G780" s="38"/>
      <c r="H780" s="39"/>
      <c r="I780" s="39"/>
      <c r="J780" s="39"/>
      <c r="K780" s="39"/>
      <c r="L780" s="39"/>
      <c r="M780" s="38"/>
      <c r="N780" s="38"/>
      <c r="O780" s="38"/>
      <c r="P780" s="38"/>
      <c r="Q780" s="38"/>
      <c r="R780" s="38"/>
      <c r="S780" s="38"/>
      <c r="T780" s="38"/>
      <c r="U780" s="38"/>
      <c r="V780" s="38"/>
      <c r="W780" s="38"/>
      <c r="X780" s="38"/>
      <c r="Y780" s="39"/>
      <c r="Z780" s="38"/>
      <c r="AA780" s="38"/>
      <c r="AB780" s="40"/>
      <c r="AP780"/>
      <c r="AQ780" s="48"/>
      <c r="AR780" s="48"/>
      <c r="AS780"/>
      <c r="AT780" s="48"/>
      <c r="AU780" s="48"/>
      <c r="AV780"/>
      <c r="AW780" s="49"/>
      <c r="AX780" s="49"/>
      <c r="AY780" s="49"/>
      <c r="AZ780" s="49"/>
      <c r="BA780" s="49"/>
      <c r="BB780" s="48"/>
      <c r="BC780" s="48"/>
      <c r="BD780" s="48"/>
      <c r="BE780" s="48"/>
      <c r="BF780" s="83"/>
    </row>
    <row r="781" spans="1:58" ht="16" x14ac:dyDescent="0.35">
      <c r="A781" s="41"/>
      <c r="B781" s="42"/>
      <c r="C781" s="42"/>
      <c r="D781" s="42"/>
      <c r="E781" s="42"/>
      <c r="F781" s="42"/>
      <c r="G781" s="42"/>
      <c r="H781" s="43"/>
      <c r="I781" s="43"/>
      <c r="J781" s="43"/>
      <c r="K781" s="43"/>
      <c r="L781" s="43"/>
      <c r="M781" s="42"/>
      <c r="N781" s="42"/>
      <c r="O781" s="42"/>
      <c r="P781" s="42"/>
      <c r="Q781" s="42"/>
      <c r="R781" s="42"/>
      <c r="S781" s="42"/>
      <c r="T781" s="42"/>
      <c r="U781" s="42"/>
      <c r="V781" s="42"/>
      <c r="W781" s="42"/>
      <c r="X781" s="42"/>
      <c r="Y781" s="43"/>
      <c r="Z781" s="42"/>
      <c r="AA781" s="42"/>
      <c r="AB781" s="44"/>
      <c r="AP781"/>
      <c r="AQ781" s="52"/>
      <c r="AR781" s="52"/>
      <c r="AS781"/>
      <c r="AT781" s="52"/>
      <c r="AU781" s="52"/>
      <c r="AV781"/>
      <c r="AW781" s="53"/>
      <c r="AX781" s="53"/>
      <c r="AY781" s="53"/>
      <c r="AZ781" s="53"/>
      <c r="BA781" s="53"/>
      <c r="BB781" s="52"/>
      <c r="BC781" s="52"/>
      <c r="BD781" s="52"/>
      <c r="BE781" s="52"/>
      <c r="BF781" s="83"/>
    </row>
    <row r="782" spans="1:58" ht="16" x14ac:dyDescent="0.35">
      <c r="A782" s="37"/>
      <c r="B782" s="38"/>
      <c r="C782" s="38"/>
      <c r="D782" s="38"/>
      <c r="E782" s="38"/>
      <c r="F782" s="38"/>
      <c r="G782" s="38"/>
      <c r="H782" s="39"/>
      <c r="I782" s="39"/>
      <c r="J782" s="39"/>
      <c r="K782" s="39"/>
      <c r="L782" s="39"/>
      <c r="M782" s="38"/>
      <c r="N782" s="38"/>
      <c r="O782" s="38"/>
      <c r="P782" s="38"/>
      <c r="Q782" s="38"/>
      <c r="R782" s="38"/>
      <c r="S782" s="38"/>
      <c r="T782" s="38"/>
      <c r="U782" s="38"/>
      <c r="V782" s="38"/>
      <c r="W782" s="38"/>
      <c r="X782" s="38"/>
      <c r="Y782" s="39"/>
      <c r="Z782" s="38"/>
      <c r="AA782" s="38"/>
      <c r="AB782" s="40"/>
      <c r="AP782"/>
      <c r="AQ782" s="48"/>
      <c r="AR782" s="48"/>
      <c r="AS782"/>
      <c r="AT782" s="48"/>
      <c r="AU782" s="48"/>
      <c r="AV782"/>
      <c r="AW782" s="49"/>
      <c r="AX782" s="49"/>
      <c r="AY782" s="49"/>
      <c r="AZ782" s="49"/>
      <c r="BA782" s="49"/>
      <c r="BB782" s="48"/>
      <c r="BC782" s="48"/>
      <c r="BD782" s="48"/>
      <c r="BE782" s="48"/>
      <c r="BF782" s="83"/>
    </row>
    <row r="783" spans="1:58" ht="16" x14ac:dyDescent="0.35">
      <c r="A783" s="41"/>
      <c r="B783" s="42"/>
      <c r="C783" s="42"/>
      <c r="D783" s="42"/>
      <c r="E783" s="42"/>
      <c r="F783" s="42"/>
      <c r="G783" s="42"/>
      <c r="H783" s="43"/>
      <c r="I783" s="43"/>
      <c r="J783" s="43"/>
      <c r="K783" s="43"/>
      <c r="L783" s="43"/>
      <c r="M783" s="42"/>
      <c r="N783" s="42"/>
      <c r="O783" s="42"/>
      <c r="P783" s="42"/>
      <c r="Q783" s="42"/>
      <c r="R783" s="42"/>
      <c r="S783" s="42"/>
      <c r="T783" s="42"/>
      <c r="U783" s="42"/>
      <c r="V783" s="42"/>
      <c r="W783" s="42"/>
      <c r="X783" s="42"/>
      <c r="Y783" s="43"/>
      <c r="Z783" s="42"/>
      <c r="AA783" s="42"/>
      <c r="AB783" s="44"/>
      <c r="AP783"/>
      <c r="AQ783" s="52"/>
      <c r="AR783" s="52"/>
      <c r="AS783"/>
      <c r="AT783" s="52"/>
      <c r="AU783" s="52"/>
      <c r="AV783"/>
      <c r="AW783" s="53"/>
      <c r="AX783" s="53"/>
      <c r="AY783" s="53"/>
      <c r="AZ783" s="53"/>
      <c r="BA783" s="53"/>
      <c r="BB783" s="52"/>
      <c r="BC783" s="52"/>
      <c r="BD783" s="52"/>
      <c r="BE783" s="52"/>
      <c r="BF783" s="83"/>
    </row>
    <row r="784" spans="1:58" ht="16" x14ac:dyDescent="0.35">
      <c r="A784" s="37"/>
      <c r="B784" s="38"/>
      <c r="C784" s="38"/>
      <c r="D784" s="38"/>
      <c r="E784" s="38"/>
      <c r="F784" s="38"/>
      <c r="G784" s="38"/>
      <c r="H784" s="39"/>
      <c r="I784" s="39"/>
      <c r="J784" s="39"/>
      <c r="K784" s="39"/>
      <c r="L784" s="39"/>
      <c r="M784" s="38"/>
      <c r="N784" s="38"/>
      <c r="O784" s="38"/>
      <c r="P784" s="38"/>
      <c r="Q784" s="38"/>
      <c r="R784" s="38"/>
      <c r="S784" s="38"/>
      <c r="T784" s="38"/>
      <c r="U784" s="38"/>
      <c r="V784" s="38"/>
      <c r="W784" s="38"/>
      <c r="X784" s="38"/>
      <c r="Y784" s="39"/>
      <c r="Z784" s="38"/>
      <c r="AA784" s="38"/>
      <c r="AB784" s="40"/>
      <c r="AP784"/>
      <c r="AQ784" s="48"/>
      <c r="AR784" s="48"/>
      <c r="AS784"/>
      <c r="AT784" s="48"/>
      <c r="AU784" s="48"/>
      <c r="AV784"/>
      <c r="AW784" s="49"/>
      <c r="AX784" s="49"/>
      <c r="AY784" s="49"/>
      <c r="AZ784" s="49"/>
      <c r="BA784" s="49"/>
      <c r="BB784" s="48"/>
      <c r="BC784" s="48"/>
      <c r="BD784" s="48"/>
      <c r="BE784" s="48"/>
      <c r="BF784" s="83"/>
    </row>
    <row r="785" spans="1:58" ht="16" x14ac:dyDescent="0.35">
      <c r="A785" s="41"/>
      <c r="B785" s="42"/>
      <c r="C785" s="42"/>
      <c r="D785" s="42"/>
      <c r="E785" s="42"/>
      <c r="F785" s="42"/>
      <c r="G785" s="42"/>
      <c r="H785" s="43"/>
      <c r="I785" s="43"/>
      <c r="J785" s="43"/>
      <c r="K785" s="43"/>
      <c r="L785" s="43"/>
      <c r="M785" s="42"/>
      <c r="N785" s="42"/>
      <c r="O785" s="42"/>
      <c r="P785" s="42"/>
      <c r="Q785" s="42"/>
      <c r="R785" s="42"/>
      <c r="S785" s="42"/>
      <c r="T785" s="42"/>
      <c r="U785" s="42"/>
      <c r="V785" s="42"/>
      <c r="W785" s="42"/>
      <c r="X785" s="42"/>
      <c r="Y785" s="43"/>
      <c r="Z785" s="42"/>
      <c r="AA785" s="42"/>
      <c r="AB785" s="44"/>
      <c r="AP785"/>
      <c r="AQ785" s="52"/>
      <c r="AR785" s="52"/>
      <c r="AS785"/>
      <c r="AT785" s="52"/>
      <c r="AU785" s="52"/>
      <c r="AV785"/>
      <c r="AW785" s="53"/>
      <c r="AX785" s="53"/>
      <c r="AY785" s="53"/>
      <c r="AZ785" s="53"/>
      <c r="BA785" s="53"/>
      <c r="BB785" s="52"/>
      <c r="BC785" s="52"/>
      <c r="BD785" s="52"/>
      <c r="BE785" s="52"/>
      <c r="BF785" s="83"/>
    </row>
    <row r="786" spans="1:58" ht="16" x14ac:dyDescent="0.35">
      <c r="A786" s="37"/>
      <c r="B786" s="38"/>
      <c r="C786" s="38"/>
      <c r="D786" s="38"/>
      <c r="E786" s="38"/>
      <c r="F786" s="38"/>
      <c r="G786" s="38"/>
      <c r="H786" s="39"/>
      <c r="I786" s="39"/>
      <c r="J786" s="39"/>
      <c r="K786" s="39"/>
      <c r="L786" s="39"/>
      <c r="M786" s="38"/>
      <c r="N786" s="38"/>
      <c r="O786" s="38"/>
      <c r="P786" s="38"/>
      <c r="Q786" s="38"/>
      <c r="R786" s="38"/>
      <c r="S786" s="38"/>
      <c r="T786" s="38"/>
      <c r="U786" s="38"/>
      <c r="V786" s="38"/>
      <c r="W786" s="38"/>
      <c r="X786" s="38"/>
      <c r="Y786" s="39"/>
      <c r="Z786" s="38"/>
      <c r="AA786" s="38"/>
      <c r="AB786" s="40"/>
      <c r="AP786"/>
      <c r="AQ786" s="48"/>
      <c r="AR786" s="48"/>
      <c r="AS786"/>
      <c r="AT786" s="48"/>
      <c r="AU786" s="48"/>
      <c r="AV786"/>
      <c r="AW786" s="49"/>
      <c r="AX786" s="49"/>
      <c r="AY786" s="49"/>
      <c r="AZ786" s="49"/>
      <c r="BA786" s="49"/>
      <c r="BB786" s="48"/>
      <c r="BC786" s="48"/>
      <c r="BD786" s="48"/>
      <c r="BE786" s="48"/>
      <c r="BF786" s="83"/>
    </row>
    <row r="787" spans="1:58" ht="16" x14ac:dyDescent="0.35">
      <c r="A787" s="41"/>
      <c r="B787" s="42"/>
      <c r="C787" s="42"/>
      <c r="D787" s="42"/>
      <c r="E787" s="42"/>
      <c r="F787" s="42"/>
      <c r="G787" s="42"/>
      <c r="H787" s="43"/>
      <c r="I787" s="43"/>
      <c r="J787" s="43"/>
      <c r="K787" s="43"/>
      <c r="L787" s="43"/>
      <c r="M787" s="42"/>
      <c r="N787" s="42"/>
      <c r="O787" s="42"/>
      <c r="P787" s="42"/>
      <c r="Q787" s="42"/>
      <c r="R787" s="42"/>
      <c r="S787" s="42"/>
      <c r="T787" s="42"/>
      <c r="U787" s="42"/>
      <c r="V787" s="42"/>
      <c r="W787" s="42"/>
      <c r="X787" s="42"/>
      <c r="Y787" s="43"/>
      <c r="Z787" s="42"/>
      <c r="AA787" s="42"/>
      <c r="AB787" s="44"/>
      <c r="AP787"/>
      <c r="AQ787" s="52"/>
      <c r="AR787" s="52"/>
      <c r="AS787"/>
      <c r="AT787" s="52"/>
      <c r="AU787" s="52"/>
      <c r="AV787"/>
      <c r="AW787" s="53"/>
      <c r="AX787" s="53"/>
      <c r="AY787" s="53"/>
      <c r="AZ787" s="53"/>
      <c r="BA787" s="53"/>
      <c r="BB787" s="52"/>
      <c r="BC787" s="52"/>
      <c r="BD787" s="52"/>
      <c r="BE787" s="52"/>
      <c r="BF787" s="83"/>
    </row>
    <row r="788" spans="1:58" ht="16" x14ac:dyDescent="0.35">
      <c r="A788" s="37"/>
      <c r="B788" s="38"/>
      <c r="C788" s="38"/>
      <c r="D788" s="38"/>
      <c r="E788" s="38"/>
      <c r="F788" s="38"/>
      <c r="G788" s="38"/>
      <c r="H788" s="39"/>
      <c r="I788" s="39"/>
      <c r="J788" s="39"/>
      <c r="K788" s="39"/>
      <c r="L788" s="39"/>
      <c r="M788" s="38"/>
      <c r="N788" s="38"/>
      <c r="O788" s="38"/>
      <c r="P788" s="38"/>
      <c r="Q788" s="38"/>
      <c r="R788" s="38"/>
      <c r="S788" s="38"/>
      <c r="T788" s="38"/>
      <c r="U788" s="38"/>
      <c r="V788" s="38"/>
      <c r="W788" s="38"/>
      <c r="X788" s="38"/>
      <c r="Y788" s="39"/>
      <c r="Z788" s="38"/>
      <c r="AA788" s="38"/>
      <c r="AB788" s="40"/>
      <c r="AP788"/>
      <c r="AQ788" s="48"/>
      <c r="AR788" s="48"/>
      <c r="AS788"/>
      <c r="AT788" s="48"/>
      <c r="AU788" s="48"/>
      <c r="AV788"/>
      <c r="AW788" s="49"/>
      <c r="AX788" s="49"/>
      <c r="AY788" s="49"/>
      <c r="AZ788" s="49"/>
      <c r="BA788" s="49"/>
      <c r="BB788" s="48"/>
      <c r="BC788" s="48"/>
      <c r="BD788" s="48"/>
      <c r="BE788" s="48"/>
      <c r="BF788" s="83"/>
    </row>
    <row r="789" spans="1:58" ht="16" x14ac:dyDescent="0.35">
      <c r="A789" s="41"/>
      <c r="B789" s="42"/>
      <c r="C789" s="42"/>
      <c r="D789" s="42"/>
      <c r="E789" s="42"/>
      <c r="F789" s="42"/>
      <c r="G789" s="42"/>
      <c r="H789" s="43"/>
      <c r="I789" s="43"/>
      <c r="J789" s="43"/>
      <c r="K789" s="43"/>
      <c r="L789" s="43"/>
      <c r="M789" s="42"/>
      <c r="N789" s="42"/>
      <c r="O789" s="42"/>
      <c r="P789" s="42"/>
      <c r="Q789" s="42"/>
      <c r="R789" s="42"/>
      <c r="S789" s="42"/>
      <c r="T789" s="42"/>
      <c r="U789" s="42"/>
      <c r="V789" s="42"/>
      <c r="W789" s="42"/>
      <c r="X789" s="42"/>
      <c r="Y789" s="43"/>
      <c r="Z789" s="42"/>
      <c r="AA789" s="42"/>
      <c r="AB789" s="44"/>
      <c r="AP789"/>
      <c r="AQ789" s="52"/>
      <c r="AR789" s="52"/>
      <c r="AS789"/>
      <c r="AT789" s="52"/>
      <c r="AU789" s="52"/>
      <c r="AV789"/>
      <c r="AW789" s="53"/>
      <c r="AX789" s="53"/>
      <c r="AY789" s="53"/>
      <c r="AZ789" s="53"/>
      <c r="BA789" s="53"/>
      <c r="BB789" s="52"/>
      <c r="BC789" s="52"/>
      <c r="BD789" s="52"/>
      <c r="BE789" s="52"/>
      <c r="BF789" s="83"/>
    </row>
    <row r="790" spans="1:58" ht="16" x14ac:dyDescent="0.35">
      <c r="A790" s="37"/>
      <c r="B790" s="38"/>
      <c r="C790" s="38"/>
      <c r="D790" s="38"/>
      <c r="E790" s="38"/>
      <c r="F790" s="38"/>
      <c r="G790" s="38"/>
      <c r="H790" s="39"/>
      <c r="I790" s="39"/>
      <c r="J790" s="39"/>
      <c r="K790" s="39"/>
      <c r="L790" s="39"/>
      <c r="M790" s="38"/>
      <c r="N790" s="38"/>
      <c r="O790" s="38"/>
      <c r="P790" s="38"/>
      <c r="Q790" s="38"/>
      <c r="R790" s="38"/>
      <c r="S790" s="38"/>
      <c r="T790" s="38"/>
      <c r="U790" s="38"/>
      <c r="V790" s="38"/>
      <c r="W790" s="38"/>
      <c r="X790" s="38"/>
      <c r="Y790" s="39"/>
      <c r="Z790" s="38"/>
      <c r="AA790" s="38"/>
      <c r="AB790" s="40"/>
      <c r="AP790"/>
      <c r="AQ790" s="48"/>
      <c r="AR790" s="48"/>
      <c r="AS790"/>
      <c r="AT790" s="48"/>
      <c r="AU790" s="48"/>
      <c r="AV790"/>
      <c r="AW790" s="49"/>
      <c r="AX790" s="49"/>
      <c r="AY790" s="49"/>
      <c r="AZ790" s="49"/>
      <c r="BA790" s="49"/>
      <c r="BB790" s="48"/>
      <c r="BC790" s="48"/>
      <c r="BD790" s="48"/>
      <c r="BE790" s="48"/>
      <c r="BF790" s="83"/>
    </row>
    <row r="791" spans="1:58" ht="16" x14ac:dyDescent="0.35">
      <c r="A791" s="41"/>
      <c r="B791" s="42"/>
      <c r="C791" s="42"/>
      <c r="D791" s="42"/>
      <c r="E791" s="42"/>
      <c r="F791" s="42"/>
      <c r="G791" s="42"/>
      <c r="H791" s="43"/>
      <c r="I791" s="43"/>
      <c r="J791" s="43"/>
      <c r="K791" s="43"/>
      <c r="L791" s="43"/>
      <c r="M791" s="42"/>
      <c r="N791" s="42"/>
      <c r="O791" s="42"/>
      <c r="P791" s="42"/>
      <c r="Q791" s="42"/>
      <c r="R791" s="42"/>
      <c r="S791" s="42"/>
      <c r="T791" s="42"/>
      <c r="U791" s="42"/>
      <c r="V791" s="42"/>
      <c r="W791" s="42"/>
      <c r="X791" s="42"/>
      <c r="Y791" s="43"/>
      <c r="Z791" s="42"/>
      <c r="AA791" s="42"/>
      <c r="AB791" s="44"/>
      <c r="AP791"/>
      <c r="AQ791" s="52"/>
      <c r="AR791" s="52"/>
      <c r="AS791"/>
      <c r="AT791" s="52"/>
      <c r="AU791" s="52"/>
      <c r="AV791"/>
      <c r="AW791" s="53"/>
      <c r="AX791" s="53"/>
      <c r="AY791" s="53"/>
      <c r="AZ791" s="53"/>
      <c r="BA791" s="53"/>
      <c r="BB791" s="52"/>
      <c r="BC791" s="52"/>
      <c r="BD791" s="52"/>
      <c r="BE791" s="52"/>
      <c r="BF791" s="83"/>
    </row>
    <row r="792" spans="1:58" ht="16" x14ac:dyDescent="0.35">
      <c r="A792" s="37"/>
      <c r="B792" s="38"/>
      <c r="C792" s="38"/>
      <c r="D792" s="38"/>
      <c r="E792" s="38"/>
      <c r="F792" s="38"/>
      <c r="G792" s="38"/>
      <c r="H792" s="39"/>
      <c r="I792" s="39"/>
      <c r="J792" s="39"/>
      <c r="K792" s="39"/>
      <c r="L792" s="39"/>
      <c r="M792" s="38"/>
      <c r="N792" s="38"/>
      <c r="O792" s="38"/>
      <c r="P792" s="38"/>
      <c r="Q792" s="38"/>
      <c r="R792" s="38"/>
      <c r="S792" s="38"/>
      <c r="T792" s="38"/>
      <c r="U792" s="38"/>
      <c r="V792" s="38"/>
      <c r="W792" s="38"/>
      <c r="X792" s="38"/>
      <c r="Y792" s="39"/>
      <c r="Z792" s="38"/>
      <c r="AA792" s="38"/>
      <c r="AB792" s="40"/>
      <c r="AP792"/>
      <c r="AQ792" s="48"/>
      <c r="AR792" s="48"/>
      <c r="AS792"/>
      <c r="AT792" s="48"/>
      <c r="AU792" s="48"/>
      <c r="AV792"/>
      <c r="AW792" s="49"/>
      <c r="AX792" s="49"/>
      <c r="AY792" s="49"/>
      <c r="AZ792" s="49"/>
      <c r="BA792" s="49"/>
      <c r="BB792" s="48"/>
      <c r="BC792" s="48"/>
      <c r="BD792" s="48"/>
      <c r="BE792" s="48"/>
      <c r="BF792" s="83"/>
    </row>
    <row r="793" spans="1:58" ht="16" x14ac:dyDescent="0.35">
      <c r="A793" s="41"/>
      <c r="B793" s="42"/>
      <c r="C793" s="42"/>
      <c r="D793" s="42"/>
      <c r="E793" s="42"/>
      <c r="F793" s="42"/>
      <c r="G793" s="42"/>
      <c r="H793" s="43"/>
      <c r="I793" s="43"/>
      <c r="J793" s="43"/>
      <c r="K793" s="43"/>
      <c r="L793" s="43"/>
      <c r="M793" s="42"/>
      <c r="N793" s="42"/>
      <c r="O793" s="42"/>
      <c r="P793" s="42"/>
      <c r="Q793" s="42"/>
      <c r="R793" s="42"/>
      <c r="S793" s="42"/>
      <c r="T793" s="42"/>
      <c r="U793" s="42"/>
      <c r="V793" s="42"/>
      <c r="W793" s="42"/>
      <c r="X793" s="42"/>
      <c r="Y793" s="43"/>
      <c r="Z793" s="42"/>
      <c r="AA793" s="42"/>
      <c r="AB793" s="44"/>
      <c r="AP793"/>
      <c r="AQ793" s="52"/>
      <c r="AR793" s="52"/>
      <c r="AS793"/>
      <c r="AT793" s="52"/>
      <c r="AU793" s="52"/>
      <c r="AV793"/>
      <c r="AW793" s="53"/>
      <c r="AX793" s="53"/>
      <c r="AY793" s="53"/>
      <c r="AZ793" s="53"/>
      <c r="BA793" s="53"/>
      <c r="BB793" s="52"/>
      <c r="BC793" s="52"/>
      <c r="BD793" s="52"/>
      <c r="BE793" s="52"/>
      <c r="BF793" s="83"/>
    </row>
    <row r="794" spans="1:58" ht="16" x14ac:dyDescent="0.35">
      <c r="A794" s="37"/>
      <c r="B794" s="38"/>
      <c r="C794" s="38"/>
      <c r="D794" s="38"/>
      <c r="E794" s="38"/>
      <c r="F794" s="38"/>
      <c r="G794" s="38"/>
      <c r="H794" s="39"/>
      <c r="I794" s="39"/>
      <c r="J794" s="39"/>
      <c r="K794" s="39"/>
      <c r="L794" s="39"/>
      <c r="M794" s="38"/>
      <c r="N794" s="38"/>
      <c r="O794" s="38"/>
      <c r="P794" s="38"/>
      <c r="Q794" s="38"/>
      <c r="R794" s="38"/>
      <c r="S794" s="38"/>
      <c r="T794" s="38"/>
      <c r="U794" s="38"/>
      <c r="V794" s="38"/>
      <c r="W794" s="38"/>
      <c r="X794" s="38"/>
      <c r="Y794" s="39"/>
      <c r="Z794" s="38"/>
      <c r="AA794" s="38"/>
      <c r="AB794" s="40"/>
      <c r="AP794"/>
      <c r="AQ794" s="48"/>
      <c r="AR794" s="48"/>
      <c r="AS794"/>
      <c r="AT794" s="48"/>
      <c r="AU794" s="48"/>
      <c r="AV794"/>
      <c r="AW794" s="49"/>
      <c r="AX794" s="49"/>
      <c r="AY794" s="49"/>
      <c r="AZ794" s="49"/>
      <c r="BA794" s="49"/>
      <c r="BB794" s="48"/>
      <c r="BC794" s="48"/>
      <c r="BD794" s="48"/>
      <c r="BE794" s="48"/>
      <c r="BF794" s="83"/>
    </row>
    <row r="795" spans="1:58" ht="16" x14ac:dyDescent="0.35">
      <c r="A795" s="41"/>
      <c r="B795" s="42"/>
      <c r="C795" s="42"/>
      <c r="D795" s="42"/>
      <c r="E795" s="42"/>
      <c r="F795" s="42"/>
      <c r="G795" s="42"/>
      <c r="H795" s="43"/>
      <c r="I795" s="43"/>
      <c r="J795" s="43"/>
      <c r="K795" s="43"/>
      <c r="L795" s="43"/>
      <c r="M795" s="42"/>
      <c r="N795" s="42"/>
      <c r="O795" s="42"/>
      <c r="P795" s="42"/>
      <c r="Q795" s="42"/>
      <c r="R795" s="42"/>
      <c r="S795" s="42"/>
      <c r="T795" s="42"/>
      <c r="U795" s="42"/>
      <c r="V795" s="42"/>
      <c r="W795" s="42"/>
      <c r="X795" s="42"/>
      <c r="Y795" s="43"/>
      <c r="Z795" s="42"/>
      <c r="AA795" s="42"/>
      <c r="AB795" s="44"/>
      <c r="AP795"/>
      <c r="AQ795" s="52"/>
      <c r="AR795" s="52"/>
      <c r="AS795"/>
      <c r="AT795" s="52"/>
      <c r="AU795" s="52"/>
      <c r="AV795"/>
      <c r="AW795" s="53"/>
      <c r="AX795" s="53"/>
      <c r="AY795" s="53"/>
      <c r="AZ795" s="53"/>
      <c r="BA795" s="53"/>
      <c r="BB795" s="52"/>
      <c r="BC795" s="52"/>
      <c r="BD795" s="52"/>
      <c r="BE795" s="52"/>
      <c r="BF795" s="83"/>
    </row>
    <row r="796" spans="1:58" ht="16" x14ac:dyDescent="0.35">
      <c r="A796" s="37"/>
      <c r="B796" s="38"/>
      <c r="C796" s="38"/>
      <c r="D796" s="38"/>
      <c r="E796" s="38"/>
      <c r="F796" s="38"/>
      <c r="G796" s="38"/>
      <c r="H796" s="39"/>
      <c r="I796" s="39"/>
      <c r="J796" s="39"/>
      <c r="K796" s="39"/>
      <c r="L796" s="39"/>
      <c r="M796" s="38"/>
      <c r="N796" s="38"/>
      <c r="O796" s="38"/>
      <c r="P796" s="38"/>
      <c r="Q796" s="38"/>
      <c r="R796" s="38"/>
      <c r="S796" s="38"/>
      <c r="T796" s="38"/>
      <c r="U796" s="38"/>
      <c r="V796" s="38"/>
      <c r="W796" s="38"/>
      <c r="X796" s="38"/>
      <c r="Y796" s="39"/>
      <c r="Z796" s="38"/>
      <c r="AA796" s="38"/>
      <c r="AB796" s="40"/>
      <c r="AP796"/>
      <c r="AQ796" s="48"/>
      <c r="AR796" s="48"/>
      <c r="AS796"/>
      <c r="AT796" s="48"/>
      <c r="AU796" s="48"/>
      <c r="AV796"/>
      <c r="AW796" s="49"/>
      <c r="AX796" s="49"/>
      <c r="AY796" s="49"/>
      <c r="AZ796" s="49"/>
      <c r="BA796" s="49"/>
      <c r="BB796" s="48"/>
      <c r="BC796" s="48"/>
      <c r="BD796" s="48"/>
      <c r="BE796" s="48"/>
      <c r="BF796" s="83"/>
    </row>
    <row r="797" spans="1:58" ht="16" x14ac:dyDescent="0.35">
      <c r="A797" s="41"/>
      <c r="B797" s="42"/>
      <c r="C797" s="42"/>
      <c r="D797" s="42"/>
      <c r="E797" s="42"/>
      <c r="F797" s="42"/>
      <c r="G797" s="42"/>
      <c r="H797" s="43"/>
      <c r="I797" s="43"/>
      <c r="J797" s="43"/>
      <c r="K797" s="43"/>
      <c r="L797" s="43"/>
      <c r="M797" s="42"/>
      <c r="N797" s="42"/>
      <c r="O797" s="42"/>
      <c r="P797" s="42"/>
      <c r="Q797" s="42"/>
      <c r="R797" s="42"/>
      <c r="S797" s="42"/>
      <c r="T797" s="42"/>
      <c r="U797" s="42"/>
      <c r="V797" s="42"/>
      <c r="W797" s="42"/>
      <c r="X797" s="42"/>
      <c r="Y797" s="43"/>
      <c r="Z797" s="42"/>
      <c r="AA797" s="42"/>
      <c r="AB797" s="44"/>
      <c r="AP797"/>
      <c r="AQ797" s="52"/>
      <c r="AR797" s="52"/>
      <c r="AS797"/>
      <c r="AT797" s="52"/>
      <c r="AU797" s="52"/>
      <c r="AV797"/>
      <c r="AW797" s="53"/>
      <c r="AX797" s="53"/>
      <c r="AY797" s="53"/>
      <c r="AZ797" s="53"/>
      <c r="BA797" s="53"/>
      <c r="BB797" s="52"/>
      <c r="BC797" s="52"/>
      <c r="BD797" s="52"/>
      <c r="BE797" s="52"/>
      <c r="BF797" s="83"/>
    </row>
    <row r="798" spans="1:58" ht="16" x14ac:dyDescent="0.35">
      <c r="A798" s="37"/>
      <c r="B798" s="38"/>
      <c r="C798" s="38"/>
      <c r="D798" s="38"/>
      <c r="E798" s="38"/>
      <c r="F798" s="38"/>
      <c r="G798" s="38"/>
      <c r="H798" s="39"/>
      <c r="I798" s="39"/>
      <c r="J798" s="39"/>
      <c r="K798" s="39"/>
      <c r="L798" s="39"/>
      <c r="M798" s="38"/>
      <c r="N798" s="38"/>
      <c r="O798" s="38"/>
      <c r="P798" s="38"/>
      <c r="Q798" s="38"/>
      <c r="R798" s="38"/>
      <c r="S798" s="38"/>
      <c r="T798" s="38"/>
      <c r="U798" s="38"/>
      <c r="V798" s="38"/>
      <c r="W798" s="38"/>
      <c r="X798" s="38"/>
      <c r="Y798" s="39"/>
      <c r="Z798" s="38"/>
      <c r="AA798" s="38"/>
      <c r="AB798" s="40"/>
      <c r="AP798"/>
      <c r="AQ798" s="48"/>
      <c r="AR798" s="48"/>
      <c r="AS798"/>
      <c r="AT798" s="48"/>
      <c r="AU798" s="48"/>
      <c r="AV798"/>
      <c r="AW798" s="49"/>
      <c r="AX798" s="49"/>
      <c r="AY798" s="49"/>
      <c r="AZ798" s="49"/>
      <c r="BA798" s="49"/>
      <c r="BB798" s="48"/>
      <c r="BC798" s="48"/>
      <c r="BD798" s="48"/>
      <c r="BE798" s="48"/>
      <c r="BF798" s="83"/>
    </row>
    <row r="799" spans="1:58" ht="16" x14ac:dyDescent="0.35">
      <c r="A799" s="41"/>
      <c r="B799" s="42"/>
      <c r="C799" s="42"/>
      <c r="D799" s="42"/>
      <c r="E799" s="42"/>
      <c r="F799" s="42"/>
      <c r="G799" s="42"/>
      <c r="H799" s="43"/>
      <c r="I799" s="43"/>
      <c r="J799" s="43"/>
      <c r="K799" s="43"/>
      <c r="L799" s="43"/>
      <c r="M799" s="42"/>
      <c r="N799" s="42"/>
      <c r="O799" s="42"/>
      <c r="P799" s="42"/>
      <c r="Q799" s="42"/>
      <c r="R799" s="42"/>
      <c r="S799" s="42"/>
      <c r="T799" s="42"/>
      <c r="U799" s="42"/>
      <c r="V799" s="42"/>
      <c r="W799" s="42"/>
      <c r="X799" s="42"/>
      <c r="Y799" s="43"/>
      <c r="Z799" s="42"/>
      <c r="AA799" s="42"/>
      <c r="AB799" s="44"/>
      <c r="AP799"/>
      <c r="AQ799" s="52"/>
      <c r="AR799" s="52"/>
      <c r="AS799"/>
      <c r="AT799" s="52"/>
      <c r="AU799" s="52"/>
      <c r="AV799"/>
      <c r="AW799" s="53"/>
      <c r="AX799" s="53"/>
      <c r="AY799" s="53"/>
      <c r="AZ799" s="53"/>
      <c r="BA799" s="53"/>
      <c r="BB799" s="52"/>
      <c r="BC799" s="52"/>
      <c r="BD799" s="52"/>
      <c r="BE799" s="52"/>
      <c r="BF799" s="83"/>
    </row>
    <row r="800" spans="1:58" ht="16" x14ac:dyDescent="0.35">
      <c r="A800" s="37"/>
      <c r="B800" s="38"/>
      <c r="C800" s="38"/>
      <c r="D800" s="38"/>
      <c r="E800" s="38"/>
      <c r="F800" s="38"/>
      <c r="G800" s="38"/>
      <c r="H800" s="39"/>
      <c r="I800" s="39"/>
      <c r="J800" s="39"/>
      <c r="K800" s="39"/>
      <c r="L800" s="39"/>
      <c r="M800" s="38"/>
      <c r="N800" s="38"/>
      <c r="O800" s="38"/>
      <c r="P800" s="38"/>
      <c r="Q800" s="38"/>
      <c r="R800" s="38"/>
      <c r="S800" s="38"/>
      <c r="T800" s="38"/>
      <c r="U800" s="38"/>
      <c r="V800" s="38"/>
      <c r="W800" s="38"/>
      <c r="X800" s="38"/>
      <c r="Y800" s="39"/>
      <c r="Z800" s="38"/>
      <c r="AA800" s="38"/>
      <c r="AB800" s="40"/>
      <c r="AP800"/>
      <c r="AQ800" s="48"/>
      <c r="AR800" s="48"/>
      <c r="AS800"/>
      <c r="AT800" s="48"/>
      <c r="AU800" s="48"/>
      <c r="AV800"/>
      <c r="AW800" s="49"/>
      <c r="AX800" s="49"/>
      <c r="AY800" s="49"/>
      <c r="AZ800" s="49"/>
      <c r="BA800" s="49"/>
      <c r="BB800" s="48"/>
      <c r="BC800" s="48"/>
      <c r="BD800" s="48"/>
      <c r="BE800" s="48"/>
      <c r="BF800" s="83"/>
    </row>
    <row r="801" spans="1:58" ht="16" x14ac:dyDescent="0.35">
      <c r="A801" s="41"/>
      <c r="B801" s="42"/>
      <c r="C801" s="42"/>
      <c r="D801" s="42"/>
      <c r="E801" s="42"/>
      <c r="F801" s="42"/>
      <c r="G801" s="42"/>
      <c r="H801" s="43"/>
      <c r="I801" s="43"/>
      <c r="J801" s="43"/>
      <c r="K801" s="43"/>
      <c r="L801" s="43"/>
      <c r="M801" s="42"/>
      <c r="N801" s="42"/>
      <c r="O801" s="42"/>
      <c r="P801" s="42"/>
      <c r="Q801" s="42"/>
      <c r="R801" s="42"/>
      <c r="S801" s="42"/>
      <c r="T801" s="42"/>
      <c r="U801" s="42"/>
      <c r="V801" s="42"/>
      <c r="W801" s="42"/>
      <c r="X801" s="42"/>
      <c r="Y801" s="43"/>
      <c r="Z801" s="42"/>
      <c r="AA801" s="42"/>
      <c r="AB801" s="44"/>
      <c r="AP801"/>
      <c r="AQ801" s="52"/>
      <c r="AR801" s="52"/>
      <c r="AS801"/>
      <c r="AT801" s="52"/>
      <c r="AU801" s="52"/>
      <c r="AV801"/>
      <c r="AW801" s="53"/>
      <c r="AX801" s="53"/>
      <c r="AY801" s="53"/>
      <c r="AZ801" s="53"/>
      <c r="BA801" s="53"/>
      <c r="BB801" s="52"/>
      <c r="BC801" s="52"/>
      <c r="BD801" s="52"/>
      <c r="BE801" s="52"/>
      <c r="BF801" s="83"/>
    </row>
    <row r="802" spans="1:58" ht="16" x14ac:dyDescent="0.35">
      <c r="A802" s="37"/>
      <c r="B802" s="38"/>
      <c r="C802" s="38"/>
      <c r="D802" s="38"/>
      <c r="E802" s="38"/>
      <c r="F802" s="38"/>
      <c r="G802" s="38"/>
      <c r="H802" s="39"/>
      <c r="I802" s="39"/>
      <c r="J802" s="39"/>
      <c r="K802" s="39"/>
      <c r="L802" s="39"/>
      <c r="M802" s="38"/>
      <c r="N802" s="38"/>
      <c r="O802" s="38"/>
      <c r="P802" s="38"/>
      <c r="Q802" s="38"/>
      <c r="R802" s="38"/>
      <c r="S802" s="38"/>
      <c r="T802" s="38"/>
      <c r="U802" s="38"/>
      <c r="V802" s="38"/>
      <c r="W802" s="38"/>
      <c r="X802" s="38"/>
      <c r="Y802" s="39"/>
      <c r="Z802" s="38"/>
      <c r="AA802" s="38"/>
      <c r="AB802" s="40"/>
      <c r="AP802"/>
      <c r="AQ802" s="48"/>
      <c r="AR802" s="48"/>
      <c r="AS802"/>
      <c r="AT802" s="48"/>
      <c r="AU802" s="48"/>
      <c r="AV802"/>
      <c r="AW802" s="49"/>
      <c r="AX802" s="49"/>
      <c r="AY802" s="49"/>
      <c r="AZ802" s="49"/>
      <c r="BA802" s="49"/>
      <c r="BB802" s="48"/>
      <c r="BC802" s="48"/>
      <c r="BD802" s="48"/>
      <c r="BE802" s="48"/>
      <c r="BF802" s="83"/>
    </row>
    <row r="803" spans="1:58" ht="16" x14ac:dyDescent="0.35">
      <c r="A803" s="41"/>
      <c r="B803" s="42"/>
      <c r="C803" s="42"/>
      <c r="D803" s="42"/>
      <c r="E803" s="42"/>
      <c r="F803" s="42"/>
      <c r="G803" s="42"/>
      <c r="H803" s="43"/>
      <c r="I803" s="43"/>
      <c r="J803" s="43"/>
      <c r="K803" s="43"/>
      <c r="L803" s="43"/>
      <c r="M803" s="42"/>
      <c r="N803" s="42"/>
      <c r="O803" s="42"/>
      <c r="P803" s="42"/>
      <c r="Q803" s="42"/>
      <c r="R803" s="42"/>
      <c r="S803" s="42"/>
      <c r="T803" s="42"/>
      <c r="U803" s="42"/>
      <c r="V803" s="42"/>
      <c r="W803" s="42"/>
      <c r="X803" s="42"/>
      <c r="Y803" s="43"/>
      <c r="Z803" s="42"/>
      <c r="AA803" s="42"/>
      <c r="AB803" s="44"/>
      <c r="AP803"/>
      <c r="AQ803" s="52"/>
      <c r="AR803" s="52"/>
      <c r="AS803"/>
      <c r="AT803" s="52"/>
      <c r="AU803" s="52"/>
      <c r="AV803"/>
      <c r="AW803" s="53"/>
      <c r="AX803" s="53"/>
      <c r="AY803" s="53"/>
      <c r="AZ803" s="53"/>
      <c r="BA803" s="53"/>
      <c r="BB803" s="52"/>
      <c r="BC803" s="52"/>
      <c r="BD803" s="52"/>
      <c r="BE803" s="52"/>
      <c r="BF803" s="83"/>
    </row>
    <row r="804" spans="1:58" ht="16" x14ac:dyDescent="0.35">
      <c r="A804" s="37"/>
      <c r="B804" s="38"/>
      <c r="C804" s="38"/>
      <c r="D804" s="38"/>
      <c r="E804" s="38"/>
      <c r="F804" s="38"/>
      <c r="G804" s="38"/>
      <c r="H804" s="39"/>
      <c r="I804" s="39"/>
      <c r="J804" s="39"/>
      <c r="K804" s="39"/>
      <c r="L804" s="39"/>
      <c r="M804" s="38"/>
      <c r="N804" s="38"/>
      <c r="O804" s="38"/>
      <c r="P804" s="38"/>
      <c r="Q804" s="38"/>
      <c r="R804" s="38"/>
      <c r="S804" s="38"/>
      <c r="T804" s="38"/>
      <c r="U804" s="38"/>
      <c r="V804" s="38"/>
      <c r="W804" s="38"/>
      <c r="X804" s="38"/>
      <c r="Y804" s="39"/>
      <c r="Z804" s="38"/>
      <c r="AA804" s="38"/>
      <c r="AB804" s="40"/>
      <c r="AP804"/>
      <c r="AQ804" s="48"/>
      <c r="AR804" s="48"/>
      <c r="AS804"/>
      <c r="AT804" s="48"/>
      <c r="AU804" s="48"/>
      <c r="AV804"/>
      <c r="AW804" s="49"/>
      <c r="AX804" s="49"/>
      <c r="AY804" s="49"/>
      <c r="AZ804" s="49"/>
      <c r="BA804" s="49"/>
      <c r="BB804" s="48"/>
      <c r="BC804" s="48"/>
      <c r="BD804" s="48"/>
      <c r="BE804" s="48"/>
      <c r="BF804" s="83"/>
    </row>
    <row r="805" spans="1:58" ht="16" x14ac:dyDescent="0.35">
      <c r="A805" s="41"/>
      <c r="B805" s="42"/>
      <c r="C805" s="42"/>
      <c r="D805" s="42"/>
      <c r="E805" s="42"/>
      <c r="F805" s="42"/>
      <c r="G805" s="42"/>
      <c r="H805" s="43"/>
      <c r="I805" s="43"/>
      <c r="J805" s="43"/>
      <c r="K805" s="43"/>
      <c r="L805" s="43"/>
      <c r="M805" s="42"/>
      <c r="N805" s="42"/>
      <c r="O805" s="42"/>
      <c r="P805" s="42"/>
      <c r="Q805" s="42"/>
      <c r="R805" s="42"/>
      <c r="S805" s="42"/>
      <c r="T805" s="42"/>
      <c r="U805" s="42"/>
      <c r="V805" s="42"/>
      <c r="W805" s="42"/>
      <c r="X805" s="42"/>
      <c r="Y805" s="43"/>
      <c r="Z805" s="42"/>
      <c r="AA805" s="42"/>
      <c r="AB805" s="44"/>
      <c r="AP805"/>
      <c r="AQ805" s="52"/>
      <c r="AR805" s="52"/>
      <c r="AS805"/>
      <c r="AT805" s="52"/>
      <c r="AU805" s="52"/>
      <c r="AV805"/>
      <c r="AW805" s="53"/>
      <c r="AX805" s="53"/>
      <c r="AY805" s="53"/>
      <c r="AZ805" s="53"/>
      <c r="BA805" s="53"/>
      <c r="BB805" s="52"/>
      <c r="BC805" s="52"/>
      <c r="BD805" s="52"/>
      <c r="BE805" s="52"/>
      <c r="BF805" s="83"/>
    </row>
    <row r="806" spans="1:58" ht="16" x14ac:dyDescent="0.35">
      <c r="A806" s="37"/>
      <c r="B806" s="38"/>
      <c r="C806" s="38"/>
      <c r="D806" s="38"/>
      <c r="E806" s="38"/>
      <c r="F806" s="38"/>
      <c r="G806" s="38"/>
      <c r="H806" s="39"/>
      <c r="I806" s="39"/>
      <c r="J806" s="39"/>
      <c r="K806" s="39"/>
      <c r="L806" s="39"/>
      <c r="M806" s="38"/>
      <c r="N806" s="38"/>
      <c r="O806" s="38"/>
      <c r="P806" s="38"/>
      <c r="Q806" s="38"/>
      <c r="R806" s="38"/>
      <c r="S806" s="38"/>
      <c r="T806" s="38"/>
      <c r="U806" s="38"/>
      <c r="V806" s="38"/>
      <c r="W806" s="38"/>
      <c r="X806" s="38"/>
      <c r="Y806" s="39"/>
      <c r="Z806" s="38"/>
      <c r="AA806" s="38"/>
      <c r="AB806" s="40"/>
      <c r="AP806"/>
      <c r="AQ806" s="48"/>
      <c r="AR806" s="48"/>
      <c r="AS806"/>
      <c r="AT806" s="48"/>
      <c r="AU806" s="48"/>
      <c r="AV806"/>
      <c r="AW806" s="49"/>
      <c r="AX806" s="49"/>
      <c r="AY806" s="49"/>
      <c r="AZ806" s="49"/>
      <c r="BA806" s="49"/>
      <c r="BB806" s="48"/>
      <c r="BC806" s="48"/>
      <c r="BD806" s="48"/>
      <c r="BE806" s="48"/>
      <c r="BF806" s="83"/>
    </row>
    <row r="807" spans="1:58" ht="16" x14ac:dyDescent="0.35">
      <c r="A807" s="41"/>
      <c r="B807" s="42"/>
      <c r="C807" s="42"/>
      <c r="D807" s="42"/>
      <c r="E807" s="42"/>
      <c r="F807" s="42"/>
      <c r="G807" s="42"/>
      <c r="H807" s="43"/>
      <c r="I807" s="43"/>
      <c r="J807" s="43"/>
      <c r="K807" s="43"/>
      <c r="L807" s="43"/>
      <c r="M807" s="42"/>
      <c r="N807" s="42"/>
      <c r="O807" s="42"/>
      <c r="P807" s="42"/>
      <c r="Q807" s="42"/>
      <c r="R807" s="42"/>
      <c r="S807" s="42"/>
      <c r="T807" s="42"/>
      <c r="U807" s="42"/>
      <c r="V807" s="42"/>
      <c r="W807" s="42"/>
      <c r="X807" s="42"/>
      <c r="Y807" s="43"/>
      <c r="Z807" s="42"/>
      <c r="AA807" s="42"/>
      <c r="AB807" s="44"/>
      <c r="AP807"/>
      <c r="AQ807" s="52"/>
      <c r="AR807" s="52"/>
      <c r="AS807"/>
      <c r="AT807" s="52"/>
      <c r="AU807" s="52"/>
      <c r="AV807"/>
      <c r="AW807" s="53"/>
      <c r="AX807" s="53"/>
      <c r="AY807" s="53"/>
      <c r="AZ807" s="53"/>
      <c r="BA807" s="53"/>
      <c r="BB807" s="52"/>
      <c r="BC807" s="52"/>
      <c r="BD807" s="52"/>
      <c r="BE807" s="52"/>
      <c r="BF807" s="83"/>
    </row>
    <row r="808" spans="1:58" ht="16" x14ac:dyDescent="0.35">
      <c r="A808" s="37"/>
      <c r="B808" s="38"/>
      <c r="C808" s="38"/>
      <c r="D808" s="38"/>
      <c r="E808" s="38"/>
      <c r="F808" s="38"/>
      <c r="G808" s="38"/>
      <c r="H808" s="39"/>
      <c r="I808" s="39"/>
      <c r="J808" s="39"/>
      <c r="K808" s="39"/>
      <c r="L808" s="39"/>
      <c r="M808" s="38"/>
      <c r="N808" s="38"/>
      <c r="O808" s="38"/>
      <c r="P808" s="38"/>
      <c r="Q808" s="38"/>
      <c r="R808" s="38"/>
      <c r="S808" s="38"/>
      <c r="T808" s="38"/>
      <c r="U808" s="38"/>
      <c r="V808" s="38"/>
      <c r="W808" s="38"/>
      <c r="X808" s="38"/>
      <c r="Y808" s="39"/>
      <c r="Z808" s="38"/>
      <c r="AA808" s="38"/>
      <c r="AB808" s="40"/>
      <c r="AP808"/>
      <c r="AQ808" s="48"/>
      <c r="AR808" s="48"/>
      <c r="AS808"/>
      <c r="AT808" s="48"/>
      <c r="AU808" s="48"/>
      <c r="AV808"/>
      <c r="AW808" s="49"/>
      <c r="AX808" s="49"/>
      <c r="AY808" s="49"/>
      <c r="AZ808" s="49"/>
      <c r="BA808" s="49"/>
      <c r="BB808" s="48"/>
      <c r="BC808" s="48"/>
      <c r="BD808" s="48"/>
      <c r="BE808" s="48"/>
      <c r="BF808" s="83"/>
    </row>
    <row r="809" spans="1:58" ht="16" x14ac:dyDescent="0.35">
      <c r="A809" s="41"/>
      <c r="B809" s="42"/>
      <c r="C809" s="42"/>
      <c r="D809" s="42"/>
      <c r="E809" s="42"/>
      <c r="F809" s="42"/>
      <c r="G809" s="42"/>
      <c r="H809" s="43"/>
      <c r="I809" s="43"/>
      <c r="J809" s="43"/>
      <c r="K809" s="43"/>
      <c r="L809" s="43"/>
      <c r="M809" s="42"/>
      <c r="N809" s="42"/>
      <c r="O809" s="42"/>
      <c r="P809" s="42"/>
      <c r="Q809" s="42"/>
      <c r="R809" s="42"/>
      <c r="S809" s="42"/>
      <c r="T809" s="42"/>
      <c r="U809" s="42"/>
      <c r="V809" s="42"/>
      <c r="W809" s="42"/>
      <c r="X809" s="42"/>
      <c r="Y809" s="43"/>
      <c r="Z809" s="42"/>
      <c r="AA809" s="42"/>
      <c r="AB809" s="44"/>
      <c r="AP809"/>
      <c r="AQ809" s="52"/>
      <c r="AR809" s="52"/>
      <c r="AS809"/>
      <c r="AT809" s="52"/>
      <c r="AU809" s="52"/>
      <c r="AV809"/>
      <c r="AW809" s="53"/>
      <c r="AX809" s="53"/>
      <c r="AY809" s="53"/>
      <c r="AZ809" s="53"/>
      <c r="BA809" s="53"/>
      <c r="BB809" s="52"/>
      <c r="BC809" s="52"/>
      <c r="BD809" s="52"/>
      <c r="BE809" s="52"/>
      <c r="BF809" s="83"/>
    </row>
    <row r="810" spans="1:58" ht="16" x14ac:dyDescent="0.35">
      <c r="A810" s="37"/>
      <c r="B810" s="38"/>
      <c r="C810" s="38"/>
      <c r="D810" s="38"/>
      <c r="E810" s="38"/>
      <c r="F810" s="38"/>
      <c r="G810" s="38"/>
      <c r="H810" s="39"/>
      <c r="I810" s="39"/>
      <c r="J810" s="39"/>
      <c r="K810" s="39"/>
      <c r="L810" s="39"/>
      <c r="M810" s="38"/>
      <c r="N810" s="38"/>
      <c r="O810" s="38"/>
      <c r="P810" s="38"/>
      <c r="Q810" s="38"/>
      <c r="R810" s="38"/>
      <c r="S810" s="38"/>
      <c r="T810" s="38"/>
      <c r="U810" s="38"/>
      <c r="V810" s="38"/>
      <c r="W810" s="38"/>
      <c r="X810" s="38"/>
      <c r="Y810" s="39"/>
      <c r="Z810" s="38"/>
      <c r="AA810" s="38"/>
      <c r="AB810" s="40"/>
      <c r="AP810"/>
      <c r="AQ810" s="48"/>
      <c r="AR810" s="48"/>
      <c r="AS810"/>
      <c r="AT810" s="48"/>
      <c r="AU810" s="48"/>
      <c r="AV810"/>
      <c r="AW810" s="49"/>
      <c r="AX810" s="49"/>
      <c r="AY810" s="49"/>
      <c r="AZ810" s="49"/>
      <c r="BA810" s="49"/>
      <c r="BB810" s="48"/>
      <c r="BC810" s="48"/>
      <c r="BD810" s="48"/>
      <c r="BE810" s="48"/>
      <c r="BF810" s="83"/>
    </row>
    <row r="811" spans="1:58" ht="16" x14ac:dyDescent="0.35">
      <c r="A811" s="41"/>
      <c r="B811" s="42"/>
      <c r="C811" s="42"/>
      <c r="D811" s="42"/>
      <c r="E811" s="42"/>
      <c r="F811" s="42"/>
      <c r="G811" s="42"/>
      <c r="H811" s="43"/>
      <c r="I811" s="43"/>
      <c r="J811" s="43"/>
      <c r="K811" s="43"/>
      <c r="L811" s="43"/>
      <c r="M811" s="42"/>
      <c r="N811" s="42"/>
      <c r="O811" s="42"/>
      <c r="P811" s="42"/>
      <c r="Q811" s="42"/>
      <c r="R811" s="42"/>
      <c r="S811" s="42"/>
      <c r="T811" s="42"/>
      <c r="U811" s="42"/>
      <c r="V811" s="42"/>
      <c r="W811" s="42"/>
      <c r="X811" s="42"/>
      <c r="Y811" s="43"/>
      <c r="Z811" s="42"/>
      <c r="AA811" s="42"/>
      <c r="AB811" s="44"/>
      <c r="AP811"/>
      <c r="AQ811" s="52"/>
      <c r="AR811" s="52"/>
      <c r="AS811"/>
      <c r="AT811" s="52"/>
      <c r="AU811" s="52"/>
      <c r="AV811"/>
      <c r="AW811" s="53"/>
      <c r="AX811" s="53"/>
      <c r="AY811" s="53"/>
      <c r="AZ811" s="53"/>
      <c r="BA811" s="53"/>
      <c r="BB811" s="52"/>
      <c r="BC811" s="52"/>
      <c r="BD811" s="52"/>
      <c r="BE811" s="52"/>
      <c r="BF811" s="83"/>
    </row>
    <row r="812" spans="1:58" ht="16" x14ac:dyDescent="0.35">
      <c r="A812" s="37"/>
      <c r="B812" s="38"/>
      <c r="C812" s="38"/>
      <c r="D812" s="38"/>
      <c r="E812" s="38"/>
      <c r="F812" s="38"/>
      <c r="G812" s="38"/>
      <c r="H812" s="39"/>
      <c r="I812" s="39"/>
      <c r="J812" s="39"/>
      <c r="K812" s="39"/>
      <c r="L812" s="39"/>
      <c r="M812" s="38"/>
      <c r="N812" s="38"/>
      <c r="O812" s="38"/>
      <c r="P812" s="38"/>
      <c r="Q812" s="38"/>
      <c r="R812" s="38"/>
      <c r="S812" s="38"/>
      <c r="T812" s="38"/>
      <c r="U812" s="38"/>
      <c r="V812" s="38"/>
      <c r="W812" s="38"/>
      <c r="X812" s="38"/>
      <c r="Y812" s="39"/>
      <c r="Z812" s="38"/>
      <c r="AA812" s="38"/>
      <c r="AB812" s="40"/>
      <c r="AP812"/>
      <c r="AQ812" s="48"/>
      <c r="AR812" s="48"/>
      <c r="AS812"/>
      <c r="AT812" s="48"/>
      <c r="AU812" s="48"/>
      <c r="AV812"/>
      <c r="AW812" s="49"/>
      <c r="AX812" s="49"/>
      <c r="AY812" s="49"/>
      <c r="AZ812" s="49"/>
      <c r="BA812" s="49"/>
      <c r="BB812" s="48"/>
      <c r="BC812" s="48"/>
      <c r="BD812" s="48"/>
      <c r="BE812" s="48"/>
      <c r="BF812" s="83"/>
    </row>
    <row r="813" spans="1:58" ht="16" x14ac:dyDescent="0.35">
      <c r="A813" s="41"/>
      <c r="B813" s="42"/>
      <c r="C813" s="42"/>
      <c r="D813" s="42"/>
      <c r="E813" s="42"/>
      <c r="F813" s="42"/>
      <c r="G813" s="42"/>
      <c r="H813" s="43"/>
      <c r="I813" s="43"/>
      <c r="J813" s="43"/>
      <c r="K813" s="43"/>
      <c r="L813" s="43"/>
      <c r="M813" s="42"/>
      <c r="N813" s="42"/>
      <c r="O813" s="42"/>
      <c r="P813" s="42"/>
      <c r="Q813" s="42"/>
      <c r="R813" s="42"/>
      <c r="S813" s="42"/>
      <c r="T813" s="42"/>
      <c r="U813" s="42"/>
      <c r="V813" s="42"/>
      <c r="W813" s="42"/>
      <c r="X813" s="42"/>
      <c r="Y813" s="43"/>
      <c r="Z813" s="42"/>
      <c r="AA813" s="42"/>
      <c r="AB813" s="44"/>
      <c r="AP813"/>
      <c r="AQ813" s="52"/>
      <c r="AR813" s="52"/>
      <c r="AS813"/>
      <c r="AT813" s="52"/>
      <c r="AU813" s="52"/>
      <c r="AV813"/>
      <c r="AW813" s="53"/>
      <c r="AX813" s="53"/>
      <c r="AY813" s="53"/>
      <c r="AZ813" s="53"/>
      <c r="BA813" s="53"/>
      <c r="BB813" s="52"/>
      <c r="BC813" s="52"/>
      <c r="BD813" s="52"/>
      <c r="BE813" s="52"/>
      <c r="BF813" s="83"/>
    </row>
    <row r="814" spans="1:58" ht="16" x14ac:dyDescent="0.35">
      <c r="A814" s="37"/>
      <c r="B814" s="38"/>
      <c r="C814" s="38"/>
      <c r="D814" s="38"/>
      <c r="E814" s="38"/>
      <c r="F814" s="38"/>
      <c r="G814" s="38"/>
      <c r="H814" s="39"/>
      <c r="I814" s="39"/>
      <c r="J814" s="39"/>
      <c r="K814" s="39"/>
      <c r="L814" s="39"/>
      <c r="M814" s="38"/>
      <c r="N814" s="38"/>
      <c r="O814" s="38"/>
      <c r="P814" s="38"/>
      <c r="Q814" s="38"/>
      <c r="R814" s="38"/>
      <c r="S814" s="38"/>
      <c r="T814" s="38"/>
      <c r="U814" s="38"/>
      <c r="V814" s="38"/>
      <c r="W814" s="38"/>
      <c r="X814" s="38"/>
      <c r="Y814" s="39"/>
      <c r="Z814" s="38"/>
      <c r="AA814" s="38"/>
      <c r="AB814" s="40"/>
      <c r="AP814"/>
      <c r="AQ814" s="48"/>
      <c r="AR814" s="48"/>
      <c r="AS814"/>
      <c r="AT814" s="48"/>
      <c r="AU814" s="48"/>
      <c r="AV814"/>
      <c r="AW814" s="49"/>
      <c r="AX814" s="49"/>
      <c r="AY814" s="49"/>
      <c r="AZ814" s="49"/>
      <c r="BA814" s="49"/>
      <c r="BB814" s="48"/>
      <c r="BC814" s="48"/>
      <c r="BD814" s="48"/>
      <c r="BE814" s="48"/>
      <c r="BF814" s="83"/>
    </row>
    <row r="815" spans="1:58" ht="16" x14ac:dyDescent="0.35">
      <c r="A815" s="41"/>
      <c r="B815" s="42"/>
      <c r="C815" s="42"/>
      <c r="D815" s="42"/>
      <c r="E815" s="42"/>
      <c r="F815" s="42"/>
      <c r="G815" s="42"/>
      <c r="H815" s="43"/>
      <c r="I815" s="43"/>
      <c r="J815" s="43"/>
      <c r="K815" s="43"/>
      <c r="L815" s="43"/>
      <c r="M815" s="42"/>
      <c r="N815" s="42"/>
      <c r="O815" s="42"/>
      <c r="P815" s="42"/>
      <c r="Q815" s="42"/>
      <c r="R815" s="42"/>
      <c r="S815" s="42"/>
      <c r="T815" s="42"/>
      <c r="U815" s="42"/>
      <c r="V815" s="42"/>
      <c r="W815" s="42"/>
      <c r="X815" s="42"/>
      <c r="Y815" s="43"/>
      <c r="Z815" s="42"/>
      <c r="AA815" s="42"/>
      <c r="AB815" s="44"/>
      <c r="AP815"/>
      <c r="AQ815" s="52"/>
      <c r="AR815" s="52"/>
      <c r="AS815"/>
      <c r="AT815" s="52"/>
      <c r="AU815" s="52"/>
      <c r="AV815"/>
      <c r="AW815" s="53"/>
      <c r="AX815" s="53"/>
      <c r="AY815" s="53"/>
      <c r="AZ815" s="53"/>
      <c r="BA815" s="53"/>
      <c r="BB815" s="52"/>
      <c r="BC815" s="52"/>
      <c r="BD815" s="52"/>
      <c r="BE815" s="52"/>
      <c r="BF815" s="83"/>
    </row>
    <row r="816" spans="1:58" ht="16" x14ac:dyDescent="0.35">
      <c r="A816" s="37"/>
      <c r="B816" s="38"/>
      <c r="C816" s="38"/>
      <c r="D816" s="38"/>
      <c r="E816" s="38"/>
      <c r="F816" s="38"/>
      <c r="G816" s="38"/>
      <c r="H816" s="39"/>
      <c r="I816" s="39"/>
      <c r="J816" s="39"/>
      <c r="K816" s="39"/>
      <c r="L816" s="39"/>
      <c r="M816" s="38"/>
      <c r="N816" s="38"/>
      <c r="O816" s="38"/>
      <c r="P816" s="38"/>
      <c r="Q816" s="38"/>
      <c r="R816" s="38"/>
      <c r="S816" s="38"/>
      <c r="T816" s="38"/>
      <c r="U816" s="38"/>
      <c r="V816" s="38"/>
      <c r="W816" s="38"/>
      <c r="X816" s="38"/>
      <c r="Y816" s="39"/>
      <c r="Z816" s="38"/>
      <c r="AA816" s="38"/>
      <c r="AB816" s="40"/>
      <c r="AP816"/>
      <c r="AQ816" s="48"/>
      <c r="AR816" s="48"/>
      <c r="AS816"/>
      <c r="AT816" s="48"/>
      <c r="AU816" s="48"/>
      <c r="AV816"/>
      <c r="AW816" s="49"/>
      <c r="AX816" s="49"/>
      <c r="AY816" s="49"/>
      <c r="AZ816" s="49"/>
      <c r="BA816" s="49"/>
      <c r="BB816" s="48"/>
      <c r="BC816" s="48"/>
      <c r="BD816" s="48"/>
      <c r="BE816" s="48"/>
      <c r="BF816" s="83"/>
    </row>
    <row r="817" spans="1:58" ht="16" x14ac:dyDescent="0.35">
      <c r="A817" s="41"/>
      <c r="B817" s="42"/>
      <c r="C817" s="42"/>
      <c r="D817" s="42"/>
      <c r="E817" s="42"/>
      <c r="F817" s="42"/>
      <c r="G817" s="42"/>
      <c r="H817" s="43"/>
      <c r="I817" s="43"/>
      <c r="J817" s="43"/>
      <c r="K817" s="43"/>
      <c r="L817" s="43"/>
      <c r="M817" s="42"/>
      <c r="N817" s="42"/>
      <c r="O817" s="42"/>
      <c r="P817" s="42"/>
      <c r="Q817" s="42"/>
      <c r="R817" s="42"/>
      <c r="S817" s="42"/>
      <c r="T817" s="42"/>
      <c r="U817" s="42"/>
      <c r="V817" s="42"/>
      <c r="W817" s="42"/>
      <c r="X817" s="42"/>
      <c r="Y817" s="43"/>
      <c r="Z817" s="42"/>
      <c r="AA817" s="42"/>
      <c r="AB817" s="44"/>
      <c r="AP817"/>
      <c r="AQ817" s="48"/>
      <c r="AR817" s="48"/>
      <c r="AS817"/>
      <c r="AT817" s="48"/>
      <c r="AU817" s="48"/>
      <c r="AV817"/>
      <c r="AW817" s="49"/>
      <c r="AX817" s="49"/>
      <c r="AY817" s="49"/>
      <c r="AZ817" s="49"/>
      <c r="BA817" s="49"/>
      <c r="BB817" s="48"/>
      <c r="BC817" s="48"/>
      <c r="BD817" s="48"/>
      <c r="BE817" s="48"/>
      <c r="BF817" s="83"/>
    </row>
    <row r="818" spans="1:58" ht="16" x14ac:dyDescent="0.35">
      <c r="A818" s="37"/>
      <c r="B818" s="38"/>
      <c r="C818" s="38"/>
      <c r="D818" s="38"/>
      <c r="E818" s="38"/>
      <c r="F818" s="38"/>
      <c r="G818" s="38"/>
      <c r="H818" s="39"/>
      <c r="I818" s="39"/>
      <c r="J818" s="39"/>
      <c r="K818" s="39"/>
      <c r="L818" s="39"/>
      <c r="M818" s="38"/>
      <c r="N818" s="38"/>
      <c r="O818" s="38"/>
      <c r="P818" s="38"/>
      <c r="Q818" s="38"/>
      <c r="R818" s="38"/>
      <c r="S818" s="38"/>
      <c r="T818" s="38"/>
      <c r="U818" s="38"/>
      <c r="V818" s="38"/>
      <c r="W818" s="38"/>
      <c r="X818" s="38"/>
      <c r="Y818" s="39"/>
      <c r="Z818" s="38"/>
      <c r="AA818" s="38"/>
      <c r="AB818" s="40"/>
      <c r="AP818"/>
      <c r="AQ818" s="52"/>
      <c r="AR818" s="52"/>
      <c r="AS818"/>
      <c r="AT818" s="52"/>
      <c r="AU818" s="52"/>
      <c r="AV818"/>
      <c r="AW818" s="53"/>
      <c r="AX818" s="53"/>
      <c r="AY818" s="53"/>
      <c r="AZ818" s="53"/>
      <c r="BA818" s="53"/>
      <c r="BB818" s="52"/>
      <c r="BC818" s="52"/>
      <c r="BD818" s="52"/>
      <c r="BE818" s="52"/>
      <c r="BF818" s="83"/>
    </row>
    <row r="819" spans="1:58" ht="16" x14ac:dyDescent="0.35">
      <c r="A819" s="41"/>
      <c r="B819" s="42"/>
      <c r="C819" s="42"/>
      <c r="D819" s="42"/>
      <c r="E819" s="42"/>
      <c r="F819" s="42"/>
      <c r="G819" s="42"/>
      <c r="H819" s="43"/>
      <c r="I819" s="43"/>
      <c r="J819" s="43"/>
      <c r="K819" s="43"/>
      <c r="L819" s="43"/>
      <c r="M819" s="42"/>
      <c r="N819" s="42"/>
      <c r="O819" s="42"/>
      <c r="P819" s="42"/>
      <c r="Q819" s="42"/>
      <c r="R819" s="42"/>
      <c r="S819" s="42"/>
      <c r="T819" s="42"/>
      <c r="U819" s="42"/>
      <c r="V819" s="42"/>
      <c r="W819" s="42"/>
      <c r="X819" s="42"/>
      <c r="Y819" s="43"/>
      <c r="Z819" s="42"/>
      <c r="AA819" s="42"/>
      <c r="AB819" s="44"/>
      <c r="AP819"/>
      <c r="AQ819" s="48"/>
      <c r="AR819" s="48"/>
      <c r="AS819"/>
      <c r="AT819" s="48"/>
      <c r="AU819" s="48"/>
      <c r="AV819"/>
      <c r="AW819" s="49"/>
      <c r="AX819" s="49"/>
      <c r="AY819" s="49"/>
      <c r="AZ819" s="49"/>
      <c r="BA819" s="49"/>
      <c r="BB819" s="48"/>
      <c r="BC819" s="48"/>
      <c r="BD819" s="48"/>
      <c r="BE819" s="48"/>
      <c r="BF819" s="83"/>
    </row>
    <row r="820" spans="1:58" ht="16" x14ac:dyDescent="0.35">
      <c r="A820" s="37"/>
      <c r="B820" s="38"/>
      <c r="C820" s="38"/>
      <c r="D820" s="38"/>
      <c r="E820" s="38"/>
      <c r="F820" s="38"/>
      <c r="G820" s="38"/>
      <c r="H820" s="39"/>
      <c r="I820" s="39"/>
      <c r="J820" s="39"/>
      <c r="K820" s="39"/>
      <c r="L820" s="39"/>
      <c r="M820" s="38"/>
      <c r="N820" s="38"/>
      <c r="O820" s="38"/>
      <c r="P820" s="38"/>
      <c r="Q820" s="38"/>
      <c r="R820" s="38"/>
      <c r="S820" s="38"/>
      <c r="T820" s="38"/>
      <c r="U820" s="38"/>
      <c r="V820" s="38"/>
      <c r="W820" s="38"/>
      <c r="X820" s="38"/>
      <c r="Y820" s="39"/>
      <c r="Z820" s="38"/>
      <c r="AA820" s="38"/>
      <c r="AB820" s="40"/>
      <c r="AP820"/>
      <c r="AQ820" s="52"/>
      <c r="AR820" s="52"/>
      <c r="AS820"/>
      <c r="AT820" s="52"/>
      <c r="AU820" s="52"/>
      <c r="AV820"/>
      <c r="AW820" s="53"/>
      <c r="AX820" s="53"/>
      <c r="AY820" s="53"/>
      <c r="AZ820" s="53"/>
      <c r="BA820" s="53"/>
      <c r="BB820" s="52"/>
      <c r="BC820" s="52"/>
      <c r="BD820" s="52"/>
      <c r="BE820" s="52"/>
      <c r="BF820" s="83"/>
    </row>
    <row r="821" spans="1:58" ht="16" x14ac:dyDescent="0.35">
      <c r="A821" s="41"/>
      <c r="B821" s="42"/>
      <c r="C821" s="42"/>
      <c r="D821" s="42"/>
      <c r="E821" s="42"/>
      <c r="F821" s="42"/>
      <c r="G821" s="42"/>
      <c r="H821" s="43"/>
      <c r="I821" s="43"/>
      <c r="J821" s="43"/>
      <c r="K821" s="43"/>
      <c r="L821" s="43"/>
      <c r="M821" s="42"/>
      <c r="N821" s="42"/>
      <c r="O821" s="42"/>
      <c r="P821" s="42"/>
      <c r="Q821" s="42"/>
      <c r="R821" s="42"/>
      <c r="S821" s="42"/>
      <c r="T821" s="42"/>
      <c r="U821" s="42"/>
      <c r="V821" s="42"/>
      <c r="W821" s="42"/>
      <c r="X821" s="42"/>
      <c r="Y821" s="43"/>
      <c r="Z821" s="42"/>
      <c r="AA821" s="42"/>
      <c r="AB821" s="44"/>
      <c r="AP821"/>
      <c r="AQ821" s="48"/>
      <c r="AR821" s="48"/>
      <c r="AS821"/>
      <c r="AT821" s="48"/>
      <c r="AU821" s="48"/>
      <c r="AV821"/>
      <c r="AW821" s="49"/>
      <c r="AX821" s="49"/>
      <c r="AY821" s="49"/>
      <c r="AZ821" s="49"/>
      <c r="BA821" s="49"/>
      <c r="BB821" s="48"/>
      <c r="BC821" s="48"/>
      <c r="BD821" s="48"/>
      <c r="BE821" s="48"/>
      <c r="BF821" s="83"/>
    </row>
    <row r="822" spans="1:58" ht="16" x14ac:dyDescent="0.35">
      <c r="A822" s="37"/>
      <c r="B822" s="38"/>
      <c r="C822" s="38"/>
      <c r="D822" s="38"/>
      <c r="E822" s="38"/>
      <c r="F822" s="38"/>
      <c r="G822" s="38"/>
      <c r="H822" s="39"/>
      <c r="I822" s="39"/>
      <c r="J822" s="39"/>
      <c r="K822" s="39"/>
      <c r="L822" s="39"/>
      <c r="M822" s="38"/>
      <c r="N822" s="38"/>
      <c r="O822" s="38"/>
      <c r="P822" s="38"/>
      <c r="Q822" s="38"/>
      <c r="R822" s="38"/>
      <c r="S822" s="38"/>
      <c r="T822" s="38"/>
      <c r="U822" s="38"/>
      <c r="V822" s="38"/>
      <c r="W822" s="38"/>
      <c r="X822" s="38"/>
      <c r="Y822" s="39"/>
      <c r="Z822" s="38"/>
      <c r="AA822" s="38"/>
      <c r="AB822" s="40"/>
      <c r="AP822"/>
      <c r="AQ822" s="52"/>
      <c r="AR822" s="52"/>
      <c r="AS822"/>
      <c r="AT822" s="52"/>
      <c r="AU822" s="52"/>
      <c r="AV822"/>
      <c r="AW822" s="53"/>
      <c r="AX822" s="53"/>
      <c r="AY822" s="53"/>
      <c r="AZ822" s="53"/>
      <c r="BA822" s="53"/>
      <c r="BB822" s="52"/>
      <c r="BC822" s="52"/>
      <c r="BD822" s="52"/>
      <c r="BE822" s="52"/>
      <c r="BF822" s="83"/>
    </row>
    <row r="823" spans="1:58" ht="16" x14ac:dyDescent="0.35">
      <c r="A823" s="41"/>
      <c r="B823" s="42"/>
      <c r="C823" s="42"/>
      <c r="D823" s="42"/>
      <c r="E823" s="42"/>
      <c r="F823" s="42"/>
      <c r="G823" s="42"/>
      <c r="H823" s="43"/>
      <c r="I823" s="43"/>
      <c r="J823" s="43"/>
      <c r="K823" s="43"/>
      <c r="L823" s="43"/>
      <c r="M823" s="42"/>
      <c r="N823" s="42"/>
      <c r="O823" s="42"/>
      <c r="P823" s="42"/>
      <c r="Q823" s="42"/>
      <c r="R823" s="42"/>
      <c r="S823" s="42"/>
      <c r="T823" s="42"/>
      <c r="U823" s="42"/>
      <c r="V823" s="42"/>
      <c r="W823" s="42"/>
      <c r="X823" s="42"/>
      <c r="Y823" s="43"/>
      <c r="Z823" s="42"/>
      <c r="AA823" s="42"/>
      <c r="AB823" s="44"/>
      <c r="AP823"/>
      <c r="AQ823" s="48"/>
      <c r="AR823" s="48"/>
      <c r="AS823"/>
      <c r="AT823" s="48"/>
      <c r="AU823" s="48"/>
      <c r="AV823"/>
      <c r="AW823" s="49"/>
      <c r="AX823" s="49"/>
      <c r="AY823" s="49"/>
      <c r="AZ823" s="49"/>
      <c r="BA823" s="49"/>
      <c r="BB823" s="48"/>
      <c r="BC823" s="48"/>
      <c r="BD823" s="48"/>
      <c r="BE823" s="48"/>
      <c r="BF823" s="83"/>
    </row>
    <row r="824" spans="1:58" ht="16" x14ac:dyDescent="0.35">
      <c r="A824" s="37"/>
      <c r="B824" s="38"/>
      <c r="C824" s="38"/>
      <c r="D824" s="38"/>
      <c r="E824" s="38"/>
      <c r="F824" s="38"/>
      <c r="G824" s="38"/>
      <c r="H824" s="39"/>
      <c r="I824" s="39"/>
      <c r="J824" s="39"/>
      <c r="K824" s="39"/>
      <c r="L824" s="39"/>
      <c r="M824" s="38"/>
      <c r="N824" s="38"/>
      <c r="O824" s="38"/>
      <c r="P824" s="38"/>
      <c r="Q824" s="38"/>
      <c r="R824" s="38"/>
      <c r="S824" s="38"/>
      <c r="T824" s="38"/>
      <c r="U824" s="38"/>
      <c r="V824" s="38"/>
      <c r="W824" s="38"/>
      <c r="X824" s="38"/>
      <c r="Y824" s="39"/>
      <c r="Z824" s="38"/>
      <c r="AA824" s="38"/>
      <c r="AB824" s="40"/>
      <c r="AP824"/>
      <c r="AQ824" s="52"/>
      <c r="AR824" s="52"/>
      <c r="AS824"/>
      <c r="AT824" s="52"/>
      <c r="AU824" s="52"/>
      <c r="AV824"/>
      <c r="AW824" s="53"/>
      <c r="AX824" s="53"/>
      <c r="AY824" s="53"/>
      <c r="AZ824" s="53"/>
      <c r="BA824" s="53"/>
      <c r="BB824" s="52"/>
      <c r="BC824" s="52"/>
      <c r="BD824" s="52"/>
      <c r="BE824" s="52"/>
      <c r="BF824" s="83"/>
    </row>
    <row r="825" spans="1:58" ht="16" x14ac:dyDescent="0.35">
      <c r="A825" s="41"/>
      <c r="B825" s="42"/>
      <c r="C825" s="42"/>
      <c r="D825" s="42"/>
      <c r="E825" s="42"/>
      <c r="F825" s="42"/>
      <c r="G825" s="42"/>
      <c r="H825" s="43"/>
      <c r="I825" s="43"/>
      <c r="J825" s="43"/>
      <c r="K825" s="43"/>
      <c r="L825" s="43"/>
      <c r="M825" s="42"/>
      <c r="N825" s="42"/>
      <c r="O825" s="42"/>
      <c r="P825" s="42"/>
      <c r="Q825" s="42"/>
      <c r="R825" s="42"/>
      <c r="S825" s="42"/>
      <c r="T825" s="42"/>
      <c r="U825" s="42"/>
      <c r="V825" s="42"/>
      <c r="W825" s="42"/>
      <c r="X825" s="42"/>
      <c r="Y825" s="43"/>
      <c r="Z825" s="42"/>
      <c r="AA825" s="42"/>
      <c r="AB825" s="44"/>
      <c r="AP825"/>
      <c r="AQ825" s="48"/>
      <c r="AR825" s="48"/>
      <c r="AS825"/>
      <c r="AT825" s="48"/>
      <c r="AU825" s="48"/>
      <c r="AV825"/>
      <c r="AW825" s="49"/>
      <c r="AX825" s="49"/>
      <c r="AY825" s="49"/>
      <c r="AZ825" s="49"/>
      <c r="BA825" s="49"/>
      <c r="BB825" s="48"/>
      <c r="BC825" s="48"/>
      <c r="BD825" s="48"/>
      <c r="BE825" s="48"/>
      <c r="BF825" s="83"/>
    </row>
    <row r="826" spans="1:58" ht="16" x14ac:dyDescent="0.35">
      <c r="A826" s="37"/>
      <c r="B826" s="38"/>
      <c r="C826" s="38"/>
      <c r="D826" s="38"/>
      <c r="E826" s="38"/>
      <c r="F826" s="38"/>
      <c r="G826" s="38"/>
      <c r="H826" s="39"/>
      <c r="I826" s="39"/>
      <c r="J826" s="39"/>
      <c r="K826" s="39"/>
      <c r="L826" s="39"/>
      <c r="M826" s="38"/>
      <c r="N826" s="38"/>
      <c r="O826" s="38"/>
      <c r="P826" s="38"/>
      <c r="Q826" s="38"/>
      <c r="R826" s="38"/>
      <c r="S826" s="38"/>
      <c r="T826" s="38"/>
      <c r="U826" s="38"/>
      <c r="V826" s="38"/>
      <c r="W826" s="38"/>
      <c r="X826" s="38"/>
      <c r="Y826" s="39"/>
      <c r="Z826" s="38"/>
      <c r="AA826" s="38"/>
      <c r="AB826" s="40"/>
      <c r="AP826"/>
      <c r="AQ826" s="52"/>
      <c r="AR826" s="52"/>
      <c r="AS826"/>
      <c r="AT826" s="52"/>
      <c r="AU826" s="52"/>
      <c r="AV826"/>
      <c r="AW826" s="53"/>
      <c r="AX826" s="53"/>
      <c r="AY826" s="53"/>
      <c r="AZ826" s="53"/>
      <c r="BA826" s="53"/>
      <c r="BB826" s="52"/>
      <c r="BC826" s="52"/>
      <c r="BD826" s="52"/>
      <c r="BE826" s="52"/>
      <c r="BF826" s="83"/>
    </row>
    <row r="827" spans="1:58" ht="16" x14ac:dyDescent="0.35">
      <c r="A827" s="41"/>
      <c r="B827" s="42"/>
      <c r="C827" s="42"/>
      <c r="D827" s="42"/>
      <c r="E827" s="42"/>
      <c r="F827" s="42"/>
      <c r="G827" s="42"/>
      <c r="H827" s="43"/>
      <c r="I827" s="43"/>
      <c r="J827" s="43"/>
      <c r="K827" s="43"/>
      <c r="L827" s="43"/>
      <c r="M827" s="42"/>
      <c r="N827" s="42"/>
      <c r="O827" s="42"/>
      <c r="P827" s="42"/>
      <c r="Q827" s="42"/>
      <c r="R827" s="42"/>
      <c r="S827" s="42"/>
      <c r="T827" s="42"/>
      <c r="U827" s="42"/>
      <c r="V827" s="42"/>
      <c r="W827" s="42"/>
      <c r="X827" s="42"/>
      <c r="Y827" s="43"/>
      <c r="Z827" s="42"/>
      <c r="AA827" s="42"/>
      <c r="AB827" s="44"/>
      <c r="AP827"/>
      <c r="AQ827" s="48"/>
      <c r="AR827" s="48"/>
      <c r="AS827"/>
      <c r="AT827" s="48"/>
      <c r="AU827" s="48"/>
      <c r="AV827"/>
      <c r="AW827" s="49"/>
      <c r="AX827" s="49"/>
      <c r="AY827" s="49"/>
      <c r="AZ827" s="49"/>
      <c r="BA827" s="49"/>
      <c r="BB827" s="48"/>
      <c r="BC827" s="48"/>
      <c r="BD827" s="48"/>
      <c r="BE827" s="48"/>
      <c r="BF827" s="83"/>
    </row>
    <row r="828" spans="1:58" ht="16" x14ac:dyDescent="0.35">
      <c r="A828" s="37"/>
      <c r="B828" s="38"/>
      <c r="C828" s="38"/>
      <c r="D828" s="38"/>
      <c r="E828" s="38"/>
      <c r="F828" s="38"/>
      <c r="G828" s="38"/>
      <c r="H828" s="39"/>
      <c r="I828" s="39"/>
      <c r="J828" s="39"/>
      <c r="K828" s="39"/>
      <c r="L828" s="39"/>
      <c r="M828" s="38"/>
      <c r="N828" s="38"/>
      <c r="O828" s="38"/>
      <c r="P828" s="38"/>
      <c r="Q828" s="38"/>
      <c r="R828" s="38"/>
      <c r="S828" s="38"/>
      <c r="T828" s="38"/>
      <c r="U828" s="38"/>
      <c r="V828" s="38"/>
      <c r="W828" s="38"/>
      <c r="X828" s="38"/>
      <c r="Y828" s="39"/>
      <c r="Z828" s="38"/>
      <c r="AA828" s="38"/>
      <c r="AB828" s="40"/>
      <c r="AP828"/>
      <c r="AQ828" s="52"/>
      <c r="AR828" s="52"/>
      <c r="AS828"/>
      <c r="AT828" s="52"/>
      <c r="AU828" s="52"/>
      <c r="AV828"/>
      <c r="AW828" s="53"/>
      <c r="AX828" s="53"/>
      <c r="AY828" s="53"/>
      <c r="AZ828" s="53"/>
      <c r="BA828" s="53"/>
      <c r="BB828" s="52"/>
      <c r="BC828" s="52"/>
      <c r="BD828" s="52"/>
      <c r="BE828" s="52"/>
      <c r="BF828" s="83"/>
    </row>
    <row r="829" spans="1:58" ht="16" x14ac:dyDescent="0.35">
      <c r="A829" s="41"/>
      <c r="B829" s="42"/>
      <c r="C829" s="42"/>
      <c r="D829" s="42"/>
      <c r="E829" s="42"/>
      <c r="F829" s="42"/>
      <c r="G829" s="42"/>
      <c r="H829" s="43"/>
      <c r="I829" s="43"/>
      <c r="J829" s="43"/>
      <c r="K829" s="43"/>
      <c r="L829" s="43"/>
      <c r="M829" s="42"/>
      <c r="N829" s="42"/>
      <c r="O829" s="42"/>
      <c r="P829" s="42"/>
      <c r="Q829" s="42"/>
      <c r="R829" s="42"/>
      <c r="S829" s="42"/>
      <c r="T829" s="42"/>
      <c r="U829" s="42"/>
      <c r="V829" s="42"/>
      <c r="W829" s="42"/>
      <c r="X829" s="42"/>
      <c r="Y829" s="43"/>
      <c r="Z829" s="42"/>
      <c r="AA829" s="42"/>
      <c r="AB829" s="44"/>
      <c r="AP829"/>
      <c r="AQ829" s="48"/>
      <c r="AR829" s="48"/>
      <c r="AS829"/>
      <c r="AT829" s="48"/>
      <c r="AU829" s="48"/>
      <c r="AV829"/>
      <c r="AW829" s="49"/>
      <c r="AX829" s="49"/>
      <c r="AY829" s="49"/>
      <c r="AZ829" s="49"/>
      <c r="BA829" s="49"/>
      <c r="BB829" s="48"/>
      <c r="BC829" s="48"/>
      <c r="BD829" s="48"/>
      <c r="BE829" s="48"/>
      <c r="BF829" s="83"/>
    </row>
    <row r="830" spans="1:58" ht="16" x14ac:dyDescent="0.35">
      <c r="A830" s="37"/>
      <c r="B830" s="38"/>
      <c r="C830" s="38"/>
      <c r="D830" s="38"/>
      <c r="E830" s="38"/>
      <c r="F830" s="38"/>
      <c r="G830" s="38"/>
      <c r="H830" s="39"/>
      <c r="I830" s="39"/>
      <c r="J830" s="39"/>
      <c r="K830" s="39"/>
      <c r="L830" s="39"/>
      <c r="M830" s="38"/>
      <c r="N830" s="38"/>
      <c r="O830" s="38"/>
      <c r="P830" s="38"/>
      <c r="Q830" s="38"/>
      <c r="R830" s="38"/>
      <c r="S830" s="38"/>
      <c r="T830" s="38"/>
      <c r="U830" s="38"/>
      <c r="V830" s="38"/>
      <c r="W830" s="38"/>
      <c r="X830" s="38"/>
      <c r="Y830" s="39"/>
      <c r="Z830" s="38"/>
      <c r="AA830" s="38"/>
      <c r="AB830" s="40"/>
      <c r="AP830"/>
      <c r="AQ830" s="52"/>
      <c r="AR830" s="52"/>
      <c r="AS830"/>
      <c r="AT830" s="52"/>
      <c r="AU830" s="52"/>
      <c r="AV830"/>
      <c r="AW830" s="53"/>
      <c r="AX830" s="53"/>
      <c r="AY830" s="53"/>
      <c r="AZ830" s="53"/>
      <c r="BA830" s="53"/>
      <c r="BB830" s="52"/>
      <c r="BC830" s="52"/>
      <c r="BD830" s="52"/>
      <c r="BE830" s="52"/>
      <c r="BF830" s="83"/>
    </row>
    <row r="831" spans="1:58" ht="16" x14ac:dyDescent="0.35">
      <c r="A831" s="41"/>
      <c r="B831" s="42"/>
      <c r="C831" s="42"/>
      <c r="D831" s="42"/>
      <c r="E831" s="42"/>
      <c r="F831" s="42"/>
      <c r="G831" s="42"/>
      <c r="H831" s="43"/>
      <c r="I831" s="43"/>
      <c r="J831" s="43"/>
      <c r="K831" s="43"/>
      <c r="L831" s="43"/>
      <c r="M831" s="42"/>
      <c r="N831" s="42"/>
      <c r="O831" s="42"/>
      <c r="P831" s="42"/>
      <c r="Q831" s="42"/>
      <c r="R831" s="42"/>
      <c r="S831" s="42"/>
      <c r="T831" s="42"/>
      <c r="U831" s="42"/>
      <c r="V831" s="42"/>
      <c r="W831" s="42"/>
      <c r="X831" s="42"/>
      <c r="Y831" s="43"/>
      <c r="Z831" s="42"/>
      <c r="AA831" s="42"/>
      <c r="AB831" s="44"/>
      <c r="AP831"/>
      <c r="AQ831" s="48"/>
      <c r="AR831" s="48"/>
      <c r="AS831"/>
      <c r="AT831" s="48"/>
      <c r="AU831" s="48"/>
      <c r="AV831"/>
      <c r="AW831" s="49"/>
      <c r="AX831" s="49"/>
      <c r="AY831" s="49"/>
      <c r="AZ831" s="49"/>
      <c r="BA831" s="49"/>
      <c r="BB831" s="48"/>
      <c r="BC831" s="48"/>
      <c r="BD831" s="48"/>
      <c r="BE831" s="48"/>
      <c r="BF831" s="83"/>
    </row>
    <row r="832" spans="1:58" ht="16" x14ac:dyDescent="0.35">
      <c r="A832" s="37"/>
      <c r="B832" s="38"/>
      <c r="C832" s="38"/>
      <c r="D832" s="38"/>
      <c r="E832" s="38"/>
      <c r="F832" s="38"/>
      <c r="G832" s="38"/>
      <c r="H832" s="39"/>
      <c r="I832" s="39"/>
      <c r="J832" s="39"/>
      <c r="K832" s="39"/>
      <c r="L832" s="39"/>
      <c r="M832" s="38"/>
      <c r="N832" s="38"/>
      <c r="O832" s="38"/>
      <c r="P832" s="38"/>
      <c r="Q832" s="38"/>
      <c r="R832" s="38"/>
      <c r="S832" s="38"/>
      <c r="T832" s="38"/>
      <c r="U832" s="38"/>
      <c r="V832" s="38"/>
      <c r="W832" s="38"/>
      <c r="X832" s="38"/>
      <c r="Y832" s="39"/>
      <c r="Z832" s="38"/>
      <c r="AA832" s="38"/>
      <c r="AB832" s="40"/>
      <c r="AP832"/>
      <c r="AQ832" s="52"/>
      <c r="AR832" s="52"/>
      <c r="AS832"/>
      <c r="AT832" s="52"/>
      <c r="AU832" s="52"/>
      <c r="AV832"/>
      <c r="AW832" s="53"/>
      <c r="AX832" s="53"/>
      <c r="AY832" s="53"/>
      <c r="AZ832" s="53"/>
      <c r="BA832" s="53"/>
      <c r="BB832" s="52"/>
      <c r="BC832" s="52"/>
      <c r="BD832" s="52"/>
      <c r="BE832" s="52"/>
      <c r="BF832" s="83"/>
    </row>
    <row r="833" spans="1:58" ht="16" x14ac:dyDescent="0.35">
      <c r="A833" s="41"/>
      <c r="B833" s="42"/>
      <c r="C833" s="42"/>
      <c r="D833" s="42"/>
      <c r="E833" s="42"/>
      <c r="F833" s="42"/>
      <c r="G833" s="42"/>
      <c r="H833" s="43"/>
      <c r="I833" s="43"/>
      <c r="J833" s="43"/>
      <c r="K833" s="43"/>
      <c r="L833" s="43"/>
      <c r="M833" s="42"/>
      <c r="N833" s="42"/>
      <c r="O833" s="42"/>
      <c r="P833" s="42"/>
      <c r="Q833" s="42"/>
      <c r="R833" s="42"/>
      <c r="S833" s="42"/>
      <c r="T833" s="42"/>
      <c r="U833" s="42"/>
      <c r="V833" s="42"/>
      <c r="W833" s="42"/>
      <c r="X833" s="42"/>
      <c r="Y833" s="43"/>
      <c r="Z833" s="42"/>
      <c r="AA833" s="42"/>
      <c r="AB833" s="44"/>
      <c r="AP833"/>
      <c r="AQ833" s="48"/>
      <c r="AR833" s="48"/>
      <c r="AS833"/>
      <c r="AT833" s="48"/>
      <c r="AU833" s="48"/>
      <c r="AV833"/>
      <c r="AW833" s="49"/>
      <c r="AX833" s="49"/>
      <c r="AY833" s="49"/>
      <c r="AZ833" s="49"/>
      <c r="BA833" s="49"/>
      <c r="BB833" s="48"/>
      <c r="BC833" s="48"/>
      <c r="BD833" s="48"/>
      <c r="BE833" s="48"/>
      <c r="BF833" s="83"/>
    </row>
    <row r="834" spans="1:58" ht="16" x14ac:dyDescent="0.35">
      <c r="A834" s="37"/>
      <c r="B834" s="38"/>
      <c r="C834" s="38"/>
      <c r="D834" s="38"/>
      <c r="E834" s="38"/>
      <c r="F834" s="38"/>
      <c r="G834" s="38"/>
      <c r="H834" s="39"/>
      <c r="I834" s="39"/>
      <c r="J834" s="39"/>
      <c r="K834" s="39"/>
      <c r="L834" s="39"/>
      <c r="M834" s="38"/>
      <c r="N834" s="38"/>
      <c r="O834" s="38"/>
      <c r="P834" s="38"/>
      <c r="Q834" s="38"/>
      <c r="R834" s="38"/>
      <c r="S834" s="38"/>
      <c r="T834" s="38"/>
      <c r="U834" s="38"/>
      <c r="V834" s="38"/>
      <c r="W834" s="38"/>
      <c r="X834" s="38"/>
      <c r="Y834" s="39"/>
      <c r="Z834" s="38"/>
      <c r="AA834" s="38"/>
      <c r="AB834" s="40"/>
      <c r="AP834"/>
      <c r="AQ834" s="52"/>
      <c r="AR834" s="52"/>
      <c r="AS834"/>
      <c r="AT834" s="52"/>
      <c r="AU834" s="52"/>
      <c r="AV834"/>
      <c r="AW834" s="53"/>
      <c r="AX834" s="53"/>
      <c r="AY834" s="53"/>
      <c r="AZ834" s="53"/>
      <c r="BA834" s="53"/>
      <c r="BB834" s="52"/>
      <c r="BC834" s="52"/>
      <c r="BD834" s="52"/>
      <c r="BE834" s="52"/>
      <c r="BF834" s="83"/>
    </row>
    <row r="835" spans="1:58" ht="16" x14ac:dyDescent="0.35">
      <c r="A835" s="41"/>
      <c r="B835" s="42"/>
      <c r="C835" s="42"/>
      <c r="D835" s="42"/>
      <c r="E835" s="42"/>
      <c r="F835" s="42"/>
      <c r="G835" s="42"/>
      <c r="H835" s="43"/>
      <c r="I835" s="43"/>
      <c r="J835" s="43"/>
      <c r="K835" s="43"/>
      <c r="L835" s="43"/>
      <c r="M835" s="42"/>
      <c r="N835" s="42"/>
      <c r="O835" s="42"/>
      <c r="P835" s="42"/>
      <c r="Q835" s="42"/>
      <c r="R835" s="42"/>
      <c r="S835" s="42"/>
      <c r="T835" s="42"/>
      <c r="U835" s="42"/>
      <c r="V835" s="42"/>
      <c r="W835" s="42"/>
      <c r="X835" s="42"/>
      <c r="Y835" s="43"/>
      <c r="Z835" s="42"/>
      <c r="AA835" s="42"/>
      <c r="AB835" s="44"/>
      <c r="AP835"/>
      <c r="AQ835" s="48"/>
      <c r="AR835" s="48"/>
      <c r="AS835"/>
      <c r="AT835" s="48"/>
      <c r="AU835" s="48"/>
      <c r="AV835"/>
      <c r="AW835" s="49"/>
      <c r="AX835" s="49"/>
      <c r="AY835" s="49"/>
      <c r="AZ835" s="49"/>
      <c r="BA835" s="49"/>
      <c r="BB835" s="48"/>
      <c r="BC835" s="48"/>
      <c r="BD835" s="48"/>
      <c r="BE835" s="48"/>
      <c r="BF835" s="83"/>
    </row>
    <row r="836" spans="1:58" ht="16" x14ac:dyDescent="0.35">
      <c r="A836" s="37"/>
      <c r="B836" s="38"/>
      <c r="C836" s="38"/>
      <c r="D836" s="38"/>
      <c r="E836" s="38"/>
      <c r="F836" s="38"/>
      <c r="G836" s="38"/>
      <c r="H836" s="39"/>
      <c r="I836" s="39"/>
      <c r="J836" s="39"/>
      <c r="K836" s="39"/>
      <c r="L836" s="39"/>
      <c r="M836" s="38"/>
      <c r="N836" s="38"/>
      <c r="O836" s="38"/>
      <c r="P836" s="38"/>
      <c r="Q836" s="38"/>
      <c r="R836" s="38"/>
      <c r="S836" s="38"/>
      <c r="T836" s="38"/>
      <c r="U836" s="38"/>
      <c r="V836" s="38"/>
      <c r="W836" s="38"/>
      <c r="X836" s="38"/>
      <c r="Y836" s="39"/>
      <c r="Z836" s="38"/>
      <c r="AA836" s="38"/>
      <c r="AB836" s="40"/>
      <c r="AP836"/>
      <c r="AQ836" s="52"/>
      <c r="AR836" s="52"/>
      <c r="AS836"/>
      <c r="AT836" s="52"/>
      <c r="AU836" s="52"/>
      <c r="AV836"/>
      <c r="AW836" s="53"/>
      <c r="AX836" s="53"/>
      <c r="AY836" s="53"/>
      <c r="AZ836" s="53"/>
      <c r="BA836" s="53"/>
      <c r="BB836" s="52"/>
      <c r="BC836" s="52"/>
      <c r="BD836" s="52"/>
      <c r="BE836" s="52"/>
      <c r="BF836" s="83"/>
    </row>
    <row r="837" spans="1:58" ht="16" x14ac:dyDescent="0.35">
      <c r="A837" s="41"/>
      <c r="B837" s="42"/>
      <c r="C837" s="42"/>
      <c r="D837" s="42"/>
      <c r="E837" s="42"/>
      <c r="F837" s="42"/>
      <c r="G837" s="42"/>
      <c r="H837" s="43"/>
      <c r="I837" s="43"/>
      <c r="J837" s="43"/>
      <c r="K837" s="43"/>
      <c r="L837" s="43"/>
      <c r="M837" s="42"/>
      <c r="N837" s="42"/>
      <c r="O837" s="42"/>
      <c r="P837" s="42"/>
      <c r="Q837" s="42"/>
      <c r="R837" s="42"/>
      <c r="S837" s="42"/>
      <c r="T837" s="42"/>
      <c r="U837" s="42"/>
      <c r="V837" s="42"/>
      <c r="W837" s="42"/>
      <c r="X837" s="42"/>
      <c r="Y837" s="43"/>
      <c r="Z837" s="42"/>
      <c r="AA837" s="42"/>
      <c r="AB837" s="44"/>
      <c r="AP837"/>
      <c r="AQ837" s="48"/>
      <c r="AR837" s="48"/>
      <c r="AS837"/>
      <c r="AT837" s="48"/>
      <c r="AU837" s="48"/>
      <c r="AV837"/>
      <c r="AW837" s="49"/>
      <c r="AX837" s="49"/>
      <c r="AY837" s="49"/>
      <c r="AZ837" s="49"/>
      <c r="BA837" s="49"/>
      <c r="BB837" s="48"/>
      <c r="BC837" s="48"/>
      <c r="BD837" s="48"/>
      <c r="BE837" s="48"/>
      <c r="BF837" s="83"/>
    </row>
    <row r="838" spans="1:58" ht="16" x14ac:dyDescent="0.35">
      <c r="A838" s="37"/>
      <c r="B838" s="38"/>
      <c r="C838" s="38"/>
      <c r="D838" s="38"/>
      <c r="E838" s="38"/>
      <c r="F838" s="38"/>
      <c r="G838" s="38"/>
      <c r="H838" s="39"/>
      <c r="I838" s="39"/>
      <c r="J838" s="39"/>
      <c r="K838" s="39"/>
      <c r="L838" s="39"/>
      <c r="M838" s="38"/>
      <c r="N838" s="38"/>
      <c r="O838" s="38"/>
      <c r="P838" s="38"/>
      <c r="Q838" s="38"/>
      <c r="R838" s="38"/>
      <c r="S838" s="38"/>
      <c r="T838" s="38"/>
      <c r="U838" s="38"/>
      <c r="V838" s="38"/>
      <c r="W838" s="38"/>
      <c r="X838" s="38"/>
      <c r="Y838" s="39"/>
      <c r="Z838" s="38"/>
      <c r="AA838" s="38"/>
      <c r="AB838" s="40"/>
      <c r="AP838"/>
      <c r="AQ838" s="52"/>
      <c r="AR838" s="52"/>
      <c r="AS838"/>
      <c r="AT838" s="52"/>
      <c r="AU838" s="52"/>
      <c r="AV838"/>
      <c r="AW838" s="53"/>
      <c r="AX838" s="53"/>
      <c r="AY838" s="53"/>
      <c r="AZ838" s="53"/>
      <c r="BA838" s="53"/>
      <c r="BB838" s="52"/>
      <c r="BC838" s="52"/>
      <c r="BD838" s="52"/>
      <c r="BE838" s="52"/>
      <c r="BF838" s="83"/>
    </row>
    <row r="839" spans="1:58" ht="16" x14ac:dyDescent="0.35">
      <c r="A839" s="41"/>
      <c r="B839" s="42"/>
      <c r="C839" s="42"/>
      <c r="D839" s="42"/>
      <c r="E839" s="42"/>
      <c r="F839" s="42"/>
      <c r="G839" s="42"/>
      <c r="H839" s="43"/>
      <c r="I839" s="43"/>
      <c r="J839" s="43"/>
      <c r="K839" s="43"/>
      <c r="L839" s="43"/>
      <c r="M839" s="42"/>
      <c r="N839" s="42"/>
      <c r="O839" s="42"/>
      <c r="P839" s="42"/>
      <c r="Q839" s="42"/>
      <c r="R839" s="42"/>
      <c r="S839" s="42"/>
      <c r="T839" s="42"/>
      <c r="U839" s="42"/>
      <c r="V839" s="42"/>
      <c r="W839" s="42"/>
      <c r="X839" s="42"/>
      <c r="Y839" s="43"/>
      <c r="Z839" s="42"/>
      <c r="AA839" s="42"/>
      <c r="AB839" s="44"/>
      <c r="AP839"/>
      <c r="AQ839" s="48"/>
      <c r="AR839" s="48"/>
      <c r="AS839"/>
      <c r="AT839" s="48"/>
      <c r="AU839" s="48"/>
      <c r="AV839"/>
      <c r="AW839" s="49"/>
      <c r="AX839" s="49"/>
      <c r="AY839" s="49"/>
      <c r="AZ839" s="49"/>
      <c r="BA839" s="49"/>
      <c r="BB839" s="48"/>
      <c r="BC839" s="48"/>
      <c r="BD839" s="48"/>
      <c r="BE839" s="48"/>
      <c r="BF839" s="83"/>
    </row>
    <row r="840" spans="1:58" ht="16" x14ac:dyDescent="0.35">
      <c r="A840" s="37"/>
      <c r="B840" s="38"/>
      <c r="C840" s="38"/>
      <c r="D840" s="38"/>
      <c r="E840" s="38"/>
      <c r="F840" s="38"/>
      <c r="G840" s="38"/>
      <c r="H840" s="39"/>
      <c r="I840" s="39"/>
      <c r="J840" s="39"/>
      <c r="K840" s="39"/>
      <c r="L840" s="39"/>
      <c r="M840" s="38"/>
      <c r="N840" s="38"/>
      <c r="O840" s="38"/>
      <c r="P840" s="38"/>
      <c r="Q840" s="38"/>
      <c r="R840" s="38"/>
      <c r="S840" s="38"/>
      <c r="T840" s="38"/>
      <c r="U840" s="38"/>
      <c r="V840" s="38"/>
      <c r="W840" s="38"/>
      <c r="X840" s="38"/>
      <c r="Y840" s="39"/>
      <c r="Z840" s="38"/>
      <c r="AA840" s="38"/>
      <c r="AB840" s="40"/>
      <c r="AP840"/>
      <c r="AQ840" s="52"/>
      <c r="AR840" s="52"/>
      <c r="AS840"/>
      <c r="AT840" s="52"/>
      <c r="AU840" s="52"/>
      <c r="AV840"/>
      <c r="AW840" s="53"/>
      <c r="AX840" s="53"/>
      <c r="AY840" s="53"/>
      <c r="AZ840" s="53"/>
      <c r="BA840" s="53"/>
      <c r="BB840" s="52"/>
      <c r="BC840" s="52"/>
      <c r="BD840" s="52"/>
      <c r="BE840" s="52"/>
      <c r="BF840" s="83"/>
    </row>
    <row r="841" spans="1:58" ht="16" x14ac:dyDescent="0.35">
      <c r="A841" s="30"/>
      <c r="B841" s="31"/>
      <c r="C841" s="31"/>
      <c r="D841" s="31"/>
      <c r="E841" s="31"/>
      <c r="F841" s="31"/>
      <c r="G841" s="31"/>
      <c r="H841" s="32"/>
      <c r="I841" s="32"/>
      <c r="J841" s="32"/>
      <c r="K841" s="32"/>
      <c r="L841" s="32"/>
      <c r="M841" s="31"/>
      <c r="N841" s="31"/>
      <c r="O841" s="31"/>
      <c r="P841" s="31"/>
      <c r="Q841" s="31"/>
      <c r="R841" s="31"/>
      <c r="S841" s="31"/>
      <c r="T841" s="31"/>
      <c r="U841" s="31"/>
      <c r="V841" s="31"/>
      <c r="W841" s="31"/>
      <c r="X841" s="31"/>
      <c r="Y841" s="32"/>
      <c r="Z841" s="31"/>
      <c r="AA841" s="31"/>
      <c r="AB841" s="33"/>
      <c r="AP841"/>
      <c r="AQ841" s="48"/>
      <c r="AR841" s="48"/>
      <c r="AS841"/>
      <c r="AT841" s="48"/>
      <c r="AU841" s="48"/>
      <c r="AV841"/>
      <c r="AW841" s="49"/>
      <c r="AX841" s="49"/>
      <c r="AY841" s="49"/>
      <c r="AZ841" s="49"/>
      <c r="BA841" s="49"/>
      <c r="BB841" s="48"/>
      <c r="BC841" s="48"/>
      <c r="BD841" s="48"/>
      <c r="BE841" s="48"/>
      <c r="BF841" s="83"/>
    </row>
    <row r="842" spans="1:58" ht="16" x14ac:dyDescent="0.35">
      <c r="AP842"/>
      <c r="AQ842" s="52"/>
      <c r="AR842" s="52"/>
      <c r="AS842"/>
      <c r="AT842" s="52"/>
      <c r="AU842" s="52"/>
      <c r="AV842"/>
      <c r="AW842" s="53"/>
      <c r="AX842" s="53"/>
      <c r="AY842" s="53"/>
      <c r="AZ842" s="53"/>
      <c r="BA842" s="53"/>
      <c r="BB842" s="52"/>
      <c r="BC842" s="52"/>
      <c r="BD842" s="52"/>
      <c r="BE842" s="52"/>
      <c r="BF842" s="83"/>
    </row>
    <row r="843" spans="1:58" ht="16" x14ac:dyDescent="0.35">
      <c r="AP843"/>
      <c r="AQ843" s="48"/>
      <c r="AR843" s="48"/>
      <c r="AS843"/>
      <c r="AT843" s="48"/>
      <c r="AU843" s="48"/>
      <c r="AV843"/>
      <c r="AW843" s="49"/>
      <c r="AX843" s="49"/>
      <c r="AY843" s="49"/>
      <c r="AZ843" s="49"/>
      <c r="BA843" s="49"/>
      <c r="BB843" s="48"/>
      <c r="BC843" s="48"/>
      <c r="BD843" s="48"/>
      <c r="BE843" s="48"/>
      <c r="BF843" s="83"/>
    </row>
    <row r="844" spans="1:58" ht="16" x14ac:dyDescent="0.35">
      <c r="AP844"/>
      <c r="AQ844" s="52"/>
      <c r="AR844" s="52"/>
      <c r="AS844"/>
      <c r="AT844" s="52"/>
      <c r="AU844" s="52"/>
      <c r="AV844"/>
      <c r="AW844" s="53"/>
      <c r="AX844" s="53"/>
      <c r="AY844" s="53"/>
      <c r="AZ844" s="53"/>
      <c r="BA844" s="53"/>
      <c r="BB844" s="52"/>
      <c r="BC844" s="52"/>
      <c r="BD844" s="52"/>
      <c r="BE844" s="52"/>
      <c r="BF844" s="83"/>
    </row>
    <row r="845" spans="1:58" ht="16" x14ac:dyDescent="0.35">
      <c r="AP845"/>
      <c r="AQ845" s="48"/>
      <c r="AR845" s="48"/>
      <c r="AS845"/>
      <c r="AT845" s="48"/>
      <c r="AU845" s="48"/>
      <c r="AV845"/>
      <c r="AW845" s="49"/>
      <c r="AX845" s="49"/>
      <c r="AY845" s="49"/>
      <c r="AZ845" s="49"/>
      <c r="BA845" s="49"/>
      <c r="BB845" s="48"/>
      <c r="BC845" s="48"/>
      <c r="BD845" s="48"/>
      <c r="BE845" s="48"/>
      <c r="BF845" s="83"/>
    </row>
    <row r="846" spans="1:58" ht="16" x14ac:dyDescent="0.35">
      <c r="AP846"/>
      <c r="AQ846" s="52"/>
      <c r="AR846" s="52"/>
      <c r="AS846"/>
      <c r="AT846" s="52"/>
      <c r="AU846" s="52"/>
      <c r="AV846"/>
      <c r="AW846" s="53"/>
      <c r="AX846" s="53"/>
      <c r="AY846" s="53"/>
      <c r="AZ846" s="53"/>
      <c r="BA846" s="53"/>
      <c r="BB846" s="52"/>
      <c r="BC846" s="52"/>
      <c r="BD846" s="52"/>
      <c r="BE846" s="52"/>
      <c r="BF846" s="83"/>
    </row>
    <row r="847" spans="1:58" ht="16" x14ac:dyDescent="0.35">
      <c r="AP847"/>
      <c r="AQ847" s="48"/>
      <c r="AR847" s="48"/>
      <c r="AS847"/>
      <c r="AT847" s="48"/>
      <c r="AU847" s="48"/>
      <c r="AV847"/>
      <c r="AW847" s="49"/>
      <c r="AX847" s="49"/>
      <c r="AY847" s="49"/>
      <c r="AZ847" s="49"/>
      <c r="BA847" s="49"/>
      <c r="BB847" s="48"/>
      <c r="BC847" s="48"/>
      <c r="BD847" s="48"/>
      <c r="BE847" s="48"/>
      <c r="BF847" s="83"/>
    </row>
    <row r="848" spans="1:58" ht="16" x14ac:dyDescent="0.35">
      <c r="AP848"/>
      <c r="AQ848" s="52"/>
      <c r="AR848" s="52"/>
      <c r="AS848"/>
      <c r="AT848" s="52"/>
      <c r="AU848" s="52"/>
      <c r="AV848"/>
      <c r="AW848" s="53"/>
      <c r="AX848" s="53"/>
      <c r="AY848" s="53"/>
      <c r="AZ848" s="53"/>
      <c r="BA848" s="53"/>
      <c r="BB848" s="52"/>
      <c r="BC848" s="52"/>
      <c r="BD848" s="52"/>
      <c r="BE848" s="52"/>
      <c r="BF848" s="83"/>
    </row>
    <row r="849" spans="42:58" ht="16" x14ac:dyDescent="0.35">
      <c r="AP849"/>
      <c r="AQ849" s="48"/>
      <c r="AR849" s="48"/>
      <c r="AS849"/>
      <c r="AT849" s="48"/>
      <c r="AU849" s="48"/>
      <c r="AV849"/>
      <c r="AW849" s="49"/>
      <c r="AX849" s="49"/>
      <c r="AY849" s="49"/>
      <c r="AZ849" s="49"/>
      <c r="BA849" s="49"/>
      <c r="BB849" s="48"/>
      <c r="BC849" s="48"/>
      <c r="BD849" s="48"/>
      <c r="BE849" s="48"/>
      <c r="BF849" s="83"/>
    </row>
    <row r="850" spans="42:58" ht="16" x14ac:dyDescent="0.35">
      <c r="AP850"/>
      <c r="AQ850" s="52"/>
      <c r="AR850" s="52"/>
      <c r="AS850"/>
      <c r="AT850" s="52"/>
      <c r="AU850" s="52"/>
      <c r="AV850"/>
      <c r="AW850" s="53"/>
      <c r="AX850" s="53"/>
      <c r="AY850" s="53"/>
      <c r="AZ850" s="53"/>
      <c r="BA850" s="53"/>
      <c r="BB850" s="52"/>
      <c r="BC850" s="52"/>
      <c r="BD850" s="52"/>
      <c r="BE850" s="52"/>
      <c r="BF850" s="83"/>
    </row>
    <row r="851" spans="42:58" ht="16" x14ac:dyDescent="0.35">
      <c r="AP851"/>
      <c r="AQ851" s="48"/>
      <c r="AR851" s="48"/>
      <c r="AS851"/>
      <c r="AT851" s="48"/>
      <c r="AU851" s="48"/>
      <c r="AV851"/>
      <c r="AW851" s="49"/>
      <c r="AX851" s="49"/>
      <c r="AY851" s="49"/>
      <c r="AZ851" s="49"/>
      <c r="BA851" s="49"/>
      <c r="BB851" s="48"/>
      <c r="BC851" s="48"/>
      <c r="BD851" s="48"/>
      <c r="BE851" s="48"/>
      <c r="BF851" s="83"/>
    </row>
    <row r="852" spans="42:58" ht="16" x14ac:dyDescent="0.35">
      <c r="AP852"/>
      <c r="AQ852" s="52"/>
      <c r="AR852" s="52"/>
      <c r="AS852"/>
      <c r="AT852" s="52"/>
      <c r="AU852" s="52"/>
      <c r="AV852"/>
      <c r="AW852" s="53"/>
      <c r="AX852" s="53"/>
      <c r="AY852" s="53"/>
      <c r="AZ852" s="53"/>
      <c r="BA852" s="53"/>
      <c r="BB852" s="52"/>
      <c r="BC852" s="52"/>
      <c r="BD852" s="52"/>
      <c r="BE852" s="52"/>
      <c r="BF852" s="83"/>
    </row>
    <row r="853" spans="42:58" ht="16" x14ac:dyDescent="0.35">
      <c r="AP853"/>
      <c r="AQ853" s="48"/>
      <c r="AR853" s="48"/>
      <c r="AS853"/>
      <c r="AT853" s="48"/>
      <c r="AU853" s="48"/>
      <c r="AV853"/>
      <c r="AW853" s="49"/>
      <c r="AX853" s="49"/>
      <c r="AY853" s="49"/>
      <c r="AZ853" s="49"/>
      <c r="BA853" s="49"/>
      <c r="BB853" s="48"/>
      <c r="BC853" s="48"/>
      <c r="BD853" s="48"/>
      <c r="BE853" s="48"/>
      <c r="BF853" s="83"/>
    </row>
    <row r="854" spans="42:58" ht="16" x14ac:dyDescent="0.35">
      <c r="AP854"/>
      <c r="AQ854" s="52"/>
      <c r="AR854" s="52"/>
      <c r="AS854"/>
      <c r="AT854" s="52"/>
      <c r="AU854" s="52"/>
      <c r="AV854"/>
      <c r="AW854" s="53"/>
      <c r="AX854" s="53"/>
      <c r="AY854" s="53"/>
      <c r="AZ854" s="53"/>
      <c r="BA854" s="53"/>
      <c r="BB854" s="52"/>
      <c r="BC854" s="52"/>
      <c r="BD854" s="52"/>
      <c r="BE854" s="52"/>
      <c r="BF854" s="83"/>
    </row>
    <row r="855" spans="42:58" ht="16" x14ac:dyDescent="0.35">
      <c r="AP855"/>
      <c r="AQ855" s="48"/>
      <c r="AR855" s="48"/>
      <c r="AS855"/>
      <c r="AT855" s="48"/>
      <c r="AU855" s="48"/>
      <c r="AV855"/>
      <c r="AW855" s="49"/>
      <c r="AX855" s="49"/>
      <c r="AY855" s="49"/>
      <c r="AZ855" s="49"/>
      <c r="BA855" s="49"/>
      <c r="BB855" s="48"/>
      <c r="BC855" s="48"/>
      <c r="BD855" s="48"/>
      <c r="BE855" s="48"/>
      <c r="BF855" s="83"/>
    </row>
    <row r="856" spans="42:58" ht="16" x14ac:dyDescent="0.35">
      <c r="AP856"/>
      <c r="AQ856" s="52"/>
      <c r="AR856" s="52"/>
      <c r="AS856"/>
      <c r="AT856" s="52"/>
      <c r="AU856" s="52"/>
      <c r="AV856"/>
      <c r="AW856" s="53"/>
      <c r="AX856" s="53"/>
      <c r="AY856" s="53"/>
      <c r="AZ856" s="53"/>
      <c r="BA856" s="53"/>
      <c r="BB856" s="52"/>
      <c r="BC856" s="52"/>
      <c r="BD856" s="52"/>
      <c r="BE856" s="52"/>
      <c r="BF856" s="83"/>
    </row>
    <row r="857" spans="42:58" ht="16" x14ac:dyDescent="0.35">
      <c r="AP857"/>
      <c r="AQ857" s="48"/>
      <c r="AR857" s="48"/>
      <c r="AS857"/>
      <c r="AT857" s="48"/>
      <c r="AU857" s="48"/>
      <c r="AV857"/>
      <c r="AW857" s="49"/>
      <c r="AX857" s="49"/>
      <c r="AY857" s="49"/>
      <c r="AZ857" s="49"/>
      <c r="BA857" s="49"/>
      <c r="BB857" s="48"/>
      <c r="BC857" s="48"/>
      <c r="BD857" s="48"/>
      <c r="BE857" s="48"/>
      <c r="BF857" s="83"/>
    </row>
    <row r="858" spans="42:58" ht="16" x14ac:dyDescent="0.35">
      <c r="AP858"/>
      <c r="AQ858" s="52"/>
      <c r="AR858" s="52"/>
      <c r="AS858"/>
      <c r="AT858" s="52"/>
      <c r="AU858" s="52"/>
      <c r="AV858"/>
      <c r="AW858" s="53"/>
      <c r="AX858" s="53"/>
      <c r="AY858" s="53"/>
      <c r="AZ858" s="53"/>
      <c r="BA858" s="53"/>
      <c r="BB858" s="52"/>
      <c r="BC858" s="52"/>
      <c r="BD858" s="52"/>
      <c r="BE858" s="52"/>
      <c r="BF858" s="83"/>
    </row>
    <row r="859" spans="42:58" ht="16" x14ac:dyDescent="0.35">
      <c r="AP859"/>
      <c r="AQ859" s="48"/>
      <c r="AR859" s="48"/>
      <c r="AS859"/>
      <c r="AT859" s="48"/>
      <c r="AU859" s="48"/>
      <c r="AV859"/>
      <c r="AW859" s="49"/>
      <c r="AX859" s="49"/>
      <c r="AY859" s="49"/>
      <c r="AZ859" s="49"/>
      <c r="BA859" s="49"/>
      <c r="BB859" s="48"/>
      <c r="BC859" s="48"/>
      <c r="BD859" s="48"/>
      <c r="BE859" s="48"/>
      <c r="BF859" s="83"/>
    </row>
    <row r="860" spans="42:58" ht="16" x14ac:dyDescent="0.35">
      <c r="AP860"/>
      <c r="AQ860" s="52"/>
      <c r="AR860" s="52"/>
      <c r="AS860"/>
      <c r="AT860" s="52"/>
      <c r="AU860" s="52"/>
      <c r="AV860"/>
      <c r="AW860" s="53"/>
      <c r="AX860" s="53"/>
      <c r="AY860" s="53"/>
      <c r="AZ860" s="53"/>
      <c r="BA860" s="53"/>
      <c r="BB860" s="52"/>
      <c r="BC860" s="52"/>
      <c r="BD860" s="52"/>
      <c r="BE860" s="52"/>
      <c r="BF860" s="83"/>
    </row>
    <row r="861" spans="42:58" ht="16" x14ac:dyDescent="0.35">
      <c r="AP861"/>
      <c r="AQ861" s="48"/>
      <c r="AR861" s="48"/>
      <c r="AS861"/>
      <c r="AT861" s="48"/>
      <c r="AU861" s="48"/>
      <c r="AV861"/>
      <c r="AW861" s="49"/>
      <c r="AX861" s="49"/>
      <c r="AY861" s="49"/>
      <c r="AZ861" s="49"/>
      <c r="BA861" s="49"/>
      <c r="BB861" s="48"/>
      <c r="BC861" s="48"/>
      <c r="BD861" s="48"/>
      <c r="BE861" s="48"/>
      <c r="BF861" s="83"/>
    </row>
    <row r="862" spans="42:58" ht="16" x14ac:dyDescent="0.35">
      <c r="AP862"/>
      <c r="AQ862" s="52"/>
      <c r="AR862" s="52"/>
      <c r="AS862"/>
      <c r="AT862" s="52"/>
      <c r="AU862" s="52"/>
      <c r="AV862"/>
      <c r="AW862" s="53"/>
      <c r="AX862" s="53"/>
      <c r="AY862" s="53"/>
      <c r="AZ862" s="53"/>
      <c r="BA862" s="53"/>
      <c r="BB862" s="52"/>
      <c r="BC862" s="52"/>
      <c r="BD862" s="52"/>
      <c r="BE862" s="52"/>
      <c r="BF862" s="83"/>
    </row>
    <row r="863" spans="42:58" ht="16" x14ac:dyDescent="0.35">
      <c r="AP863"/>
      <c r="AQ863" s="48"/>
      <c r="AR863" s="48"/>
      <c r="AS863"/>
      <c r="AT863" s="48"/>
      <c r="AU863" s="48"/>
      <c r="AV863"/>
      <c r="AW863" s="49"/>
      <c r="AX863" s="49"/>
      <c r="AY863" s="49"/>
      <c r="AZ863" s="49"/>
      <c r="BA863" s="49"/>
      <c r="BB863" s="48"/>
      <c r="BC863" s="48"/>
      <c r="BD863" s="48"/>
      <c r="BE863" s="48"/>
      <c r="BF863" s="83"/>
    </row>
    <row r="864" spans="42:58" ht="16" x14ac:dyDescent="0.35">
      <c r="AP864"/>
      <c r="AQ864" s="52"/>
      <c r="AR864" s="52"/>
      <c r="AS864"/>
      <c r="AT864" s="52"/>
      <c r="AU864" s="52"/>
      <c r="AV864"/>
      <c r="AW864" s="53"/>
      <c r="AX864" s="53"/>
      <c r="AY864" s="53"/>
      <c r="AZ864" s="53"/>
      <c r="BA864" s="53"/>
      <c r="BB864" s="52"/>
      <c r="BC864" s="52"/>
      <c r="BD864" s="52"/>
      <c r="BE864" s="52"/>
      <c r="BF864" s="83"/>
    </row>
    <row r="865" spans="42:58" ht="16" x14ac:dyDescent="0.35">
      <c r="AP865"/>
      <c r="AQ865" s="48"/>
      <c r="AR865" s="48"/>
      <c r="AS865"/>
      <c r="AT865" s="48"/>
      <c r="AU865" s="48"/>
      <c r="AV865"/>
      <c r="AW865" s="49"/>
      <c r="AX865" s="49"/>
      <c r="AY865" s="49"/>
      <c r="AZ865" s="49"/>
      <c r="BA865" s="49"/>
      <c r="BB865" s="48"/>
      <c r="BC865" s="48"/>
      <c r="BD865" s="48"/>
      <c r="BE865" s="48"/>
      <c r="BF865" s="83"/>
    </row>
    <row r="866" spans="42:58" ht="16" x14ac:dyDescent="0.35">
      <c r="AP866"/>
      <c r="AQ866" s="52"/>
      <c r="AR866" s="52"/>
      <c r="AS866"/>
      <c r="AT866" s="52"/>
      <c r="AU866" s="52"/>
      <c r="AV866"/>
      <c r="AW866" s="53"/>
      <c r="AX866" s="53"/>
      <c r="AY866" s="53"/>
      <c r="AZ866" s="53"/>
      <c r="BA866" s="53"/>
      <c r="BB866" s="52"/>
      <c r="BC866" s="52"/>
      <c r="BD866" s="52"/>
      <c r="BE866" s="52"/>
      <c r="BF866" s="83"/>
    </row>
    <row r="867" spans="42:58" ht="16" x14ac:dyDescent="0.35">
      <c r="AP867"/>
      <c r="AQ867" s="48"/>
      <c r="AR867" s="48"/>
      <c r="AS867"/>
      <c r="AT867" s="48"/>
      <c r="AU867" s="48"/>
      <c r="AV867"/>
      <c r="AW867" s="49"/>
      <c r="AX867" s="49"/>
      <c r="AY867" s="49"/>
      <c r="AZ867" s="49"/>
      <c r="BA867" s="49"/>
      <c r="BB867" s="48"/>
      <c r="BC867" s="48"/>
      <c r="BD867" s="48"/>
      <c r="BE867" s="48"/>
      <c r="BF867" s="83"/>
    </row>
    <row r="868" spans="42:58" ht="16" x14ac:dyDescent="0.35">
      <c r="AP868"/>
      <c r="AQ868" s="52"/>
      <c r="AR868" s="52"/>
      <c r="AS868"/>
      <c r="AT868" s="52"/>
      <c r="AU868" s="52"/>
      <c r="AV868"/>
      <c r="AW868" s="53"/>
      <c r="AX868" s="53"/>
      <c r="AY868" s="53"/>
      <c r="AZ868" s="53"/>
      <c r="BA868" s="53"/>
      <c r="BB868" s="52"/>
      <c r="BC868" s="52"/>
      <c r="BD868" s="52"/>
      <c r="BE868" s="52"/>
      <c r="BF868" s="83"/>
    </row>
    <row r="869" spans="42:58" ht="16" x14ac:dyDescent="0.35">
      <c r="AP869"/>
      <c r="AQ869" s="48"/>
      <c r="AR869" s="48"/>
      <c r="AS869"/>
      <c r="AT869" s="48"/>
      <c r="AU869" s="48"/>
      <c r="AV869"/>
      <c r="AW869" s="49"/>
      <c r="AX869" s="49"/>
      <c r="AY869" s="49"/>
      <c r="AZ869" s="49"/>
      <c r="BA869" s="49"/>
      <c r="BB869" s="48"/>
      <c r="BC869" s="48"/>
      <c r="BD869" s="48"/>
      <c r="BE869" s="48"/>
      <c r="BF869" s="83"/>
    </row>
    <row r="870" spans="42:58" ht="16" x14ac:dyDescent="0.35">
      <c r="AP870"/>
      <c r="AQ870" s="52"/>
      <c r="AR870" s="52"/>
      <c r="AS870"/>
      <c r="AT870" s="52"/>
      <c r="AU870" s="52"/>
      <c r="AV870"/>
      <c r="AW870" s="53"/>
      <c r="AX870" s="53"/>
      <c r="AY870" s="53"/>
      <c r="AZ870" s="53"/>
      <c r="BA870" s="53"/>
      <c r="BB870" s="52"/>
      <c r="BC870" s="52"/>
      <c r="BD870" s="52"/>
      <c r="BE870" s="52"/>
      <c r="BF870" s="83"/>
    </row>
    <row r="871" spans="42:58" ht="16" x14ac:dyDescent="0.35">
      <c r="AP871"/>
      <c r="AQ871" s="48"/>
      <c r="AR871" s="48"/>
      <c r="AS871"/>
      <c r="AT871" s="48"/>
      <c r="AU871" s="48"/>
      <c r="AV871"/>
      <c r="AW871" s="49"/>
      <c r="AX871" s="49"/>
      <c r="AY871" s="49"/>
      <c r="AZ871" s="49"/>
      <c r="BA871" s="49"/>
      <c r="BB871" s="48"/>
      <c r="BC871" s="48"/>
      <c r="BD871" s="48"/>
      <c r="BE871" s="48"/>
      <c r="BF871" s="83"/>
    </row>
    <row r="872" spans="42:58" ht="16" x14ac:dyDescent="0.35">
      <c r="AP872"/>
      <c r="AQ872" s="52"/>
      <c r="AR872" s="52"/>
      <c r="AS872"/>
      <c r="AT872" s="52"/>
      <c r="AU872" s="52"/>
      <c r="AV872"/>
      <c r="AW872" s="53"/>
      <c r="AX872" s="53"/>
      <c r="AY872" s="53"/>
      <c r="AZ872" s="53"/>
      <c r="BA872" s="53"/>
      <c r="BB872" s="52"/>
      <c r="BC872" s="52"/>
      <c r="BD872" s="52"/>
      <c r="BE872" s="52"/>
      <c r="BF872" s="83"/>
    </row>
    <row r="873" spans="42:58" ht="16" x14ac:dyDescent="0.35">
      <c r="AP873"/>
      <c r="AQ873" s="48"/>
      <c r="AR873" s="48"/>
      <c r="AS873"/>
      <c r="AT873" s="48"/>
      <c r="AU873" s="48"/>
      <c r="AV873"/>
      <c r="AW873" s="49"/>
      <c r="AX873" s="49"/>
      <c r="AY873" s="49"/>
      <c r="AZ873" s="49"/>
      <c r="BA873" s="49"/>
      <c r="BB873" s="48"/>
      <c r="BC873" s="48"/>
      <c r="BD873" s="48"/>
      <c r="BE873" s="48"/>
      <c r="BF873" s="83"/>
    </row>
    <row r="874" spans="42:58" ht="16" x14ac:dyDescent="0.35">
      <c r="AP874"/>
      <c r="AQ874" s="52"/>
      <c r="AR874" s="52"/>
      <c r="AS874"/>
      <c r="AT874" s="52"/>
      <c r="AU874" s="52"/>
      <c r="AV874"/>
      <c r="AW874" s="53"/>
      <c r="AX874" s="53"/>
      <c r="AY874" s="53"/>
      <c r="AZ874" s="53"/>
      <c r="BA874" s="53"/>
      <c r="BB874" s="52"/>
      <c r="BC874" s="52"/>
      <c r="BD874" s="52"/>
      <c r="BE874" s="52"/>
      <c r="BF874" s="83"/>
    </row>
    <row r="875" spans="42:58" ht="16" x14ac:dyDescent="0.35">
      <c r="AP875"/>
      <c r="AQ875" s="48"/>
      <c r="AR875" s="48"/>
      <c r="AS875"/>
      <c r="AT875" s="48"/>
      <c r="AU875" s="48"/>
      <c r="AV875"/>
      <c r="AW875" s="49"/>
      <c r="AX875" s="49"/>
      <c r="AY875" s="49"/>
      <c r="AZ875" s="49"/>
      <c r="BA875" s="49"/>
      <c r="BB875" s="48"/>
      <c r="BC875" s="48"/>
      <c r="BD875" s="48"/>
      <c r="BE875" s="48"/>
      <c r="BF875" s="83"/>
    </row>
    <row r="876" spans="42:58" ht="16" x14ac:dyDescent="0.35">
      <c r="AP876"/>
      <c r="AQ876" s="52"/>
      <c r="AR876" s="52"/>
      <c r="AS876"/>
      <c r="AT876" s="52"/>
      <c r="AU876" s="52"/>
      <c r="AV876"/>
      <c r="AW876" s="53"/>
      <c r="AX876" s="53"/>
      <c r="AY876" s="53"/>
      <c r="AZ876" s="53"/>
      <c r="BA876" s="53"/>
      <c r="BB876" s="52"/>
      <c r="BC876" s="52"/>
      <c r="BD876" s="52"/>
      <c r="BE876" s="52"/>
      <c r="BF876" s="83"/>
    </row>
    <row r="877" spans="42:58" ht="16" x14ac:dyDescent="0.35">
      <c r="AP877"/>
      <c r="AQ877" s="48"/>
      <c r="AR877" s="48"/>
      <c r="AS877"/>
      <c r="AT877" s="48"/>
      <c r="AU877" s="48"/>
      <c r="AV877"/>
      <c r="AW877" s="49"/>
      <c r="AX877" s="49"/>
      <c r="AY877" s="49"/>
      <c r="AZ877" s="49"/>
      <c r="BA877" s="49"/>
      <c r="BB877" s="48"/>
      <c r="BC877" s="48"/>
      <c r="BD877" s="48"/>
      <c r="BE877" s="48"/>
      <c r="BF877" s="83"/>
    </row>
    <row r="878" spans="42:58" ht="16" x14ac:dyDescent="0.35">
      <c r="AP878"/>
      <c r="AQ878" s="52"/>
      <c r="AR878" s="52"/>
      <c r="AS878"/>
      <c r="AT878" s="52"/>
      <c r="AU878" s="52"/>
      <c r="AV878"/>
      <c r="AW878" s="53"/>
      <c r="AX878" s="53"/>
      <c r="AY878" s="53"/>
      <c r="AZ878" s="53"/>
      <c r="BA878" s="53"/>
      <c r="BB878" s="52"/>
      <c r="BC878" s="52"/>
      <c r="BD878" s="52"/>
      <c r="BE878" s="52"/>
      <c r="BF878" s="83"/>
    </row>
    <row r="879" spans="42:58" ht="16" x14ac:dyDescent="0.35">
      <c r="AP879"/>
      <c r="AQ879" s="48"/>
      <c r="AR879" s="48"/>
      <c r="AS879"/>
      <c r="AT879" s="48"/>
      <c r="AU879" s="48"/>
      <c r="AV879"/>
      <c r="AW879" s="49"/>
      <c r="AX879" s="49"/>
      <c r="AY879" s="49"/>
      <c r="AZ879" s="49"/>
      <c r="BA879" s="49"/>
      <c r="BB879" s="48"/>
      <c r="BC879" s="48"/>
      <c r="BD879" s="48"/>
      <c r="BE879" s="48"/>
      <c r="BF879" s="83"/>
    </row>
    <row r="880" spans="42:58" ht="16" x14ac:dyDescent="0.35">
      <c r="AP880"/>
      <c r="AQ880" s="52"/>
      <c r="AR880" s="52"/>
      <c r="AS880"/>
      <c r="AT880" s="52"/>
      <c r="AU880" s="52"/>
      <c r="AV880"/>
      <c r="AW880" s="53"/>
      <c r="AX880" s="53"/>
      <c r="AY880" s="53"/>
      <c r="AZ880" s="53"/>
      <c r="BA880" s="53"/>
      <c r="BB880" s="52"/>
      <c r="BC880" s="52"/>
      <c r="BD880" s="52"/>
      <c r="BE880" s="52"/>
      <c r="BF880" s="83"/>
    </row>
    <row r="881" spans="42:58" ht="16" x14ac:dyDescent="0.35">
      <c r="AP881"/>
      <c r="AQ881" s="48"/>
      <c r="AR881" s="48"/>
      <c r="AS881"/>
      <c r="AT881" s="48"/>
      <c r="AU881" s="48"/>
      <c r="AV881"/>
      <c r="AW881" s="49"/>
      <c r="AX881" s="49"/>
      <c r="AY881" s="49"/>
      <c r="AZ881" s="49"/>
      <c r="BA881" s="49"/>
      <c r="BB881" s="48"/>
      <c r="BC881" s="48"/>
      <c r="BD881" s="48"/>
      <c r="BE881" s="48"/>
      <c r="BF881" s="83"/>
    </row>
    <row r="882" spans="42:58" ht="16" x14ac:dyDescent="0.35">
      <c r="AP882"/>
      <c r="AQ882" s="52"/>
      <c r="AR882" s="52"/>
      <c r="AS882"/>
      <c r="AT882" s="52"/>
      <c r="AU882" s="52"/>
      <c r="AV882"/>
      <c r="AW882" s="53"/>
      <c r="AX882" s="53"/>
      <c r="AY882" s="53"/>
      <c r="AZ882" s="53"/>
      <c r="BA882" s="53"/>
      <c r="BB882" s="52"/>
      <c r="BC882" s="52"/>
      <c r="BD882" s="52"/>
      <c r="BE882" s="52"/>
      <c r="BF882" s="83"/>
    </row>
    <row r="883" spans="42:58" ht="16" x14ac:dyDescent="0.35">
      <c r="AP883"/>
      <c r="AQ883" s="48"/>
      <c r="AR883" s="48"/>
      <c r="AS883"/>
      <c r="AT883" s="48"/>
      <c r="AU883" s="48"/>
      <c r="AV883"/>
      <c r="AW883" s="49"/>
      <c r="AX883" s="49"/>
      <c r="AY883" s="49"/>
      <c r="AZ883" s="49"/>
      <c r="BA883" s="49"/>
      <c r="BB883" s="48"/>
      <c r="BC883" s="48"/>
      <c r="BD883" s="48"/>
      <c r="BE883" s="48"/>
      <c r="BF883" s="83"/>
    </row>
    <row r="884" spans="42:58" ht="16" x14ac:dyDescent="0.35">
      <c r="AP884"/>
      <c r="AQ884" s="52"/>
      <c r="AR884" s="52"/>
      <c r="AS884"/>
      <c r="AT884" s="52"/>
      <c r="AU884" s="52"/>
      <c r="AV884"/>
      <c r="AW884" s="53"/>
      <c r="AX884" s="53"/>
      <c r="AY884" s="53"/>
      <c r="AZ884" s="53"/>
      <c r="BA884" s="53"/>
      <c r="BB884" s="52"/>
      <c r="BC884" s="52"/>
      <c r="BD884" s="52"/>
      <c r="BE884" s="52"/>
      <c r="BF884" s="83"/>
    </row>
    <row r="885" spans="42:58" ht="16" x14ac:dyDescent="0.35">
      <c r="AP885"/>
      <c r="AQ885" s="48"/>
      <c r="AR885" s="48"/>
      <c r="AS885"/>
      <c r="AT885" s="48"/>
      <c r="AU885" s="48"/>
      <c r="AV885"/>
      <c r="AW885" s="49"/>
      <c r="AX885" s="49"/>
      <c r="AY885" s="49"/>
      <c r="AZ885" s="49"/>
      <c r="BA885" s="49"/>
      <c r="BB885" s="48"/>
      <c r="BC885" s="48"/>
      <c r="BD885" s="48"/>
      <c r="BE885" s="48"/>
      <c r="BF885" s="83"/>
    </row>
    <row r="886" spans="42:58" ht="16" x14ac:dyDescent="0.35">
      <c r="AP886"/>
      <c r="AQ886" s="52"/>
      <c r="AR886" s="52"/>
      <c r="AS886"/>
      <c r="AT886" s="52"/>
      <c r="AU886" s="52"/>
      <c r="AV886"/>
      <c r="AW886" s="53"/>
      <c r="AX886" s="53"/>
      <c r="AY886" s="53"/>
      <c r="AZ886" s="53"/>
      <c r="BA886" s="53"/>
      <c r="BB886" s="52"/>
      <c r="BC886" s="52"/>
      <c r="BD886" s="52"/>
      <c r="BE886" s="52"/>
      <c r="BF886" s="83"/>
    </row>
    <row r="887" spans="42:58" ht="16" x14ac:dyDescent="0.35">
      <c r="AP887"/>
      <c r="AQ887" s="48"/>
      <c r="AR887" s="48"/>
      <c r="AS887"/>
      <c r="AT887" s="48"/>
      <c r="AU887" s="48"/>
      <c r="AV887"/>
      <c r="AW887" s="49"/>
      <c r="AX887" s="49"/>
      <c r="AY887" s="49"/>
      <c r="AZ887" s="49"/>
      <c r="BA887" s="49"/>
      <c r="BB887" s="48"/>
      <c r="BC887" s="48"/>
      <c r="BD887" s="48"/>
      <c r="BE887" s="48"/>
      <c r="BF887" s="83"/>
    </row>
    <row r="888" spans="42:58" ht="16" x14ac:dyDescent="0.35">
      <c r="AP888"/>
      <c r="AQ888" s="52"/>
      <c r="AR888" s="52"/>
      <c r="AS888"/>
      <c r="AT888" s="52"/>
      <c r="AU888" s="52"/>
      <c r="AV888"/>
      <c r="AW888" s="53"/>
      <c r="AX888" s="53"/>
      <c r="AY888" s="53"/>
      <c r="AZ888" s="53"/>
      <c r="BA888" s="53"/>
      <c r="BB888" s="52"/>
      <c r="BC888" s="52"/>
      <c r="BD888" s="52"/>
      <c r="BE888" s="52"/>
      <c r="BF888" s="83"/>
    </row>
    <row r="889" spans="42:58" ht="16" x14ac:dyDescent="0.35">
      <c r="AP889"/>
      <c r="AQ889" s="48"/>
      <c r="AR889" s="48"/>
      <c r="AS889"/>
      <c r="AT889" s="48"/>
      <c r="AU889" s="48"/>
      <c r="AV889"/>
      <c r="AW889" s="49"/>
      <c r="AX889" s="49"/>
      <c r="AY889" s="49"/>
      <c r="AZ889" s="49"/>
      <c r="BA889" s="49"/>
      <c r="BB889" s="48"/>
      <c r="BC889" s="48"/>
      <c r="BD889" s="48"/>
      <c r="BE889" s="48"/>
      <c r="BF889" s="83"/>
    </row>
    <row r="890" spans="42:58" ht="16" x14ac:dyDescent="0.35">
      <c r="AP890"/>
      <c r="AQ890" s="52"/>
      <c r="AR890" s="52"/>
      <c r="AS890"/>
      <c r="AT890" s="52"/>
      <c r="AU890" s="52"/>
      <c r="AV890"/>
      <c r="AW890" s="53"/>
      <c r="AX890" s="53"/>
      <c r="AY890" s="53"/>
      <c r="AZ890" s="53"/>
      <c r="BA890" s="53"/>
      <c r="BB890" s="52"/>
      <c r="BC890" s="52"/>
      <c r="BD890" s="52"/>
      <c r="BE890" s="52"/>
      <c r="BF890" s="83"/>
    </row>
    <row r="891" spans="42:58" ht="16" x14ac:dyDescent="0.35">
      <c r="AP891"/>
      <c r="AQ891" s="48"/>
      <c r="AR891" s="48"/>
      <c r="AS891"/>
      <c r="AT891" s="48"/>
      <c r="AU891" s="48"/>
      <c r="AV891"/>
      <c r="AW891" s="49"/>
      <c r="AX891" s="49"/>
      <c r="AY891" s="49"/>
      <c r="AZ891" s="49"/>
      <c r="BA891" s="49"/>
      <c r="BB891" s="48"/>
      <c r="BC891" s="48"/>
      <c r="BD891" s="48"/>
      <c r="BE891" s="48"/>
      <c r="BF891" s="83"/>
    </row>
    <row r="892" spans="42:58" ht="16" x14ac:dyDescent="0.35">
      <c r="AP892"/>
      <c r="AQ892" s="52"/>
      <c r="AR892" s="52"/>
      <c r="AS892"/>
      <c r="AT892" s="52"/>
      <c r="AU892" s="52"/>
      <c r="AV892"/>
      <c r="AW892" s="53"/>
      <c r="AX892" s="53"/>
      <c r="AY892" s="53"/>
      <c r="AZ892" s="53"/>
      <c r="BA892" s="53"/>
      <c r="BB892" s="52"/>
      <c r="BC892" s="52"/>
      <c r="BD892" s="52"/>
      <c r="BE892" s="52"/>
      <c r="BF892" s="83"/>
    </row>
    <row r="893" spans="42:58" ht="16" x14ac:dyDescent="0.35">
      <c r="AP893"/>
      <c r="AQ893" s="48"/>
      <c r="AR893" s="48"/>
      <c r="AS893"/>
      <c r="AT893" s="48"/>
      <c r="AU893" s="48"/>
      <c r="AV893"/>
      <c r="AW893" s="49"/>
      <c r="AX893" s="49"/>
      <c r="AY893" s="49"/>
      <c r="AZ893" s="49"/>
      <c r="BA893" s="49"/>
      <c r="BB893" s="48"/>
      <c r="BC893" s="48"/>
      <c r="BD893" s="48"/>
      <c r="BE893" s="48"/>
      <c r="BF893" s="83"/>
    </row>
    <row r="894" spans="42:58" ht="16" x14ac:dyDescent="0.35">
      <c r="AP894"/>
      <c r="AQ894" s="52"/>
      <c r="AR894" s="52"/>
      <c r="AS894"/>
      <c r="AT894" s="52"/>
      <c r="AU894" s="52"/>
      <c r="AV894"/>
      <c r="AW894" s="53"/>
      <c r="AX894" s="53"/>
      <c r="AY894" s="53"/>
      <c r="AZ894" s="53"/>
      <c r="BA894" s="53"/>
      <c r="BB894" s="52"/>
      <c r="BC894" s="52"/>
      <c r="BD894" s="52"/>
      <c r="BE894" s="52"/>
      <c r="BF894" s="83"/>
    </row>
    <row r="895" spans="42:58" ht="16" x14ac:dyDescent="0.35">
      <c r="AP895"/>
      <c r="AQ895" s="48"/>
      <c r="AR895" s="48"/>
      <c r="AS895"/>
      <c r="AT895" s="48"/>
      <c r="AU895" s="48"/>
      <c r="AV895"/>
      <c r="AW895" s="49"/>
      <c r="AX895" s="49"/>
      <c r="AY895" s="49"/>
      <c r="AZ895" s="49"/>
      <c r="BA895" s="49"/>
      <c r="BB895" s="48"/>
      <c r="BC895" s="48"/>
      <c r="BD895" s="48"/>
      <c r="BE895" s="48"/>
      <c r="BF895" s="83"/>
    </row>
    <row r="896" spans="42:58" ht="16" x14ac:dyDescent="0.35">
      <c r="AP896"/>
      <c r="AQ896" s="52"/>
      <c r="AR896" s="52"/>
      <c r="AS896"/>
      <c r="AT896" s="52"/>
      <c r="AU896" s="52"/>
      <c r="AV896"/>
      <c r="AW896" s="53"/>
      <c r="AX896" s="53"/>
      <c r="AY896" s="53"/>
      <c r="AZ896" s="53"/>
      <c r="BA896" s="53"/>
      <c r="BB896" s="52"/>
      <c r="BC896" s="52"/>
      <c r="BD896" s="52"/>
      <c r="BE896" s="52"/>
      <c r="BF896" s="83"/>
    </row>
    <row r="897" spans="42:58" ht="16" x14ac:dyDescent="0.35">
      <c r="AP897"/>
      <c r="AQ897" s="48"/>
      <c r="AR897" s="48"/>
      <c r="AS897"/>
      <c r="AT897" s="48"/>
      <c r="AU897" s="48"/>
      <c r="AV897"/>
      <c r="AW897" s="49"/>
      <c r="AX897" s="49"/>
      <c r="AY897" s="49"/>
      <c r="AZ897" s="49"/>
      <c r="BA897" s="49"/>
      <c r="BB897" s="48"/>
      <c r="BC897" s="48"/>
      <c r="BD897" s="48"/>
      <c r="BE897" s="48"/>
      <c r="BF897" s="83"/>
    </row>
    <row r="898" spans="42:58" ht="16" x14ac:dyDescent="0.35">
      <c r="AP898"/>
      <c r="AQ898" s="52"/>
      <c r="AR898" s="52"/>
      <c r="AS898"/>
      <c r="AT898" s="52"/>
      <c r="AU898" s="52"/>
      <c r="AV898"/>
      <c r="AW898" s="53"/>
      <c r="AX898" s="53"/>
      <c r="AY898" s="53"/>
      <c r="AZ898" s="53"/>
      <c r="BA898" s="53"/>
      <c r="BB898" s="52"/>
      <c r="BC898" s="52"/>
      <c r="BD898" s="52"/>
      <c r="BE898" s="52"/>
      <c r="BF898" s="83"/>
    </row>
    <row r="899" spans="42:58" ht="16" x14ac:dyDescent="0.35">
      <c r="AP899"/>
      <c r="AQ899" s="48"/>
      <c r="AR899" s="48"/>
      <c r="AS899"/>
      <c r="AT899" s="48"/>
      <c r="AU899" s="48"/>
      <c r="AV899"/>
      <c r="AW899" s="49"/>
      <c r="AX899" s="49"/>
      <c r="AY899" s="49"/>
      <c r="AZ899" s="49"/>
      <c r="BA899" s="49"/>
      <c r="BB899" s="48"/>
      <c r="BC899" s="48"/>
      <c r="BD899" s="48"/>
      <c r="BE899" s="48"/>
      <c r="BF899" s="83"/>
    </row>
    <row r="900" spans="42:58" ht="16" x14ac:dyDescent="0.35">
      <c r="AP900"/>
      <c r="AQ900" s="52"/>
      <c r="AR900" s="52"/>
      <c r="AS900"/>
      <c r="AT900" s="52"/>
      <c r="AU900" s="52"/>
      <c r="AV900"/>
      <c r="AW900" s="53"/>
      <c r="AX900" s="53"/>
      <c r="AY900" s="53"/>
      <c r="AZ900" s="53"/>
      <c r="BA900" s="53"/>
      <c r="BB900" s="52"/>
      <c r="BC900" s="52"/>
      <c r="BD900" s="52"/>
      <c r="BE900" s="52"/>
      <c r="BF900" s="83"/>
    </row>
    <row r="901" spans="42:58" ht="16" x14ac:dyDescent="0.35">
      <c r="AP901"/>
      <c r="AQ901" s="48"/>
      <c r="AR901" s="48"/>
      <c r="AS901"/>
      <c r="AT901" s="48"/>
      <c r="AU901" s="48"/>
      <c r="AV901"/>
      <c r="AW901" s="49"/>
      <c r="AX901" s="49"/>
      <c r="AY901" s="49"/>
      <c r="AZ901" s="49"/>
      <c r="BA901" s="49"/>
      <c r="BB901" s="48"/>
      <c r="BC901" s="48"/>
      <c r="BD901" s="48"/>
      <c r="BE901" s="48"/>
      <c r="BF901" s="83"/>
    </row>
    <row r="902" spans="42:58" ht="16" x14ac:dyDescent="0.35">
      <c r="AP902"/>
      <c r="AQ902" s="52"/>
      <c r="AR902" s="52"/>
      <c r="AS902"/>
      <c r="AT902" s="52"/>
      <c r="AU902" s="52"/>
      <c r="AV902"/>
      <c r="AW902" s="53"/>
      <c r="AX902" s="53"/>
      <c r="AY902" s="53"/>
      <c r="AZ902" s="53"/>
      <c r="BA902" s="53"/>
      <c r="BB902" s="52"/>
      <c r="BC902" s="52"/>
      <c r="BD902" s="52"/>
      <c r="BE902" s="52"/>
      <c r="BF902" s="83"/>
    </row>
    <row r="903" spans="42:58" ht="16" x14ac:dyDescent="0.35">
      <c r="AP903"/>
      <c r="AQ903" s="48"/>
      <c r="AR903" s="48"/>
      <c r="AS903"/>
      <c r="AT903" s="48"/>
      <c r="AU903" s="48"/>
      <c r="AV903"/>
      <c r="AW903" s="49"/>
      <c r="AX903" s="49"/>
      <c r="AY903" s="49"/>
      <c r="AZ903" s="49"/>
      <c r="BA903" s="49"/>
      <c r="BB903" s="48"/>
      <c r="BC903" s="48"/>
      <c r="BD903" s="48"/>
      <c r="BE903" s="48"/>
      <c r="BF903" s="83"/>
    </row>
    <row r="904" spans="42:58" ht="16" x14ac:dyDescent="0.35">
      <c r="AP904"/>
      <c r="AQ904" s="52"/>
      <c r="AR904" s="52"/>
      <c r="AS904"/>
      <c r="AT904" s="52"/>
      <c r="AU904" s="52"/>
      <c r="AV904"/>
      <c r="AW904" s="53"/>
      <c r="AX904" s="53"/>
      <c r="AY904" s="53"/>
      <c r="AZ904" s="53"/>
      <c r="BA904" s="53"/>
      <c r="BB904" s="52"/>
      <c r="BC904" s="52"/>
      <c r="BD904" s="52"/>
      <c r="BE904" s="52"/>
      <c r="BF904" s="83"/>
    </row>
    <row r="905" spans="42:58" ht="16" x14ac:dyDescent="0.35">
      <c r="AP905"/>
      <c r="AQ905" s="48"/>
      <c r="AR905" s="48"/>
      <c r="AS905"/>
      <c r="AT905" s="48"/>
      <c r="AU905" s="48"/>
      <c r="AV905"/>
      <c r="AW905" s="49"/>
      <c r="AX905" s="49"/>
      <c r="AY905" s="49"/>
      <c r="AZ905" s="49"/>
      <c r="BA905" s="49"/>
      <c r="BB905" s="48"/>
      <c r="BC905" s="48"/>
      <c r="BD905" s="48"/>
      <c r="BE905" s="48"/>
      <c r="BF905" s="83"/>
    </row>
    <row r="906" spans="42:58" ht="16" x14ac:dyDescent="0.35">
      <c r="AP906"/>
      <c r="AQ906" s="52"/>
      <c r="AR906" s="52"/>
      <c r="AS906"/>
      <c r="AT906" s="52"/>
      <c r="AU906" s="52"/>
      <c r="AV906"/>
      <c r="AW906" s="53"/>
      <c r="AX906" s="53"/>
      <c r="AY906" s="53"/>
      <c r="AZ906" s="53"/>
      <c r="BA906" s="53"/>
      <c r="BB906" s="52"/>
      <c r="BC906" s="52"/>
      <c r="BD906" s="52"/>
      <c r="BE906" s="52"/>
      <c r="BF906" s="83"/>
    </row>
    <row r="907" spans="42:58" ht="16" x14ac:dyDescent="0.35">
      <c r="AP907"/>
      <c r="AQ907" s="48"/>
      <c r="AR907" s="48"/>
      <c r="AS907"/>
      <c r="AT907" s="48"/>
      <c r="AU907" s="48"/>
      <c r="AV907"/>
      <c r="AW907" s="49"/>
      <c r="AX907" s="49"/>
      <c r="AY907" s="49"/>
      <c r="AZ907" s="49"/>
      <c r="BA907" s="49"/>
      <c r="BB907" s="48"/>
      <c r="BC907" s="48"/>
      <c r="BD907" s="48"/>
      <c r="BE907" s="48"/>
      <c r="BF907" s="83"/>
    </row>
    <row r="908" spans="42:58" ht="16" x14ac:dyDescent="0.35">
      <c r="AP908"/>
      <c r="AQ908" s="52"/>
      <c r="AR908" s="52"/>
      <c r="AS908"/>
      <c r="AT908" s="52"/>
      <c r="AU908" s="52"/>
      <c r="AV908"/>
      <c r="AW908" s="53"/>
      <c r="AX908" s="53"/>
      <c r="AY908" s="53"/>
      <c r="AZ908" s="53"/>
      <c r="BA908" s="53"/>
      <c r="BB908" s="52"/>
      <c r="BC908" s="52"/>
      <c r="BD908" s="52"/>
      <c r="BE908" s="52"/>
      <c r="BF908" s="83"/>
    </row>
    <row r="909" spans="42:58" ht="16" x14ac:dyDescent="0.35">
      <c r="AP909"/>
      <c r="AQ909" s="48"/>
      <c r="AR909" s="48"/>
      <c r="AS909"/>
      <c r="AT909" s="48"/>
      <c r="AU909" s="48"/>
      <c r="AV909"/>
      <c r="AW909" s="49"/>
      <c r="AX909" s="49"/>
      <c r="AY909" s="49"/>
      <c r="AZ909" s="49"/>
      <c r="BA909" s="49"/>
      <c r="BB909" s="48"/>
      <c r="BC909" s="48"/>
      <c r="BD909" s="48"/>
      <c r="BE909" s="48"/>
      <c r="BF909" s="83"/>
    </row>
    <row r="910" spans="42:58" ht="16" x14ac:dyDescent="0.35">
      <c r="AP910"/>
      <c r="AQ910" s="52"/>
      <c r="AR910" s="52"/>
      <c r="AS910"/>
      <c r="AT910" s="52"/>
      <c r="AU910" s="52"/>
      <c r="AV910"/>
      <c r="AW910" s="53"/>
      <c r="AX910" s="53"/>
      <c r="AY910" s="53"/>
      <c r="AZ910" s="53"/>
      <c r="BA910" s="53"/>
      <c r="BB910" s="52"/>
      <c r="BC910" s="52"/>
      <c r="BD910" s="52"/>
      <c r="BE910" s="52"/>
      <c r="BF910" s="83"/>
    </row>
    <row r="911" spans="42:58" ht="16" x14ac:dyDescent="0.35">
      <c r="AP911"/>
      <c r="AQ911" s="48"/>
      <c r="AR911" s="48"/>
      <c r="AS911"/>
      <c r="AT911" s="48"/>
      <c r="AU911" s="48"/>
      <c r="AV911"/>
      <c r="AW911" s="49"/>
      <c r="AX911" s="49"/>
      <c r="AY911" s="49"/>
      <c r="AZ911" s="49"/>
      <c r="BA911" s="49"/>
      <c r="BB911" s="48"/>
      <c r="BC911" s="48"/>
      <c r="BD911" s="48"/>
      <c r="BE911" s="48"/>
      <c r="BF911" s="83"/>
    </row>
    <row r="912" spans="42:58" ht="16" x14ac:dyDescent="0.35">
      <c r="AP912"/>
      <c r="AQ912" s="52"/>
      <c r="AR912" s="52"/>
      <c r="AS912"/>
      <c r="AT912" s="52"/>
      <c r="AU912" s="52"/>
      <c r="AV912"/>
      <c r="AW912" s="53"/>
      <c r="AX912" s="53"/>
      <c r="AY912" s="53"/>
      <c r="AZ912" s="53"/>
      <c r="BA912" s="53"/>
      <c r="BB912" s="52"/>
      <c r="BC912" s="52"/>
      <c r="BD912" s="52"/>
      <c r="BE912" s="52"/>
      <c r="BF912" s="83"/>
    </row>
    <row r="913" spans="42:58" ht="16" x14ac:dyDescent="0.35">
      <c r="AP913"/>
      <c r="AQ913" s="48"/>
      <c r="AR913" s="48"/>
      <c r="AS913"/>
      <c r="AT913" s="48"/>
      <c r="AU913" s="48"/>
      <c r="AV913"/>
      <c r="AW913" s="49"/>
      <c r="AX913" s="49"/>
      <c r="AY913" s="49"/>
      <c r="AZ913" s="49"/>
      <c r="BA913" s="49"/>
      <c r="BB913" s="48"/>
      <c r="BC913" s="48"/>
      <c r="BD913" s="48"/>
      <c r="BE913" s="48"/>
      <c r="BF913" s="83"/>
    </row>
    <row r="914" spans="42:58" ht="16" x14ac:dyDescent="0.35">
      <c r="AP914"/>
      <c r="AQ914" s="52"/>
      <c r="AR914" s="52"/>
      <c r="AS914"/>
      <c r="AT914" s="52"/>
      <c r="AU914" s="52"/>
      <c r="AV914"/>
      <c r="AW914" s="53"/>
      <c r="AX914" s="53"/>
      <c r="AY914" s="53"/>
      <c r="AZ914" s="53"/>
      <c r="BA914" s="53"/>
      <c r="BB914" s="52"/>
      <c r="BC914" s="52"/>
      <c r="BD914" s="52"/>
      <c r="BE914" s="52"/>
      <c r="BF914" s="83"/>
    </row>
    <row r="915" spans="42:58" ht="16" x14ac:dyDescent="0.35">
      <c r="AP915"/>
      <c r="AQ915" s="48"/>
      <c r="AR915" s="48"/>
      <c r="AS915"/>
      <c r="AT915" s="48"/>
      <c r="AU915" s="48"/>
      <c r="AV915"/>
      <c r="AW915" s="49"/>
      <c r="AX915" s="49"/>
      <c r="AY915" s="49"/>
      <c r="AZ915" s="49"/>
      <c r="BA915" s="49"/>
      <c r="BB915" s="48"/>
      <c r="BC915" s="48"/>
      <c r="BD915" s="48"/>
      <c r="BE915" s="48"/>
      <c r="BF915" s="83"/>
    </row>
    <row r="916" spans="42:58" ht="16" x14ac:dyDescent="0.35">
      <c r="AP916"/>
      <c r="AQ916" s="52"/>
      <c r="AR916" s="52"/>
      <c r="AS916"/>
      <c r="AT916" s="52"/>
      <c r="AU916" s="52"/>
      <c r="AV916"/>
      <c r="AW916" s="53"/>
      <c r="AX916" s="53"/>
      <c r="AY916" s="53"/>
      <c r="AZ916" s="53"/>
      <c r="BA916" s="53"/>
      <c r="BB916" s="52"/>
      <c r="BC916" s="52"/>
      <c r="BD916" s="52"/>
      <c r="BE916" s="52"/>
      <c r="BF916" s="83"/>
    </row>
    <row r="917" spans="42:58" ht="16" x14ac:dyDescent="0.35">
      <c r="AP917"/>
      <c r="AQ917" s="48"/>
      <c r="AR917" s="48"/>
      <c r="AS917"/>
      <c r="AT917" s="48"/>
      <c r="AU917" s="48"/>
      <c r="AV917"/>
      <c r="AW917" s="49"/>
      <c r="AX917" s="49"/>
      <c r="AY917" s="49"/>
      <c r="AZ917" s="49"/>
      <c r="BA917" s="49"/>
      <c r="BB917" s="48"/>
      <c r="BC917" s="48"/>
      <c r="BD917" s="48"/>
      <c r="BE917" s="48"/>
      <c r="BF917" s="83"/>
    </row>
    <row r="918" spans="42:58" ht="16" x14ac:dyDescent="0.35">
      <c r="AP918"/>
      <c r="AQ918" s="52"/>
      <c r="AR918" s="52"/>
      <c r="AS918"/>
      <c r="AT918" s="52"/>
      <c r="AU918" s="52"/>
      <c r="AV918"/>
      <c r="AW918" s="53"/>
      <c r="AX918" s="53"/>
      <c r="AY918" s="53"/>
      <c r="AZ918" s="53"/>
      <c r="BA918" s="53"/>
      <c r="BB918" s="52"/>
      <c r="BC918" s="52"/>
      <c r="BD918" s="52"/>
      <c r="BE918" s="52"/>
      <c r="BF918" s="83"/>
    </row>
    <row r="919" spans="42:58" ht="16" x14ac:dyDescent="0.35">
      <c r="AP919"/>
      <c r="AQ919" s="48"/>
      <c r="AR919" s="48"/>
      <c r="AS919"/>
      <c r="AT919" s="48"/>
      <c r="AU919" s="48"/>
      <c r="AV919"/>
      <c r="AW919" s="49"/>
      <c r="AX919" s="49"/>
      <c r="AY919" s="49"/>
      <c r="AZ919" s="49"/>
      <c r="BA919" s="49"/>
      <c r="BB919" s="48"/>
      <c r="BC919" s="48"/>
      <c r="BD919" s="48"/>
      <c r="BE919" s="48"/>
      <c r="BF919" s="83"/>
    </row>
    <row r="920" spans="42:58" ht="16" x14ac:dyDescent="0.35">
      <c r="AP920"/>
      <c r="AQ920" s="52"/>
      <c r="AR920" s="52"/>
      <c r="AS920"/>
      <c r="AT920" s="52"/>
      <c r="AU920" s="52"/>
      <c r="AV920"/>
      <c r="AW920" s="53"/>
      <c r="AX920" s="53"/>
      <c r="AY920" s="53"/>
      <c r="AZ920" s="53"/>
      <c r="BA920" s="53"/>
      <c r="BB920" s="52"/>
      <c r="BC920" s="52"/>
      <c r="BD920" s="52"/>
      <c r="BE920" s="52"/>
      <c r="BF920" s="83"/>
    </row>
    <row r="921" spans="42:58" ht="16" x14ac:dyDescent="0.35">
      <c r="AP921"/>
      <c r="AQ921" s="48"/>
      <c r="AR921" s="48"/>
      <c r="AS921"/>
      <c r="AT921" s="48"/>
      <c r="AU921" s="48"/>
      <c r="AV921"/>
      <c r="AW921" s="49"/>
      <c r="AX921" s="49"/>
      <c r="AY921" s="49"/>
      <c r="AZ921" s="49"/>
      <c r="BA921" s="49"/>
      <c r="BB921" s="48"/>
      <c r="BC921" s="48"/>
      <c r="BD921" s="48"/>
      <c r="BE921" s="48"/>
      <c r="BF921" s="83"/>
    </row>
    <row r="922" spans="42:58" ht="16" x14ac:dyDescent="0.35">
      <c r="AP922"/>
      <c r="AQ922" s="52"/>
      <c r="AR922" s="52"/>
      <c r="AS922"/>
      <c r="AT922" s="52"/>
      <c r="AU922" s="52"/>
      <c r="AV922"/>
      <c r="AW922" s="53"/>
      <c r="AX922" s="53"/>
      <c r="AY922" s="53"/>
      <c r="AZ922" s="53"/>
      <c r="BA922" s="53"/>
      <c r="BB922" s="52"/>
      <c r="BC922" s="52"/>
      <c r="BD922" s="52"/>
      <c r="BE922" s="52"/>
      <c r="BF922" s="83"/>
    </row>
    <row r="923" spans="42:58" ht="16" x14ac:dyDescent="0.35">
      <c r="AP923"/>
      <c r="AQ923" s="48"/>
      <c r="AR923" s="48"/>
      <c r="AS923"/>
      <c r="AT923" s="48"/>
      <c r="AU923" s="48"/>
      <c r="AV923"/>
      <c r="AW923" s="49"/>
      <c r="AX923" s="49"/>
      <c r="AY923" s="49"/>
      <c r="AZ923" s="49"/>
      <c r="BA923" s="49"/>
      <c r="BB923" s="48"/>
      <c r="BC923" s="48"/>
      <c r="BD923" s="48"/>
      <c r="BE923" s="48"/>
      <c r="BF923" s="83"/>
    </row>
    <row r="924" spans="42:58" ht="16" x14ac:dyDescent="0.35">
      <c r="AP924"/>
      <c r="AQ924" s="52"/>
      <c r="AR924" s="52"/>
      <c r="AS924"/>
      <c r="AT924" s="52"/>
      <c r="AU924" s="52"/>
      <c r="AV924"/>
      <c r="AW924" s="53"/>
      <c r="AX924" s="53"/>
      <c r="AY924" s="53"/>
      <c r="AZ924" s="53"/>
      <c r="BA924" s="53"/>
      <c r="BB924" s="52"/>
      <c r="BC924" s="52"/>
      <c r="BD924" s="52"/>
      <c r="BE924" s="52"/>
      <c r="BF924" s="83"/>
    </row>
    <row r="925" spans="42:58" ht="16" x14ac:dyDescent="0.35">
      <c r="AP925"/>
      <c r="AQ925" s="48"/>
      <c r="AR925" s="48"/>
      <c r="AS925"/>
      <c r="AT925" s="48"/>
      <c r="AU925" s="48"/>
      <c r="AV925"/>
      <c r="AW925" s="49"/>
      <c r="AX925" s="49"/>
      <c r="AY925" s="49"/>
      <c r="AZ925" s="49"/>
      <c r="BA925" s="49"/>
      <c r="BB925" s="48"/>
      <c r="BC925" s="48"/>
      <c r="BD925" s="48"/>
      <c r="BE925" s="48"/>
      <c r="BF925" s="83"/>
    </row>
    <row r="926" spans="42:58" ht="16" x14ac:dyDescent="0.35">
      <c r="AP926"/>
      <c r="AQ926" s="52"/>
      <c r="AR926" s="52"/>
      <c r="AS926"/>
      <c r="AT926" s="52"/>
      <c r="AU926" s="52"/>
      <c r="AV926"/>
      <c r="AW926" s="53"/>
      <c r="AX926" s="53"/>
      <c r="AY926" s="53"/>
      <c r="AZ926" s="53"/>
      <c r="BA926" s="53"/>
      <c r="BB926" s="52"/>
      <c r="BC926" s="52"/>
      <c r="BD926" s="52"/>
      <c r="BE926" s="52"/>
      <c r="BF926" s="83"/>
    </row>
    <row r="927" spans="42:58" ht="16" x14ac:dyDescent="0.35">
      <c r="AP927"/>
      <c r="AQ927" s="48"/>
      <c r="AR927" s="48"/>
      <c r="AS927"/>
      <c r="AT927" s="48"/>
      <c r="AU927" s="48"/>
      <c r="AV927"/>
      <c r="AW927" s="49"/>
      <c r="AX927" s="49"/>
      <c r="AY927" s="49"/>
      <c r="AZ927" s="49"/>
      <c r="BA927" s="49"/>
      <c r="BB927" s="48"/>
      <c r="BC927" s="48"/>
      <c r="BD927" s="48"/>
      <c r="BE927" s="48"/>
      <c r="BF927" s="83"/>
    </row>
    <row r="928" spans="42:58" ht="16" x14ac:dyDescent="0.35">
      <c r="AP928"/>
      <c r="AQ928" s="52"/>
      <c r="AR928" s="52"/>
      <c r="AS928"/>
      <c r="AT928" s="52"/>
      <c r="AU928" s="52"/>
      <c r="AV928"/>
      <c r="AW928" s="53"/>
      <c r="AX928" s="53"/>
      <c r="AY928" s="53"/>
      <c r="AZ928" s="53"/>
      <c r="BA928" s="53"/>
      <c r="BB928" s="52"/>
      <c r="BC928" s="52"/>
      <c r="BD928" s="52"/>
      <c r="BE928" s="52"/>
      <c r="BF928" s="83"/>
    </row>
    <row r="929" spans="42:58" ht="16" x14ac:dyDescent="0.35">
      <c r="AP929"/>
      <c r="AQ929" s="48"/>
      <c r="AR929" s="48"/>
      <c r="AS929"/>
      <c r="AT929" s="48"/>
      <c r="AU929" s="48"/>
      <c r="AV929"/>
      <c r="AW929" s="49"/>
      <c r="AX929" s="49"/>
      <c r="AY929" s="49"/>
      <c r="AZ929" s="49"/>
      <c r="BA929" s="49"/>
      <c r="BB929" s="48"/>
      <c r="BC929" s="48"/>
      <c r="BD929" s="48"/>
      <c r="BE929" s="48"/>
      <c r="BF929" s="83"/>
    </row>
    <row r="930" spans="42:58" ht="16" x14ac:dyDescent="0.35">
      <c r="AP930"/>
      <c r="AQ930" s="52"/>
      <c r="AR930" s="52"/>
      <c r="AS930"/>
      <c r="AT930" s="52"/>
      <c r="AU930" s="52"/>
      <c r="AV930"/>
      <c r="AW930" s="53"/>
      <c r="AX930" s="53"/>
      <c r="AY930" s="53"/>
      <c r="AZ930" s="53"/>
      <c r="BA930" s="53"/>
      <c r="BB930" s="52"/>
      <c r="BC930" s="52"/>
      <c r="BD930" s="52"/>
      <c r="BE930" s="52"/>
      <c r="BF930" s="83"/>
    </row>
    <row r="931" spans="42:58" ht="16" x14ac:dyDescent="0.35">
      <c r="AP931"/>
      <c r="AQ931" s="48"/>
      <c r="AR931" s="48"/>
      <c r="AS931"/>
      <c r="AT931" s="48"/>
      <c r="AU931" s="48"/>
      <c r="AV931"/>
      <c r="AW931" s="49"/>
      <c r="AX931" s="49"/>
      <c r="AY931" s="49"/>
      <c r="AZ931" s="49"/>
      <c r="BA931" s="49"/>
      <c r="BB931" s="48"/>
      <c r="BC931" s="48"/>
      <c r="BD931" s="48"/>
      <c r="BE931" s="48"/>
      <c r="BF931" s="83"/>
    </row>
    <row r="932" spans="42:58" ht="16" x14ac:dyDescent="0.35">
      <c r="AP932"/>
      <c r="AQ932" s="52"/>
      <c r="AR932" s="52"/>
      <c r="AS932"/>
      <c r="AT932" s="52"/>
      <c r="AU932" s="52"/>
      <c r="AV932"/>
      <c r="AW932" s="53"/>
      <c r="AX932" s="53"/>
      <c r="AY932" s="53"/>
      <c r="AZ932" s="53"/>
      <c r="BA932" s="53"/>
      <c r="BB932" s="52"/>
      <c r="BC932" s="52"/>
      <c r="BD932" s="52"/>
      <c r="BE932" s="52"/>
      <c r="BF932" s="83"/>
    </row>
    <row r="933" spans="42:58" ht="16" x14ac:dyDescent="0.35">
      <c r="AP933"/>
      <c r="AQ933" s="48"/>
      <c r="AR933" s="48"/>
      <c r="AS933"/>
      <c r="AT933" s="48"/>
      <c r="AU933" s="48"/>
      <c r="AV933"/>
      <c r="AW933" s="49"/>
      <c r="AX933" s="49"/>
      <c r="AY933" s="49"/>
      <c r="AZ933" s="49"/>
      <c r="BA933" s="49"/>
      <c r="BB933" s="48"/>
      <c r="BC933" s="48"/>
      <c r="BD933" s="48"/>
      <c r="BE933" s="48"/>
      <c r="BF933" s="83"/>
    </row>
    <row r="934" spans="42:58" ht="16" x14ac:dyDescent="0.35">
      <c r="AP934"/>
      <c r="AQ934" s="52"/>
      <c r="AR934" s="52"/>
      <c r="AS934"/>
      <c r="AT934" s="52"/>
      <c r="AU934" s="52"/>
      <c r="AV934"/>
      <c r="AW934" s="53"/>
      <c r="AX934" s="53"/>
      <c r="AY934" s="53"/>
      <c r="AZ934" s="53"/>
      <c r="BA934" s="53"/>
      <c r="BB934" s="52"/>
      <c r="BC934" s="52"/>
      <c r="BD934" s="52"/>
      <c r="BE934" s="52"/>
      <c r="BF934" s="83"/>
    </row>
    <row r="935" spans="42:58" ht="16" x14ac:dyDescent="0.35">
      <c r="AP935"/>
      <c r="AQ935" s="48"/>
      <c r="AR935" s="48"/>
      <c r="AS935"/>
      <c r="AT935" s="48"/>
      <c r="AU935" s="48"/>
      <c r="AV935"/>
      <c r="AW935" s="49"/>
      <c r="AX935" s="49"/>
      <c r="AY935" s="49"/>
      <c r="AZ935" s="49"/>
      <c r="BA935" s="49"/>
      <c r="BB935" s="48"/>
      <c r="BC935" s="48"/>
      <c r="BD935" s="48"/>
      <c r="BE935" s="48"/>
      <c r="BF935" s="83"/>
    </row>
    <row r="936" spans="42:58" ht="16" x14ac:dyDescent="0.35">
      <c r="AP936"/>
      <c r="AQ936" s="52"/>
      <c r="AR936" s="52"/>
      <c r="AS936"/>
      <c r="AT936" s="52"/>
      <c r="AU936" s="52"/>
      <c r="AV936"/>
      <c r="AW936" s="53"/>
      <c r="AX936" s="53"/>
      <c r="AY936" s="53"/>
      <c r="AZ936" s="53"/>
      <c r="BA936" s="53"/>
      <c r="BB936" s="52"/>
      <c r="BC936" s="52"/>
      <c r="BD936" s="52"/>
      <c r="BE936" s="52"/>
      <c r="BF936" s="83"/>
    </row>
    <row r="937" spans="42:58" ht="16" x14ac:dyDescent="0.35">
      <c r="AP937"/>
      <c r="AQ937" s="48"/>
      <c r="AR937" s="48"/>
      <c r="AS937"/>
      <c r="AT937" s="48"/>
      <c r="AU937" s="48"/>
      <c r="AV937"/>
      <c r="AW937" s="49"/>
      <c r="AX937" s="49"/>
      <c r="AY937" s="49"/>
      <c r="AZ937" s="49"/>
      <c r="BA937" s="49"/>
      <c r="BB937" s="48"/>
      <c r="BC937" s="48"/>
      <c r="BD937" s="48"/>
      <c r="BE937" s="48"/>
      <c r="BF937" s="83"/>
    </row>
    <row r="938" spans="42:58" ht="16" x14ac:dyDescent="0.35">
      <c r="AP938"/>
      <c r="AQ938" s="52"/>
      <c r="AR938" s="52"/>
      <c r="AS938"/>
      <c r="AT938" s="52"/>
      <c r="AU938" s="52"/>
      <c r="AV938"/>
      <c r="AW938" s="53"/>
      <c r="AX938" s="53"/>
      <c r="AY938" s="53"/>
      <c r="AZ938" s="53"/>
      <c r="BA938" s="53"/>
      <c r="BB938" s="52"/>
      <c r="BC938" s="52"/>
      <c r="BD938" s="52"/>
      <c r="BE938" s="52"/>
      <c r="BF938" s="83"/>
    </row>
    <row r="939" spans="42:58" ht="16" x14ac:dyDescent="0.35">
      <c r="AP939"/>
      <c r="AQ939" s="48"/>
      <c r="AR939" s="48"/>
      <c r="AS939"/>
      <c r="AT939" s="48"/>
      <c r="AU939" s="48"/>
      <c r="AV939"/>
      <c r="AW939" s="49"/>
      <c r="AX939" s="49"/>
      <c r="AY939" s="49"/>
      <c r="AZ939" s="49"/>
      <c r="BA939" s="49"/>
      <c r="BB939" s="48"/>
      <c r="BC939" s="48"/>
      <c r="BD939" s="48"/>
      <c r="BE939" s="48"/>
      <c r="BF939" s="83"/>
    </row>
    <row r="940" spans="42:58" ht="16" x14ac:dyDescent="0.35">
      <c r="AP940"/>
      <c r="AQ940" s="52"/>
      <c r="AR940" s="52"/>
      <c r="AS940"/>
      <c r="AT940" s="52"/>
      <c r="AU940" s="52"/>
      <c r="AV940"/>
      <c r="AW940" s="53"/>
      <c r="AX940" s="53"/>
      <c r="AY940" s="53"/>
      <c r="AZ940" s="53"/>
      <c r="BA940" s="53"/>
      <c r="BB940" s="52"/>
      <c r="BC940" s="52"/>
      <c r="BD940" s="52"/>
      <c r="BE940" s="52"/>
      <c r="BF940" s="83"/>
    </row>
    <row r="941" spans="42:58" ht="16" x14ac:dyDescent="0.35">
      <c r="AP941"/>
      <c r="AQ941" s="48"/>
      <c r="AR941" s="48"/>
      <c r="AS941"/>
      <c r="AT941" s="48"/>
      <c r="AU941" s="48"/>
      <c r="AV941"/>
      <c r="AW941" s="49"/>
      <c r="AX941" s="49"/>
      <c r="AY941" s="49"/>
      <c r="AZ941" s="49"/>
      <c r="BA941" s="49"/>
      <c r="BB941" s="48"/>
      <c r="BC941" s="48"/>
      <c r="BD941" s="48"/>
      <c r="BE941" s="48"/>
      <c r="BF941" s="83"/>
    </row>
    <row r="942" spans="42:58" ht="16" x14ac:dyDescent="0.35">
      <c r="AP942"/>
      <c r="AQ942" s="52"/>
      <c r="AR942" s="52"/>
      <c r="AS942"/>
      <c r="AT942" s="52"/>
      <c r="AU942" s="52"/>
      <c r="AV942"/>
      <c r="AW942" s="53"/>
      <c r="AX942" s="53"/>
      <c r="AY942" s="53"/>
      <c r="AZ942" s="53"/>
      <c r="BA942" s="53"/>
      <c r="BB942" s="52"/>
      <c r="BC942" s="52"/>
      <c r="BD942" s="52"/>
      <c r="BE942" s="52"/>
      <c r="BF942" s="83"/>
    </row>
    <row r="943" spans="42:58" ht="16" x14ac:dyDescent="0.35">
      <c r="AP943"/>
      <c r="AQ943" s="48"/>
      <c r="AR943" s="48"/>
      <c r="AS943"/>
      <c r="AT943" s="48"/>
      <c r="AU943" s="48"/>
      <c r="AV943"/>
      <c r="AW943" s="49"/>
      <c r="AX943" s="49"/>
      <c r="AY943" s="49"/>
      <c r="AZ943" s="49"/>
      <c r="BA943" s="49"/>
      <c r="BB943" s="48"/>
      <c r="BC943" s="48"/>
      <c r="BD943" s="48"/>
      <c r="BE943" s="48"/>
      <c r="BF943" s="83"/>
    </row>
    <row r="944" spans="42:58" ht="16" x14ac:dyDescent="0.35">
      <c r="AP944"/>
      <c r="AQ944" s="52"/>
      <c r="AR944" s="52"/>
      <c r="AS944"/>
      <c r="AT944" s="52"/>
      <c r="AU944" s="52"/>
      <c r="AV944"/>
      <c r="AW944" s="53"/>
      <c r="AX944" s="53"/>
      <c r="AY944" s="53"/>
      <c r="AZ944" s="53"/>
      <c r="BA944" s="53"/>
      <c r="BB944" s="52"/>
      <c r="BC944" s="52"/>
      <c r="BD944" s="52"/>
      <c r="BE944" s="52"/>
      <c r="BF944" s="83"/>
    </row>
    <row r="945" spans="42:58" ht="16" x14ac:dyDescent="0.35">
      <c r="AP945"/>
      <c r="AQ945" s="48"/>
      <c r="AR945" s="48"/>
      <c r="AS945"/>
      <c r="AT945" s="48"/>
      <c r="AU945" s="48"/>
      <c r="AV945"/>
      <c r="AW945" s="49"/>
      <c r="AX945" s="49"/>
      <c r="AY945" s="49"/>
      <c r="AZ945" s="49"/>
      <c r="BA945" s="49"/>
      <c r="BB945" s="48"/>
      <c r="BC945" s="48"/>
      <c r="BD945" s="48"/>
      <c r="BE945" s="48"/>
      <c r="BF945" s="83"/>
    </row>
    <row r="946" spans="42:58" ht="16" x14ac:dyDescent="0.35">
      <c r="AP946"/>
      <c r="AQ946" s="52"/>
      <c r="AR946" s="52"/>
      <c r="AS946"/>
      <c r="AT946" s="52"/>
      <c r="AU946" s="52"/>
      <c r="AV946"/>
      <c r="AW946" s="53"/>
      <c r="AX946" s="53"/>
      <c r="AY946" s="53"/>
      <c r="AZ946" s="53"/>
      <c r="BA946" s="53"/>
      <c r="BB946" s="52"/>
      <c r="BC946" s="52"/>
      <c r="BD946" s="52"/>
      <c r="BE946" s="52"/>
      <c r="BF946" s="83"/>
    </row>
    <row r="947" spans="42:58" ht="16" x14ac:dyDescent="0.35">
      <c r="AP947"/>
      <c r="AQ947" s="48"/>
      <c r="AR947" s="48"/>
      <c r="AS947"/>
      <c r="AT947" s="48"/>
      <c r="AU947" s="48"/>
      <c r="AV947"/>
      <c r="AW947" s="49"/>
      <c r="AX947" s="49"/>
      <c r="AY947" s="49"/>
      <c r="AZ947" s="49"/>
      <c r="BA947" s="49"/>
      <c r="BB947" s="48"/>
      <c r="BC947" s="48"/>
      <c r="BD947" s="48"/>
      <c r="BE947" s="48"/>
      <c r="BF947" s="83"/>
    </row>
    <row r="948" spans="42:58" ht="16" x14ac:dyDescent="0.35">
      <c r="AP948"/>
      <c r="AQ948" s="52"/>
      <c r="AR948" s="52"/>
      <c r="AS948"/>
      <c r="AT948" s="52"/>
      <c r="AU948" s="52"/>
      <c r="AV948"/>
      <c r="AW948" s="53"/>
      <c r="AX948" s="53"/>
      <c r="AY948" s="53"/>
      <c r="AZ948" s="53"/>
      <c r="BA948" s="53"/>
      <c r="BB948" s="52"/>
      <c r="BC948" s="52"/>
      <c r="BD948" s="52"/>
      <c r="BE948" s="52"/>
      <c r="BF948" s="83"/>
    </row>
    <row r="949" spans="42:58" ht="16" x14ac:dyDescent="0.35">
      <c r="AP949"/>
      <c r="AQ949" s="48"/>
      <c r="AR949" s="48"/>
      <c r="AS949"/>
      <c r="AT949" s="48"/>
      <c r="AU949" s="48"/>
      <c r="AV949"/>
      <c r="AW949" s="49"/>
      <c r="AX949" s="49"/>
      <c r="AY949" s="49"/>
      <c r="AZ949" s="49"/>
      <c r="BA949" s="49"/>
      <c r="BB949" s="48"/>
      <c r="BC949" s="48"/>
      <c r="BD949" s="48"/>
      <c r="BE949" s="48"/>
      <c r="BF949" s="83"/>
    </row>
    <row r="950" spans="42:58" ht="16" x14ac:dyDescent="0.35">
      <c r="AP950"/>
      <c r="AQ950" s="52"/>
      <c r="AR950" s="52"/>
      <c r="AS950"/>
      <c r="AT950" s="52"/>
      <c r="AU950" s="52"/>
      <c r="AV950"/>
      <c r="AW950" s="53"/>
      <c r="AX950" s="53"/>
      <c r="AY950" s="53"/>
      <c r="AZ950" s="53"/>
      <c r="BA950" s="53"/>
      <c r="BB950" s="52"/>
      <c r="BC950" s="52"/>
      <c r="BD950" s="52"/>
      <c r="BE950" s="52"/>
      <c r="BF950" s="83"/>
    </row>
    <row r="951" spans="42:58" ht="16" x14ac:dyDescent="0.35">
      <c r="AP951"/>
      <c r="AQ951" s="48"/>
      <c r="AR951" s="48"/>
      <c r="AS951"/>
      <c r="AT951" s="48"/>
      <c r="AU951" s="48"/>
      <c r="AV951"/>
      <c r="AW951" s="49"/>
      <c r="AX951" s="49"/>
      <c r="AY951" s="49"/>
      <c r="AZ951" s="49"/>
      <c r="BA951" s="49"/>
      <c r="BB951" s="48"/>
      <c r="BC951" s="48"/>
      <c r="BD951" s="48"/>
      <c r="BE951" s="48"/>
      <c r="BF951" s="83"/>
    </row>
    <row r="952" spans="42:58" ht="16" x14ac:dyDescent="0.35">
      <c r="AP952"/>
      <c r="AQ952" s="52"/>
      <c r="AR952" s="52"/>
      <c r="AS952"/>
      <c r="AT952" s="52"/>
      <c r="AU952" s="52"/>
      <c r="AV952"/>
      <c r="AW952" s="53"/>
      <c r="AX952" s="53"/>
      <c r="AY952" s="53"/>
      <c r="AZ952" s="53"/>
      <c r="BA952" s="53"/>
      <c r="BB952" s="52"/>
      <c r="BC952" s="52"/>
      <c r="BD952" s="52"/>
      <c r="BE952" s="52"/>
      <c r="BF952" s="83"/>
    </row>
    <row r="953" spans="42:58" ht="16" x14ac:dyDescent="0.35">
      <c r="AP953"/>
      <c r="AQ953" s="48"/>
      <c r="AR953" s="48"/>
      <c r="AS953"/>
      <c r="AT953" s="48"/>
      <c r="AU953" s="48"/>
      <c r="AV953"/>
      <c r="AW953" s="49"/>
      <c r="AX953" s="49"/>
      <c r="AY953" s="49"/>
      <c r="AZ953" s="49"/>
      <c r="BA953" s="49"/>
      <c r="BB953" s="48"/>
      <c r="BC953" s="48"/>
      <c r="BD953" s="48"/>
      <c r="BE953" s="48"/>
      <c r="BF953" s="83"/>
    </row>
    <row r="954" spans="42:58" ht="16" x14ac:dyDescent="0.35">
      <c r="AP954"/>
      <c r="AQ954" s="52"/>
      <c r="AR954" s="52"/>
      <c r="AS954"/>
      <c r="AT954" s="52"/>
      <c r="AU954" s="52"/>
      <c r="AV954"/>
      <c r="AW954" s="53"/>
      <c r="AX954" s="53"/>
      <c r="AY954" s="53"/>
      <c r="AZ954" s="53"/>
      <c r="BA954" s="53"/>
      <c r="BB954" s="52"/>
      <c r="BC954" s="52"/>
      <c r="BD954" s="52"/>
      <c r="BE954" s="52"/>
      <c r="BF954" s="83"/>
    </row>
    <row r="955" spans="42:58" ht="16" x14ac:dyDescent="0.35">
      <c r="AP955"/>
      <c r="AQ955" s="48"/>
      <c r="AR955" s="48"/>
      <c r="AS955"/>
      <c r="AT955" s="48"/>
      <c r="AU955" s="48"/>
      <c r="AV955"/>
      <c r="AW955" s="49"/>
      <c r="AX955" s="49"/>
      <c r="AY955" s="49"/>
      <c r="AZ955" s="49"/>
      <c r="BA955" s="49"/>
      <c r="BB955" s="48"/>
      <c r="BC955" s="48"/>
      <c r="BD955" s="48"/>
      <c r="BE955" s="48"/>
      <c r="BF955" s="83"/>
    </row>
    <row r="956" spans="42:58" ht="16" x14ac:dyDescent="0.35">
      <c r="AP956"/>
      <c r="AQ956" s="52"/>
      <c r="AR956" s="52"/>
      <c r="AS956"/>
      <c r="AT956" s="52"/>
      <c r="AU956" s="52"/>
      <c r="AV956"/>
      <c r="AW956" s="53"/>
      <c r="AX956" s="53"/>
      <c r="AY956" s="53"/>
      <c r="AZ956" s="53"/>
      <c r="BA956" s="53"/>
      <c r="BB956" s="52"/>
      <c r="BC956" s="52"/>
      <c r="BD956" s="52"/>
      <c r="BE956" s="52"/>
      <c r="BF956" s="83"/>
    </row>
    <row r="957" spans="42:58" ht="16" x14ac:dyDescent="0.35">
      <c r="AP957"/>
      <c r="AQ957" s="48"/>
      <c r="AR957" s="48"/>
      <c r="AS957"/>
      <c r="AT957" s="48"/>
      <c r="AU957" s="48"/>
      <c r="AV957"/>
      <c r="AW957" s="49"/>
      <c r="AX957" s="49"/>
      <c r="AY957" s="49"/>
      <c r="AZ957" s="49"/>
      <c r="BA957" s="49"/>
      <c r="BB957" s="48"/>
      <c r="BC957" s="48"/>
      <c r="BD957" s="48"/>
      <c r="BE957" s="48"/>
      <c r="BF957" s="83"/>
    </row>
    <row r="958" spans="42:58" ht="16" x14ac:dyDescent="0.35">
      <c r="AP958"/>
      <c r="AQ958" s="52"/>
      <c r="AR958" s="52"/>
      <c r="AS958"/>
      <c r="AT958" s="52"/>
      <c r="AU958" s="52"/>
      <c r="AV958"/>
      <c r="AW958" s="53"/>
      <c r="AX958" s="53"/>
      <c r="AY958" s="53"/>
      <c r="AZ958" s="53"/>
      <c r="BA958" s="53"/>
      <c r="BB958" s="52"/>
      <c r="BC958" s="52"/>
      <c r="BD958" s="52"/>
      <c r="BE958" s="52"/>
      <c r="BF958" s="83"/>
    </row>
    <row r="959" spans="42:58" ht="16" x14ac:dyDescent="0.35">
      <c r="AP959"/>
      <c r="AQ959" s="48"/>
      <c r="AR959" s="48"/>
      <c r="AS959"/>
      <c r="AT959" s="48"/>
      <c r="AU959" s="48"/>
      <c r="AV959"/>
      <c r="AW959" s="49"/>
      <c r="AX959" s="49"/>
      <c r="AY959" s="49"/>
      <c r="AZ959" s="49"/>
      <c r="BA959" s="49"/>
      <c r="BB959" s="48"/>
      <c r="BC959" s="48"/>
      <c r="BD959" s="48"/>
      <c r="BE959" s="48"/>
      <c r="BF959" s="83"/>
    </row>
    <row r="960" spans="42:58" ht="16" x14ac:dyDescent="0.35">
      <c r="AP960"/>
      <c r="AQ960" s="52"/>
      <c r="AR960" s="52"/>
      <c r="AS960"/>
      <c r="AT960" s="52"/>
      <c r="AU960" s="52"/>
      <c r="AV960"/>
      <c r="AW960" s="53"/>
      <c r="AX960" s="53"/>
      <c r="AY960" s="53"/>
      <c r="AZ960" s="53"/>
      <c r="BA960" s="53"/>
      <c r="BB960" s="52"/>
      <c r="BC960" s="52"/>
      <c r="BD960" s="52"/>
      <c r="BE960" s="52"/>
      <c r="BF960" s="83"/>
    </row>
    <row r="961" spans="42:58" ht="16" x14ac:dyDescent="0.35">
      <c r="AP961"/>
      <c r="AQ961" s="48"/>
      <c r="AR961" s="48"/>
      <c r="AS961"/>
      <c r="AT961" s="48"/>
      <c r="AU961" s="48"/>
      <c r="AV961"/>
      <c r="AW961" s="49"/>
      <c r="AX961" s="49"/>
      <c r="AY961" s="49"/>
      <c r="AZ961" s="49"/>
      <c r="BA961" s="49"/>
      <c r="BB961" s="48"/>
      <c r="BC961" s="48"/>
      <c r="BD961" s="48"/>
      <c r="BE961" s="48"/>
      <c r="BF961" s="83"/>
    </row>
    <row r="962" spans="42:58" ht="16" x14ac:dyDescent="0.35">
      <c r="AP962"/>
      <c r="AQ962" s="52"/>
      <c r="AR962" s="52"/>
      <c r="AS962"/>
      <c r="AT962" s="52"/>
      <c r="AU962" s="52"/>
      <c r="AV962"/>
      <c r="AW962" s="53"/>
      <c r="AX962" s="53"/>
      <c r="AY962" s="53"/>
      <c r="AZ962" s="53"/>
      <c r="BA962" s="53"/>
      <c r="BB962" s="52"/>
      <c r="BC962" s="52"/>
      <c r="BD962" s="52"/>
      <c r="BE962" s="52"/>
      <c r="BF962" s="83"/>
    </row>
    <row r="963" spans="42:58" ht="16" x14ac:dyDescent="0.35">
      <c r="AP963"/>
      <c r="AQ963" s="48"/>
      <c r="AR963" s="48"/>
      <c r="AS963"/>
      <c r="AT963" s="48"/>
      <c r="AU963" s="48"/>
      <c r="AV963"/>
      <c r="AW963" s="49"/>
      <c r="AX963" s="49"/>
      <c r="AY963" s="49"/>
      <c r="AZ963" s="49"/>
      <c r="BA963" s="49"/>
      <c r="BB963" s="48"/>
      <c r="BC963" s="48"/>
      <c r="BD963" s="48"/>
      <c r="BE963" s="48"/>
      <c r="BF963" s="83"/>
    </row>
    <row r="964" spans="42:58" ht="16" x14ac:dyDescent="0.35">
      <c r="AP964"/>
      <c r="AQ964" s="52"/>
      <c r="AR964" s="52"/>
      <c r="AS964"/>
      <c r="AT964" s="52"/>
      <c r="AU964" s="52"/>
      <c r="AV964"/>
      <c r="AW964" s="53"/>
      <c r="AX964" s="53"/>
      <c r="AY964" s="53"/>
      <c r="AZ964" s="53"/>
      <c r="BA964" s="53"/>
      <c r="BB964" s="52"/>
      <c r="BC964" s="52"/>
      <c r="BD964" s="52"/>
      <c r="BE964" s="52"/>
      <c r="BF964" s="83"/>
    </row>
    <row r="965" spans="42:58" ht="16" x14ac:dyDescent="0.35">
      <c r="AP965"/>
      <c r="AQ965" s="48"/>
      <c r="AR965" s="48"/>
      <c r="AS965"/>
      <c r="AT965" s="48"/>
      <c r="AU965" s="48"/>
      <c r="AV965"/>
      <c r="AW965" s="49"/>
      <c r="AX965" s="49"/>
      <c r="AY965" s="49"/>
      <c r="AZ965" s="49"/>
      <c r="BA965" s="49"/>
      <c r="BB965" s="48"/>
      <c r="BC965" s="48"/>
      <c r="BD965" s="48"/>
      <c r="BE965" s="48"/>
      <c r="BF965" s="83"/>
    </row>
    <row r="966" spans="42:58" ht="16" x14ac:dyDescent="0.35">
      <c r="AP966"/>
      <c r="AQ966" s="52"/>
      <c r="AR966" s="52"/>
      <c r="AS966"/>
      <c r="AT966" s="52"/>
      <c r="AU966" s="52"/>
      <c r="AV966"/>
      <c r="AW966" s="53"/>
      <c r="AX966" s="53"/>
      <c r="AY966" s="53"/>
      <c r="AZ966" s="53"/>
      <c r="BA966" s="53"/>
      <c r="BB966" s="52"/>
      <c r="BC966" s="52"/>
      <c r="BD966" s="52"/>
      <c r="BE966" s="52"/>
      <c r="BF966" s="83"/>
    </row>
    <row r="967" spans="42:58" ht="16" x14ac:dyDescent="0.35">
      <c r="AP967"/>
      <c r="AQ967" s="48"/>
      <c r="AR967" s="48"/>
      <c r="AS967"/>
      <c r="AT967" s="48"/>
      <c r="AU967" s="48"/>
      <c r="AV967"/>
      <c r="AW967" s="49"/>
      <c r="AX967" s="49"/>
      <c r="AY967" s="49"/>
      <c r="AZ967" s="49"/>
      <c r="BA967" s="49"/>
      <c r="BB967" s="48"/>
      <c r="BC967" s="48"/>
      <c r="BD967" s="48"/>
      <c r="BE967" s="48"/>
      <c r="BF967" s="83"/>
    </row>
    <row r="968" spans="42:58" ht="16" x14ac:dyDescent="0.35">
      <c r="AP968"/>
      <c r="AQ968" s="52"/>
      <c r="AR968" s="52"/>
      <c r="AS968"/>
      <c r="AT968" s="52"/>
      <c r="AU968" s="52"/>
      <c r="AV968"/>
      <c r="AW968" s="53"/>
      <c r="AX968" s="53"/>
      <c r="AY968" s="53"/>
      <c r="AZ968" s="53"/>
      <c r="BA968" s="53"/>
      <c r="BB968" s="52"/>
      <c r="BC968" s="52"/>
      <c r="BD968" s="52"/>
      <c r="BE968" s="52"/>
      <c r="BF968" s="83"/>
    </row>
    <row r="969" spans="42:58" ht="16" x14ac:dyDescent="0.35">
      <c r="AP969"/>
      <c r="AQ969" s="48"/>
      <c r="AR969" s="48"/>
      <c r="AS969"/>
      <c r="AT969" s="48"/>
      <c r="AU969" s="48"/>
      <c r="AV969"/>
      <c r="AW969" s="49"/>
      <c r="AX969" s="49"/>
      <c r="AY969" s="49"/>
      <c r="AZ969" s="49"/>
      <c r="BA969" s="49"/>
      <c r="BB969" s="48"/>
      <c r="BC969" s="48"/>
      <c r="BD969" s="48"/>
      <c r="BE969" s="48"/>
      <c r="BF969" s="83"/>
    </row>
    <row r="970" spans="42:58" ht="16" x14ac:dyDescent="0.35">
      <c r="AP970"/>
      <c r="AQ970" s="52"/>
      <c r="AR970" s="52"/>
      <c r="AS970"/>
      <c r="AT970" s="52"/>
      <c r="AU970" s="52"/>
      <c r="AV970"/>
      <c r="AW970" s="53"/>
      <c r="AX970" s="53"/>
      <c r="AY970" s="53"/>
      <c r="AZ970" s="53"/>
      <c r="BA970" s="53"/>
      <c r="BB970" s="52"/>
      <c r="BC970" s="52"/>
      <c r="BD970" s="52"/>
      <c r="BE970" s="52"/>
      <c r="BF970" s="83"/>
    </row>
    <row r="971" spans="42:58" ht="16" x14ac:dyDescent="0.35">
      <c r="AP971"/>
      <c r="AQ971" s="48"/>
      <c r="AR971" s="48"/>
      <c r="AS971"/>
      <c r="AT971" s="48"/>
      <c r="AU971" s="48"/>
      <c r="AV971"/>
      <c r="AW971" s="49"/>
      <c r="AX971" s="49"/>
      <c r="AY971" s="49"/>
      <c r="AZ971" s="49"/>
      <c r="BA971" s="49"/>
      <c r="BB971" s="48"/>
      <c r="BC971" s="48"/>
      <c r="BD971" s="48"/>
      <c r="BE971" s="48"/>
      <c r="BF971" s="83"/>
    </row>
    <row r="972" spans="42:58" ht="16" x14ac:dyDescent="0.35">
      <c r="AP972"/>
      <c r="AQ972" s="52"/>
      <c r="AR972" s="52"/>
      <c r="AS972"/>
      <c r="AT972" s="52"/>
      <c r="AU972" s="52"/>
      <c r="AV972"/>
      <c r="AW972" s="53"/>
      <c r="AX972" s="53"/>
      <c r="AY972" s="53"/>
      <c r="AZ972" s="53"/>
      <c r="BA972" s="53"/>
      <c r="BB972" s="52"/>
      <c r="BC972" s="52"/>
      <c r="BD972" s="52"/>
      <c r="BE972" s="52"/>
      <c r="BF972" s="83"/>
    </row>
    <row r="973" spans="42:58" ht="16" x14ac:dyDescent="0.35">
      <c r="AP973"/>
      <c r="AQ973" s="48"/>
      <c r="AR973" s="48"/>
      <c r="AS973"/>
      <c r="AT973" s="48"/>
      <c r="AU973" s="48"/>
      <c r="AV973"/>
      <c r="AW973" s="49"/>
      <c r="AX973" s="49"/>
      <c r="AY973" s="49"/>
      <c r="AZ973" s="49"/>
      <c r="BA973" s="49"/>
      <c r="BB973" s="48"/>
      <c r="BC973" s="48"/>
      <c r="BD973" s="48"/>
      <c r="BE973" s="48"/>
      <c r="BF973" s="83"/>
    </row>
    <row r="974" spans="42:58" ht="16" x14ac:dyDescent="0.35">
      <c r="AP974"/>
      <c r="AQ974" s="52"/>
      <c r="AR974" s="52"/>
      <c r="AS974"/>
      <c r="AT974" s="52"/>
      <c r="AU974" s="52"/>
      <c r="AV974"/>
      <c r="AW974" s="53"/>
      <c r="AX974" s="53"/>
      <c r="AY974" s="53"/>
      <c r="AZ974" s="53"/>
      <c r="BA974" s="53"/>
      <c r="BB974" s="52"/>
      <c r="BC974" s="52"/>
      <c r="BD974" s="52"/>
      <c r="BE974" s="52"/>
      <c r="BF974" s="83"/>
    </row>
    <row r="975" spans="42:58" ht="16" x14ac:dyDescent="0.35">
      <c r="AP975"/>
      <c r="AQ975" s="48"/>
      <c r="AR975" s="48"/>
      <c r="AS975"/>
      <c r="AT975" s="48"/>
      <c r="AU975" s="48"/>
      <c r="AV975"/>
      <c r="AW975" s="49"/>
      <c r="AX975" s="49"/>
      <c r="AY975" s="49"/>
      <c r="AZ975" s="49"/>
      <c r="BA975" s="49"/>
      <c r="BB975" s="48"/>
      <c r="BC975" s="48"/>
      <c r="BD975" s="48"/>
      <c r="BE975" s="48"/>
      <c r="BF975" s="83"/>
    </row>
    <row r="976" spans="42:58" ht="16" x14ac:dyDescent="0.35">
      <c r="AP976"/>
      <c r="AQ976" s="52"/>
      <c r="AR976" s="52"/>
      <c r="AS976"/>
      <c r="AT976" s="52"/>
      <c r="AU976" s="52"/>
      <c r="AV976"/>
      <c r="AW976" s="53"/>
      <c r="AX976" s="53"/>
      <c r="AY976" s="53"/>
      <c r="AZ976" s="53"/>
      <c r="BA976" s="53"/>
      <c r="BB976" s="52"/>
      <c r="BC976" s="52"/>
      <c r="BD976" s="52"/>
      <c r="BE976" s="52"/>
      <c r="BF976" s="83"/>
    </row>
    <row r="977" spans="42:58" ht="16" x14ac:dyDescent="0.35">
      <c r="AP977"/>
      <c r="AQ977" s="48"/>
      <c r="AR977" s="48"/>
      <c r="AS977"/>
      <c r="AT977" s="48"/>
      <c r="AU977" s="48"/>
      <c r="AV977"/>
      <c r="AW977" s="49"/>
      <c r="AX977" s="49"/>
      <c r="AY977" s="49"/>
      <c r="AZ977" s="49"/>
      <c r="BA977" s="49"/>
      <c r="BB977" s="48"/>
      <c r="BC977" s="48"/>
      <c r="BD977" s="48"/>
      <c r="BE977" s="48"/>
      <c r="BF977" s="83"/>
    </row>
    <row r="978" spans="42:58" ht="16" x14ac:dyDescent="0.35">
      <c r="AP978"/>
      <c r="AQ978" s="52"/>
      <c r="AR978" s="52"/>
      <c r="AS978"/>
      <c r="AT978" s="52"/>
      <c r="AU978" s="52"/>
      <c r="AV978"/>
      <c r="AW978" s="53"/>
      <c r="AX978" s="53"/>
      <c r="AY978" s="53"/>
      <c r="AZ978" s="53"/>
      <c r="BA978" s="53"/>
      <c r="BB978" s="52"/>
      <c r="BC978" s="52"/>
      <c r="BD978" s="52"/>
      <c r="BE978" s="52"/>
      <c r="BF978" s="83"/>
    </row>
    <row r="979" spans="42:58" ht="16" x14ac:dyDescent="0.35">
      <c r="AP979"/>
      <c r="AQ979" s="48"/>
      <c r="AR979" s="48"/>
      <c r="AS979"/>
      <c r="AT979" s="48"/>
      <c r="AU979" s="48"/>
      <c r="AV979"/>
      <c r="AW979" s="49"/>
      <c r="AX979" s="49"/>
      <c r="AY979" s="49"/>
      <c r="AZ979" s="49"/>
      <c r="BA979" s="49"/>
      <c r="BB979" s="48"/>
      <c r="BC979" s="48"/>
      <c r="BD979" s="48"/>
      <c r="BE979" s="48"/>
      <c r="BF979" s="83"/>
    </row>
    <row r="980" spans="42:58" ht="16" x14ac:dyDescent="0.35">
      <c r="AP980"/>
      <c r="AQ980" s="52"/>
      <c r="AR980" s="52"/>
      <c r="AS980"/>
      <c r="AT980" s="52"/>
      <c r="AU980" s="52"/>
      <c r="AV980"/>
      <c r="AW980" s="53"/>
      <c r="AX980" s="53"/>
      <c r="AY980" s="53"/>
      <c r="AZ980" s="53"/>
      <c r="BA980" s="53"/>
      <c r="BB980" s="52"/>
      <c r="BC980" s="52"/>
      <c r="BD980" s="52"/>
      <c r="BE980" s="52"/>
      <c r="BF980" s="83"/>
    </row>
    <row r="981" spans="42:58" ht="16" x14ac:dyDescent="0.35">
      <c r="AP981"/>
      <c r="AQ981" s="48"/>
      <c r="AR981" s="48"/>
      <c r="AS981"/>
      <c r="AT981" s="48"/>
      <c r="AU981" s="48"/>
      <c r="AV981"/>
      <c r="AW981" s="49"/>
      <c r="AX981" s="49"/>
      <c r="AY981" s="49"/>
      <c r="AZ981" s="49"/>
      <c r="BA981" s="49"/>
      <c r="BB981" s="48"/>
      <c r="BC981" s="48"/>
      <c r="BD981" s="48"/>
      <c r="BE981" s="48"/>
      <c r="BF981" s="83"/>
    </row>
    <row r="982" spans="42:58" ht="16" x14ac:dyDescent="0.35">
      <c r="AP982"/>
      <c r="AQ982" s="52"/>
      <c r="AR982" s="52"/>
      <c r="AS982"/>
      <c r="AT982" s="52"/>
      <c r="AU982" s="52"/>
      <c r="AV982"/>
      <c r="AW982" s="53"/>
      <c r="AX982" s="53"/>
      <c r="AY982" s="53"/>
      <c r="AZ982" s="53"/>
      <c r="BA982" s="53"/>
      <c r="BB982" s="52"/>
      <c r="BC982" s="52"/>
      <c r="BD982" s="52"/>
      <c r="BE982" s="52"/>
      <c r="BF982" s="83"/>
    </row>
    <row r="983" spans="42:58" ht="16" x14ac:dyDescent="0.35">
      <c r="AP983"/>
      <c r="AQ983" s="48"/>
      <c r="AR983" s="48"/>
      <c r="AS983"/>
      <c r="AT983" s="48"/>
      <c r="AU983" s="48"/>
      <c r="AV983"/>
      <c r="AW983" s="49"/>
      <c r="AX983" s="49"/>
      <c r="AY983" s="49"/>
      <c r="AZ983" s="49"/>
      <c r="BA983" s="49"/>
      <c r="BB983" s="48"/>
      <c r="BC983" s="48"/>
      <c r="BD983" s="48"/>
      <c r="BE983" s="48"/>
      <c r="BF983" s="83"/>
    </row>
    <row r="984" spans="42:58" ht="16" x14ac:dyDescent="0.35">
      <c r="AP984"/>
      <c r="AQ984" s="52"/>
      <c r="AR984" s="52"/>
      <c r="AS984"/>
      <c r="AT984" s="52"/>
      <c r="AU984" s="52"/>
      <c r="AV984"/>
      <c r="AW984" s="53"/>
      <c r="AX984" s="53"/>
      <c r="AY984" s="53"/>
      <c r="AZ984" s="53"/>
      <c r="BA984" s="53"/>
      <c r="BB984" s="52"/>
      <c r="BC984" s="52"/>
      <c r="BD984" s="52"/>
      <c r="BE984" s="52"/>
      <c r="BF984" s="83"/>
    </row>
    <row r="985" spans="42:58" ht="16" x14ac:dyDescent="0.35">
      <c r="AP985"/>
      <c r="AQ985" s="48"/>
      <c r="AR985" s="48"/>
      <c r="AS985"/>
      <c r="AT985" s="48"/>
      <c r="AU985" s="48"/>
      <c r="AV985"/>
      <c r="AW985" s="49"/>
      <c r="AX985" s="49"/>
      <c r="AY985" s="49"/>
      <c r="AZ985" s="49"/>
      <c r="BA985" s="49"/>
      <c r="BB985" s="48"/>
      <c r="BC985" s="48"/>
      <c r="BD985" s="48"/>
      <c r="BE985" s="48"/>
      <c r="BF985" s="83"/>
    </row>
    <row r="986" spans="42:58" ht="16" x14ac:dyDescent="0.35">
      <c r="AP986"/>
      <c r="AQ986" s="52"/>
      <c r="AR986" s="52"/>
      <c r="AS986"/>
      <c r="AT986" s="52"/>
      <c r="AU986" s="52"/>
      <c r="AV986"/>
      <c r="AW986" s="53"/>
      <c r="AX986" s="53"/>
      <c r="AY986" s="53"/>
      <c r="AZ986" s="53"/>
      <c r="BA986" s="53"/>
      <c r="BB986" s="52"/>
      <c r="BC986" s="52"/>
      <c r="BD986" s="52"/>
      <c r="BE986" s="52"/>
      <c r="BF986" s="83"/>
    </row>
    <row r="987" spans="42:58" ht="16" x14ac:dyDescent="0.35">
      <c r="AP987"/>
      <c r="AQ987" s="48"/>
      <c r="AR987" s="48"/>
      <c r="AS987"/>
      <c r="AT987" s="48"/>
      <c r="AU987" s="48"/>
      <c r="AV987"/>
      <c r="AW987" s="49"/>
      <c r="AX987" s="49"/>
      <c r="AY987" s="49"/>
      <c r="AZ987" s="49"/>
      <c r="BA987" s="49"/>
      <c r="BB987" s="48"/>
      <c r="BC987" s="48"/>
      <c r="BD987" s="48"/>
      <c r="BE987" s="48"/>
      <c r="BF987" s="83"/>
    </row>
    <row r="988" spans="42:58" ht="16" x14ac:dyDescent="0.35">
      <c r="AP988"/>
      <c r="AQ988" s="52"/>
      <c r="AR988" s="52"/>
      <c r="AS988"/>
      <c r="AT988" s="52"/>
      <c r="AU988" s="52"/>
      <c r="AV988"/>
      <c r="AW988" s="53"/>
      <c r="AX988" s="53"/>
      <c r="AY988" s="53"/>
      <c r="AZ988" s="53"/>
      <c r="BA988" s="53"/>
      <c r="BB988" s="52"/>
      <c r="BC988" s="52"/>
      <c r="BD988" s="52"/>
      <c r="BE988" s="52"/>
      <c r="BF988" s="83"/>
    </row>
    <row r="989" spans="42:58" ht="16" x14ac:dyDescent="0.35">
      <c r="AP989"/>
      <c r="AQ989" s="48"/>
      <c r="AR989" s="48"/>
      <c r="AS989"/>
      <c r="AT989" s="48"/>
      <c r="AU989" s="48"/>
      <c r="AV989"/>
      <c r="AW989" s="49"/>
      <c r="AX989" s="49"/>
      <c r="AY989" s="49"/>
      <c r="AZ989" s="49"/>
      <c r="BA989" s="49"/>
      <c r="BB989" s="48"/>
      <c r="BC989" s="48"/>
      <c r="BD989" s="48"/>
      <c r="BE989" s="48"/>
      <c r="BF989" s="83"/>
    </row>
    <row r="990" spans="42:58" ht="16" x14ac:dyDescent="0.35">
      <c r="AP990"/>
      <c r="AQ990" s="52"/>
      <c r="AR990" s="52"/>
      <c r="AS990"/>
      <c r="AT990" s="52"/>
      <c r="AU990" s="52"/>
      <c r="AV990"/>
      <c r="AW990" s="53"/>
      <c r="AX990" s="53"/>
      <c r="AY990" s="53"/>
      <c r="AZ990" s="53"/>
      <c r="BA990" s="53"/>
      <c r="BB990" s="52"/>
      <c r="BC990" s="52"/>
      <c r="BD990" s="52"/>
      <c r="BE990" s="52"/>
      <c r="BF990" s="83"/>
    </row>
    <row r="991" spans="42:58" ht="16" x14ac:dyDescent="0.35">
      <c r="AP991"/>
      <c r="AQ991" s="48"/>
      <c r="AR991" s="48"/>
      <c r="AS991"/>
      <c r="AT991" s="48"/>
      <c r="AU991" s="48"/>
      <c r="AV991"/>
      <c r="AW991" s="49"/>
      <c r="AX991" s="49"/>
      <c r="AY991" s="49"/>
      <c r="AZ991" s="49"/>
      <c r="BA991" s="49"/>
      <c r="BB991" s="48"/>
      <c r="BC991" s="48"/>
      <c r="BD991" s="48"/>
      <c r="BE991" s="48"/>
      <c r="BF991" s="83"/>
    </row>
    <row r="992" spans="42:58" ht="16" x14ac:dyDescent="0.35">
      <c r="AP992"/>
      <c r="AQ992" s="52"/>
      <c r="AR992" s="52"/>
      <c r="AS992"/>
      <c r="AT992" s="52"/>
      <c r="AU992" s="52"/>
      <c r="AV992"/>
      <c r="AW992" s="53"/>
      <c r="AX992" s="53"/>
      <c r="AY992" s="53"/>
      <c r="AZ992" s="53"/>
      <c r="BA992" s="53"/>
      <c r="BB992" s="52"/>
      <c r="BC992" s="52"/>
      <c r="BD992" s="52"/>
      <c r="BE992" s="52"/>
      <c r="BF992" s="83"/>
    </row>
    <row r="993" spans="42:58" ht="16" x14ac:dyDescent="0.35">
      <c r="AP993"/>
      <c r="AQ993" s="48"/>
      <c r="AR993" s="48"/>
      <c r="AS993"/>
      <c r="AT993" s="48"/>
      <c r="AU993" s="48"/>
      <c r="AV993"/>
      <c r="AW993" s="49"/>
      <c r="AX993" s="49"/>
      <c r="AY993" s="49"/>
      <c r="AZ993" s="49"/>
      <c r="BA993" s="49"/>
      <c r="BB993" s="48"/>
      <c r="BC993" s="48"/>
      <c r="BD993" s="48"/>
      <c r="BE993" s="48"/>
      <c r="BF993" s="83"/>
    </row>
    <row r="994" spans="42:58" ht="16" x14ac:dyDescent="0.35">
      <c r="AP994"/>
      <c r="AQ994" s="52"/>
      <c r="AR994" s="52"/>
      <c r="AS994"/>
      <c r="AT994" s="52"/>
      <c r="AU994" s="52"/>
      <c r="AV994"/>
      <c r="AW994" s="53"/>
      <c r="AX994" s="53"/>
      <c r="AY994" s="53"/>
      <c r="AZ994" s="53"/>
      <c r="BA994" s="53"/>
      <c r="BB994" s="52"/>
      <c r="BC994" s="52"/>
      <c r="BD994" s="52"/>
      <c r="BE994" s="52"/>
      <c r="BF994" s="83"/>
    </row>
    <row r="995" spans="42:58" ht="16" x14ac:dyDescent="0.35">
      <c r="AP995"/>
      <c r="AQ995" s="48"/>
      <c r="AR995" s="48"/>
      <c r="AS995"/>
      <c r="AT995" s="48"/>
      <c r="AU995" s="48"/>
      <c r="AV995"/>
      <c r="AW995" s="49"/>
      <c r="AX995" s="49"/>
      <c r="AY995" s="49"/>
      <c r="AZ995" s="49"/>
      <c r="BA995" s="49"/>
      <c r="BB995" s="48"/>
      <c r="BC995" s="48"/>
      <c r="BD995" s="48"/>
      <c r="BE995" s="48"/>
      <c r="BF995" s="83"/>
    </row>
    <row r="996" spans="42:58" ht="16" x14ac:dyDescent="0.35">
      <c r="AP996"/>
      <c r="AQ996" s="52"/>
      <c r="AR996" s="52"/>
      <c r="AS996"/>
      <c r="AT996" s="52"/>
      <c r="AU996" s="52"/>
      <c r="AV996"/>
      <c r="AW996" s="53"/>
      <c r="AX996" s="53"/>
      <c r="AY996" s="53"/>
      <c r="AZ996" s="53"/>
      <c r="BA996" s="53"/>
      <c r="BB996" s="52"/>
      <c r="BC996" s="52"/>
      <c r="BD996" s="52"/>
      <c r="BE996" s="52"/>
      <c r="BF996" s="83"/>
    </row>
    <row r="997" spans="42:58" ht="16" x14ac:dyDescent="0.35">
      <c r="AP997"/>
      <c r="AQ997" s="48"/>
      <c r="AR997" s="48"/>
      <c r="AS997"/>
      <c r="AT997" s="48"/>
      <c r="AU997" s="48"/>
      <c r="AV997"/>
      <c r="AW997" s="49"/>
      <c r="AX997" s="49"/>
      <c r="AY997" s="49"/>
      <c r="AZ997" s="49"/>
      <c r="BA997" s="49"/>
      <c r="BB997" s="48"/>
      <c r="BC997" s="48"/>
      <c r="BD997" s="48"/>
      <c r="BE997" s="48"/>
      <c r="BF997" s="83"/>
    </row>
    <row r="998" spans="42:58" ht="16" x14ac:dyDescent="0.35">
      <c r="AP998"/>
      <c r="AQ998" s="52"/>
      <c r="AR998" s="52"/>
      <c r="AS998"/>
      <c r="AT998" s="52"/>
      <c r="AU998" s="52"/>
      <c r="AV998"/>
      <c r="AW998" s="53"/>
      <c r="AX998" s="53"/>
      <c r="AY998" s="53"/>
      <c r="AZ998" s="53"/>
      <c r="BA998" s="53"/>
      <c r="BB998" s="52"/>
      <c r="BC998" s="52"/>
      <c r="BD998" s="52"/>
      <c r="BE998" s="52"/>
      <c r="BF998" s="83"/>
    </row>
    <row r="999" spans="42:58" ht="16" x14ac:dyDescent="0.35">
      <c r="AP999"/>
      <c r="AQ999" s="48"/>
      <c r="AR999" s="48"/>
      <c r="AS999"/>
      <c r="AT999" s="48"/>
      <c r="AU999" s="48"/>
      <c r="AV999"/>
      <c r="AW999" s="49"/>
      <c r="AX999" s="49"/>
      <c r="AY999" s="49"/>
      <c r="AZ999" s="49"/>
      <c r="BA999" s="49"/>
      <c r="BB999" s="48"/>
      <c r="BC999" s="48"/>
      <c r="BD999" s="48"/>
      <c r="BE999" s="48"/>
      <c r="BF999" s="83"/>
    </row>
    <row r="1000" spans="42:58" ht="16" x14ac:dyDescent="0.35">
      <c r="AP1000"/>
      <c r="AQ1000" s="52"/>
      <c r="AR1000" s="52"/>
      <c r="AS1000"/>
      <c r="AT1000" s="52"/>
      <c r="AU1000" s="52"/>
      <c r="AV1000"/>
      <c r="AW1000" s="53"/>
      <c r="AX1000" s="53"/>
      <c r="AY1000" s="53"/>
      <c r="AZ1000" s="53"/>
      <c r="BA1000" s="53"/>
      <c r="BB1000" s="52"/>
      <c r="BC1000" s="52"/>
      <c r="BD1000" s="52"/>
      <c r="BE1000" s="52"/>
      <c r="BF1000" s="83"/>
    </row>
    <row r="1001" spans="42:58" ht="16" x14ac:dyDescent="0.35">
      <c r="AP1001"/>
      <c r="AQ1001" s="48"/>
      <c r="AR1001" s="48"/>
      <c r="AS1001"/>
      <c r="AT1001" s="48"/>
      <c r="AU1001" s="48"/>
      <c r="AV1001"/>
      <c r="AW1001" s="49"/>
      <c r="AX1001" s="49"/>
      <c r="AY1001" s="49"/>
      <c r="AZ1001" s="49"/>
      <c r="BA1001" s="49"/>
      <c r="BB1001" s="48"/>
      <c r="BC1001" s="48"/>
      <c r="BD1001" s="48"/>
      <c r="BE1001" s="48"/>
      <c r="BF1001" s="83"/>
    </row>
    <row r="1002" spans="42:58" ht="16" x14ac:dyDescent="0.35">
      <c r="AP1002"/>
      <c r="AQ1002" s="52"/>
      <c r="AR1002" s="52"/>
      <c r="AS1002"/>
      <c r="AT1002" s="52"/>
      <c r="AU1002" s="52"/>
      <c r="AV1002"/>
      <c r="AW1002" s="53"/>
      <c r="AX1002" s="53"/>
      <c r="AY1002" s="53"/>
      <c r="AZ1002" s="53"/>
      <c r="BA1002" s="53"/>
      <c r="BB1002" s="52"/>
      <c r="BC1002" s="52"/>
      <c r="BD1002" s="52"/>
      <c r="BE1002" s="52"/>
      <c r="BF1002" s="83"/>
    </row>
    <row r="1003" spans="42:58" ht="16" x14ac:dyDescent="0.35">
      <c r="AP1003"/>
      <c r="AQ1003" s="48"/>
      <c r="AR1003" s="48"/>
      <c r="AS1003"/>
      <c r="AT1003" s="48"/>
      <c r="AU1003" s="48"/>
      <c r="AV1003"/>
      <c r="AW1003" s="49"/>
      <c r="AX1003" s="49"/>
      <c r="AY1003" s="49"/>
      <c r="AZ1003" s="49"/>
      <c r="BA1003" s="49"/>
      <c r="BB1003" s="48"/>
      <c r="BC1003" s="48"/>
      <c r="BD1003" s="48"/>
      <c r="BE1003" s="48"/>
      <c r="BF1003" s="83"/>
    </row>
    <row r="1004" spans="42:58" ht="16" x14ac:dyDescent="0.35">
      <c r="AP1004"/>
      <c r="AQ1004" s="52"/>
      <c r="AR1004" s="52"/>
      <c r="AS1004"/>
      <c r="AT1004" s="52"/>
      <c r="AU1004" s="52"/>
      <c r="AV1004"/>
      <c r="AW1004" s="53"/>
      <c r="AX1004" s="53"/>
      <c r="AY1004" s="53"/>
      <c r="AZ1004" s="53"/>
      <c r="BA1004" s="53"/>
      <c r="BB1004" s="52"/>
      <c r="BC1004" s="52"/>
      <c r="BD1004" s="52"/>
      <c r="BE1004" s="52"/>
      <c r="BF1004" s="83"/>
    </row>
    <row r="1005" spans="42:58" ht="16" x14ac:dyDescent="0.35">
      <c r="AP1005"/>
      <c r="AQ1005" s="48"/>
      <c r="AR1005" s="48"/>
      <c r="AS1005"/>
      <c r="AT1005" s="48"/>
      <c r="AU1005" s="48"/>
      <c r="AV1005"/>
      <c r="AW1005" s="49"/>
      <c r="AX1005" s="49"/>
      <c r="AY1005" s="49"/>
      <c r="AZ1005" s="49"/>
      <c r="BA1005" s="49"/>
      <c r="BB1005" s="48"/>
      <c r="BC1005" s="48"/>
      <c r="BD1005" s="48"/>
      <c r="BE1005" s="48"/>
      <c r="BF1005" s="83"/>
    </row>
    <row r="1006" spans="42:58" ht="16" x14ac:dyDescent="0.35">
      <c r="AP1006"/>
      <c r="AQ1006" s="52"/>
      <c r="AR1006" s="52"/>
      <c r="AS1006"/>
      <c r="AT1006" s="52"/>
      <c r="AU1006" s="52"/>
      <c r="AV1006"/>
      <c r="AW1006" s="53"/>
      <c r="AX1006" s="53"/>
      <c r="AY1006" s="53"/>
      <c r="AZ1006" s="53"/>
      <c r="BA1006" s="53"/>
      <c r="BB1006" s="52"/>
      <c r="BC1006" s="52"/>
      <c r="BD1006" s="52"/>
      <c r="BE1006" s="52"/>
      <c r="BF1006" s="83"/>
    </row>
    <row r="1007" spans="42:58" ht="16" x14ac:dyDescent="0.35">
      <c r="AP1007"/>
      <c r="AQ1007" s="48"/>
      <c r="AR1007" s="48"/>
      <c r="AS1007"/>
      <c r="AT1007" s="48"/>
      <c r="AU1007" s="48"/>
      <c r="AV1007"/>
      <c r="AW1007" s="49"/>
      <c r="AX1007" s="49"/>
      <c r="AY1007" s="49"/>
      <c r="AZ1007" s="49"/>
      <c r="BA1007" s="49"/>
      <c r="BB1007" s="48"/>
      <c r="BC1007" s="48"/>
      <c r="BD1007" s="48"/>
      <c r="BE1007" s="48"/>
      <c r="BF1007" s="83"/>
    </row>
    <row r="1008" spans="42:58" ht="16" x14ac:dyDescent="0.35">
      <c r="AP1008"/>
      <c r="AQ1008" s="52"/>
      <c r="AR1008" s="52"/>
      <c r="AS1008"/>
      <c r="AT1008" s="52"/>
      <c r="AU1008" s="52"/>
      <c r="AV1008"/>
      <c r="AW1008" s="53"/>
      <c r="AX1008" s="53"/>
      <c r="AY1008" s="53"/>
      <c r="AZ1008" s="53"/>
      <c r="BA1008" s="53"/>
      <c r="BB1008" s="52"/>
      <c r="BC1008" s="52"/>
      <c r="BD1008" s="52"/>
      <c r="BE1008" s="52"/>
      <c r="BF1008" s="83"/>
    </row>
    <row r="1009" spans="42:58" ht="16" x14ac:dyDescent="0.35">
      <c r="AP1009"/>
      <c r="AQ1009" s="48"/>
      <c r="AR1009" s="48"/>
      <c r="AS1009"/>
      <c r="AT1009" s="48"/>
      <c r="AU1009" s="48"/>
      <c r="AV1009"/>
      <c r="AW1009" s="49"/>
      <c r="AX1009" s="49"/>
      <c r="AY1009" s="49"/>
      <c r="AZ1009" s="49"/>
      <c r="BA1009" s="49"/>
      <c r="BB1009" s="48"/>
      <c r="BC1009" s="48"/>
      <c r="BD1009" s="48"/>
      <c r="BE1009" s="48"/>
      <c r="BF1009" s="83"/>
    </row>
    <row r="1010" spans="42:58" ht="16" x14ac:dyDescent="0.35">
      <c r="AP1010"/>
      <c r="AQ1010" s="52"/>
      <c r="AR1010" s="52"/>
      <c r="AS1010"/>
      <c r="AT1010" s="52"/>
      <c r="AU1010" s="52"/>
      <c r="AV1010"/>
      <c r="AW1010" s="53"/>
      <c r="AX1010" s="53"/>
      <c r="AY1010" s="53"/>
      <c r="AZ1010" s="53"/>
      <c r="BA1010" s="53"/>
      <c r="BB1010" s="52"/>
      <c r="BC1010" s="52"/>
      <c r="BD1010" s="52"/>
      <c r="BE1010" s="52"/>
      <c r="BF1010" s="83"/>
    </row>
    <row r="1011" spans="42:58" ht="16" x14ac:dyDescent="0.35">
      <c r="AP1011"/>
      <c r="AQ1011" s="48"/>
      <c r="AR1011" s="48"/>
      <c r="AS1011"/>
      <c r="AT1011" s="48"/>
      <c r="AU1011" s="48"/>
      <c r="AV1011"/>
      <c r="AW1011" s="49"/>
      <c r="AX1011" s="49"/>
      <c r="AY1011" s="49"/>
      <c r="AZ1011" s="49"/>
      <c r="BA1011" s="49"/>
      <c r="BB1011" s="48"/>
      <c r="BC1011" s="48"/>
      <c r="BD1011" s="48"/>
      <c r="BE1011" s="48"/>
      <c r="BF1011" s="83"/>
    </row>
    <row r="1012" spans="42:58" ht="16" x14ac:dyDescent="0.35">
      <c r="AP1012"/>
      <c r="AQ1012" s="52"/>
      <c r="AR1012" s="52"/>
      <c r="AS1012"/>
      <c r="AT1012" s="52"/>
      <c r="AU1012" s="52"/>
      <c r="AV1012"/>
      <c r="AW1012" s="53"/>
      <c r="AX1012" s="53"/>
      <c r="AY1012" s="53"/>
      <c r="AZ1012" s="53"/>
      <c r="BA1012" s="53"/>
      <c r="BB1012" s="52"/>
      <c r="BC1012" s="52"/>
      <c r="BD1012" s="52"/>
      <c r="BE1012" s="52"/>
      <c r="BF1012" s="83"/>
    </row>
    <row r="1013" spans="42:58" ht="16" x14ac:dyDescent="0.35">
      <c r="AP1013"/>
      <c r="AQ1013" s="48"/>
      <c r="AR1013" s="48"/>
      <c r="AS1013"/>
      <c r="AT1013" s="48"/>
      <c r="AU1013" s="48"/>
      <c r="AV1013"/>
      <c r="AW1013" s="49"/>
      <c r="AX1013" s="49"/>
      <c r="AY1013" s="49"/>
      <c r="AZ1013" s="49"/>
      <c r="BA1013" s="49"/>
      <c r="BB1013" s="48"/>
      <c r="BC1013" s="48"/>
      <c r="BD1013" s="48"/>
      <c r="BE1013" s="48"/>
      <c r="BF1013" s="83"/>
    </row>
    <row r="1014" spans="42:58" ht="16" x14ac:dyDescent="0.35">
      <c r="AP1014"/>
      <c r="AQ1014" s="52"/>
      <c r="AR1014" s="52"/>
      <c r="AS1014"/>
      <c r="AT1014" s="52"/>
      <c r="AU1014" s="52"/>
      <c r="AV1014"/>
      <c r="AW1014" s="53"/>
      <c r="AX1014" s="53"/>
      <c r="AY1014" s="53"/>
      <c r="AZ1014" s="53"/>
      <c r="BA1014" s="53"/>
      <c r="BB1014" s="52"/>
      <c r="BC1014" s="52"/>
      <c r="BD1014" s="52"/>
      <c r="BE1014" s="52"/>
      <c r="BF1014" s="83"/>
    </row>
    <row r="1015" spans="42:58" ht="16" x14ac:dyDescent="0.35">
      <c r="AP1015"/>
      <c r="AQ1015" s="48"/>
      <c r="AR1015" s="48"/>
      <c r="AS1015"/>
      <c r="AT1015" s="48"/>
      <c r="AU1015" s="48"/>
      <c r="AV1015"/>
      <c r="AW1015" s="49"/>
      <c r="AX1015" s="49"/>
      <c r="AY1015" s="49"/>
      <c r="AZ1015" s="49"/>
      <c r="BA1015" s="49"/>
      <c r="BB1015" s="48"/>
      <c r="BC1015" s="48"/>
      <c r="BD1015" s="48"/>
      <c r="BE1015" s="48"/>
      <c r="BF1015" s="83"/>
    </row>
    <row r="1016" spans="42:58" ht="16" x14ac:dyDescent="0.35">
      <c r="AP1016"/>
      <c r="AQ1016" s="52"/>
      <c r="AR1016" s="52"/>
      <c r="AS1016"/>
      <c r="AT1016" s="52"/>
      <c r="AU1016" s="52"/>
      <c r="AV1016"/>
      <c r="AW1016" s="53"/>
      <c r="AX1016" s="53"/>
      <c r="AY1016" s="53"/>
      <c r="AZ1016" s="53"/>
      <c r="BA1016" s="53"/>
      <c r="BB1016" s="52"/>
      <c r="BC1016" s="52"/>
      <c r="BD1016" s="52"/>
      <c r="BE1016" s="52"/>
      <c r="BF1016" s="83"/>
    </row>
    <row r="1017" spans="42:58" ht="16" x14ac:dyDescent="0.35">
      <c r="AP1017"/>
      <c r="AQ1017" s="48"/>
      <c r="AR1017" s="48"/>
      <c r="AS1017"/>
      <c r="AT1017" s="48"/>
      <c r="AU1017" s="48"/>
      <c r="AV1017"/>
      <c r="AW1017" s="49"/>
      <c r="AX1017" s="49"/>
      <c r="AY1017" s="49"/>
      <c r="AZ1017" s="49"/>
      <c r="BA1017" s="49"/>
      <c r="BB1017" s="48"/>
      <c r="BC1017" s="48"/>
      <c r="BD1017" s="48"/>
      <c r="BE1017" s="48"/>
      <c r="BF1017" s="83"/>
    </row>
    <row r="1018" spans="42:58" ht="16" x14ac:dyDescent="0.35">
      <c r="AP1018"/>
      <c r="AQ1018" s="52"/>
      <c r="AR1018" s="52"/>
      <c r="AS1018"/>
      <c r="AT1018" s="52"/>
      <c r="AU1018" s="52"/>
      <c r="AV1018"/>
      <c r="AW1018" s="53"/>
      <c r="AX1018" s="53"/>
      <c r="AY1018" s="53"/>
      <c r="AZ1018" s="53"/>
      <c r="BA1018" s="53"/>
      <c r="BB1018" s="52"/>
      <c r="BC1018" s="52"/>
      <c r="BD1018" s="52"/>
      <c r="BE1018" s="52"/>
      <c r="BF1018" s="83"/>
    </row>
    <row r="1019" spans="42:58" ht="16" x14ac:dyDescent="0.35">
      <c r="AP1019"/>
      <c r="AQ1019" s="48"/>
      <c r="AR1019" s="48"/>
      <c r="AS1019"/>
      <c r="AT1019" s="48"/>
      <c r="AU1019" s="48"/>
      <c r="AV1019"/>
      <c r="AW1019" s="49"/>
      <c r="AX1019" s="49"/>
      <c r="AY1019" s="49"/>
      <c r="AZ1019" s="49"/>
      <c r="BA1019" s="49"/>
      <c r="BB1019" s="48"/>
      <c r="BC1019" s="48"/>
      <c r="BD1019" s="48"/>
      <c r="BE1019" s="48"/>
      <c r="BF1019" s="83"/>
    </row>
    <row r="1020" spans="42:58" ht="16" x14ac:dyDescent="0.35">
      <c r="AP1020"/>
      <c r="AQ1020" s="52"/>
      <c r="AR1020" s="52"/>
      <c r="AS1020"/>
      <c r="AT1020" s="52"/>
      <c r="AU1020" s="52"/>
      <c r="AV1020"/>
      <c r="AW1020" s="53"/>
      <c r="AX1020" s="53"/>
      <c r="AY1020" s="53"/>
      <c r="AZ1020" s="53"/>
      <c r="BA1020" s="53"/>
      <c r="BB1020" s="52"/>
      <c r="BC1020" s="52"/>
      <c r="BD1020" s="52"/>
      <c r="BE1020" s="52"/>
      <c r="BF1020" s="83"/>
    </row>
    <row r="1021" spans="42:58" ht="16" x14ac:dyDescent="0.35">
      <c r="AP1021"/>
      <c r="AQ1021" s="48"/>
      <c r="AR1021" s="48"/>
      <c r="AS1021"/>
      <c r="AT1021" s="48"/>
      <c r="AU1021" s="48"/>
      <c r="AV1021"/>
      <c r="AW1021" s="49"/>
      <c r="AX1021" s="49"/>
      <c r="AY1021" s="49"/>
      <c r="AZ1021" s="49"/>
      <c r="BA1021" s="49"/>
      <c r="BB1021" s="48"/>
      <c r="BC1021" s="48"/>
      <c r="BD1021" s="48"/>
      <c r="BE1021" s="48"/>
      <c r="BF1021" s="83"/>
    </row>
    <row r="1022" spans="42:58" ht="16" x14ac:dyDescent="0.35">
      <c r="AP1022"/>
      <c r="AQ1022" s="52"/>
      <c r="AR1022" s="52"/>
      <c r="AS1022"/>
      <c r="AT1022" s="52"/>
      <c r="AU1022" s="52"/>
      <c r="AV1022"/>
      <c r="AW1022" s="53"/>
      <c r="AX1022" s="53"/>
      <c r="AY1022" s="53"/>
      <c r="AZ1022" s="53"/>
      <c r="BA1022" s="53"/>
      <c r="BB1022" s="52"/>
      <c r="BC1022" s="52"/>
      <c r="BD1022" s="52"/>
      <c r="BE1022" s="52"/>
      <c r="BF1022" s="83"/>
    </row>
    <row r="1023" spans="42:58" ht="16" x14ac:dyDescent="0.35">
      <c r="AP1023"/>
      <c r="AQ1023" s="48"/>
      <c r="AR1023" s="48"/>
      <c r="AS1023"/>
      <c r="AT1023" s="48"/>
      <c r="AU1023" s="48"/>
      <c r="AV1023"/>
      <c r="AW1023" s="49"/>
      <c r="AX1023" s="49"/>
      <c r="AY1023" s="49"/>
      <c r="AZ1023" s="49"/>
      <c r="BA1023" s="49"/>
      <c r="BB1023" s="48"/>
      <c r="BC1023" s="48"/>
      <c r="BD1023" s="48"/>
      <c r="BE1023" s="48"/>
      <c r="BF1023" s="83"/>
    </row>
    <row r="1024" spans="42:58" ht="16" x14ac:dyDescent="0.35">
      <c r="AP1024"/>
      <c r="AQ1024" s="52"/>
      <c r="AR1024" s="52"/>
      <c r="AS1024"/>
      <c r="AT1024" s="52"/>
      <c r="AU1024" s="52"/>
      <c r="AV1024"/>
      <c r="AW1024" s="53"/>
      <c r="AX1024" s="53"/>
      <c r="AY1024" s="53"/>
      <c r="AZ1024" s="53"/>
      <c r="BA1024" s="53"/>
      <c r="BB1024" s="52"/>
      <c r="BC1024" s="52"/>
      <c r="BD1024" s="52"/>
      <c r="BE1024" s="52"/>
      <c r="BF1024" s="83"/>
    </row>
    <row r="1025" spans="42:58" ht="16" x14ac:dyDescent="0.35">
      <c r="AP1025"/>
      <c r="AQ1025" s="48"/>
      <c r="AR1025" s="48"/>
      <c r="AS1025"/>
      <c r="AT1025" s="48"/>
      <c r="AU1025" s="48"/>
      <c r="AV1025"/>
      <c r="AW1025" s="49"/>
      <c r="AX1025" s="49"/>
      <c r="AY1025" s="49"/>
      <c r="AZ1025" s="49"/>
      <c r="BA1025" s="49"/>
      <c r="BB1025" s="48"/>
      <c r="BC1025" s="48"/>
      <c r="BD1025" s="48"/>
      <c r="BE1025" s="48"/>
      <c r="BF1025" s="83"/>
    </row>
    <row r="1026" spans="42:58" ht="16" x14ac:dyDescent="0.35">
      <c r="AP1026"/>
      <c r="AQ1026" s="52"/>
      <c r="AR1026" s="52"/>
      <c r="AS1026"/>
      <c r="AT1026" s="52"/>
      <c r="AU1026" s="52"/>
      <c r="AV1026"/>
      <c r="AW1026" s="53"/>
      <c r="AX1026" s="53"/>
      <c r="AY1026" s="53"/>
      <c r="AZ1026" s="53"/>
      <c r="BA1026" s="53"/>
      <c r="BB1026" s="52"/>
      <c r="BC1026" s="52"/>
      <c r="BD1026" s="52"/>
      <c r="BE1026" s="52"/>
      <c r="BF1026" s="83"/>
    </row>
    <row r="1027" spans="42:58" ht="16" x14ac:dyDescent="0.35">
      <c r="AP1027"/>
      <c r="AQ1027" s="48"/>
      <c r="AR1027" s="48"/>
      <c r="AS1027"/>
      <c r="AT1027" s="48"/>
      <c r="AU1027" s="48"/>
      <c r="AV1027"/>
      <c r="AW1027" s="49"/>
      <c r="AX1027" s="49"/>
      <c r="AY1027" s="49"/>
      <c r="AZ1027" s="49"/>
      <c r="BA1027" s="49"/>
      <c r="BB1027" s="48"/>
      <c r="BC1027" s="48"/>
      <c r="BD1027" s="48"/>
      <c r="BE1027" s="48"/>
      <c r="BF1027" s="83"/>
    </row>
    <row r="1028" spans="42:58" ht="16" x14ac:dyDescent="0.35">
      <c r="AP1028"/>
      <c r="AQ1028" s="52"/>
      <c r="AR1028" s="52"/>
      <c r="AS1028"/>
      <c r="AT1028" s="52"/>
      <c r="AU1028" s="52"/>
      <c r="AV1028"/>
      <c r="AW1028" s="53"/>
      <c r="AX1028" s="53"/>
      <c r="AY1028" s="53"/>
      <c r="AZ1028" s="53"/>
      <c r="BA1028" s="53"/>
      <c r="BB1028" s="52"/>
      <c r="BC1028" s="52"/>
      <c r="BD1028" s="52"/>
      <c r="BE1028" s="52"/>
      <c r="BF1028" s="83"/>
    </row>
    <row r="1029" spans="42:58" ht="16" x14ac:dyDescent="0.35">
      <c r="AP1029"/>
      <c r="AQ1029" s="48"/>
      <c r="AR1029" s="48"/>
      <c r="AS1029"/>
      <c r="AT1029" s="48"/>
      <c r="AU1029" s="48"/>
      <c r="AV1029"/>
      <c r="AW1029" s="49"/>
      <c r="AX1029" s="49"/>
      <c r="AY1029" s="49"/>
      <c r="AZ1029" s="49"/>
      <c r="BA1029" s="49"/>
      <c r="BB1029" s="48"/>
      <c r="BC1029" s="48"/>
      <c r="BD1029" s="48"/>
      <c r="BE1029" s="48"/>
      <c r="BF1029" s="83"/>
    </row>
    <row r="1030" spans="42:58" ht="16" x14ac:dyDescent="0.35">
      <c r="AP1030"/>
      <c r="AQ1030" s="52"/>
      <c r="AR1030" s="52"/>
      <c r="AS1030"/>
      <c r="AT1030" s="52"/>
      <c r="AU1030" s="52"/>
      <c r="AV1030"/>
      <c r="AW1030" s="53"/>
      <c r="AX1030" s="53"/>
      <c r="AY1030" s="53"/>
      <c r="AZ1030" s="53"/>
      <c r="BA1030" s="53"/>
      <c r="BB1030" s="52"/>
      <c r="BC1030" s="52"/>
      <c r="BD1030" s="52"/>
      <c r="BE1030" s="52"/>
      <c r="BF1030" s="83"/>
    </row>
    <row r="1031" spans="42:58" ht="16" x14ac:dyDescent="0.35">
      <c r="AP1031"/>
      <c r="AQ1031" s="48"/>
      <c r="AR1031" s="48"/>
      <c r="AS1031"/>
      <c r="AT1031" s="48"/>
      <c r="AU1031" s="48"/>
      <c r="AV1031"/>
      <c r="AW1031" s="49"/>
      <c r="AX1031" s="49"/>
      <c r="AY1031" s="49"/>
      <c r="AZ1031" s="49"/>
      <c r="BA1031" s="49"/>
      <c r="BB1031" s="48"/>
      <c r="BC1031" s="48"/>
      <c r="BD1031" s="48"/>
      <c r="BE1031" s="48"/>
      <c r="BF1031" s="83"/>
    </row>
    <row r="1032" spans="42:58" ht="16" x14ac:dyDescent="0.35">
      <c r="AP1032"/>
      <c r="AQ1032" s="52"/>
      <c r="AR1032" s="52"/>
      <c r="AS1032"/>
      <c r="AT1032" s="52"/>
      <c r="AU1032" s="52"/>
      <c r="AV1032"/>
      <c r="AW1032" s="53"/>
      <c r="AX1032" s="53"/>
      <c r="AY1032" s="53"/>
      <c r="AZ1032" s="53"/>
      <c r="BA1032" s="53"/>
      <c r="BB1032" s="52"/>
      <c r="BC1032" s="52"/>
      <c r="BD1032" s="52"/>
      <c r="BE1032" s="52"/>
      <c r="BF1032" s="83"/>
    </row>
    <row r="1033" spans="42:58" ht="16" x14ac:dyDescent="0.35">
      <c r="AP1033"/>
      <c r="AQ1033" s="48"/>
      <c r="AR1033" s="48"/>
      <c r="AS1033"/>
      <c r="AT1033" s="48"/>
      <c r="AU1033" s="48"/>
      <c r="AV1033"/>
      <c r="AW1033" s="49"/>
      <c r="AX1033" s="49"/>
      <c r="AY1033" s="49"/>
      <c r="AZ1033" s="49"/>
      <c r="BA1033" s="49"/>
      <c r="BB1033" s="48"/>
      <c r="BC1033" s="48"/>
      <c r="BD1033" s="48"/>
      <c r="BE1033" s="48"/>
      <c r="BF1033" s="83"/>
    </row>
    <row r="1034" spans="42:58" ht="16" x14ac:dyDescent="0.35">
      <c r="AP1034"/>
      <c r="AQ1034" s="52"/>
      <c r="AR1034" s="52"/>
      <c r="AS1034"/>
      <c r="AT1034" s="52"/>
      <c r="AU1034" s="52"/>
      <c r="AV1034"/>
      <c r="AW1034" s="53"/>
      <c r="AX1034" s="53"/>
      <c r="AY1034" s="53"/>
      <c r="AZ1034" s="53"/>
      <c r="BA1034" s="53"/>
      <c r="BB1034" s="52"/>
      <c r="BC1034" s="52"/>
      <c r="BD1034" s="52"/>
      <c r="BE1034" s="52"/>
      <c r="BF1034" s="83"/>
    </row>
    <row r="1035" spans="42:58" ht="16" x14ac:dyDescent="0.35">
      <c r="AP1035"/>
      <c r="AQ1035" s="48"/>
      <c r="AR1035" s="48"/>
      <c r="AS1035"/>
      <c r="AT1035" s="48"/>
      <c r="AU1035" s="48"/>
      <c r="AV1035"/>
      <c r="AW1035" s="49"/>
      <c r="AX1035" s="49"/>
      <c r="AY1035" s="49"/>
      <c r="AZ1035" s="49"/>
      <c r="BA1035" s="49"/>
      <c r="BB1035" s="48"/>
      <c r="BC1035" s="48"/>
      <c r="BD1035" s="48"/>
      <c r="BE1035" s="48"/>
      <c r="BF1035" s="83"/>
    </row>
    <row r="1036" spans="42:58" ht="16" x14ac:dyDescent="0.35">
      <c r="AP1036"/>
      <c r="AQ1036" s="52"/>
      <c r="AR1036" s="52"/>
      <c r="AS1036"/>
      <c r="AT1036" s="52"/>
      <c r="AU1036" s="52"/>
      <c r="AV1036"/>
      <c r="AW1036" s="53"/>
      <c r="AX1036" s="53"/>
      <c r="AY1036" s="53"/>
      <c r="AZ1036" s="53"/>
      <c r="BA1036" s="53"/>
      <c r="BB1036" s="52"/>
      <c r="BC1036" s="52"/>
      <c r="BD1036" s="52"/>
      <c r="BE1036" s="52"/>
      <c r="BF1036" s="83"/>
    </row>
    <row r="1037" spans="42:58" ht="16" x14ac:dyDescent="0.35">
      <c r="AP1037"/>
      <c r="AQ1037" s="48"/>
      <c r="AR1037" s="48"/>
      <c r="AS1037"/>
      <c r="AT1037" s="48"/>
      <c r="AU1037" s="48"/>
      <c r="AV1037"/>
      <c r="AW1037" s="49"/>
      <c r="AX1037" s="49"/>
      <c r="AY1037" s="49"/>
      <c r="AZ1037" s="49"/>
      <c r="BA1037" s="49"/>
      <c r="BB1037" s="48"/>
      <c r="BC1037" s="48"/>
      <c r="BD1037" s="48"/>
      <c r="BE1037" s="48"/>
      <c r="BF1037" s="83"/>
    </row>
    <row r="1038" spans="42:58" ht="16" x14ac:dyDescent="0.35">
      <c r="AP1038"/>
      <c r="AQ1038" s="52"/>
      <c r="AR1038" s="52"/>
      <c r="AS1038"/>
      <c r="AT1038" s="52"/>
      <c r="AU1038" s="52"/>
      <c r="AV1038"/>
      <c r="AW1038" s="53"/>
      <c r="AX1038" s="53"/>
      <c r="AY1038" s="53"/>
      <c r="AZ1038" s="53"/>
      <c r="BA1038" s="53"/>
      <c r="BB1038" s="52"/>
      <c r="BC1038" s="52"/>
      <c r="BD1038" s="52"/>
      <c r="BE1038" s="52"/>
      <c r="BF1038" s="83"/>
    </row>
    <row r="1039" spans="42:58" ht="16" x14ac:dyDescent="0.35">
      <c r="AP1039"/>
      <c r="AQ1039" s="48"/>
      <c r="AR1039" s="48"/>
      <c r="AS1039"/>
      <c r="AT1039" s="48"/>
      <c r="AU1039" s="48"/>
      <c r="AV1039"/>
      <c r="AW1039" s="49"/>
      <c r="AX1039" s="49"/>
      <c r="AY1039" s="49"/>
      <c r="AZ1039" s="49"/>
      <c r="BA1039" s="49"/>
      <c r="BB1039" s="48"/>
      <c r="BC1039" s="48"/>
      <c r="BD1039" s="48"/>
      <c r="BE1039" s="48"/>
      <c r="BF1039" s="83"/>
    </row>
    <row r="1040" spans="42:58" ht="16" x14ac:dyDescent="0.35">
      <c r="AP1040"/>
      <c r="AQ1040" s="52"/>
      <c r="AR1040" s="52"/>
      <c r="AS1040"/>
      <c r="AT1040" s="52"/>
      <c r="AU1040" s="52"/>
      <c r="AV1040"/>
      <c r="AW1040" s="53"/>
      <c r="AX1040" s="53"/>
      <c r="AY1040" s="53"/>
      <c r="AZ1040" s="53"/>
      <c r="BA1040" s="53"/>
      <c r="BB1040" s="52"/>
      <c r="BC1040" s="52"/>
      <c r="BD1040" s="52"/>
      <c r="BE1040" s="52"/>
      <c r="BF1040" s="83"/>
    </row>
    <row r="1041" spans="42:58" ht="16" x14ac:dyDescent="0.35">
      <c r="AP1041"/>
      <c r="AQ1041" s="48"/>
      <c r="AR1041" s="48"/>
      <c r="AS1041"/>
      <c r="AT1041" s="48"/>
      <c r="AU1041" s="48"/>
      <c r="AV1041"/>
      <c r="AW1041" s="49"/>
      <c r="AX1041" s="49"/>
      <c r="AY1041" s="49"/>
      <c r="AZ1041" s="49"/>
      <c r="BA1041" s="49"/>
      <c r="BB1041" s="48"/>
      <c r="BC1041" s="48"/>
      <c r="BD1041" s="48"/>
      <c r="BE1041" s="48"/>
      <c r="BF1041" s="83"/>
    </row>
    <row r="1042" spans="42:58" ht="16" x14ac:dyDescent="0.35">
      <c r="AP1042"/>
      <c r="AQ1042" s="52"/>
      <c r="AR1042" s="52"/>
      <c r="AS1042"/>
      <c r="AT1042" s="52"/>
      <c r="AU1042" s="52"/>
      <c r="AV1042"/>
      <c r="AW1042" s="53"/>
      <c r="AX1042" s="53"/>
      <c r="AY1042" s="53"/>
      <c r="AZ1042" s="53"/>
      <c r="BA1042" s="53"/>
      <c r="BB1042" s="52"/>
      <c r="BC1042" s="52"/>
      <c r="BD1042" s="52"/>
      <c r="BE1042" s="52"/>
      <c r="BF1042" s="83"/>
    </row>
    <row r="1043" spans="42:58" ht="16" x14ac:dyDescent="0.35">
      <c r="AP1043"/>
      <c r="AQ1043" s="48"/>
      <c r="AR1043" s="48"/>
      <c r="AS1043"/>
      <c r="AT1043" s="48"/>
      <c r="AU1043" s="48"/>
      <c r="AV1043"/>
      <c r="AW1043" s="49"/>
      <c r="AX1043" s="49"/>
      <c r="AY1043" s="49"/>
      <c r="AZ1043" s="49"/>
      <c r="BA1043" s="49"/>
      <c r="BB1043" s="48"/>
      <c r="BC1043" s="48"/>
      <c r="BD1043" s="48"/>
      <c r="BE1043" s="48"/>
      <c r="BF1043" s="83"/>
    </row>
    <row r="1044" spans="42:58" ht="16" x14ac:dyDescent="0.35">
      <c r="AP1044"/>
      <c r="AQ1044" s="52"/>
      <c r="AR1044" s="52"/>
      <c r="AS1044"/>
      <c r="AT1044" s="52"/>
      <c r="AU1044" s="52"/>
      <c r="AV1044"/>
      <c r="AW1044" s="53"/>
      <c r="AX1044" s="53"/>
      <c r="AY1044" s="53"/>
      <c r="AZ1044" s="53"/>
      <c r="BA1044" s="53"/>
      <c r="BB1044" s="52"/>
      <c r="BC1044" s="52"/>
      <c r="BD1044" s="52"/>
      <c r="BE1044" s="52"/>
      <c r="BF1044" s="83"/>
    </row>
    <row r="1045" spans="42:58" ht="16" x14ac:dyDescent="0.35">
      <c r="AP1045"/>
      <c r="AQ1045" s="48"/>
      <c r="AR1045" s="48"/>
      <c r="AS1045"/>
      <c r="AT1045" s="48"/>
      <c r="AU1045" s="48"/>
      <c r="AV1045"/>
      <c r="AW1045" s="49"/>
      <c r="AX1045" s="49"/>
      <c r="AY1045" s="49"/>
      <c r="AZ1045" s="49"/>
      <c r="BA1045" s="49"/>
      <c r="BB1045" s="48"/>
      <c r="BC1045" s="48"/>
      <c r="BD1045" s="48"/>
      <c r="BE1045" s="48"/>
      <c r="BF1045" s="83"/>
    </row>
    <row r="1046" spans="42:58" ht="16" x14ac:dyDescent="0.35">
      <c r="AP1046"/>
      <c r="AQ1046" s="52"/>
      <c r="AR1046" s="52"/>
      <c r="AS1046"/>
      <c r="AT1046" s="52"/>
      <c r="AU1046" s="52"/>
      <c r="AV1046"/>
      <c r="AW1046" s="53"/>
      <c r="AX1046" s="53"/>
      <c r="AY1046" s="53"/>
      <c r="AZ1046" s="53"/>
      <c r="BA1046" s="53"/>
      <c r="BB1046" s="52"/>
      <c r="BC1046" s="52"/>
      <c r="BD1046" s="52"/>
      <c r="BE1046" s="52"/>
      <c r="BF1046" s="83"/>
    </row>
    <row r="1047" spans="42:58" ht="16" x14ac:dyDescent="0.35">
      <c r="AP1047"/>
      <c r="AQ1047" s="48"/>
      <c r="AR1047" s="48"/>
      <c r="AS1047"/>
      <c r="AT1047" s="48"/>
      <c r="AU1047" s="48"/>
      <c r="AV1047"/>
      <c r="AW1047" s="49"/>
      <c r="AX1047" s="49"/>
      <c r="AY1047" s="49"/>
      <c r="AZ1047" s="49"/>
      <c r="BA1047" s="49"/>
      <c r="BB1047" s="48"/>
      <c r="BC1047" s="48"/>
      <c r="BD1047" s="48"/>
      <c r="BE1047" s="48"/>
      <c r="BF1047" s="83"/>
    </row>
    <row r="1048" spans="42:58" ht="16" x14ac:dyDescent="0.35">
      <c r="AP1048"/>
      <c r="AQ1048" s="48"/>
      <c r="AR1048" s="48"/>
      <c r="AS1048"/>
      <c r="AT1048" s="48"/>
      <c r="AU1048" s="48"/>
      <c r="AV1048"/>
      <c r="AW1048" s="49"/>
      <c r="AX1048" s="49"/>
      <c r="AY1048" s="49"/>
      <c r="AZ1048" s="49"/>
      <c r="BA1048" s="49"/>
      <c r="BB1048" s="48"/>
      <c r="BC1048" s="48"/>
      <c r="BD1048" s="48"/>
      <c r="BE1048" s="48"/>
      <c r="BF1048" s="83"/>
    </row>
    <row r="1049" spans="42:58" ht="16" x14ac:dyDescent="0.35">
      <c r="AP1049"/>
      <c r="AQ1049" s="52"/>
      <c r="AR1049" s="52"/>
      <c r="AS1049"/>
      <c r="AT1049" s="52"/>
      <c r="AU1049" s="52"/>
      <c r="AV1049"/>
      <c r="AW1049" s="53"/>
      <c r="AX1049" s="53"/>
      <c r="AY1049" s="53"/>
      <c r="AZ1049" s="53"/>
      <c r="BA1049" s="53"/>
      <c r="BB1049" s="52"/>
      <c r="BC1049" s="52"/>
      <c r="BD1049" s="52"/>
      <c r="BE1049" s="52"/>
      <c r="BF1049" s="83"/>
    </row>
    <row r="1050" spans="42:58" ht="16" x14ac:dyDescent="0.35">
      <c r="AP1050"/>
      <c r="AQ1050" s="48"/>
      <c r="AR1050" s="48"/>
      <c r="AS1050"/>
      <c r="AT1050" s="48"/>
      <c r="AU1050" s="48"/>
      <c r="AV1050"/>
      <c r="AW1050" s="49"/>
      <c r="AX1050" s="49"/>
      <c r="AY1050" s="49"/>
      <c r="AZ1050" s="49"/>
      <c r="BA1050" s="49"/>
      <c r="BB1050" s="48"/>
      <c r="BC1050" s="48"/>
      <c r="BD1050" s="48"/>
      <c r="BE1050" s="48"/>
      <c r="BF1050" s="83"/>
    </row>
    <row r="1051" spans="42:58" ht="16" x14ac:dyDescent="0.35">
      <c r="AP1051"/>
      <c r="AQ1051" s="52"/>
      <c r="AR1051" s="52"/>
      <c r="AS1051"/>
      <c r="AT1051" s="52"/>
      <c r="AU1051" s="52"/>
      <c r="AV1051"/>
      <c r="AW1051" s="53"/>
      <c r="AX1051" s="53"/>
      <c r="AY1051" s="53"/>
      <c r="AZ1051" s="53"/>
      <c r="BA1051" s="53"/>
      <c r="BB1051" s="52"/>
      <c r="BC1051" s="52"/>
      <c r="BD1051" s="52"/>
      <c r="BE1051" s="52"/>
      <c r="BF1051" s="83"/>
    </row>
    <row r="1052" spans="42:58" ht="16" x14ac:dyDescent="0.35">
      <c r="AP1052"/>
      <c r="AQ1052" s="48"/>
      <c r="AR1052" s="48"/>
      <c r="AS1052"/>
      <c r="AT1052" s="48"/>
      <c r="AU1052" s="48"/>
      <c r="AV1052"/>
      <c r="AW1052" s="49"/>
      <c r="AX1052" s="49"/>
      <c r="AY1052" s="49"/>
      <c r="AZ1052" s="49"/>
      <c r="BA1052" s="49"/>
      <c r="BB1052" s="48"/>
      <c r="BC1052" s="48"/>
      <c r="BD1052" s="48"/>
      <c r="BE1052" s="48"/>
      <c r="BF1052" s="83"/>
    </row>
    <row r="1053" spans="42:58" ht="16" x14ac:dyDescent="0.35">
      <c r="AP1053"/>
      <c r="AQ1053" s="52"/>
      <c r="AR1053" s="52"/>
      <c r="AS1053"/>
      <c r="AT1053" s="52"/>
      <c r="AU1053" s="52"/>
      <c r="AV1053"/>
      <c r="AW1053" s="53"/>
      <c r="AX1053" s="53"/>
      <c r="AY1053" s="53"/>
      <c r="AZ1053" s="53"/>
      <c r="BA1053" s="53"/>
      <c r="BB1053" s="52"/>
      <c r="BC1053" s="52"/>
      <c r="BD1053" s="52"/>
      <c r="BE1053" s="52"/>
      <c r="BF1053" s="83"/>
    </row>
    <row r="1054" spans="42:58" ht="16" x14ac:dyDescent="0.35">
      <c r="AP1054"/>
      <c r="AQ1054" s="48"/>
      <c r="AR1054" s="48"/>
      <c r="AS1054"/>
      <c r="AT1054" s="48"/>
      <c r="AU1054" s="48"/>
      <c r="AV1054"/>
      <c r="AW1054" s="49"/>
      <c r="AX1054" s="49"/>
      <c r="AY1054" s="49"/>
      <c r="AZ1054" s="49"/>
      <c r="BA1054" s="49"/>
      <c r="BB1054" s="48"/>
      <c r="BC1054" s="48"/>
      <c r="BD1054" s="48"/>
      <c r="BE1054" s="48"/>
      <c r="BF1054" s="83"/>
    </row>
    <row r="1055" spans="42:58" ht="16" x14ac:dyDescent="0.35">
      <c r="AP1055"/>
      <c r="AQ1055" s="52"/>
      <c r="AR1055" s="52"/>
      <c r="AS1055"/>
      <c r="AT1055" s="52"/>
      <c r="AU1055" s="52"/>
      <c r="AV1055"/>
      <c r="AW1055" s="53"/>
      <c r="AX1055" s="53"/>
      <c r="AY1055" s="53"/>
      <c r="AZ1055" s="53"/>
      <c r="BA1055" s="53"/>
      <c r="BB1055" s="52"/>
      <c r="BC1055" s="52"/>
      <c r="BD1055" s="52"/>
      <c r="BE1055" s="52"/>
      <c r="BF1055" s="83"/>
    </row>
    <row r="1056" spans="42:58" ht="16" x14ac:dyDescent="0.35">
      <c r="AP1056"/>
      <c r="AQ1056" s="48"/>
      <c r="AR1056" s="48"/>
      <c r="AS1056"/>
      <c r="AT1056" s="48"/>
      <c r="AU1056" s="48"/>
      <c r="AV1056"/>
      <c r="AW1056" s="49"/>
      <c r="AX1056" s="49"/>
      <c r="AY1056" s="49"/>
      <c r="AZ1056" s="49"/>
      <c r="BA1056" s="49"/>
      <c r="BB1056" s="48"/>
      <c r="BC1056" s="48"/>
      <c r="BD1056" s="48"/>
      <c r="BE1056" s="48"/>
      <c r="BF1056" s="83"/>
    </row>
    <row r="1057" spans="42:58" ht="16" x14ac:dyDescent="0.35">
      <c r="AP1057"/>
      <c r="AQ1057" s="52"/>
      <c r="AR1057" s="52"/>
      <c r="AS1057"/>
      <c r="AT1057" s="52"/>
      <c r="AU1057" s="52"/>
      <c r="AV1057"/>
      <c r="AW1057" s="53"/>
      <c r="AX1057" s="53"/>
      <c r="AY1057" s="53"/>
      <c r="AZ1057" s="53"/>
      <c r="BA1057" s="53"/>
      <c r="BB1057" s="52"/>
      <c r="BC1057" s="52"/>
      <c r="BD1057" s="52"/>
      <c r="BE1057" s="52"/>
      <c r="BF1057" s="83"/>
    </row>
    <row r="1058" spans="42:58" ht="16" x14ac:dyDescent="0.35">
      <c r="AP1058"/>
      <c r="AQ1058" s="48"/>
      <c r="AR1058" s="48"/>
      <c r="AS1058"/>
      <c r="AT1058" s="48"/>
      <c r="AU1058" s="48"/>
      <c r="AV1058"/>
      <c r="AW1058" s="49"/>
      <c r="AX1058" s="49"/>
      <c r="AY1058" s="49"/>
      <c r="AZ1058" s="49"/>
      <c r="BA1058" s="49"/>
      <c r="BB1058" s="48"/>
      <c r="BC1058" s="48"/>
      <c r="BD1058" s="48"/>
      <c r="BE1058" s="48"/>
      <c r="BF1058" s="83"/>
    </row>
    <row r="1059" spans="42:58" ht="16" x14ac:dyDescent="0.35">
      <c r="AP1059"/>
      <c r="AQ1059" s="52"/>
      <c r="AR1059" s="52"/>
      <c r="AS1059"/>
      <c r="AT1059" s="52"/>
      <c r="AU1059" s="52"/>
      <c r="AV1059"/>
      <c r="AW1059" s="53"/>
      <c r="AX1059" s="53"/>
      <c r="AY1059" s="53"/>
      <c r="AZ1059" s="53"/>
      <c r="BA1059" s="53"/>
      <c r="BB1059" s="52"/>
      <c r="BC1059" s="52"/>
      <c r="BD1059" s="52"/>
      <c r="BE1059" s="52"/>
      <c r="BF1059" s="83"/>
    </row>
    <row r="1060" spans="42:58" ht="16" x14ac:dyDescent="0.35">
      <c r="AP1060"/>
      <c r="AQ1060" s="48"/>
      <c r="AR1060" s="48"/>
      <c r="AS1060"/>
      <c r="AT1060" s="48"/>
      <c r="AU1060" s="48"/>
      <c r="AV1060"/>
      <c r="AW1060" s="49"/>
      <c r="AX1060" s="49"/>
      <c r="AY1060" s="49"/>
      <c r="AZ1060" s="49"/>
      <c r="BA1060" s="49"/>
      <c r="BB1060" s="48"/>
      <c r="BC1060" s="48"/>
      <c r="BD1060" s="48"/>
      <c r="BE1060" s="48"/>
      <c r="BF1060" s="83"/>
    </row>
    <row r="1061" spans="42:58" ht="16" x14ac:dyDescent="0.35">
      <c r="AP1061"/>
      <c r="AQ1061" s="52"/>
      <c r="AR1061" s="52"/>
      <c r="AS1061"/>
      <c r="AT1061" s="52"/>
      <c r="AU1061" s="52"/>
      <c r="AV1061"/>
      <c r="AW1061" s="53"/>
      <c r="AX1061" s="53"/>
      <c r="AY1061" s="53"/>
      <c r="AZ1061" s="53"/>
      <c r="BA1061" s="53"/>
      <c r="BB1061" s="52"/>
      <c r="BC1061" s="52"/>
      <c r="BD1061" s="52"/>
      <c r="BE1061" s="52"/>
      <c r="BF1061" s="83"/>
    </row>
    <row r="1062" spans="42:58" ht="16" x14ac:dyDescent="0.35">
      <c r="AP1062"/>
      <c r="AQ1062" s="48"/>
      <c r="AR1062" s="48"/>
      <c r="AS1062"/>
      <c r="AT1062" s="48"/>
      <c r="AU1062" s="48"/>
      <c r="AV1062"/>
      <c r="AW1062" s="49"/>
      <c r="AX1062" s="49"/>
      <c r="AY1062" s="49"/>
      <c r="AZ1062" s="49"/>
      <c r="BA1062" s="49"/>
      <c r="BB1062" s="48"/>
      <c r="BC1062" s="48"/>
      <c r="BD1062" s="48"/>
      <c r="BE1062" s="48"/>
      <c r="BF1062" s="83"/>
    </row>
    <row r="1063" spans="42:58" ht="16" x14ac:dyDescent="0.35">
      <c r="AP1063"/>
      <c r="AQ1063" s="52"/>
      <c r="AR1063" s="52"/>
      <c r="AS1063"/>
      <c r="AT1063" s="52"/>
      <c r="AU1063" s="52"/>
      <c r="AV1063"/>
      <c r="AW1063" s="53"/>
      <c r="AX1063" s="53"/>
      <c r="AY1063" s="53"/>
      <c r="AZ1063" s="53"/>
      <c r="BA1063" s="53"/>
      <c r="BB1063" s="52"/>
      <c r="BC1063" s="52"/>
      <c r="BD1063" s="52"/>
      <c r="BE1063" s="52"/>
      <c r="BF1063" s="83"/>
    </row>
    <row r="1064" spans="42:58" ht="16" x14ac:dyDescent="0.35">
      <c r="AP1064"/>
      <c r="AQ1064" s="48"/>
      <c r="AR1064" s="48"/>
      <c r="AS1064"/>
      <c r="AT1064" s="48"/>
      <c r="AU1064" s="48"/>
      <c r="AV1064"/>
      <c r="AW1064" s="49"/>
      <c r="AX1064" s="49"/>
      <c r="AY1064" s="49"/>
      <c r="AZ1064" s="49"/>
      <c r="BA1064" s="49"/>
      <c r="BB1064" s="48"/>
      <c r="BC1064" s="48"/>
      <c r="BD1064" s="48"/>
      <c r="BE1064" s="48"/>
      <c r="BF1064" s="83"/>
    </row>
    <row r="1065" spans="42:58" ht="16" x14ac:dyDescent="0.35">
      <c r="AP1065"/>
      <c r="AQ1065" s="52"/>
      <c r="AR1065" s="52"/>
      <c r="AS1065"/>
      <c r="AT1065" s="52"/>
      <c r="AU1065" s="52"/>
      <c r="AV1065"/>
      <c r="AW1065" s="53"/>
      <c r="AX1065" s="53"/>
      <c r="AY1065" s="53"/>
      <c r="AZ1065" s="53"/>
      <c r="BA1065" s="53"/>
      <c r="BB1065" s="52"/>
      <c r="BC1065" s="52"/>
      <c r="BD1065" s="52"/>
      <c r="BE1065" s="52"/>
      <c r="BF1065" s="83"/>
    </row>
    <row r="1066" spans="42:58" ht="16" x14ac:dyDescent="0.35">
      <c r="AP1066"/>
      <c r="AQ1066" s="48"/>
      <c r="AR1066" s="48"/>
      <c r="AS1066"/>
      <c r="AT1066" s="48"/>
      <c r="AU1066" s="48"/>
      <c r="AV1066"/>
      <c r="AW1066" s="49"/>
      <c r="AX1066" s="49"/>
      <c r="AY1066" s="49"/>
      <c r="AZ1066" s="49"/>
      <c r="BA1066" s="49"/>
      <c r="BB1066" s="48"/>
      <c r="BC1066" s="48"/>
      <c r="BD1066" s="48"/>
      <c r="BE1066" s="48"/>
      <c r="BF1066" s="83"/>
    </row>
    <row r="1067" spans="42:58" ht="16" x14ac:dyDescent="0.35">
      <c r="AP1067"/>
      <c r="AQ1067" s="52"/>
      <c r="AR1067" s="52"/>
      <c r="AS1067"/>
      <c r="AT1067" s="52"/>
      <c r="AU1067" s="52"/>
      <c r="AV1067"/>
      <c r="AW1067" s="53"/>
      <c r="AX1067" s="53"/>
      <c r="AY1067" s="53"/>
      <c r="AZ1067" s="53"/>
      <c r="BA1067" s="53"/>
      <c r="BB1067" s="52"/>
      <c r="BC1067" s="52"/>
      <c r="BD1067" s="52"/>
      <c r="BE1067" s="52"/>
      <c r="BF1067" s="83"/>
    </row>
    <row r="1068" spans="42:58" ht="16" x14ac:dyDescent="0.35">
      <c r="AP1068"/>
      <c r="AQ1068" s="48"/>
      <c r="AR1068" s="48"/>
      <c r="AS1068"/>
      <c r="AT1068" s="48"/>
      <c r="AU1068" s="48"/>
      <c r="AV1068"/>
      <c r="AW1068" s="49"/>
      <c r="AX1068" s="49"/>
      <c r="AY1068" s="49"/>
      <c r="AZ1068" s="49"/>
      <c r="BA1068" s="49"/>
      <c r="BB1068" s="48"/>
      <c r="BC1068" s="48"/>
      <c r="BD1068" s="48"/>
      <c r="BE1068" s="48"/>
      <c r="BF1068" s="83"/>
    </row>
    <row r="1069" spans="42:58" ht="16" x14ac:dyDescent="0.35">
      <c r="AP1069"/>
      <c r="AQ1069" s="52"/>
      <c r="AR1069" s="52"/>
      <c r="AS1069"/>
      <c r="AT1069" s="52"/>
      <c r="AU1069" s="52"/>
      <c r="AV1069"/>
      <c r="AW1069" s="53"/>
      <c r="AX1069" s="53"/>
      <c r="AY1069" s="53"/>
      <c r="AZ1069" s="53"/>
      <c r="BA1069" s="53"/>
      <c r="BB1069" s="52"/>
      <c r="BC1069" s="52"/>
      <c r="BD1069" s="52"/>
      <c r="BE1069" s="52"/>
      <c r="BF1069" s="83"/>
    </row>
    <row r="1070" spans="42:58" ht="16" x14ac:dyDescent="0.35">
      <c r="AP1070"/>
      <c r="AQ1070" s="48"/>
      <c r="AR1070" s="48"/>
      <c r="AS1070"/>
      <c r="AT1070" s="48"/>
      <c r="AU1070" s="48"/>
      <c r="AV1070"/>
      <c r="AW1070" s="49"/>
      <c r="AX1070" s="49"/>
      <c r="AY1070" s="49"/>
      <c r="AZ1070" s="49"/>
      <c r="BA1070" s="49"/>
      <c r="BB1070" s="48"/>
      <c r="BC1070" s="48"/>
      <c r="BD1070" s="48"/>
      <c r="BE1070" s="48"/>
      <c r="BF1070" s="83"/>
    </row>
    <row r="1071" spans="42:58" ht="16" x14ac:dyDescent="0.35">
      <c r="AP1071"/>
      <c r="AQ1071" s="52"/>
      <c r="AR1071" s="52"/>
      <c r="AS1071"/>
      <c r="AT1071" s="52"/>
      <c r="AU1071" s="52"/>
      <c r="AV1071"/>
      <c r="AW1071" s="53"/>
      <c r="AX1071" s="53"/>
      <c r="AY1071" s="53"/>
      <c r="AZ1071" s="53"/>
      <c r="BA1071" s="53"/>
      <c r="BB1071" s="52"/>
      <c r="BC1071" s="52"/>
      <c r="BD1071" s="52"/>
      <c r="BE1071" s="52"/>
      <c r="BF1071" s="83"/>
    </row>
    <row r="1072" spans="42:58" ht="16" x14ac:dyDescent="0.35">
      <c r="AP1072"/>
      <c r="AQ1072" s="48"/>
      <c r="AR1072" s="48"/>
      <c r="AS1072"/>
      <c r="AT1072" s="48"/>
      <c r="AU1072" s="48"/>
      <c r="AV1072"/>
      <c r="AW1072" s="49"/>
      <c r="AX1072" s="49"/>
      <c r="AY1072" s="49"/>
      <c r="AZ1072" s="49"/>
      <c r="BA1072" s="49"/>
      <c r="BB1072" s="48"/>
      <c r="BC1072" s="48"/>
      <c r="BD1072" s="48"/>
      <c r="BE1072" s="48"/>
      <c r="BF1072" s="83"/>
    </row>
    <row r="1073" spans="42:58" ht="16" x14ac:dyDescent="0.35">
      <c r="AP1073"/>
      <c r="AQ1073" s="52"/>
      <c r="AR1073" s="52"/>
      <c r="AS1073"/>
      <c r="AT1073" s="52"/>
      <c r="AU1073" s="52"/>
      <c r="AV1073"/>
      <c r="AW1073" s="53"/>
      <c r="AX1073" s="53"/>
      <c r="AY1073" s="53"/>
      <c r="AZ1073" s="53"/>
      <c r="BA1073" s="53"/>
      <c r="BB1073" s="52"/>
      <c r="BC1073" s="52"/>
      <c r="BD1073" s="52"/>
      <c r="BE1073" s="52"/>
      <c r="BF1073" s="83"/>
    </row>
    <row r="1074" spans="42:58" ht="16" x14ac:dyDescent="0.35">
      <c r="AP1074"/>
      <c r="AQ1074" s="48"/>
      <c r="AR1074" s="48"/>
      <c r="AS1074"/>
      <c r="AT1074" s="48"/>
      <c r="AU1074" s="48"/>
      <c r="AV1074"/>
      <c r="AW1074" s="49"/>
      <c r="AX1074" s="49"/>
      <c r="AY1074" s="49"/>
      <c r="AZ1074" s="49"/>
      <c r="BA1074" s="49"/>
      <c r="BB1074" s="48"/>
      <c r="BC1074" s="48"/>
      <c r="BD1074" s="48"/>
      <c r="BE1074" s="48"/>
      <c r="BF1074" s="83"/>
    </row>
    <row r="1075" spans="42:58" ht="16" x14ac:dyDescent="0.35">
      <c r="AP1075"/>
      <c r="AQ1075" s="52"/>
      <c r="AR1075" s="52"/>
      <c r="AS1075"/>
      <c r="AT1075" s="52"/>
      <c r="AU1075" s="52"/>
      <c r="AV1075"/>
      <c r="AW1075" s="53"/>
      <c r="AX1075" s="53"/>
      <c r="AY1075" s="53"/>
      <c r="AZ1075" s="53"/>
      <c r="BA1075" s="53"/>
      <c r="BB1075" s="52"/>
      <c r="BC1075" s="52"/>
      <c r="BD1075" s="52"/>
      <c r="BE1075" s="52"/>
      <c r="BF1075" s="83"/>
    </row>
    <row r="1076" spans="42:58" ht="16" x14ac:dyDescent="0.35">
      <c r="AP1076"/>
      <c r="AQ1076" s="48"/>
      <c r="AR1076" s="48"/>
      <c r="AS1076"/>
      <c r="AT1076" s="48"/>
      <c r="AU1076" s="48"/>
      <c r="AV1076"/>
      <c r="AW1076" s="49"/>
      <c r="AX1076" s="49"/>
      <c r="AY1076" s="49"/>
      <c r="AZ1076" s="49"/>
      <c r="BA1076" s="49"/>
      <c r="BB1076" s="48"/>
      <c r="BC1076" s="48"/>
      <c r="BD1076" s="48"/>
      <c r="BE1076" s="48"/>
      <c r="BF1076" s="83"/>
    </row>
    <row r="1077" spans="42:58" ht="16" x14ac:dyDescent="0.35">
      <c r="AP1077"/>
      <c r="AQ1077" s="52"/>
      <c r="AR1077" s="52"/>
      <c r="AS1077"/>
      <c r="AT1077" s="52"/>
      <c r="AU1077" s="52"/>
      <c r="AV1077"/>
      <c r="AW1077" s="53"/>
      <c r="AX1077" s="53"/>
      <c r="AY1077" s="53"/>
      <c r="AZ1077" s="53"/>
      <c r="BA1077" s="53"/>
      <c r="BB1077" s="52"/>
      <c r="BC1077" s="52"/>
      <c r="BD1077" s="52"/>
      <c r="BE1077" s="52"/>
      <c r="BF1077" s="83"/>
    </row>
    <row r="1078" spans="42:58" ht="16" x14ac:dyDescent="0.35">
      <c r="AP1078"/>
      <c r="AQ1078" s="48"/>
      <c r="AR1078" s="48"/>
      <c r="AS1078"/>
      <c r="AT1078" s="48"/>
      <c r="AU1078" s="48"/>
      <c r="AV1078"/>
      <c r="AW1078" s="49"/>
      <c r="AX1078" s="49"/>
      <c r="AY1078" s="49"/>
      <c r="AZ1078" s="49"/>
      <c r="BA1078" s="49"/>
      <c r="BB1078" s="48"/>
      <c r="BC1078" s="48"/>
      <c r="BD1078" s="48"/>
      <c r="BE1078" s="48"/>
      <c r="BF1078" s="83"/>
    </row>
    <row r="1079" spans="42:58" ht="16" x14ac:dyDescent="0.35">
      <c r="AP1079"/>
      <c r="AQ1079" s="52"/>
      <c r="AR1079" s="52"/>
      <c r="AS1079"/>
      <c r="AT1079" s="52"/>
      <c r="AU1079" s="52"/>
      <c r="AV1079"/>
      <c r="AW1079" s="53"/>
      <c r="AX1079" s="53"/>
      <c r="AY1079" s="53"/>
      <c r="AZ1079" s="53"/>
      <c r="BA1079" s="53"/>
      <c r="BB1079" s="52"/>
      <c r="BC1079" s="52"/>
      <c r="BD1079" s="52"/>
      <c r="BE1079" s="52"/>
      <c r="BF1079" s="83"/>
    </row>
    <row r="1080" spans="42:58" ht="16" x14ac:dyDescent="0.35">
      <c r="AP1080"/>
      <c r="AQ1080" s="48"/>
      <c r="AR1080" s="48"/>
      <c r="AS1080"/>
      <c r="AT1080" s="48"/>
      <c r="AU1080" s="48"/>
      <c r="AV1080"/>
      <c r="AW1080" s="49"/>
      <c r="AX1080" s="49"/>
      <c r="AY1080" s="49"/>
      <c r="AZ1080" s="49"/>
      <c r="BA1080" s="49"/>
      <c r="BB1080" s="48"/>
      <c r="BC1080" s="48"/>
      <c r="BD1080" s="48"/>
      <c r="BE1080" s="48"/>
      <c r="BF1080" s="83"/>
    </row>
    <row r="1081" spans="42:58" ht="16" x14ac:dyDescent="0.35">
      <c r="AP1081"/>
      <c r="AQ1081" s="52"/>
      <c r="AR1081" s="52"/>
      <c r="AS1081"/>
      <c r="AT1081" s="52"/>
      <c r="AU1081" s="52"/>
      <c r="AV1081"/>
      <c r="AW1081" s="53"/>
      <c r="AX1081" s="53"/>
      <c r="AY1081" s="53"/>
      <c r="AZ1081" s="53"/>
      <c r="BA1081" s="53"/>
      <c r="BB1081" s="52"/>
      <c r="BC1081" s="52"/>
      <c r="BD1081" s="52"/>
      <c r="BE1081" s="52"/>
      <c r="BF1081" s="83"/>
    </row>
    <row r="1082" spans="42:58" ht="16" x14ac:dyDescent="0.35">
      <c r="AP1082"/>
      <c r="AQ1082" s="48"/>
      <c r="AR1082" s="48"/>
      <c r="AS1082"/>
      <c r="AT1082" s="48"/>
      <c r="AU1082" s="48"/>
      <c r="AV1082"/>
      <c r="AW1082" s="49"/>
      <c r="AX1082" s="49"/>
      <c r="AY1082" s="49"/>
      <c r="AZ1082" s="49"/>
      <c r="BA1082" s="49"/>
      <c r="BB1082" s="48"/>
      <c r="BC1082" s="48"/>
      <c r="BD1082" s="48"/>
      <c r="BE1082" s="48"/>
      <c r="BF1082" s="83"/>
    </row>
    <row r="1083" spans="42:58" ht="16" x14ac:dyDescent="0.35">
      <c r="AP1083"/>
      <c r="AQ1083" s="52"/>
      <c r="AR1083" s="52"/>
      <c r="AS1083"/>
      <c r="AT1083" s="52"/>
      <c r="AU1083" s="52"/>
      <c r="AV1083"/>
      <c r="AW1083" s="53"/>
      <c r="AX1083" s="53"/>
      <c r="AY1083" s="53"/>
      <c r="AZ1083" s="53"/>
      <c r="BA1083" s="53"/>
      <c r="BB1083" s="52"/>
      <c r="BC1083" s="52"/>
      <c r="BD1083" s="52"/>
      <c r="BE1083" s="52"/>
      <c r="BF1083" s="83"/>
    </row>
    <row r="1084" spans="42:58" ht="16" x14ac:dyDescent="0.35">
      <c r="AP1084"/>
      <c r="AQ1084" s="48"/>
      <c r="AR1084" s="48"/>
      <c r="AS1084"/>
      <c r="AT1084" s="48"/>
      <c r="AU1084" s="48"/>
      <c r="AV1084"/>
      <c r="AW1084" s="49"/>
      <c r="AX1084" s="49"/>
      <c r="AY1084" s="49"/>
      <c r="AZ1084" s="49"/>
      <c r="BA1084" s="49"/>
      <c r="BB1084" s="48"/>
      <c r="BC1084" s="48"/>
      <c r="BD1084" s="48"/>
      <c r="BE1084" s="48"/>
      <c r="BF1084" s="83"/>
    </row>
    <row r="1085" spans="42:58" ht="16" x14ac:dyDescent="0.35">
      <c r="AP1085"/>
      <c r="AQ1085" s="52"/>
      <c r="AR1085" s="52"/>
      <c r="AS1085"/>
      <c r="AT1085" s="52"/>
      <c r="AU1085" s="52"/>
      <c r="AV1085"/>
      <c r="AW1085" s="53"/>
      <c r="AX1085" s="53"/>
      <c r="AY1085" s="53"/>
      <c r="AZ1085" s="53"/>
      <c r="BA1085" s="53"/>
      <c r="BB1085" s="52"/>
      <c r="BC1085" s="52"/>
      <c r="BD1085" s="52"/>
      <c r="BE1085" s="52"/>
      <c r="BF1085" s="83"/>
    </row>
    <row r="1086" spans="42:58" ht="16" x14ac:dyDescent="0.35">
      <c r="AP1086"/>
      <c r="AQ1086" s="48"/>
      <c r="AR1086" s="48"/>
      <c r="AS1086"/>
      <c r="AT1086" s="48"/>
      <c r="AU1086" s="48"/>
      <c r="AV1086"/>
      <c r="AW1086" s="49"/>
      <c r="AX1086" s="49"/>
      <c r="AY1086" s="49"/>
      <c r="AZ1086" s="49"/>
      <c r="BA1086" s="49"/>
      <c r="BB1086" s="48"/>
      <c r="BC1086" s="48"/>
      <c r="BD1086" s="48"/>
      <c r="BE1086" s="48"/>
      <c r="BF1086" s="83"/>
    </row>
    <row r="1087" spans="42:58" ht="16" x14ac:dyDescent="0.35">
      <c r="AP1087"/>
      <c r="AQ1087" s="52"/>
      <c r="AR1087" s="52"/>
      <c r="AS1087"/>
      <c r="AT1087" s="52"/>
      <c r="AU1087" s="52"/>
      <c r="AV1087"/>
      <c r="AW1087" s="53"/>
      <c r="AX1087" s="53"/>
      <c r="AY1087" s="53"/>
      <c r="AZ1087" s="53"/>
      <c r="BA1087" s="53"/>
      <c r="BB1087" s="52"/>
      <c r="BC1087" s="52"/>
      <c r="BD1087" s="52"/>
      <c r="BE1087" s="52"/>
      <c r="BF1087" s="83"/>
    </row>
    <row r="1088" spans="42:58" ht="16" x14ac:dyDescent="0.35">
      <c r="AP1088"/>
      <c r="AQ1088" s="48"/>
      <c r="AR1088" s="48"/>
      <c r="AS1088"/>
      <c r="AT1088" s="48"/>
      <c r="AU1088" s="48"/>
      <c r="AV1088"/>
      <c r="AW1088" s="49"/>
      <c r="AX1088" s="49"/>
      <c r="AY1088" s="49"/>
      <c r="AZ1088" s="49"/>
      <c r="BA1088" s="49"/>
      <c r="BB1088" s="48"/>
      <c r="BC1088" s="48"/>
      <c r="BD1088" s="48"/>
      <c r="BE1088" s="48"/>
      <c r="BF1088" s="83"/>
    </row>
    <row r="1089" spans="42:58" ht="16" x14ac:dyDescent="0.35">
      <c r="AP1089"/>
      <c r="AQ1089" s="52"/>
      <c r="AR1089" s="52"/>
      <c r="AS1089"/>
      <c r="AT1089" s="52"/>
      <c r="AU1089" s="52"/>
      <c r="AV1089"/>
      <c r="AW1089" s="53"/>
      <c r="AX1089" s="53"/>
      <c r="AY1089" s="53"/>
      <c r="AZ1089" s="53"/>
      <c r="BA1089" s="53"/>
      <c r="BB1089" s="52"/>
      <c r="BC1089" s="52"/>
      <c r="BD1089" s="52"/>
      <c r="BE1089" s="52"/>
      <c r="BF1089" s="83"/>
    </row>
    <row r="1090" spans="42:58" ht="16" x14ac:dyDescent="0.35">
      <c r="AP1090"/>
      <c r="AQ1090" s="48"/>
      <c r="AR1090" s="48"/>
      <c r="AS1090"/>
      <c r="AT1090" s="48"/>
      <c r="AU1090" s="48"/>
      <c r="AV1090"/>
      <c r="AW1090" s="49"/>
      <c r="AX1090" s="49"/>
      <c r="AY1090" s="49"/>
      <c r="AZ1090" s="49"/>
      <c r="BA1090" s="49"/>
      <c r="BB1090" s="48"/>
      <c r="BC1090" s="48"/>
      <c r="BD1090" s="48"/>
      <c r="BE1090" s="48"/>
      <c r="BF1090" s="83"/>
    </row>
    <row r="1091" spans="42:58" ht="16" x14ac:dyDescent="0.35">
      <c r="AP1091"/>
      <c r="AQ1091" s="52"/>
      <c r="AR1091" s="52"/>
      <c r="AS1091"/>
      <c r="AT1091" s="52"/>
      <c r="AU1091" s="52"/>
      <c r="AV1091"/>
      <c r="AW1091" s="53"/>
      <c r="AX1091" s="53"/>
      <c r="AY1091" s="53"/>
      <c r="AZ1091" s="53"/>
      <c r="BA1091" s="53"/>
      <c r="BB1091" s="52"/>
      <c r="BC1091" s="52"/>
      <c r="BD1091" s="52"/>
      <c r="BE1091" s="52"/>
      <c r="BF1091" s="83"/>
    </row>
    <row r="1092" spans="42:58" ht="16" x14ac:dyDescent="0.35">
      <c r="AP1092"/>
      <c r="AQ1092" s="48"/>
      <c r="AR1092" s="48"/>
      <c r="AS1092"/>
      <c r="AT1092" s="48"/>
      <c r="AU1092" s="48"/>
      <c r="AV1092"/>
      <c r="AW1092" s="49"/>
      <c r="AX1092" s="49"/>
      <c r="AY1092" s="49"/>
      <c r="AZ1092" s="49"/>
      <c r="BA1092" s="49"/>
      <c r="BB1092" s="48"/>
      <c r="BC1092" s="48"/>
      <c r="BD1092" s="48"/>
      <c r="BE1092" s="48"/>
      <c r="BF1092" s="83"/>
    </row>
    <row r="1093" spans="42:58" ht="16" x14ac:dyDescent="0.35">
      <c r="AP1093"/>
      <c r="AQ1093" s="52"/>
      <c r="AR1093" s="52"/>
      <c r="AS1093"/>
      <c r="AT1093" s="52"/>
      <c r="AU1093" s="52"/>
      <c r="AV1093"/>
      <c r="AW1093" s="53"/>
      <c r="AX1093" s="53"/>
      <c r="AY1093" s="53"/>
      <c r="AZ1093" s="53"/>
      <c r="BA1093" s="53"/>
      <c r="BB1093" s="52"/>
      <c r="BC1093" s="52"/>
      <c r="BD1093" s="52"/>
      <c r="BE1093" s="52"/>
      <c r="BF1093" s="83"/>
    </row>
    <row r="1094" spans="42:58" ht="16" x14ac:dyDescent="0.35">
      <c r="AP1094"/>
      <c r="AQ1094" s="48"/>
      <c r="AR1094" s="48"/>
      <c r="AS1094"/>
      <c r="AT1094" s="48"/>
      <c r="AU1094" s="48"/>
      <c r="AV1094"/>
      <c r="AW1094" s="49"/>
      <c r="AX1094" s="49"/>
      <c r="AY1094" s="49"/>
      <c r="AZ1094" s="49"/>
      <c r="BA1094" s="49"/>
      <c r="BB1094" s="48"/>
      <c r="BC1094" s="48"/>
      <c r="BD1094" s="48"/>
      <c r="BE1094" s="48"/>
      <c r="BF1094" s="83"/>
    </row>
    <row r="1095" spans="42:58" ht="16" x14ac:dyDescent="0.35">
      <c r="AP1095"/>
      <c r="AQ1095" s="52"/>
      <c r="AR1095" s="52"/>
      <c r="AS1095"/>
      <c r="AT1095" s="52"/>
      <c r="AU1095" s="52"/>
      <c r="AV1095"/>
      <c r="AW1095" s="53"/>
      <c r="AX1095" s="53"/>
      <c r="AY1095" s="53"/>
      <c r="AZ1095" s="53"/>
      <c r="BA1095" s="53"/>
      <c r="BB1095" s="52"/>
      <c r="BC1095" s="52"/>
      <c r="BD1095" s="52"/>
      <c r="BE1095" s="52"/>
      <c r="BF1095" s="83"/>
    </row>
    <row r="1096" spans="42:58" ht="16" x14ac:dyDescent="0.35">
      <c r="AP1096"/>
      <c r="AQ1096" s="48"/>
      <c r="AR1096" s="48"/>
      <c r="AS1096"/>
      <c r="AT1096" s="48"/>
      <c r="AU1096" s="48"/>
      <c r="AV1096"/>
      <c r="AW1096" s="49"/>
      <c r="AX1096" s="49"/>
      <c r="AY1096" s="49"/>
      <c r="AZ1096" s="49"/>
      <c r="BA1096" s="49"/>
      <c r="BB1096" s="48"/>
      <c r="BC1096" s="48"/>
      <c r="BD1096" s="48"/>
      <c r="BE1096" s="48"/>
      <c r="BF1096" s="83"/>
    </row>
    <row r="1097" spans="42:58" ht="16" x14ac:dyDescent="0.35">
      <c r="AP1097"/>
      <c r="AQ1097" s="52"/>
      <c r="AR1097" s="52"/>
      <c r="AS1097"/>
      <c r="AT1097" s="52"/>
      <c r="AU1097" s="52"/>
      <c r="AV1097"/>
      <c r="AW1097" s="53"/>
      <c r="AX1097" s="53"/>
      <c r="AY1097" s="53"/>
      <c r="AZ1097" s="53"/>
      <c r="BA1097" s="53"/>
      <c r="BB1097" s="52"/>
      <c r="BC1097" s="52"/>
      <c r="BD1097" s="52"/>
      <c r="BE1097" s="52"/>
      <c r="BF1097" s="83"/>
    </row>
    <row r="1098" spans="42:58" ht="16" x14ac:dyDescent="0.35">
      <c r="AP1098"/>
      <c r="AQ1098" s="48"/>
      <c r="AR1098" s="48"/>
      <c r="AS1098"/>
      <c r="AT1098" s="48"/>
      <c r="AU1098" s="48"/>
      <c r="AV1098"/>
      <c r="AW1098" s="49"/>
      <c r="AX1098" s="49"/>
      <c r="AY1098" s="49"/>
      <c r="AZ1098" s="49"/>
      <c r="BA1098" s="49"/>
      <c r="BB1098" s="48"/>
      <c r="BC1098" s="48"/>
      <c r="BD1098" s="48"/>
      <c r="BE1098" s="48"/>
      <c r="BF1098" s="83"/>
    </row>
    <row r="1099" spans="42:58" ht="16" x14ac:dyDescent="0.35">
      <c r="AP1099"/>
      <c r="AQ1099" s="52"/>
      <c r="AR1099" s="52"/>
      <c r="AS1099"/>
      <c r="AT1099" s="52"/>
      <c r="AU1099" s="52"/>
      <c r="AV1099"/>
      <c r="AW1099" s="53"/>
      <c r="AX1099" s="53"/>
      <c r="AY1099" s="53"/>
      <c r="AZ1099" s="53"/>
      <c r="BA1099" s="53"/>
      <c r="BB1099" s="52"/>
      <c r="BC1099" s="52"/>
      <c r="BD1099" s="52"/>
      <c r="BE1099" s="52"/>
      <c r="BF1099" s="83"/>
    </row>
    <row r="1100" spans="42:58" ht="16" x14ac:dyDescent="0.35">
      <c r="AP1100"/>
      <c r="AQ1100" s="48"/>
      <c r="AR1100" s="48"/>
      <c r="AS1100"/>
      <c r="AT1100" s="48"/>
      <c r="AU1100" s="48"/>
      <c r="AV1100"/>
      <c r="AW1100" s="49"/>
      <c r="AX1100" s="49"/>
      <c r="AY1100" s="49"/>
      <c r="AZ1100" s="49"/>
      <c r="BA1100" s="49"/>
      <c r="BB1100" s="48"/>
      <c r="BC1100" s="48"/>
      <c r="BD1100" s="48"/>
      <c r="BE1100" s="48"/>
      <c r="BF1100" s="83"/>
    </row>
    <row r="1101" spans="42:58" ht="16" x14ac:dyDescent="0.35">
      <c r="AP1101"/>
      <c r="AQ1101" s="52"/>
      <c r="AR1101" s="52"/>
      <c r="AS1101"/>
      <c r="AT1101" s="52"/>
      <c r="AU1101" s="52"/>
      <c r="AV1101"/>
      <c r="AW1101" s="53"/>
      <c r="AX1101" s="53"/>
      <c r="AY1101" s="53"/>
      <c r="AZ1101" s="53"/>
      <c r="BA1101" s="53"/>
      <c r="BB1101" s="52"/>
      <c r="BC1101" s="52"/>
      <c r="BD1101" s="52"/>
      <c r="BE1101" s="52"/>
      <c r="BF1101" s="83"/>
    </row>
    <row r="1102" spans="42:58" ht="16" x14ac:dyDescent="0.35">
      <c r="AP1102"/>
      <c r="AQ1102" s="48"/>
      <c r="AR1102" s="48"/>
      <c r="AS1102"/>
      <c r="AT1102" s="48"/>
      <c r="AU1102" s="48"/>
      <c r="AV1102"/>
      <c r="AW1102" s="49"/>
      <c r="AX1102" s="49"/>
      <c r="AY1102" s="49"/>
      <c r="AZ1102" s="49"/>
      <c r="BA1102" s="49"/>
      <c r="BB1102" s="48"/>
      <c r="BC1102" s="48"/>
      <c r="BD1102" s="48"/>
      <c r="BE1102" s="48"/>
      <c r="BF1102" s="83"/>
    </row>
    <row r="1103" spans="42:58" ht="16" x14ac:dyDescent="0.35">
      <c r="AP1103"/>
      <c r="AQ1103" s="52"/>
      <c r="AR1103" s="52"/>
      <c r="AS1103"/>
      <c r="AT1103" s="52"/>
      <c r="AU1103" s="52"/>
      <c r="AV1103"/>
      <c r="AW1103" s="53"/>
      <c r="AX1103" s="53"/>
      <c r="AY1103" s="53"/>
      <c r="AZ1103" s="53"/>
      <c r="BA1103" s="53"/>
      <c r="BB1103" s="52"/>
      <c r="BC1103" s="52"/>
      <c r="BD1103" s="52"/>
      <c r="BE1103" s="52"/>
      <c r="BF1103" s="83"/>
    </row>
    <row r="1104" spans="42:58" ht="16" x14ac:dyDescent="0.35">
      <c r="AP1104"/>
      <c r="AQ1104" s="48"/>
      <c r="AR1104" s="48"/>
      <c r="AS1104"/>
      <c r="AT1104" s="48"/>
      <c r="AU1104" s="48"/>
      <c r="AV1104"/>
      <c r="AW1104" s="49"/>
      <c r="AX1104" s="49"/>
      <c r="AY1104" s="49"/>
      <c r="AZ1104" s="49"/>
      <c r="BA1104" s="49"/>
      <c r="BB1104" s="48"/>
      <c r="BC1104" s="48"/>
      <c r="BD1104" s="48"/>
      <c r="BE1104" s="48"/>
      <c r="BF1104" s="83"/>
    </row>
    <row r="1105" spans="42:58" ht="16" x14ac:dyDescent="0.35">
      <c r="AP1105"/>
      <c r="AQ1105" s="52"/>
      <c r="AR1105" s="52"/>
      <c r="AS1105"/>
      <c r="AT1105" s="52"/>
      <c r="AU1105" s="52"/>
      <c r="AV1105"/>
      <c r="AW1105" s="53"/>
      <c r="AX1105" s="53"/>
      <c r="AY1105" s="53"/>
      <c r="AZ1105" s="53"/>
      <c r="BA1105" s="53"/>
      <c r="BB1105" s="52"/>
      <c r="BC1105" s="52"/>
      <c r="BD1105" s="52"/>
      <c r="BE1105" s="52"/>
      <c r="BF1105" s="83"/>
    </row>
    <row r="1106" spans="42:58" ht="16" x14ac:dyDescent="0.35">
      <c r="AP1106"/>
      <c r="AQ1106" s="48"/>
      <c r="AR1106" s="48"/>
      <c r="AS1106"/>
      <c r="AT1106" s="48"/>
      <c r="AU1106" s="48"/>
      <c r="AV1106"/>
      <c r="AW1106" s="49"/>
      <c r="AX1106" s="49"/>
      <c r="AY1106" s="49"/>
      <c r="AZ1106" s="49"/>
      <c r="BA1106" s="49"/>
      <c r="BB1106" s="48"/>
      <c r="BC1106" s="48"/>
      <c r="BD1106" s="48"/>
      <c r="BE1106" s="48"/>
      <c r="BF1106" s="83"/>
    </row>
    <row r="1107" spans="42:58" ht="16" x14ac:dyDescent="0.35">
      <c r="AP1107"/>
      <c r="AQ1107" s="52"/>
      <c r="AR1107" s="52"/>
      <c r="AS1107"/>
      <c r="AT1107" s="52"/>
      <c r="AU1107" s="52"/>
      <c r="AV1107"/>
      <c r="AW1107" s="53"/>
      <c r="AX1107" s="53"/>
      <c r="AY1107" s="53"/>
      <c r="AZ1107" s="53"/>
      <c r="BA1107" s="53"/>
      <c r="BB1107" s="52"/>
      <c r="BC1107" s="52"/>
      <c r="BD1107" s="52"/>
      <c r="BE1107" s="52"/>
      <c r="BF1107" s="83"/>
    </row>
    <row r="1108" spans="42:58" ht="16" x14ac:dyDescent="0.35">
      <c r="AP1108"/>
      <c r="AQ1108" s="48"/>
      <c r="AR1108" s="48"/>
      <c r="AS1108"/>
      <c r="AT1108" s="48"/>
      <c r="AU1108" s="48"/>
      <c r="AV1108"/>
      <c r="AW1108" s="49"/>
      <c r="AX1108" s="49"/>
      <c r="AY1108" s="49"/>
      <c r="AZ1108" s="49"/>
      <c r="BA1108" s="49"/>
      <c r="BB1108" s="48"/>
      <c r="BC1108" s="48"/>
      <c r="BD1108" s="48"/>
      <c r="BE1108" s="48"/>
      <c r="BF1108" s="83"/>
    </row>
    <row r="1109" spans="42:58" ht="16" x14ac:dyDescent="0.35">
      <c r="AP1109"/>
      <c r="AQ1109" s="52"/>
      <c r="AR1109" s="52"/>
      <c r="AS1109"/>
      <c r="AT1109" s="52"/>
      <c r="AU1109" s="52"/>
      <c r="AV1109"/>
      <c r="AW1109" s="53"/>
      <c r="AX1109" s="53"/>
      <c r="AY1109" s="53"/>
      <c r="AZ1109" s="53"/>
      <c r="BA1109" s="53"/>
      <c r="BB1109" s="52"/>
      <c r="BC1109" s="52"/>
      <c r="BD1109" s="52"/>
      <c r="BE1109" s="52"/>
      <c r="BF1109" s="83"/>
    </row>
    <row r="1110" spans="42:58" ht="16" x14ac:dyDescent="0.35">
      <c r="AP1110"/>
      <c r="AQ1110" s="48"/>
      <c r="AR1110" s="48"/>
      <c r="AS1110"/>
      <c r="AT1110" s="48"/>
      <c r="AU1110" s="48"/>
      <c r="AV1110"/>
      <c r="AW1110" s="49"/>
      <c r="AX1110" s="49"/>
      <c r="AY1110" s="49"/>
      <c r="AZ1110" s="49"/>
      <c r="BA1110" s="49"/>
      <c r="BB1110" s="48"/>
      <c r="BC1110" s="48"/>
      <c r="BD1110" s="48"/>
      <c r="BE1110" s="48"/>
      <c r="BF1110" s="83"/>
    </row>
    <row r="1111" spans="42:58" ht="16" x14ac:dyDescent="0.35">
      <c r="AP1111"/>
      <c r="AQ1111" s="52"/>
      <c r="AR1111" s="52"/>
      <c r="AS1111"/>
      <c r="AT1111" s="52"/>
      <c r="AU1111" s="52"/>
      <c r="AV1111"/>
      <c r="AW1111" s="53"/>
      <c r="AX1111" s="53"/>
      <c r="AY1111" s="53"/>
      <c r="AZ1111" s="53"/>
      <c r="BA1111" s="53"/>
      <c r="BB1111" s="52"/>
      <c r="BC1111" s="52"/>
      <c r="BD1111" s="52"/>
      <c r="BE1111" s="52"/>
      <c r="BF1111" s="83"/>
    </row>
    <row r="1112" spans="42:58" ht="16" x14ac:dyDescent="0.35">
      <c r="AP1112"/>
      <c r="AQ1112" s="48"/>
      <c r="AR1112" s="48"/>
      <c r="AS1112"/>
      <c r="AT1112" s="48"/>
      <c r="AU1112" s="48"/>
      <c r="AV1112"/>
      <c r="AW1112" s="49"/>
      <c r="AX1112" s="49"/>
      <c r="AY1112" s="49"/>
      <c r="AZ1112" s="49"/>
      <c r="BA1112" s="49"/>
      <c r="BB1112" s="48"/>
      <c r="BC1112" s="48"/>
      <c r="BD1112" s="48"/>
      <c r="BE1112" s="48"/>
      <c r="BF1112" s="83"/>
    </row>
    <row r="1113" spans="42:58" ht="16" x14ac:dyDescent="0.35">
      <c r="AP1113"/>
      <c r="AQ1113" s="52"/>
      <c r="AR1113" s="52"/>
      <c r="AS1113"/>
      <c r="AT1113" s="52"/>
      <c r="AU1113" s="52"/>
      <c r="AV1113"/>
      <c r="AW1113" s="53"/>
      <c r="AX1113" s="53"/>
      <c r="AY1113" s="53"/>
      <c r="AZ1113" s="53"/>
      <c r="BA1113" s="53"/>
      <c r="BB1113" s="52"/>
      <c r="BC1113" s="52"/>
      <c r="BD1113" s="52"/>
      <c r="BE1113" s="52"/>
      <c r="BF1113" s="83"/>
    </row>
    <row r="1114" spans="42:58" ht="16" x14ac:dyDescent="0.35">
      <c r="AP1114"/>
      <c r="AQ1114" s="48"/>
      <c r="AR1114" s="48"/>
      <c r="AS1114"/>
      <c r="AT1114" s="48"/>
      <c r="AU1114" s="48"/>
      <c r="AV1114"/>
      <c r="AW1114" s="49"/>
      <c r="AX1114" s="49"/>
      <c r="AY1114" s="49"/>
      <c r="AZ1114" s="49"/>
      <c r="BA1114" s="49"/>
      <c r="BB1114" s="48"/>
      <c r="BC1114" s="48"/>
      <c r="BD1114" s="48"/>
      <c r="BE1114" s="48"/>
      <c r="BF1114" s="83"/>
    </row>
    <row r="1115" spans="42:58" ht="16" x14ac:dyDescent="0.35">
      <c r="AP1115"/>
      <c r="AQ1115" s="52"/>
      <c r="AR1115" s="52"/>
      <c r="AS1115"/>
      <c r="AT1115" s="52"/>
      <c r="AU1115" s="52"/>
      <c r="AV1115"/>
      <c r="AW1115" s="53"/>
      <c r="AX1115" s="53"/>
      <c r="AY1115" s="53"/>
      <c r="AZ1115" s="53"/>
      <c r="BA1115" s="53"/>
      <c r="BB1115" s="52"/>
      <c r="BC1115" s="52"/>
      <c r="BD1115" s="52"/>
      <c r="BE1115" s="52"/>
      <c r="BF1115" s="83"/>
    </row>
    <row r="1116" spans="42:58" ht="16" x14ac:dyDescent="0.35">
      <c r="AP1116"/>
      <c r="AQ1116" s="48"/>
      <c r="AR1116" s="48"/>
      <c r="AS1116"/>
      <c r="AT1116" s="48"/>
      <c r="AU1116" s="48"/>
      <c r="AV1116"/>
      <c r="AW1116" s="49"/>
      <c r="AX1116" s="49"/>
      <c r="AY1116" s="49"/>
      <c r="AZ1116" s="49"/>
      <c r="BA1116" s="49"/>
      <c r="BB1116" s="48"/>
      <c r="BC1116" s="48"/>
      <c r="BD1116" s="48"/>
      <c r="BE1116" s="48"/>
      <c r="BF1116" s="83"/>
    </row>
    <row r="1117" spans="42:58" ht="16" x14ac:dyDescent="0.35">
      <c r="AP1117"/>
      <c r="AQ1117" s="52"/>
      <c r="AR1117" s="52"/>
      <c r="AS1117"/>
      <c r="AT1117" s="52"/>
      <c r="AU1117" s="52"/>
      <c r="AV1117"/>
      <c r="AW1117" s="53"/>
      <c r="AX1117" s="53"/>
      <c r="AY1117" s="53"/>
      <c r="AZ1117" s="53"/>
      <c r="BA1117" s="53"/>
      <c r="BB1117" s="52"/>
      <c r="BC1117" s="52"/>
      <c r="BD1117" s="52"/>
      <c r="BE1117" s="52"/>
      <c r="BF1117" s="83"/>
    </row>
    <row r="1118" spans="42:58" ht="16" x14ac:dyDescent="0.35">
      <c r="AP1118"/>
      <c r="AQ1118" s="48"/>
      <c r="AR1118" s="48"/>
      <c r="AS1118"/>
      <c r="AT1118" s="48"/>
      <c r="AU1118" s="48"/>
      <c r="AV1118"/>
      <c r="AW1118" s="49"/>
      <c r="AX1118" s="49"/>
      <c r="AY1118" s="49"/>
      <c r="AZ1118" s="49"/>
      <c r="BA1118" s="49"/>
      <c r="BB1118" s="48"/>
      <c r="BC1118" s="48"/>
      <c r="BD1118" s="48"/>
      <c r="BE1118" s="48"/>
      <c r="BF1118" s="83"/>
    </row>
    <row r="1119" spans="42:58" ht="16" x14ac:dyDescent="0.35">
      <c r="AP1119"/>
      <c r="AQ1119" s="52"/>
      <c r="AR1119" s="52"/>
      <c r="AS1119"/>
      <c r="AT1119" s="52"/>
      <c r="AU1119" s="52"/>
      <c r="AV1119"/>
      <c r="AW1119" s="53"/>
      <c r="AX1119" s="53"/>
      <c r="AY1119" s="53"/>
      <c r="AZ1119" s="53"/>
      <c r="BA1119" s="53"/>
      <c r="BB1119" s="52"/>
      <c r="BC1119" s="52"/>
      <c r="BD1119" s="52"/>
      <c r="BE1119" s="52"/>
      <c r="BF1119" s="83"/>
    </row>
    <row r="1120" spans="42:58" ht="16" x14ac:dyDescent="0.35">
      <c r="AP1120"/>
      <c r="AQ1120" s="48"/>
      <c r="AR1120" s="48"/>
      <c r="AS1120"/>
      <c r="AT1120" s="48"/>
      <c r="AU1120" s="48"/>
      <c r="AV1120"/>
      <c r="AW1120" s="49"/>
      <c r="AX1120" s="49"/>
      <c r="AY1120" s="49"/>
      <c r="AZ1120" s="49"/>
      <c r="BA1120" s="49"/>
      <c r="BB1120" s="48"/>
      <c r="BC1120" s="48"/>
      <c r="BD1120" s="48"/>
      <c r="BE1120" s="48"/>
      <c r="BF1120" s="83"/>
    </row>
    <row r="1121" spans="42:58" ht="16" x14ac:dyDescent="0.35">
      <c r="AP1121"/>
      <c r="AQ1121" s="52"/>
      <c r="AR1121" s="52"/>
      <c r="AS1121"/>
      <c r="AT1121" s="52"/>
      <c r="AU1121" s="52"/>
      <c r="AV1121"/>
      <c r="AW1121" s="53"/>
      <c r="AX1121" s="53"/>
      <c r="AY1121" s="53"/>
      <c r="AZ1121" s="53"/>
      <c r="BA1121" s="53"/>
      <c r="BB1121" s="52"/>
      <c r="BC1121" s="52"/>
      <c r="BD1121" s="52"/>
      <c r="BE1121" s="52"/>
      <c r="BF1121" s="83"/>
    </row>
    <row r="1122" spans="42:58" ht="16" x14ac:dyDescent="0.35">
      <c r="AP1122"/>
      <c r="AQ1122" s="48"/>
      <c r="AR1122" s="48"/>
      <c r="AS1122"/>
      <c r="AT1122" s="48"/>
      <c r="AU1122" s="48"/>
      <c r="AV1122"/>
      <c r="AW1122" s="49"/>
      <c r="AX1122" s="49"/>
      <c r="AY1122" s="49"/>
      <c r="AZ1122" s="49"/>
      <c r="BA1122" s="49"/>
      <c r="BB1122" s="48"/>
      <c r="BC1122" s="48"/>
      <c r="BD1122" s="48"/>
      <c r="BE1122" s="48"/>
      <c r="BF1122" s="83"/>
    </row>
    <row r="1123" spans="42:58" ht="16" x14ac:dyDescent="0.35">
      <c r="AP1123"/>
      <c r="AQ1123" s="52"/>
      <c r="AR1123" s="52"/>
      <c r="AS1123"/>
      <c r="AT1123" s="52"/>
      <c r="AU1123" s="52"/>
      <c r="AV1123"/>
      <c r="AW1123" s="53"/>
      <c r="AX1123" s="53"/>
      <c r="AY1123" s="53"/>
      <c r="AZ1123" s="53"/>
      <c r="BA1123" s="53"/>
      <c r="BB1123" s="52"/>
      <c r="BC1123" s="52"/>
      <c r="BD1123" s="52"/>
      <c r="BE1123" s="52"/>
      <c r="BF1123" s="83"/>
    </row>
    <row r="1124" spans="42:58" ht="16" x14ac:dyDescent="0.35">
      <c r="AP1124"/>
      <c r="AQ1124" s="48"/>
      <c r="AR1124" s="48"/>
      <c r="AS1124"/>
      <c r="AT1124" s="48"/>
      <c r="AU1124" s="48"/>
      <c r="AV1124"/>
      <c r="AW1124" s="49"/>
      <c r="AX1124" s="49"/>
      <c r="AY1124" s="49"/>
      <c r="AZ1124" s="49"/>
      <c r="BA1124" s="49"/>
      <c r="BB1124" s="48"/>
      <c r="BC1124" s="48"/>
      <c r="BD1124" s="48"/>
      <c r="BE1124" s="48"/>
      <c r="BF1124" s="83"/>
    </row>
    <row r="1125" spans="42:58" ht="16" x14ac:dyDescent="0.35">
      <c r="AP1125"/>
      <c r="AQ1125" s="52"/>
      <c r="AR1125" s="52"/>
      <c r="AS1125"/>
      <c r="AT1125" s="52"/>
      <c r="AU1125" s="52"/>
      <c r="AV1125"/>
      <c r="AW1125" s="53"/>
      <c r="AX1125" s="53"/>
      <c r="AY1125" s="53"/>
      <c r="AZ1125" s="53"/>
      <c r="BA1125" s="53"/>
      <c r="BB1125" s="52"/>
      <c r="BC1125" s="52"/>
      <c r="BD1125" s="52"/>
      <c r="BE1125" s="52"/>
      <c r="BF1125" s="83"/>
    </row>
    <row r="1126" spans="42:58" ht="16" x14ac:dyDescent="0.35">
      <c r="AP1126"/>
      <c r="AQ1126" s="48"/>
      <c r="AR1126" s="48"/>
      <c r="AS1126"/>
      <c r="AT1126" s="48"/>
      <c r="AU1126" s="48"/>
      <c r="AV1126"/>
      <c r="AW1126" s="49"/>
      <c r="AX1126" s="49"/>
      <c r="AY1126" s="49"/>
      <c r="AZ1126" s="49"/>
      <c r="BA1126" s="49"/>
      <c r="BB1126" s="48"/>
      <c r="BC1126" s="48"/>
      <c r="BD1126" s="48"/>
      <c r="BE1126" s="48"/>
      <c r="BF1126" s="83"/>
    </row>
    <row r="1127" spans="42:58" ht="16" x14ac:dyDescent="0.35">
      <c r="AP1127"/>
      <c r="AQ1127" s="52"/>
      <c r="AR1127" s="52"/>
      <c r="AS1127"/>
      <c r="AT1127" s="52"/>
      <c r="AU1127" s="52"/>
      <c r="AV1127"/>
      <c r="AW1127" s="53"/>
      <c r="AX1127" s="53"/>
      <c r="AY1127" s="53"/>
      <c r="AZ1127" s="53"/>
      <c r="BA1127" s="53"/>
      <c r="BB1127" s="52"/>
      <c r="BC1127" s="52"/>
      <c r="BD1127" s="52"/>
      <c r="BE1127" s="52"/>
      <c r="BF1127" s="83"/>
    </row>
    <row r="1128" spans="42:58" ht="16" x14ac:dyDescent="0.35">
      <c r="AP1128"/>
      <c r="AQ1128" s="48"/>
      <c r="AR1128" s="48"/>
      <c r="AS1128"/>
      <c r="AT1128" s="48"/>
      <c r="AU1128" s="48"/>
      <c r="AV1128"/>
      <c r="AW1128" s="49"/>
      <c r="AX1128" s="49"/>
      <c r="AY1128" s="49"/>
      <c r="AZ1128" s="49"/>
      <c r="BA1128" s="49"/>
      <c r="BB1128" s="48"/>
      <c r="BC1128" s="48"/>
      <c r="BD1128" s="48"/>
      <c r="BE1128" s="48"/>
      <c r="BF1128" s="83"/>
    </row>
    <row r="1129" spans="42:58" ht="16" x14ac:dyDescent="0.35">
      <c r="AP1129"/>
      <c r="AQ1129" s="52"/>
      <c r="AR1129" s="52"/>
      <c r="AS1129"/>
      <c r="AT1129" s="52"/>
      <c r="AU1129" s="52"/>
      <c r="AV1129"/>
      <c r="AW1129" s="53"/>
      <c r="AX1129" s="53"/>
      <c r="AY1129" s="53"/>
      <c r="AZ1129" s="53"/>
      <c r="BA1129" s="53"/>
      <c r="BB1129" s="52"/>
      <c r="BC1129" s="52"/>
      <c r="BD1129" s="52"/>
      <c r="BE1129" s="52"/>
      <c r="BF1129" s="83"/>
    </row>
    <row r="1130" spans="42:58" ht="16" x14ac:dyDescent="0.35">
      <c r="AP1130"/>
      <c r="AQ1130" s="48"/>
      <c r="AR1130" s="48"/>
      <c r="AS1130"/>
      <c r="AT1130" s="48"/>
      <c r="AU1130" s="48"/>
      <c r="AV1130"/>
      <c r="AW1130" s="49"/>
      <c r="AX1130" s="49"/>
      <c r="AY1130" s="49"/>
      <c r="AZ1130" s="49"/>
      <c r="BA1130" s="49"/>
      <c r="BB1130" s="48"/>
      <c r="BC1130" s="48"/>
      <c r="BD1130" s="48"/>
      <c r="BE1130" s="48"/>
      <c r="BF1130" s="83"/>
    </row>
    <row r="1131" spans="42:58" ht="16" x14ac:dyDescent="0.35">
      <c r="AP1131"/>
      <c r="AQ1131" s="52"/>
      <c r="AR1131" s="52"/>
      <c r="AS1131"/>
      <c r="AT1131" s="52"/>
      <c r="AU1131" s="52"/>
      <c r="AV1131"/>
      <c r="AW1131" s="53"/>
      <c r="AX1131" s="53"/>
      <c r="AY1131" s="53"/>
      <c r="AZ1131" s="53"/>
      <c r="BA1131" s="53"/>
      <c r="BB1131" s="52"/>
      <c r="BC1131" s="52"/>
      <c r="BD1131" s="52"/>
      <c r="BE1131" s="52"/>
      <c r="BF1131" s="83"/>
    </row>
    <row r="1132" spans="42:58" ht="16" x14ac:dyDescent="0.35">
      <c r="AP1132"/>
      <c r="AQ1132" s="48"/>
      <c r="AR1132" s="48"/>
      <c r="AS1132"/>
      <c r="AT1132" s="48"/>
      <c r="AU1132" s="48"/>
      <c r="AV1132"/>
      <c r="AW1132" s="49"/>
      <c r="AX1132" s="49"/>
      <c r="AY1132" s="49"/>
      <c r="AZ1132" s="49"/>
      <c r="BA1132" s="49"/>
      <c r="BB1132" s="48"/>
      <c r="BC1132" s="48"/>
      <c r="BD1132" s="48"/>
      <c r="BE1132" s="48"/>
      <c r="BF1132" s="83"/>
    </row>
    <row r="1133" spans="42:58" ht="16" x14ac:dyDescent="0.35">
      <c r="AP1133"/>
      <c r="AQ1133" s="52"/>
      <c r="AR1133" s="52"/>
      <c r="AS1133"/>
      <c r="AT1133" s="52"/>
      <c r="AU1133" s="52"/>
      <c r="AV1133"/>
      <c r="AW1133" s="53"/>
      <c r="AX1133" s="53"/>
      <c r="AY1133" s="53"/>
      <c r="AZ1133" s="53"/>
      <c r="BA1133" s="53"/>
      <c r="BB1133" s="52"/>
      <c r="BC1133" s="52"/>
      <c r="BD1133" s="52"/>
      <c r="BE1133" s="52"/>
      <c r="BF1133" s="83"/>
    </row>
    <row r="1134" spans="42:58" ht="16" x14ac:dyDescent="0.35">
      <c r="AP1134"/>
      <c r="AQ1134" s="48"/>
      <c r="AR1134" s="48"/>
      <c r="AS1134"/>
      <c r="AT1134" s="48"/>
      <c r="AU1134" s="48"/>
      <c r="AV1134"/>
      <c r="AW1134" s="49"/>
      <c r="AX1134" s="49"/>
      <c r="AY1134" s="49"/>
      <c r="AZ1134" s="49"/>
      <c r="BA1134" s="49"/>
      <c r="BB1134" s="48"/>
      <c r="BC1134" s="48"/>
      <c r="BD1134" s="48"/>
      <c r="BE1134" s="48"/>
      <c r="BF1134" s="83"/>
    </row>
    <row r="1135" spans="42:58" ht="16" x14ac:dyDescent="0.35">
      <c r="AP1135"/>
      <c r="AQ1135" s="52"/>
      <c r="AR1135" s="52"/>
      <c r="AS1135"/>
      <c r="AT1135" s="52"/>
      <c r="AU1135" s="52"/>
      <c r="AV1135"/>
      <c r="AW1135" s="53"/>
      <c r="AX1135" s="53"/>
      <c r="AY1135" s="53"/>
      <c r="AZ1135" s="53"/>
      <c r="BA1135" s="53"/>
      <c r="BB1135" s="52"/>
      <c r="BC1135" s="52"/>
      <c r="BD1135" s="52"/>
      <c r="BE1135" s="52"/>
      <c r="BF1135" s="83"/>
    </row>
    <row r="1136" spans="42:58" ht="16" x14ac:dyDescent="0.35">
      <c r="AP1136"/>
      <c r="AQ1136" s="48"/>
      <c r="AR1136" s="48"/>
      <c r="AS1136"/>
      <c r="AT1136" s="48"/>
      <c r="AU1136" s="48"/>
      <c r="AV1136"/>
      <c r="AW1136" s="49"/>
      <c r="AX1136" s="49"/>
      <c r="AY1136" s="49"/>
      <c r="AZ1136" s="49"/>
      <c r="BA1136" s="49"/>
      <c r="BB1136" s="48"/>
      <c r="BC1136" s="48"/>
      <c r="BD1136" s="48"/>
      <c r="BE1136" s="48"/>
      <c r="BF1136" s="83"/>
    </row>
    <row r="1137" spans="42:58" ht="16" x14ac:dyDescent="0.35">
      <c r="AP1137"/>
      <c r="AQ1137" s="52"/>
      <c r="AR1137" s="52"/>
      <c r="AS1137"/>
      <c r="AT1137" s="52"/>
      <c r="AU1137" s="52"/>
      <c r="AV1137"/>
      <c r="AW1137" s="53"/>
      <c r="AX1137" s="53"/>
      <c r="AY1137" s="53"/>
      <c r="AZ1137" s="53"/>
      <c r="BA1137" s="53"/>
      <c r="BB1137" s="52"/>
      <c r="BC1137" s="52"/>
      <c r="BD1137" s="52"/>
      <c r="BE1137" s="52"/>
      <c r="BF1137" s="83"/>
    </row>
    <row r="1138" spans="42:58" ht="16" x14ac:dyDescent="0.35">
      <c r="AP1138"/>
      <c r="AQ1138" s="48"/>
      <c r="AR1138" s="48"/>
      <c r="AS1138"/>
      <c r="AT1138" s="48"/>
      <c r="AU1138" s="48"/>
      <c r="AV1138"/>
      <c r="AW1138" s="49"/>
      <c r="AX1138" s="49"/>
      <c r="AY1138" s="49"/>
      <c r="AZ1138" s="49"/>
      <c r="BA1138" s="49"/>
      <c r="BB1138" s="48"/>
      <c r="BC1138" s="48"/>
      <c r="BD1138" s="48"/>
      <c r="BE1138" s="48"/>
      <c r="BF1138" s="83"/>
    </row>
    <row r="1139" spans="42:58" ht="16" x14ac:dyDescent="0.35">
      <c r="AP1139"/>
      <c r="AQ1139" s="52"/>
      <c r="AR1139" s="52"/>
      <c r="AS1139"/>
      <c r="AT1139" s="52"/>
      <c r="AU1139" s="52"/>
      <c r="AV1139"/>
      <c r="AW1139" s="53"/>
      <c r="AX1139" s="53"/>
      <c r="AY1139" s="53"/>
      <c r="AZ1139" s="53"/>
      <c r="BA1139" s="53"/>
      <c r="BB1139" s="52"/>
      <c r="BC1139" s="52"/>
      <c r="BD1139" s="52"/>
      <c r="BE1139" s="52"/>
      <c r="BF1139" s="83"/>
    </row>
    <row r="1140" spans="42:58" ht="16" x14ac:dyDescent="0.35">
      <c r="AP1140"/>
      <c r="AQ1140" s="48"/>
      <c r="AR1140" s="48"/>
      <c r="AS1140"/>
      <c r="AT1140" s="48"/>
      <c r="AU1140" s="48"/>
      <c r="AV1140"/>
      <c r="AW1140" s="49"/>
      <c r="AX1140" s="49"/>
      <c r="AY1140" s="49"/>
      <c r="AZ1140" s="49"/>
      <c r="BA1140" s="49"/>
      <c r="BB1140" s="48"/>
      <c r="BC1140" s="48"/>
      <c r="BD1140" s="48"/>
      <c r="BE1140" s="48"/>
      <c r="BF1140" s="83"/>
    </row>
    <row r="1141" spans="42:58" ht="16" x14ac:dyDescent="0.35">
      <c r="AP1141"/>
      <c r="AQ1141" s="52"/>
      <c r="AR1141" s="52"/>
      <c r="AS1141"/>
      <c r="AT1141" s="52"/>
      <c r="AU1141" s="52"/>
      <c r="AV1141"/>
      <c r="AW1141" s="53"/>
      <c r="AX1141" s="53"/>
      <c r="AY1141" s="53"/>
      <c r="AZ1141" s="53"/>
      <c r="BA1141" s="53"/>
      <c r="BB1141" s="52"/>
      <c r="BC1141" s="52"/>
      <c r="BD1141" s="52"/>
      <c r="BE1141" s="52"/>
      <c r="BF1141" s="83"/>
    </row>
    <row r="1142" spans="42:58" ht="16" x14ac:dyDescent="0.35">
      <c r="AP1142"/>
      <c r="AQ1142" s="48"/>
      <c r="AR1142" s="48"/>
      <c r="AS1142"/>
      <c r="AT1142" s="48"/>
      <c r="AU1142" s="48"/>
      <c r="AV1142"/>
      <c r="AW1142" s="49"/>
      <c r="AX1142" s="49"/>
      <c r="AY1142" s="49"/>
      <c r="AZ1142" s="49"/>
      <c r="BA1142" s="49"/>
      <c r="BB1142" s="48"/>
      <c r="BC1142" s="48"/>
      <c r="BD1142" s="48"/>
      <c r="BE1142" s="48"/>
      <c r="BF1142" s="83"/>
    </row>
    <row r="1143" spans="42:58" ht="16" x14ac:dyDescent="0.35">
      <c r="AP1143"/>
      <c r="AQ1143" s="52"/>
      <c r="AR1143" s="52"/>
      <c r="AS1143"/>
      <c r="AT1143" s="52"/>
      <c r="AU1143" s="52"/>
      <c r="AV1143"/>
      <c r="AW1143" s="53"/>
      <c r="AX1143" s="53"/>
      <c r="AY1143" s="53"/>
      <c r="AZ1143" s="53"/>
      <c r="BA1143" s="53"/>
      <c r="BB1143" s="52"/>
      <c r="BC1143" s="52"/>
      <c r="BD1143" s="52"/>
      <c r="BE1143" s="52"/>
      <c r="BF1143" s="83"/>
    </row>
    <row r="1144" spans="42:58" ht="16" x14ac:dyDescent="0.35">
      <c r="AP1144"/>
      <c r="AQ1144" s="48"/>
      <c r="AR1144" s="48"/>
      <c r="AS1144"/>
      <c r="AT1144" s="48"/>
      <c r="AU1144" s="48"/>
      <c r="AV1144"/>
      <c r="AW1144" s="49"/>
      <c r="AX1144" s="49"/>
      <c r="AY1144" s="49"/>
      <c r="AZ1144" s="49"/>
      <c r="BA1144" s="49"/>
      <c r="BB1144" s="48"/>
      <c r="BC1144" s="48"/>
      <c r="BD1144" s="48"/>
      <c r="BE1144" s="48"/>
      <c r="BF1144" s="83"/>
    </row>
    <row r="1145" spans="42:58" ht="16" x14ac:dyDescent="0.35">
      <c r="AP1145"/>
      <c r="AQ1145" s="52"/>
      <c r="AR1145" s="52"/>
      <c r="AS1145"/>
      <c r="AT1145" s="52"/>
      <c r="AU1145" s="52"/>
      <c r="AV1145"/>
      <c r="AW1145" s="53"/>
      <c r="AX1145" s="53"/>
      <c r="AY1145" s="53"/>
      <c r="AZ1145" s="53"/>
      <c r="BA1145" s="53"/>
      <c r="BB1145" s="52"/>
      <c r="BC1145" s="52"/>
      <c r="BD1145" s="52"/>
      <c r="BE1145" s="52"/>
      <c r="BF1145" s="83"/>
    </row>
    <row r="1146" spans="42:58" ht="16" x14ac:dyDescent="0.35">
      <c r="AP1146"/>
      <c r="AQ1146" s="48"/>
      <c r="AR1146" s="48"/>
      <c r="AS1146"/>
      <c r="AT1146" s="48"/>
      <c r="AU1146" s="48"/>
      <c r="AV1146"/>
      <c r="AW1146" s="49"/>
      <c r="AX1146" s="49"/>
      <c r="AY1146" s="49"/>
      <c r="AZ1146" s="49"/>
      <c r="BA1146" s="49"/>
      <c r="BB1146" s="48"/>
      <c r="BC1146" s="48"/>
      <c r="BD1146" s="48"/>
      <c r="BE1146" s="48"/>
      <c r="BF1146" s="83"/>
    </row>
    <row r="1147" spans="42:58" ht="16" x14ac:dyDescent="0.35">
      <c r="AP1147"/>
      <c r="AQ1147" s="52"/>
      <c r="AR1147" s="52"/>
      <c r="AS1147"/>
      <c r="AT1147" s="52"/>
      <c r="AU1147" s="52"/>
      <c r="AV1147"/>
      <c r="AW1147" s="53"/>
      <c r="AX1147" s="53"/>
      <c r="AY1147" s="53"/>
      <c r="AZ1147" s="53"/>
      <c r="BA1147" s="53"/>
      <c r="BB1147" s="52"/>
      <c r="BC1147" s="52"/>
      <c r="BD1147" s="52"/>
      <c r="BE1147" s="52"/>
      <c r="BF1147" s="83"/>
    </row>
    <row r="1148" spans="42:58" ht="16" x14ac:dyDescent="0.35">
      <c r="AP1148"/>
      <c r="AQ1148" s="48"/>
      <c r="AR1148" s="48"/>
      <c r="AS1148"/>
      <c r="AT1148" s="48"/>
      <c r="AU1148" s="48"/>
      <c r="AV1148"/>
      <c r="AW1148" s="49"/>
      <c r="AX1148" s="49"/>
      <c r="AY1148" s="49"/>
      <c r="AZ1148" s="49"/>
      <c r="BA1148" s="49"/>
      <c r="BB1148" s="48"/>
      <c r="BC1148" s="48"/>
      <c r="BD1148" s="48"/>
      <c r="BE1148" s="48"/>
      <c r="BF1148" s="83"/>
    </row>
    <row r="1149" spans="42:58" ht="16" x14ac:dyDescent="0.35">
      <c r="AP1149"/>
      <c r="AQ1149" s="52"/>
      <c r="AR1149" s="52"/>
      <c r="AS1149"/>
      <c r="AT1149" s="52"/>
      <c r="AU1149" s="52"/>
      <c r="AV1149"/>
      <c r="AW1149" s="53"/>
      <c r="AX1149" s="53"/>
      <c r="AY1149" s="53"/>
      <c r="AZ1149" s="53"/>
      <c r="BA1149" s="53"/>
      <c r="BB1149" s="52"/>
      <c r="BC1149" s="52"/>
      <c r="BD1149" s="52"/>
      <c r="BE1149" s="52"/>
      <c r="BF1149" s="83"/>
    </row>
    <row r="1150" spans="42:58" ht="16" x14ac:dyDescent="0.35">
      <c r="AP1150"/>
      <c r="AQ1150" s="48"/>
      <c r="AR1150" s="48"/>
      <c r="AS1150"/>
      <c r="AT1150" s="48"/>
      <c r="AU1150" s="48"/>
      <c r="AV1150"/>
      <c r="AW1150" s="49"/>
      <c r="AX1150" s="49"/>
      <c r="AY1150" s="49"/>
      <c r="AZ1150" s="49"/>
      <c r="BA1150" s="49"/>
      <c r="BB1150" s="48"/>
      <c r="BC1150" s="48"/>
      <c r="BD1150" s="48"/>
      <c r="BE1150" s="48"/>
      <c r="BF1150" s="83"/>
    </row>
    <row r="1151" spans="42:58" ht="16" x14ac:dyDescent="0.35">
      <c r="AP1151"/>
      <c r="AQ1151" s="52"/>
      <c r="AR1151" s="52"/>
      <c r="AS1151"/>
      <c r="AT1151" s="52"/>
      <c r="AU1151" s="52"/>
      <c r="AV1151"/>
      <c r="AW1151" s="53"/>
      <c r="AX1151" s="53"/>
      <c r="AY1151" s="53"/>
      <c r="AZ1151" s="53"/>
      <c r="BA1151" s="53"/>
      <c r="BB1151" s="52"/>
      <c r="BC1151" s="52"/>
      <c r="BD1151" s="52"/>
      <c r="BE1151" s="52"/>
      <c r="BF1151" s="83"/>
    </row>
    <row r="1152" spans="42:58" ht="16" x14ac:dyDescent="0.35">
      <c r="AP1152"/>
      <c r="AQ1152" s="48"/>
      <c r="AR1152" s="48"/>
      <c r="AS1152"/>
      <c r="AT1152" s="48"/>
      <c r="AU1152" s="48"/>
      <c r="AV1152"/>
      <c r="AW1152" s="49"/>
      <c r="AX1152" s="49"/>
      <c r="AY1152" s="49"/>
      <c r="AZ1152" s="49"/>
      <c r="BA1152" s="49"/>
      <c r="BB1152" s="48"/>
      <c r="BC1152" s="48"/>
      <c r="BD1152" s="48"/>
      <c r="BE1152" s="48"/>
      <c r="BF1152" s="83"/>
    </row>
    <row r="1153" spans="42:58" ht="16" x14ac:dyDescent="0.35">
      <c r="AP1153"/>
      <c r="AQ1153" s="52"/>
      <c r="AR1153" s="52"/>
      <c r="AS1153"/>
      <c r="AT1153" s="52"/>
      <c r="AU1153" s="52"/>
      <c r="AV1153"/>
      <c r="AW1153" s="53"/>
      <c r="AX1153" s="53"/>
      <c r="AY1153" s="53"/>
      <c r="AZ1153" s="53"/>
      <c r="BA1153" s="53"/>
      <c r="BB1153" s="52"/>
      <c r="BC1153" s="52"/>
      <c r="BD1153" s="52"/>
      <c r="BE1153" s="52"/>
      <c r="BF1153" s="83"/>
    </row>
    <row r="1154" spans="42:58" ht="16" x14ac:dyDescent="0.35">
      <c r="AP1154"/>
      <c r="AQ1154" s="48"/>
      <c r="AR1154" s="48"/>
      <c r="AS1154"/>
      <c r="AT1154" s="48"/>
      <c r="AU1154" s="48"/>
      <c r="AV1154"/>
      <c r="AW1154" s="49"/>
      <c r="AX1154" s="49"/>
      <c r="AY1154" s="49"/>
      <c r="AZ1154" s="49"/>
      <c r="BA1154" s="49"/>
      <c r="BB1154" s="48"/>
      <c r="BC1154" s="48"/>
      <c r="BD1154" s="48"/>
      <c r="BE1154" s="48"/>
      <c r="BF1154" s="83"/>
    </row>
    <row r="1155" spans="42:58" ht="16" x14ac:dyDescent="0.35">
      <c r="AP1155"/>
      <c r="AQ1155" s="52"/>
      <c r="AR1155" s="52"/>
      <c r="AS1155"/>
      <c r="AT1155" s="52"/>
      <c r="AU1155" s="52"/>
      <c r="AV1155"/>
      <c r="AW1155" s="53"/>
      <c r="AX1155" s="53"/>
      <c r="AY1155" s="53"/>
      <c r="AZ1155" s="53"/>
      <c r="BA1155" s="53"/>
      <c r="BB1155" s="52"/>
      <c r="BC1155" s="52"/>
      <c r="BD1155" s="52"/>
      <c r="BE1155" s="52"/>
      <c r="BF1155" s="83"/>
    </row>
    <row r="1156" spans="42:58" ht="16" x14ac:dyDescent="0.35">
      <c r="AP1156"/>
      <c r="AQ1156" s="48"/>
      <c r="AR1156" s="48"/>
      <c r="AS1156"/>
      <c r="AT1156" s="48"/>
      <c r="AU1156" s="48"/>
      <c r="AV1156"/>
      <c r="AW1156" s="49"/>
      <c r="AX1156" s="49"/>
      <c r="AY1156" s="49"/>
      <c r="AZ1156" s="49"/>
      <c r="BA1156" s="49"/>
      <c r="BB1156" s="48"/>
      <c r="BC1156" s="48"/>
      <c r="BD1156" s="48"/>
      <c r="BE1156" s="48"/>
      <c r="BF1156" s="83"/>
    </row>
    <row r="1157" spans="42:58" ht="16" x14ac:dyDescent="0.35">
      <c r="AP1157"/>
      <c r="AQ1157" s="52"/>
      <c r="AR1157" s="52"/>
      <c r="AS1157"/>
      <c r="AT1157" s="52"/>
      <c r="AU1157" s="52"/>
      <c r="AV1157"/>
      <c r="AW1157" s="53"/>
      <c r="AX1157" s="53"/>
      <c r="AY1157" s="53"/>
      <c r="AZ1157" s="53"/>
      <c r="BA1157" s="53"/>
      <c r="BB1157" s="52"/>
      <c r="BC1157" s="52"/>
      <c r="BD1157" s="52"/>
      <c r="BE1157" s="52"/>
      <c r="BF1157" s="83"/>
    </row>
    <row r="1158" spans="42:58" ht="16" x14ac:dyDescent="0.35">
      <c r="AP1158"/>
      <c r="AQ1158" s="48"/>
      <c r="AR1158" s="48"/>
      <c r="AS1158"/>
      <c r="AT1158" s="48"/>
      <c r="AU1158" s="48"/>
      <c r="AV1158"/>
      <c r="AW1158" s="49"/>
      <c r="AX1158" s="49"/>
      <c r="AY1158" s="49"/>
      <c r="AZ1158" s="49"/>
      <c r="BA1158" s="49"/>
      <c r="BB1158" s="48"/>
      <c r="BC1158" s="48"/>
      <c r="BD1158" s="48"/>
      <c r="BE1158" s="48"/>
      <c r="BF1158" s="83"/>
    </row>
    <row r="1159" spans="42:58" ht="16" x14ac:dyDescent="0.35">
      <c r="AP1159"/>
      <c r="AQ1159" s="52"/>
      <c r="AR1159" s="52"/>
      <c r="AS1159"/>
      <c r="AT1159" s="52"/>
      <c r="AU1159" s="52"/>
      <c r="AV1159"/>
      <c r="AW1159" s="53"/>
      <c r="AX1159" s="53"/>
      <c r="AY1159" s="53"/>
      <c r="AZ1159" s="53"/>
      <c r="BA1159" s="53"/>
      <c r="BB1159" s="52"/>
      <c r="BC1159" s="52"/>
      <c r="BD1159" s="52"/>
      <c r="BE1159" s="52"/>
      <c r="BF1159" s="83"/>
    </row>
    <row r="1160" spans="42:58" ht="16" x14ac:dyDescent="0.35">
      <c r="AP1160"/>
      <c r="AQ1160" s="48"/>
      <c r="AR1160" s="48"/>
      <c r="AS1160"/>
      <c r="AT1160" s="48"/>
      <c r="AU1160" s="48"/>
      <c r="AV1160"/>
      <c r="AW1160" s="49"/>
      <c r="AX1160" s="49"/>
      <c r="AY1160" s="49"/>
      <c r="AZ1160" s="49"/>
      <c r="BA1160" s="49"/>
      <c r="BB1160" s="48"/>
      <c r="BC1160" s="48"/>
      <c r="BD1160" s="48"/>
      <c r="BE1160" s="48"/>
      <c r="BF1160" s="83"/>
    </row>
    <row r="1161" spans="42:58" ht="16" x14ac:dyDescent="0.35">
      <c r="AP1161"/>
      <c r="AQ1161" s="52"/>
      <c r="AR1161" s="52"/>
      <c r="AS1161"/>
      <c r="AT1161" s="52"/>
      <c r="AU1161" s="52"/>
      <c r="AV1161"/>
      <c r="AW1161" s="53"/>
      <c r="AX1161" s="53"/>
      <c r="AY1161" s="53"/>
      <c r="AZ1161" s="53"/>
      <c r="BA1161" s="53"/>
      <c r="BB1161" s="52"/>
      <c r="BC1161" s="52"/>
      <c r="BD1161" s="52"/>
      <c r="BE1161" s="52"/>
      <c r="BF1161" s="83"/>
    </row>
    <row r="1162" spans="42:58" ht="16" x14ac:dyDescent="0.35">
      <c r="AP1162"/>
      <c r="AQ1162" s="48"/>
      <c r="AR1162" s="48"/>
      <c r="AS1162"/>
      <c r="AT1162" s="48"/>
      <c r="AU1162" s="48"/>
      <c r="AV1162"/>
      <c r="AW1162" s="49"/>
      <c r="AX1162" s="49"/>
      <c r="AY1162" s="49"/>
      <c r="AZ1162" s="49"/>
      <c r="BA1162" s="49"/>
      <c r="BB1162" s="48"/>
      <c r="BC1162" s="48"/>
      <c r="BD1162" s="48"/>
      <c r="BE1162" s="48"/>
      <c r="BF1162" s="83"/>
    </row>
    <row r="1163" spans="42:58" ht="16" x14ac:dyDescent="0.35">
      <c r="AP1163"/>
      <c r="AQ1163" s="52"/>
      <c r="AR1163" s="52"/>
      <c r="AS1163"/>
      <c r="AT1163" s="52"/>
      <c r="AU1163" s="52"/>
      <c r="AV1163"/>
      <c r="AW1163" s="53"/>
      <c r="AX1163" s="53"/>
      <c r="AY1163" s="53"/>
      <c r="AZ1163" s="53"/>
      <c r="BA1163" s="53"/>
      <c r="BB1163" s="52"/>
      <c r="BC1163" s="52"/>
      <c r="BD1163" s="52"/>
      <c r="BE1163" s="52"/>
      <c r="BF1163" s="83"/>
    </row>
    <row r="1164" spans="42:58" ht="16" x14ac:dyDescent="0.35">
      <c r="AP1164"/>
      <c r="AQ1164" s="48"/>
      <c r="AR1164" s="48"/>
      <c r="AS1164"/>
      <c r="AT1164" s="48"/>
      <c r="AU1164" s="48"/>
      <c r="AV1164"/>
      <c r="AW1164" s="49"/>
      <c r="AX1164" s="49"/>
      <c r="AY1164" s="49"/>
      <c r="AZ1164" s="49"/>
      <c r="BA1164" s="49"/>
      <c r="BB1164" s="48"/>
      <c r="BC1164" s="48"/>
      <c r="BD1164" s="48"/>
      <c r="BE1164" s="48"/>
      <c r="BF1164" s="83"/>
    </row>
    <row r="1165" spans="42:58" ht="16" x14ac:dyDescent="0.35">
      <c r="AP1165"/>
      <c r="AQ1165" s="52"/>
      <c r="AR1165" s="52"/>
      <c r="AS1165"/>
      <c r="AT1165" s="52"/>
      <c r="AU1165" s="52"/>
      <c r="AV1165"/>
      <c r="AW1165" s="53"/>
      <c r="AX1165" s="53"/>
      <c r="AY1165" s="53"/>
      <c r="AZ1165" s="53"/>
      <c r="BA1165" s="53"/>
      <c r="BB1165" s="52"/>
      <c r="BC1165" s="52"/>
      <c r="BD1165" s="52"/>
      <c r="BE1165" s="52"/>
      <c r="BF1165" s="83"/>
    </row>
    <row r="1166" spans="42:58" ht="16" x14ac:dyDescent="0.35">
      <c r="AP1166"/>
      <c r="AQ1166" s="48"/>
      <c r="AR1166" s="48"/>
      <c r="AS1166"/>
      <c r="AT1166" s="48"/>
      <c r="AU1166" s="48"/>
      <c r="AV1166"/>
      <c r="AW1166" s="49"/>
      <c r="AX1166" s="49"/>
      <c r="AY1166" s="49"/>
      <c r="AZ1166" s="49"/>
      <c r="BA1166" s="49"/>
      <c r="BB1166" s="48"/>
      <c r="BC1166" s="48"/>
      <c r="BD1166" s="48"/>
      <c r="BE1166" s="48"/>
      <c r="BF1166" s="83"/>
    </row>
    <row r="1167" spans="42:58" ht="16" x14ac:dyDescent="0.35">
      <c r="AP1167"/>
      <c r="AQ1167" s="52"/>
      <c r="AR1167" s="52"/>
      <c r="AS1167"/>
      <c r="AT1167" s="52"/>
      <c r="AU1167" s="52"/>
      <c r="AV1167"/>
      <c r="AW1167" s="53"/>
      <c r="AX1167" s="53"/>
      <c r="AY1167" s="53"/>
      <c r="AZ1167" s="53"/>
      <c r="BA1167" s="53"/>
      <c r="BB1167" s="52"/>
      <c r="BC1167" s="52"/>
      <c r="BD1167" s="52"/>
      <c r="BE1167" s="52"/>
      <c r="BF1167" s="83"/>
    </row>
    <row r="1168" spans="42:58" ht="16" x14ac:dyDescent="0.35">
      <c r="AP1168"/>
      <c r="AQ1168" s="48"/>
      <c r="AR1168" s="48"/>
      <c r="AS1168"/>
      <c r="AT1168" s="48"/>
      <c r="AU1168" s="48"/>
      <c r="AV1168"/>
      <c r="AW1168" s="49"/>
      <c r="AX1168" s="49"/>
      <c r="AY1168" s="49"/>
      <c r="AZ1168" s="49"/>
      <c r="BA1168" s="49"/>
      <c r="BB1168" s="48"/>
      <c r="BC1168" s="48"/>
      <c r="BD1168" s="48"/>
      <c r="BE1168" s="48"/>
      <c r="BF1168" s="83"/>
    </row>
    <row r="1169" spans="42:58" ht="16" x14ac:dyDescent="0.35">
      <c r="AP1169"/>
      <c r="AQ1169" s="52"/>
      <c r="AR1169" s="52"/>
      <c r="AS1169"/>
      <c r="AT1169" s="52"/>
      <c r="AU1169" s="52"/>
      <c r="AV1169"/>
      <c r="AW1169" s="53"/>
      <c r="AX1169" s="53"/>
      <c r="AY1169" s="53"/>
      <c r="AZ1169" s="53"/>
      <c r="BA1169" s="53"/>
      <c r="BB1169" s="52"/>
      <c r="BC1169" s="52"/>
      <c r="BD1169" s="52"/>
      <c r="BE1169" s="52"/>
      <c r="BF1169" s="83"/>
    </row>
    <row r="1170" spans="42:58" ht="16" x14ac:dyDescent="0.35">
      <c r="AP1170"/>
      <c r="AQ1170" s="48"/>
      <c r="AR1170" s="48"/>
      <c r="AS1170"/>
      <c r="AT1170" s="48"/>
      <c r="AU1170" s="48"/>
      <c r="AV1170"/>
      <c r="AW1170" s="49"/>
      <c r="AX1170" s="49"/>
      <c r="AY1170" s="49"/>
      <c r="AZ1170" s="49"/>
      <c r="BA1170" s="49"/>
      <c r="BB1170" s="48"/>
      <c r="BC1170" s="48"/>
      <c r="BD1170" s="48"/>
      <c r="BE1170" s="48"/>
      <c r="BF1170" s="83"/>
    </row>
    <row r="1171" spans="42:58" ht="16" x14ac:dyDescent="0.35">
      <c r="AP1171"/>
      <c r="AQ1171" s="52"/>
      <c r="AR1171" s="52"/>
      <c r="AS1171"/>
      <c r="AT1171" s="52"/>
      <c r="AU1171" s="52"/>
      <c r="AV1171"/>
      <c r="AW1171" s="53"/>
      <c r="AX1171" s="53"/>
      <c r="AY1171" s="53"/>
      <c r="AZ1171" s="53"/>
      <c r="BA1171" s="53"/>
      <c r="BB1171" s="52"/>
      <c r="BC1171" s="52"/>
      <c r="BD1171" s="52"/>
      <c r="BE1171" s="52"/>
      <c r="BF1171" s="83"/>
    </row>
    <row r="1172" spans="42:58" ht="16" x14ac:dyDescent="0.35">
      <c r="AP1172"/>
      <c r="AQ1172" s="48"/>
      <c r="AR1172" s="48"/>
      <c r="AS1172"/>
      <c r="AT1172" s="48"/>
      <c r="AU1172" s="48"/>
      <c r="AV1172"/>
      <c r="AW1172" s="49"/>
      <c r="AX1172" s="49"/>
      <c r="AY1172" s="49"/>
      <c r="AZ1172" s="49"/>
      <c r="BA1172" s="49"/>
      <c r="BB1172" s="48"/>
      <c r="BC1172" s="48"/>
      <c r="BD1172" s="48"/>
      <c r="BE1172" s="48"/>
      <c r="BF1172" s="83"/>
    </row>
    <row r="1173" spans="42:58" ht="16" x14ac:dyDescent="0.35">
      <c r="AP1173"/>
      <c r="AQ1173" s="52"/>
      <c r="AR1173" s="52"/>
      <c r="AS1173"/>
      <c r="AT1173" s="52"/>
      <c r="AU1173" s="52"/>
      <c r="AV1173"/>
      <c r="AW1173" s="53"/>
      <c r="AX1173" s="53"/>
      <c r="AY1173" s="53"/>
      <c r="AZ1173" s="53"/>
      <c r="BA1173" s="53"/>
      <c r="BB1173" s="52"/>
      <c r="BC1173" s="52"/>
      <c r="BD1173" s="52"/>
      <c r="BE1173" s="52"/>
      <c r="BF1173" s="83"/>
    </row>
    <row r="1174" spans="42:58" ht="16" x14ac:dyDescent="0.35">
      <c r="AP1174"/>
      <c r="AQ1174" s="48"/>
      <c r="AR1174" s="48"/>
      <c r="AS1174"/>
      <c r="AT1174" s="48"/>
      <c r="AU1174" s="48"/>
      <c r="AV1174"/>
      <c r="AW1174" s="49"/>
      <c r="AX1174" s="49"/>
      <c r="AY1174" s="49"/>
      <c r="AZ1174" s="49"/>
      <c r="BA1174" s="49"/>
      <c r="BB1174" s="48"/>
      <c r="BC1174" s="48"/>
      <c r="BD1174" s="48"/>
      <c r="BE1174" s="48"/>
      <c r="BF1174" s="83"/>
    </row>
    <row r="1175" spans="42:58" ht="16" x14ac:dyDescent="0.35">
      <c r="AP1175"/>
      <c r="AQ1175" s="52"/>
      <c r="AR1175" s="52"/>
      <c r="AS1175"/>
      <c r="AT1175" s="52"/>
      <c r="AU1175" s="52"/>
      <c r="AV1175"/>
      <c r="AW1175" s="53"/>
      <c r="AX1175" s="53"/>
      <c r="AY1175" s="53"/>
      <c r="AZ1175" s="53"/>
      <c r="BA1175" s="53"/>
      <c r="BB1175" s="52"/>
      <c r="BC1175" s="52"/>
      <c r="BD1175" s="52"/>
      <c r="BE1175" s="52"/>
      <c r="BF1175" s="83"/>
    </row>
    <row r="1176" spans="42:58" ht="16" x14ac:dyDescent="0.35">
      <c r="AP1176"/>
      <c r="AQ1176" s="48"/>
      <c r="AR1176" s="48"/>
      <c r="AS1176"/>
      <c r="AT1176" s="48"/>
      <c r="AU1176" s="48"/>
      <c r="AV1176"/>
      <c r="AW1176" s="49"/>
      <c r="AX1176" s="49"/>
      <c r="AY1176" s="49"/>
      <c r="AZ1176" s="49"/>
      <c r="BA1176" s="49"/>
      <c r="BB1176" s="48"/>
      <c r="BC1176" s="48"/>
      <c r="BD1176" s="48"/>
      <c r="BE1176" s="48"/>
      <c r="BF1176" s="83"/>
    </row>
    <row r="1177" spans="42:58" ht="16" x14ac:dyDescent="0.35">
      <c r="AP1177"/>
      <c r="AQ1177" s="52"/>
      <c r="AR1177" s="52"/>
      <c r="AS1177"/>
      <c r="AT1177" s="52"/>
      <c r="AU1177" s="52"/>
      <c r="AV1177"/>
      <c r="AW1177" s="53"/>
      <c r="AX1177" s="53"/>
      <c r="AY1177" s="53"/>
      <c r="AZ1177" s="53"/>
      <c r="BA1177" s="53"/>
      <c r="BB1177" s="52"/>
      <c r="BC1177" s="52"/>
      <c r="BD1177" s="52"/>
      <c r="BE1177" s="52"/>
      <c r="BF1177" s="83"/>
    </row>
    <row r="1178" spans="42:58" ht="16" x14ac:dyDescent="0.35">
      <c r="AP1178"/>
      <c r="AQ1178" s="48"/>
      <c r="AR1178" s="48"/>
      <c r="AS1178"/>
      <c r="AT1178" s="48"/>
      <c r="AU1178" s="48"/>
      <c r="AV1178"/>
      <c r="AW1178" s="49"/>
      <c r="AX1178" s="49"/>
      <c r="AY1178" s="49"/>
      <c r="AZ1178" s="49"/>
      <c r="BA1178" s="49"/>
      <c r="BB1178" s="48"/>
      <c r="BC1178" s="48"/>
      <c r="BD1178" s="48"/>
      <c r="BE1178" s="48"/>
      <c r="BF1178" s="83"/>
    </row>
    <row r="1179" spans="42:58" ht="16" x14ac:dyDescent="0.35">
      <c r="AP1179"/>
      <c r="AQ1179" s="52"/>
      <c r="AR1179" s="52"/>
      <c r="AS1179"/>
      <c r="AT1179" s="52"/>
      <c r="AU1179" s="52"/>
      <c r="AV1179"/>
      <c r="AW1179" s="53"/>
      <c r="AX1179" s="53"/>
      <c r="AY1179" s="53"/>
      <c r="AZ1179" s="53"/>
      <c r="BA1179" s="53"/>
      <c r="BB1179" s="52"/>
      <c r="BC1179" s="52"/>
      <c r="BD1179" s="52"/>
      <c r="BE1179" s="52"/>
      <c r="BF1179" s="83"/>
    </row>
    <row r="1180" spans="42:58" ht="16" x14ac:dyDescent="0.35">
      <c r="AP1180"/>
      <c r="AQ1180" s="48"/>
      <c r="AR1180" s="48"/>
      <c r="AS1180"/>
      <c r="AT1180" s="48"/>
      <c r="AU1180" s="48"/>
      <c r="AV1180"/>
      <c r="AW1180" s="49"/>
      <c r="AX1180" s="49"/>
      <c r="AY1180" s="49"/>
      <c r="AZ1180" s="49"/>
      <c r="BA1180" s="49"/>
      <c r="BB1180" s="48"/>
      <c r="BC1180" s="48"/>
      <c r="BD1180" s="48"/>
      <c r="BE1180" s="48"/>
      <c r="BF1180" s="83"/>
    </row>
    <row r="1181" spans="42:58" ht="16" x14ac:dyDescent="0.35">
      <c r="AP1181"/>
      <c r="AQ1181" s="52"/>
      <c r="AR1181" s="52"/>
      <c r="AS1181"/>
      <c r="AT1181" s="52"/>
      <c r="AU1181" s="52"/>
      <c r="AV1181"/>
      <c r="AW1181" s="53"/>
      <c r="AX1181" s="53"/>
      <c r="AY1181" s="53"/>
      <c r="AZ1181" s="53"/>
      <c r="BA1181" s="53"/>
      <c r="BB1181" s="52"/>
      <c r="BC1181" s="52"/>
      <c r="BD1181" s="52"/>
      <c r="BE1181" s="52"/>
      <c r="BF1181" s="83"/>
    </row>
    <row r="1182" spans="42:58" ht="16" x14ac:dyDescent="0.35">
      <c r="AP1182"/>
      <c r="AQ1182" s="48"/>
      <c r="AR1182" s="48"/>
      <c r="AS1182"/>
      <c r="AT1182" s="48"/>
      <c r="AU1182" s="48"/>
      <c r="AV1182"/>
      <c r="AW1182" s="49"/>
      <c r="AX1182" s="49"/>
      <c r="AY1182" s="49"/>
      <c r="AZ1182" s="49"/>
      <c r="BA1182" s="49"/>
      <c r="BB1182" s="48"/>
      <c r="BC1182" s="48"/>
      <c r="BD1182" s="48"/>
      <c r="BE1182" s="48"/>
      <c r="BF1182" s="83"/>
    </row>
    <row r="1183" spans="42:58" ht="16" x14ac:dyDescent="0.35">
      <c r="AP1183"/>
      <c r="AQ1183" s="52"/>
      <c r="AR1183" s="52"/>
      <c r="AS1183"/>
      <c r="AT1183" s="52"/>
      <c r="AU1183" s="52"/>
      <c r="AV1183"/>
      <c r="AW1183" s="53"/>
      <c r="AX1183" s="53"/>
      <c r="AY1183" s="53"/>
      <c r="AZ1183" s="53"/>
      <c r="BA1183" s="53"/>
      <c r="BB1183" s="52"/>
      <c r="BC1183" s="52"/>
      <c r="BD1183" s="52"/>
      <c r="BE1183" s="52"/>
      <c r="BF1183" s="83"/>
    </row>
    <row r="1184" spans="42:58" ht="16" x14ac:dyDescent="0.35">
      <c r="AP1184"/>
      <c r="AQ1184" s="48"/>
      <c r="AR1184" s="48"/>
      <c r="AS1184"/>
      <c r="AT1184" s="48"/>
      <c r="AU1184" s="48"/>
      <c r="AV1184"/>
      <c r="AW1184" s="49"/>
      <c r="AX1184" s="49"/>
      <c r="AY1184" s="49"/>
      <c r="AZ1184" s="49"/>
      <c r="BA1184" s="49"/>
      <c r="BB1184" s="48"/>
      <c r="BC1184" s="48"/>
      <c r="BD1184" s="48"/>
      <c r="BE1184" s="48"/>
      <c r="BF1184" s="83"/>
    </row>
    <row r="1185" spans="42:58" ht="16" x14ac:dyDescent="0.35">
      <c r="AP1185"/>
      <c r="AQ1185" s="52"/>
      <c r="AR1185" s="52"/>
      <c r="AS1185"/>
      <c r="AT1185" s="52"/>
      <c r="AU1185" s="52"/>
      <c r="AV1185"/>
      <c r="AW1185" s="53"/>
      <c r="AX1185" s="53"/>
      <c r="AY1185" s="53"/>
      <c r="AZ1185" s="53"/>
      <c r="BA1185" s="53"/>
      <c r="BB1185" s="52"/>
      <c r="BC1185" s="52"/>
      <c r="BD1185" s="52"/>
      <c r="BE1185" s="52"/>
      <c r="BF1185" s="83"/>
    </row>
    <row r="1186" spans="42:58" ht="16" x14ac:dyDescent="0.35">
      <c r="AP1186"/>
      <c r="AQ1186" s="48"/>
      <c r="AR1186" s="48"/>
      <c r="AS1186"/>
      <c r="AT1186" s="48"/>
      <c r="AU1186" s="48"/>
      <c r="AV1186"/>
      <c r="AW1186" s="49"/>
      <c r="AX1186" s="49"/>
      <c r="AY1186" s="49"/>
      <c r="AZ1186" s="49"/>
      <c r="BA1186" s="49"/>
      <c r="BB1186" s="48"/>
      <c r="BC1186" s="48"/>
      <c r="BD1186" s="48"/>
      <c r="BE1186" s="48"/>
      <c r="BF1186" s="83"/>
    </row>
    <row r="1187" spans="42:58" ht="16" x14ac:dyDescent="0.35">
      <c r="AP1187"/>
      <c r="AQ1187" s="52"/>
      <c r="AR1187" s="52"/>
      <c r="AS1187"/>
      <c r="AT1187" s="52"/>
      <c r="AU1187" s="52"/>
      <c r="AV1187"/>
      <c r="AW1187" s="53"/>
      <c r="AX1187" s="53"/>
      <c r="AY1187" s="53"/>
      <c r="AZ1187" s="53"/>
      <c r="BA1187" s="53"/>
      <c r="BB1187" s="52"/>
      <c r="BC1187" s="52"/>
      <c r="BD1187" s="52"/>
      <c r="BE1187" s="52"/>
      <c r="BF1187" s="83"/>
    </row>
    <row r="1188" spans="42:58" x14ac:dyDescent="0.35">
      <c r="AP1188" s="92"/>
      <c r="AQ1188" s="67"/>
      <c r="AR1188" s="67"/>
      <c r="AS1188" s="73"/>
      <c r="AT1188" s="67"/>
      <c r="AU1188" s="67"/>
      <c r="AV1188" s="73"/>
      <c r="AW1188" s="68"/>
      <c r="AX1188" s="68"/>
      <c r="AY1188" s="68"/>
      <c r="AZ1188" s="68"/>
      <c r="BA1188" s="68"/>
      <c r="BB1188" s="67"/>
      <c r="BC1188" s="67"/>
      <c r="BD1188" s="67"/>
      <c r="BE1188" s="67"/>
      <c r="BF1188" s="95"/>
    </row>
    <row r="1189" spans="42:58" x14ac:dyDescent="0.35">
      <c r="AP1189" s="93"/>
      <c r="AQ1189" s="31"/>
      <c r="AR1189" s="31"/>
      <c r="AS1189" s="94"/>
      <c r="AT1189" s="31"/>
      <c r="AU1189" s="31"/>
      <c r="AV1189" s="94"/>
      <c r="AW1189" s="32"/>
      <c r="AX1189" s="32"/>
      <c r="AY1189" s="32"/>
      <c r="AZ1189" s="32"/>
      <c r="BA1189" s="32"/>
      <c r="BB1189" s="31"/>
      <c r="BC1189" s="31"/>
      <c r="BD1189" s="31"/>
      <c r="BE1189" s="31"/>
      <c r="BF1189" s="96"/>
    </row>
    <row r="1190" spans="42:58" x14ac:dyDescent="0.35">
      <c r="AP1190" s="92"/>
      <c r="AQ1190" s="67"/>
      <c r="AR1190" s="67"/>
      <c r="AS1190" s="73"/>
      <c r="AT1190" s="67"/>
      <c r="AU1190" s="67"/>
      <c r="AV1190" s="73"/>
      <c r="AW1190" s="68"/>
      <c r="AX1190" s="68"/>
      <c r="AY1190" s="68"/>
      <c r="AZ1190" s="68"/>
      <c r="BA1190" s="68"/>
      <c r="BB1190" s="67"/>
      <c r="BC1190" s="67"/>
      <c r="BD1190" s="67"/>
      <c r="BE1190" s="67"/>
      <c r="BF1190" s="95"/>
    </row>
    <row r="1191" spans="42:58" x14ac:dyDescent="0.35">
      <c r="AP1191" s="93"/>
      <c r="AQ1191" s="31"/>
      <c r="AR1191" s="31"/>
      <c r="AS1191" s="94"/>
      <c r="AT1191" s="31"/>
      <c r="AU1191" s="31"/>
      <c r="AV1191" s="94"/>
      <c r="AW1191" s="32"/>
      <c r="AX1191" s="32"/>
      <c r="AY1191" s="32"/>
      <c r="AZ1191" s="32"/>
      <c r="BA1191" s="32"/>
      <c r="BB1191" s="31"/>
      <c r="BC1191" s="31"/>
      <c r="BD1191" s="31"/>
      <c r="BE1191" s="31"/>
      <c r="BF1191" s="96"/>
    </row>
    <row r="1192" spans="42:58" x14ac:dyDescent="0.35">
      <c r="AP1192" s="92"/>
      <c r="AQ1192" s="67"/>
      <c r="AR1192" s="67"/>
      <c r="AS1192" s="73"/>
      <c r="AT1192" s="67"/>
      <c r="AU1192" s="67"/>
      <c r="AV1192" s="73"/>
      <c r="AW1192" s="68"/>
      <c r="AX1192" s="68"/>
      <c r="AY1192" s="68"/>
      <c r="AZ1192" s="68"/>
      <c r="BA1192" s="68"/>
      <c r="BB1192" s="67"/>
      <c r="BC1192" s="67"/>
      <c r="BD1192" s="67"/>
      <c r="BE1192" s="67"/>
      <c r="BF1192" s="95"/>
    </row>
    <row r="1193" spans="42:58" x14ac:dyDescent="0.35">
      <c r="AP1193" s="93"/>
      <c r="AQ1193" s="31"/>
      <c r="AR1193" s="31"/>
      <c r="AS1193" s="94"/>
      <c r="AT1193" s="31"/>
      <c r="AU1193" s="31"/>
      <c r="AV1193" s="94"/>
      <c r="AW1193" s="32"/>
      <c r="AX1193" s="32"/>
      <c r="AY1193" s="32"/>
      <c r="AZ1193" s="32"/>
      <c r="BA1193" s="32"/>
      <c r="BB1193" s="31"/>
      <c r="BC1193" s="31"/>
      <c r="BD1193" s="31"/>
      <c r="BE1193" s="31"/>
      <c r="BF1193" s="96"/>
    </row>
    <row r="1194" spans="42:58" x14ac:dyDescent="0.35">
      <c r="AP1194" s="92"/>
      <c r="AQ1194" s="67"/>
      <c r="AR1194" s="67"/>
      <c r="AS1194" s="73"/>
      <c r="AT1194" s="67"/>
      <c r="AU1194" s="67"/>
      <c r="AV1194" s="73"/>
      <c r="AW1194" s="68"/>
      <c r="AX1194" s="68"/>
      <c r="AY1194" s="68"/>
      <c r="AZ1194" s="68"/>
      <c r="BA1194" s="68"/>
      <c r="BB1194" s="67"/>
      <c r="BC1194" s="67"/>
      <c r="BD1194" s="67"/>
      <c r="BE1194" s="67"/>
      <c r="BF1194" s="95"/>
    </row>
    <row r="1195" spans="42:58" x14ac:dyDescent="0.35">
      <c r="AP1195" s="93"/>
      <c r="AQ1195" s="31"/>
      <c r="AR1195" s="31"/>
      <c r="AS1195" s="94"/>
      <c r="AT1195" s="31"/>
      <c r="AU1195" s="31"/>
      <c r="AV1195" s="94"/>
      <c r="AW1195" s="32"/>
      <c r="AX1195" s="32"/>
      <c r="AY1195" s="32"/>
      <c r="AZ1195" s="32"/>
      <c r="BA1195" s="32"/>
      <c r="BB1195" s="31"/>
      <c r="BC1195" s="31"/>
      <c r="BD1195" s="31"/>
      <c r="BE1195" s="31"/>
      <c r="BF1195" s="96"/>
    </row>
    <row r="1196" spans="42:58" x14ac:dyDescent="0.35">
      <c r="AP1196" s="92"/>
      <c r="AQ1196" s="67"/>
      <c r="AR1196" s="67"/>
      <c r="AS1196" s="73"/>
      <c r="AT1196" s="67"/>
      <c r="AU1196" s="67"/>
      <c r="AV1196" s="73"/>
      <c r="AW1196" s="68"/>
      <c r="AX1196" s="68"/>
      <c r="AY1196" s="68"/>
      <c r="AZ1196" s="68"/>
      <c r="BA1196" s="68"/>
      <c r="BB1196" s="67"/>
      <c r="BC1196" s="67"/>
      <c r="BD1196" s="67"/>
      <c r="BE1196" s="67"/>
      <c r="BF1196" s="95"/>
    </row>
    <row r="1197" spans="42:58" x14ac:dyDescent="0.35">
      <c r="AP1197" s="93"/>
      <c r="AQ1197" s="31"/>
      <c r="AR1197" s="31"/>
      <c r="AS1197" s="94"/>
      <c r="AT1197" s="31"/>
      <c r="AU1197" s="31"/>
      <c r="AV1197" s="94"/>
      <c r="AW1197" s="32"/>
      <c r="AX1197" s="32"/>
      <c r="AY1197" s="32"/>
      <c r="AZ1197" s="32"/>
      <c r="BA1197" s="32"/>
      <c r="BB1197" s="31"/>
      <c r="BC1197" s="31"/>
      <c r="BD1197" s="31"/>
      <c r="BE1197" s="31"/>
      <c r="BF1197" s="96"/>
    </row>
    <row r="1198" spans="42:58" x14ac:dyDescent="0.35">
      <c r="AP1198" s="92"/>
      <c r="AQ1198" s="67"/>
      <c r="AR1198" s="67"/>
      <c r="AS1198" s="73"/>
      <c r="AT1198" s="67"/>
      <c r="AU1198" s="67"/>
      <c r="AV1198" s="73"/>
      <c r="AW1198" s="68"/>
      <c r="AX1198" s="68"/>
      <c r="AY1198" s="68"/>
      <c r="AZ1198" s="68"/>
      <c r="BA1198" s="68"/>
      <c r="BB1198" s="67"/>
      <c r="BC1198" s="67"/>
      <c r="BD1198" s="67"/>
      <c r="BE1198" s="67"/>
      <c r="BF1198" s="95"/>
    </row>
    <row r="1199" spans="42:58" x14ac:dyDescent="0.35">
      <c r="AP1199" s="93"/>
      <c r="AQ1199" s="31"/>
      <c r="AR1199" s="31"/>
      <c r="AS1199" s="94"/>
      <c r="AT1199" s="31"/>
      <c r="AU1199" s="31"/>
      <c r="AV1199" s="94"/>
      <c r="AW1199" s="32"/>
      <c r="AX1199" s="32"/>
      <c r="AY1199" s="32"/>
      <c r="AZ1199" s="32"/>
      <c r="BA1199" s="32"/>
      <c r="BB1199" s="31"/>
      <c r="BC1199" s="31"/>
      <c r="BD1199" s="31"/>
      <c r="BE1199" s="31"/>
      <c r="BF1199" s="96"/>
    </row>
    <row r="1200" spans="42:58" x14ac:dyDescent="0.35">
      <c r="AP1200" s="92"/>
      <c r="AQ1200" s="67"/>
      <c r="AR1200" s="67"/>
      <c r="AS1200" s="73"/>
      <c r="AT1200" s="67"/>
      <c r="AU1200" s="67"/>
      <c r="AV1200" s="73"/>
      <c r="AW1200" s="68"/>
      <c r="AX1200" s="68"/>
      <c r="AY1200" s="68"/>
      <c r="AZ1200" s="68"/>
      <c r="BA1200" s="68"/>
      <c r="BB1200" s="67"/>
      <c r="BC1200" s="67"/>
      <c r="BD1200" s="67"/>
      <c r="BE1200" s="67"/>
      <c r="BF1200" s="95"/>
    </row>
    <row r="1201" spans="42:58" x14ac:dyDescent="0.35">
      <c r="AP1201" s="93"/>
      <c r="AQ1201" s="31"/>
      <c r="AR1201" s="31"/>
      <c r="AS1201" s="94"/>
      <c r="AT1201" s="31"/>
      <c r="AU1201" s="31"/>
      <c r="AV1201" s="94"/>
      <c r="AW1201" s="32"/>
      <c r="AX1201" s="32"/>
      <c r="AY1201" s="32"/>
      <c r="AZ1201" s="32"/>
      <c r="BA1201" s="32"/>
      <c r="BB1201" s="31"/>
      <c r="BC1201" s="31"/>
      <c r="BD1201" s="31"/>
      <c r="BE1201" s="31"/>
      <c r="BF1201" s="96"/>
    </row>
    <row r="1202" spans="42:58" x14ac:dyDescent="0.35">
      <c r="AP1202" s="92"/>
      <c r="AQ1202" s="67"/>
      <c r="AR1202" s="67"/>
      <c r="AS1202" s="73"/>
      <c r="AT1202" s="67"/>
      <c r="AU1202" s="67"/>
      <c r="AV1202" s="73"/>
      <c r="AW1202" s="68"/>
      <c r="AX1202" s="68"/>
      <c r="AY1202" s="68"/>
      <c r="AZ1202" s="68"/>
      <c r="BA1202" s="68"/>
      <c r="BB1202" s="67"/>
      <c r="BC1202" s="67"/>
      <c r="BD1202" s="67"/>
      <c r="BE1202" s="67"/>
      <c r="BF1202" s="95"/>
    </row>
    <row r="1203" spans="42:58" x14ac:dyDescent="0.35">
      <c r="AP1203" s="93"/>
      <c r="AQ1203" s="31"/>
      <c r="AR1203" s="31"/>
      <c r="AS1203" s="94"/>
      <c r="AT1203" s="31"/>
      <c r="AU1203" s="31"/>
      <c r="AV1203" s="94"/>
      <c r="AW1203" s="32"/>
      <c r="AX1203" s="32"/>
      <c r="AY1203" s="32"/>
      <c r="AZ1203" s="32"/>
      <c r="BA1203" s="32"/>
      <c r="BB1203" s="31"/>
      <c r="BC1203" s="31"/>
      <c r="BD1203" s="31"/>
      <c r="BE1203" s="31"/>
      <c r="BF1203" s="96"/>
    </row>
    <row r="1204" spans="42:58" x14ac:dyDescent="0.35">
      <c r="AP1204" s="92"/>
      <c r="AQ1204" s="67"/>
      <c r="AR1204" s="67"/>
      <c r="AS1204" s="73"/>
      <c r="AT1204" s="67"/>
      <c r="AU1204" s="67"/>
      <c r="AV1204" s="73"/>
      <c r="AW1204" s="68"/>
      <c r="AX1204" s="68"/>
      <c r="AY1204" s="68"/>
      <c r="AZ1204" s="68"/>
      <c r="BA1204" s="68"/>
      <c r="BB1204" s="67"/>
      <c r="BC1204" s="67"/>
      <c r="BD1204" s="67"/>
      <c r="BE1204" s="67"/>
      <c r="BF1204" s="95"/>
    </row>
    <row r="1205" spans="42:58" x14ac:dyDescent="0.35">
      <c r="AP1205" s="93"/>
      <c r="AQ1205" s="31"/>
      <c r="AR1205" s="31"/>
      <c r="AS1205" s="94"/>
      <c r="AT1205" s="31"/>
      <c r="AU1205" s="31"/>
      <c r="AV1205" s="94"/>
      <c r="AW1205" s="32"/>
      <c r="AX1205" s="32"/>
      <c r="AY1205" s="32"/>
      <c r="AZ1205" s="32"/>
      <c r="BA1205" s="32"/>
      <c r="BB1205" s="31"/>
      <c r="BC1205" s="31"/>
      <c r="BD1205" s="31"/>
      <c r="BE1205" s="31"/>
      <c r="BF1205" s="96"/>
    </row>
    <row r="1206" spans="42:58" x14ac:dyDescent="0.35">
      <c r="AP1206" s="92"/>
      <c r="AQ1206" s="67"/>
      <c r="AR1206" s="67"/>
      <c r="AS1206" s="73"/>
      <c r="AT1206" s="67"/>
      <c r="AU1206" s="67"/>
      <c r="AV1206" s="73"/>
      <c r="AW1206" s="68"/>
      <c r="AX1206" s="68"/>
      <c r="AY1206" s="68"/>
      <c r="AZ1206" s="68"/>
      <c r="BA1206" s="68"/>
      <c r="BB1206" s="67"/>
      <c r="BC1206" s="67"/>
      <c r="BD1206" s="67"/>
      <c r="BE1206" s="67"/>
      <c r="BF1206" s="95"/>
    </row>
    <row r="1207" spans="42:58" x14ac:dyDescent="0.35">
      <c r="AP1207" s="93"/>
      <c r="AQ1207" s="31"/>
      <c r="AR1207" s="31"/>
      <c r="AS1207" s="94"/>
      <c r="AT1207" s="31"/>
      <c r="AU1207" s="31"/>
      <c r="AV1207" s="94"/>
      <c r="AW1207" s="32"/>
      <c r="AX1207" s="32"/>
      <c r="AY1207" s="32"/>
      <c r="AZ1207" s="32"/>
      <c r="BA1207" s="32"/>
      <c r="BB1207" s="31"/>
      <c r="BC1207" s="31"/>
      <c r="BD1207" s="31"/>
      <c r="BE1207" s="31"/>
      <c r="BF1207" s="96"/>
    </row>
    <row r="1208" spans="42:58" x14ac:dyDescent="0.35">
      <c r="AP1208" s="92"/>
      <c r="AQ1208" s="67"/>
      <c r="AR1208" s="67"/>
      <c r="AS1208" s="73"/>
      <c r="AT1208" s="67"/>
      <c r="AU1208" s="67"/>
      <c r="AV1208" s="73"/>
      <c r="AW1208" s="68"/>
      <c r="AX1208" s="68"/>
      <c r="AY1208" s="68"/>
      <c r="AZ1208" s="68"/>
      <c r="BA1208" s="68"/>
      <c r="BB1208" s="67"/>
      <c r="BC1208" s="67"/>
      <c r="BD1208" s="67"/>
      <c r="BE1208" s="67"/>
      <c r="BF1208" s="95"/>
    </row>
    <row r="1209" spans="42:58" x14ac:dyDescent="0.35">
      <c r="AP1209" s="93"/>
      <c r="AQ1209" s="31"/>
      <c r="AR1209" s="31"/>
      <c r="AS1209" s="94"/>
      <c r="AT1209" s="31"/>
      <c r="AU1209" s="31"/>
      <c r="AV1209" s="94"/>
      <c r="AW1209" s="32"/>
      <c r="AX1209" s="32"/>
      <c r="AY1209" s="32"/>
      <c r="AZ1209" s="32"/>
      <c r="BA1209" s="32"/>
      <c r="BB1209" s="31"/>
      <c r="BC1209" s="31"/>
      <c r="BD1209" s="31"/>
      <c r="BE1209" s="31"/>
      <c r="BF1209" s="96"/>
    </row>
    <row r="1210" spans="42:58" x14ac:dyDescent="0.35">
      <c r="AP1210" s="92"/>
      <c r="AQ1210" s="67"/>
      <c r="AR1210" s="67"/>
      <c r="AS1210" s="73"/>
      <c r="AT1210" s="67"/>
      <c r="AU1210" s="67"/>
      <c r="AV1210" s="73"/>
      <c r="AW1210" s="68"/>
      <c r="AX1210" s="68"/>
      <c r="AY1210" s="68"/>
      <c r="AZ1210" s="68"/>
      <c r="BA1210" s="68"/>
      <c r="BB1210" s="67"/>
      <c r="BC1210" s="67"/>
      <c r="BD1210" s="67"/>
      <c r="BE1210" s="67"/>
      <c r="BF1210" s="95"/>
    </row>
    <row r="1211" spans="42:58" x14ac:dyDescent="0.35">
      <c r="AP1211" s="93"/>
      <c r="AQ1211" s="31"/>
      <c r="AR1211" s="31"/>
      <c r="AS1211" s="94"/>
      <c r="AT1211" s="31"/>
      <c r="AU1211" s="31"/>
      <c r="AV1211" s="94"/>
      <c r="AW1211" s="32"/>
      <c r="AX1211" s="32"/>
      <c r="AY1211" s="32"/>
      <c r="AZ1211" s="32"/>
      <c r="BA1211" s="32"/>
      <c r="BB1211" s="31"/>
      <c r="BC1211" s="31"/>
      <c r="BD1211" s="31"/>
      <c r="BE1211" s="31"/>
      <c r="BF1211" s="96"/>
    </row>
    <row r="1212" spans="42:58" x14ac:dyDescent="0.35">
      <c r="AP1212" s="92"/>
      <c r="AQ1212" s="67"/>
      <c r="AR1212" s="67"/>
      <c r="AS1212" s="73"/>
      <c r="AT1212" s="67"/>
      <c r="AU1212" s="67"/>
      <c r="AV1212" s="73"/>
      <c r="AW1212" s="68"/>
      <c r="AX1212" s="68"/>
      <c r="AY1212" s="68"/>
      <c r="AZ1212" s="68"/>
      <c r="BA1212" s="68"/>
      <c r="BB1212" s="67"/>
      <c r="BC1212" s="67"/>
      <c r="BD1212" s="67"/>
      <c r="BE1212" s="67"/>
      <c r="BF1212" s="95"/>
    </row>
    <row r="1213" spans="42:58" x14ac:dyDescent="0.35">
      <c r="AP1213" s="93"/>
      <c r="AQ1213" s="31"/>
      <c r="AR1213" s="31"/>
      <c r="AS1213" s="94"/>
      <c r="AT1213" s="31"/>
      <c r="AU1213" s="31"/>
      <c r="AV1213" s="94"/>
      <c r="AW1213" s="32"/>
      <c r="AX1213" s="32"/>
      <c r="AY1213" s="32"/>
      <c r="AZ1213" s="32"/>
      <c r="BA1213" s="32"/>
      <c r="BB1213" s="31"/>
      <c r="BC1213" s="31"/>
      <c r="BD1213" s="31"/>
      <c r="BE1213" s="31"/>
      <c r="BF1213" s="96"/>
    </row>
    <row r="1214" spans="42:58" x14ac:dyDescent="0.35">
      <c r="AP1214" s="92"/>
      <c r="AQ1214" s="67"/>
      <c r="AR1214" s="67"/>
      <c r="AS1214" s="73"/>
      <c r="AT1214" s="67"/>
      <c r="AU1214" s="67"/>
      <c r="AV1214" s="73"/>
      <c r="AW1214" s="68"/>
      <c r="AX1214" s="68"/>
      <c r="AY1214" s="68"/>
      <c r="AZ1214" s="68"/>
      <c r="BA1214" s="68"/>
      <c r="BB1214" s="67"/>
      <c r="BC1214" s="67"/>
      <c r="BD1214" s="67"/>
      <c r="BE1214" s="67"/>
      <c r="BF1214" s="95"/>
    </row>
    <row r="1215" spans="42:58" x14ac:dyDescent="0.35">
      <c r="AP1215" s="93"/>
      <c r="AQ1215" s="31"/>
      <c r="AR1215" s="31"/>
      <c r="AS1215" s="94"/>
      <c r="AT1215" s="31"/>
      <c r="AU1215" s="31"/>
      <c r="AV1215" s="94"/>
      <c r="AW1215" s="32"/>
      <c r="AX1215" s="32"/>
      <c r="AY1215" s="32"/>
      <c r="AZ1215" s="32"/>
      <c r="BA1215" s="32"/>
      <c r="BB1215" s="31"/>
      <c r="BC1215" s="31"/>
      <c r="BD1215" s="31"/>
      <c r="BE1215" s="31"/>
      <c r="BF1215" s="96"/>
    </row>
    <row r="1216" spans="42:58" x14ac:dyDescent="0.35">
      <c r="AP1216" s="92"/>
      <c r="AQ1216" s="67"/>
      <c r="AR1216" s="67"/>
      <c r="AS1216" s="73"/>
      <c r="AT1216" s="67"/>
      <c r="AU1216" s="67"/>
      <c r="AV1216" s="73"/>
      <c r="AW1216" s="68"/>
      <c r="AX1216" s="68"/>
      <c r="AY1216" s="68"/>
      <c r="AZ1216" s="68"/>
      <c r="BA1216" s="68"/>
      <c r="BB1216" s="67"/>
      <c r="BC1216" s="67"/>
      <c r="BD1216" s="67"/>
      <c r="BE1216" s="67"/>
      <c r="BF1216" s="95"/>
    </row>
    <row r="1217" spans="42:58" x14ac:dyDescent="0.35">
      <c r="AP1217" s="93"/>
      <c r="AQ1217" s="31"/>
      <c r="AR1217" s="31"/>
      <c r="AS1217" s="94"/>
      <c r="AT1217" s="31"/>
      <c r="AU1217" s="31"/>
      <c r="AV1217" s="94"/>
      <c r="AW1217" s="32"/>
      <c r="AX1217" s="32"/>
      <c r="AY1217" s="32"/>
      <c r="AZ1217" s="32"/>
      <c r="BA1217" s="32"/>
      <c r="BB1217" s="31"/>
      <c r="BC1217" s="31"/>
      <c r="BD1217" s="31"/>
      <c r="BE1217" s="31"/>
      <c r="BF1217" s="96"/>
    </row>
    <row r="1218" spans="42:58" x14ac:dyDescent="0.35">
      <c r="AP1218" s="92"/>
      <c r="AQ1218" s="67"/>
      <c r="AR1218" s="67"/>
      <c r="AS1218" s="73"/>
      <c r="AT1218" s="67"/>
      <c r="AU1218" s="67"/>
      <c r="AV1218" s="73"/>
      <c r="AW1218" s="68"/>
      <c r="AX1218" s="68"/>
      <c r="AY1218" s="68"/>
      <c r="AZ1218" s="68"/>
      <c r="BA1218" s="68"/>
      <c r="BB1218" s="67"/>
      <c r="BC1218" s="67"/>
      <c r="BD1218" s="67"/>
      <c r="BE1218" s="67"/>
      <c r="BF1218" s="95"/>
    </row>
    <row r="1219" spans="42:58" x14ac:dyDescent="0.35">
      <c r="AP1219" s="93"/>
      <c r="AQ1219" s="31"/>
      <c r="AR1219" s="31"/>
      <c r="AS1219" s="94"/>
      <c r="AT1219" s="31"/>
      <c r="AU1219" s="31"/>
      <c r="AV1219" s="94"/>
      <c r="AW1219" s="32"/>
      <c r="AX1219" s="32"/>
      <c r="AY1219" s="32"/>
      <c r="AZ1219" s="32"/>
      <c r="BA1219" s="32"/>
      <c r="BB1219" s="31"/>
      <c r="BC1219" s="31"/>
      <c r="BD1219" s="31"/>
      <c r="BE1219" s="31"/>
      <c r="BF1219" s="96"/>
    </row>
    <row r="1220" spans="42:58" x14ac:dyDescent="0.35">
      <c r="AP1220" s="92"/>
      <c r="AQ1220" s="67"/>
      <c r="AR1220" s="67"/>
      <c r="AS1220" s="73"/>
      <c r="AT1220" s="67"/>
      <c r="AU1220" s="67"/>
      <c r="AV1220" s="73"/>
      <c r="AW1220" s="68"/>
      <c r="AX1220" s="68"/>
      <c r="AY1220" s="68"/>
      <c r="AZ1220" s="68"/>
      <c r="BA1220" s="68"/>
      <c r="BB1220" s="67"/>
      <c r="BC1220" s="67"/>
      <c r="BD1220" s="67"/>
      <c r="BE1220" s="67"/>
      <c r="BF1220" s="95"/>
    </row>
    <row r="1221" spans="42:58" x14ac:dyDescent="0.35">
      <c r="AP1221" s="93"/>
      <c r="AQ1221" s="31"/>
      <c r="AR1221" s="31"/>
      <c r="AS1221" s="94"/>
      <c r="AT1221" s="31"/>
      <c r="AU1221" s="31"/>
      <c r="AV1221" s="94"/>
      <c r="AW1221" s="32"/>
      <c r="AX1221" s="32"/>
      <c r="AY1221" s="32"/>
      <c r="AZ1221" s="32"/>
      <c r="BA1221" s="32"/>
      <c r="BB1221" s="31"/>
      <c r="BC1221" s="31"/>
      <c r="BD1221" s="31"/>
      <c r="BE1221" s="31"/>
      <c r="BF1221" s="96"/>
    </row>
    <row r="1222" spans="42:58" x14ac:dyDescent="0.35">
      <c r="AP1222" s="92"/>
      <c r="AQ1222" s="67"/>
      <c r="AR1222" s="67"/>
      <c r="AS1222" s="73"/>
      <c r="AT1222" s="67"/>
      <c r="AU1222" s="67"/>
      <c r="AV1222" s="73"/>
      <c r="AW1222" s="68"/>
      <c r="AX1222" s="68"/>
      <c r="AY1222" s="68"/>
      <c r="AZ1222" s="68"/>
      <c r="BA1222" s="68"/>
      <c r="BB1222" s="67"/>
      <c r="BC1222" s="67"/>
      <c r="BD1222" s="67"/>
      <c r="BE1222" s="67"/>
      <c r="BF1222" s="95"/>
    </row>
    <row r="1223" spans="42:58" x14ac:dyDescent="0.35">
      <c r="AP1223" s="93"/>
      <c r="AQ1223" s="31"/>
      <c r="AR1223" s="31"/>
      <c r="AS1223" s="94"/>
      <c r="AT1223" s="31"/>
      <c r="AU1223" s="31"/>
      <c r="AV1223" s="94"/>
      <c r="AW1223" s="32"/>
      <c r="AX1223" s="32"/>
      <c r="AY1223" s="32"/>
      <c r="AZ1223" s="32"/>
      <c r="BA1223" s="32"/>
      <c r="BB1223" s="31"/>
      <c r="BC1223" s="31"/>
      <c r="BD1223" s="31"/>
      <c r="BE1223" s="31"/>
      <c r="BF1223" s="96"/>
    </row>
    <row r="1224" spans="42:58" x14ac:dyDescent="0.35">
      <c r="AP1224" s="92"/>
      <c r="AQ1224" s="67"/>
      <c r="AR1224" s="67"/>
      <c r="AS1224" s="73"/>
      <c r="AT1224" s="67"/>
      <c r="AU1224" s="67"/>
      <c r="AV1224" s="73"/>
      <c r="AW1224" s="68"/>
      <c r="AX1224" s="68"/>
      <c r="AY1224" s="68"/>
      <c r="AZ1224" s="68"/>
      <c r="BA1224" s="68"/>
      <c r="BB1224" s="67"/>
      <c r="BC1224" s="67"/>
      <c r="BD1224" s="67"/>
      <c r="BE1224" s="67"/>
      <c r="BF1224" s="95"/>
    </row>
    <row r="1225" spans="42:58" x14ac:dyDescent="0.35">
      <c r="AP1225" s="93"/>
      <c r="AQ1225" s="31"/>
      <c r="AR1225" s="31"/>
      <c r="AS1225" s="94"/>
      <c r="AT1225" s="31"/>
      <c r="AU1225" s="31"/>
      <c r="AV1225" s="94"/>
      <c r="AW1225" s="32"/>
      <c r="AX1225" s="32"/>
      <c r="AY1225" s="32"/>
      <c r="AZ1225" s="32"/>
      <c r="BA1225" s="32"/>
      <c r="BB1225" s="31"/>
      <c r="BC1225" s="31"/>
      <c r="BD1225" s="31"/>
      <c r="BE1225" s="31"/>
      <c r="BF1225" s="96"/>
    </row>
    <row r="1226" spans="42:58" x14ac:dyDescent="0.35">
      <c r="AP1226" s="92"/>
      <c r="AQ1226" s="67"/>
      <c r="AR1226" s="67"/>
      <c r="AS1226" s="73"/>
      <c r="AT1226" s="67"/>
      <c r="AU1226" s="67"/>
      <c r="AV1226" s="73"/>
      <c r="AW1226" s="68"/>
      <c r="AX1226" s="68"/>
      <c r="AY1226" s="68"/>
      <c r="AZ1226" s="68"/>
      <c r="BA1226" s="68"/>
      <c r="BB1226" s="67"/>
      <c r="BC1226" s="67"/>
      <c r="BD1226" s="67"/>
      <c r="BE1226" s="67"/>
      <c r="BF1226" s="95"/>
    </row>
    <row r="1227" spans="42:58" x14ac:dyDescent="0.35">
      <c r="AP1227" s="93"/>
      <c r="AQ1227" s="31"/>
      <c r="AR1227" s="31"/>
      <c r="AS1227" s="94"/>
      <c r="AT1227" s="31"/>
      <c r="AU1227" s="31"/>
      <c r="AV1227" s="94"/>
      <c r="AW1227" s="32"/>
      <c r="AX1227" s="32"/>
      <c r="AY1227" s="32"/>
      <c r="AZ1227" s="32"/>
      <c r="BA1227" s="32"/>
      <c r="BB1227" s="31"/>
      <c r="BC1227" s="31"/>
      <c r="BD1227" s="31"/>
      <c r="BE1227" s="31"/>
      <c r="BF1227" s="96"/>
    </row>
    <row r="1228" spans="42:58" x14ac:dyDescent="0.35">
      <c r="AP1228" s="92"/>
      <c r="AQ1228" s="67"/>
      <c r="AR1228" s="67"/>
      <c r="AS1228" s="73"/>
      <c r="AT1228" s="67"/>
      <c r="AU1228" s="67"/>
      <c r="AV1228" s="73"/>
      <c r="AW1228" s="68"/>
      <c r="AX1228" s="68"/>
      <c r="AY1228" s="68"/>
      <c r="AZ1228" s="68"/>
      <c r="BA1228" s="68"/>
      <c r="BB1228" s="67"/>
      <c r="BC1228" s="67"/>
      <c r="BD1228" s="67"/>
      <c r="BE1228" s="67"/>
      <c r="BF1228" s="95"/>
    </row>
    <row r="1229" spans="42:58" x14ac:dyDescent="0.35">
      <c r="AP1229" s="93"/>
      <c r="AQ1229" s="31"/>
      <c r="AR1229" s="31"/>
      <c r="AS1229" s="94"/>
      <c r="AT1229" s="31"/>
      <c r="AU1229" s="31"/>
      <c r="AV1229" s="94"/>
      <c r="AW1229" s="32"/>
      <c r="AX1229" s="32"/>
      <c r="AY1229" s="32"/>
      <c r="AZ1229" s="32"/>
      <c r="BA1229" s="32"/>
      <c r="BB1229" s="31"/>
      <c r="BC1229" s="31"/>
      <c r="BD1229" s="31"/>
      <c r="BE1229" s="31"/>
      <c r="BF1229" s="96"/>
    </row>
    <row r="1230" spans="42:58" x14ac:dyDescent="0.35">
      <c r="AP1230" s="92"/>
      <c r="AQ1230" s="67"/>
      <c r="AR1230" s="67"/>
      <c r="AS1230" s="73"/>
      <c r="AT1230" s="67"/>
      <c r="AU1230" s="67"/>
      <c r="AV1230" s="73"/>
      <c r="AW1230" s="68"/>
      <c r="AX1230" s="68"/>
      <c r="AY1230" s="68"/>
      <c r="AZ1230" s="68"/>
      <c r="BA1230" s="68"/>
      <c r="BB1230" s="67"/>
      <c r="BC1230" s="67"/>
      <c r="BD1230" s="67"/>
      <c r="BE1230" s="67"/>
      <c r="BF1230" s="95"/>
    </row>
    <row r="1231" spans="42:58" x14ac:dyDescent="0.35">
      <c r="AP1231" s="93"/>
      <c r="AQ1231" s="31"/>
      <c r="AR1231" s="31"/>
      <c r="AS1231" s="94"/>
      <c r="AT1231" s="31"/>
      <c r="AU1231" s="31"/>
      <c r="AV1231" s="94"/>
      <c r="AW1231" s="32"/>
      <c r="AX1231" s="32"/>
      <c r="AY1231" s="32"/>
      <c r="AZ1231" s="32"/>
      <c r="BA1231" s="32"/>
      <c r="BB1231" s="31"/>
      <c r="BC1231" s="31"/>
      <c r="BD1231" s="31"/>
      <c r="BE1231" s="31"/>
      <c r="BF1231" s="96"/>
    </row>
    <row r="1232" spans="42:58" x14ac:dyDescent="0.35">
      <c r="AP1232" s="92"/>
      <c r="AQ1232" s="67"/>
      <c r="AR1232" s="67"/>
      <c r="AS1232" s="73"/>
      <c r="AT1232" s="67"/>
      <c r="AU1232" s="67"/>
      <c r="AV1232" s="73"/>
      <c r="AW1232" s="68"/>
      <c r="AX1232" s="68"/>
      <c r="AY1232" s="68"/>
      <c r="AZ1232" s="68"/>
      <c r="BA1232" s="68"/>
      <c r="BB1232" s="67"/>
      <c r="BC1232" s="67"/>
      <c r="BD1232" s="67"/>
      <c r="BE1232" s="67"/>
      <c r="BF1232" s="95"/>
    </row>
    <row r="1233" spans="42:58" x14ac:dyDescent="0.35">
      <c r="AP1233" s="93"/>
      <c r="AQ1233" s="31"/>
      <c r="AR1233" s="31"/>
      <c r="AS1233" s="94"/>
      <c r="AT1233" s="31"/>
      <c r="AU1233" s="31"/>
      <c r="AV1233" s="94"/>
      <c r="AW1233" s="32"/>
      <c r="AX1233" s="32"/>
      <c r="AY1233" s="32"/>
      <c r="AZ1233" s="32"/>
      <c r="BA1233" s="32"/>
      <c r="BB1233" s="31"/>
      <c r="BC1233" s="31"/>
      <c r="BD1233" s="31"/>
      <c r="BE1233" s="31"/>
      <c r="BF1233" s="96"/>
    </row>
    <row r="1234" spans="42:58" x14ac:dyDescent="0.35">
      <c r="AP1234" s="92"/>
      <c r="AQ1234" s="67"/>
      <c r="AR1234" s="67"/>
      <c r="AS1234" s="73"/>
      <c r="AT1234" s="67"/>
      <c r="AU1234" s="67"/>
      <c r="AV1234" s="73"/>
      <c r="AW1234" s="68"/>
      <c r="AX1234" s="68"/>
      <c r="AY1234" s="68"/>
      <c r="AZ1234" s="68"/>
      <c r="BA1234" s="68"/>
      <c r="BB1234" s="67"/>
      <c r="BC1234" s="67"/>
      <c r="BD1234" s="67"/>
      <c r="BE1234" s="67"/>
      <c r="BF1234" s="95"/>
    </row>
    <row r="1235" spans="42:58" x14ac:dyDescent="0.35">
      <c r="AP1235" s="93"/>
      <c r="AQ1235" s="31"/>
      <c r="AR1235" s="31"/>
      <c r="AS1235" s="94"/>
      <c r="AT1235" s="31"/>
      <c r="AU1235" s="31"/>
      <c r="AV1235" s="94"/>
      <c r="AW1235" s="32"/>
      <c r="AX1235" s="32"/>
      <c r="AY1235" s="32"/>
      <c r="AZ1235" s="32"/>
      <c r="BA1235" s="32"/>
      <c r="BB1235" s="31"/>
      <c r="BC1235" s="31"/>
      <c r="BD1235" s="31"/>
      <c r="BE1235" s="31"/>
      <c r="BF1235" s="96"/>
    </row>
    <row r="1236" spans="42:58" x14ac:dyDescent="0.35">
      <c r="AP1236" s="92"/>
      <c r="AQ1236" s="67"/>
      <c r="AR1236" s="67"/>
      <c r="AS1236" s="73"/>
      <c r="AT1236" s="67"/>
      <c r="AU1236" s="67"/>
      <c r="AV1236" s="73"/>
      <c r="AW1236" s="68"/>
      <c r="AX1236" s="68"/>
      <c r="AY1236" s="68"/>
      <c r="AZ1236" s="68"/>
      <c r="BA1236" s="68"/>
      <c r="BB1236" s="67"/>
      <c r="BC1236" s="67"/>
      <c r="BD1236" s="67"/>
      <c r="BE1236" s="67"/>
      <c r="BF1236" s="95"/>
    </row>
    <row r="1237" spans="42:58" x14ac:dyDescent="0.35">
      <c r="AP1237" s="93"/>
      <c r="AQ1237" s="31"/>
      <c r="AR1237" s="31"/>
      <c r="AS1237" s="94"/>
      <c r="AT1237" s="31"/>
      <c r="AU1237" s="31"/>
      <c r="AV1237" s="94"/>
      <c r="AW1237" s="32"/>
      <c r="AX1237" s="32"/>
      <c r="AY1237" s="32"/>
      <c r="AZ1237" s="32"/>
      <c r="BA1237" s="32"/>
      <c r="BB1237" s="31"/>
      <c r="BC1237" s="31"/>
      <c r="BD1237" s="31"/>
      <c r="BE1237" s="31"/>
      <c r="BF1237" s="96"/>
    </row>
    <row r="1238" spans="42:58" x14ac:dyDescent="0.35">
      <c r="AP1238" s="92"/>
      <c r="AQ1238" s="67"/>
      <c r="AR1238" s="67"/>
      <c r="AS1238" s="73"/>
      <c r="AT1238" s="67"/>
      <c r="AU1238" s="67"/>
      <c r="AV1238" s="73"/>
      <c r="AW1238" s="68"/>
      <c r="AX1238" s="68"/>
      <c r="AY1238" s="68"/>
      <c r="AZ1238" s="68"/>
      <c r="BA1238" s="68"/>
      <c r="BB1238" s="67"/>
      <c r="BC1238" s="67"/>
      <c r="BD1238" s="67"/>
      <c r="BE1238" s="67"/>
      <c r="BF1238" s="95"/>
    </row>
    <row r="1239" spans="42:58" x14ac:dyDescent="0.35">
      <c r="AP1239" s="93"/>
      <c r="AQ1239" s="31"/>
      <c r="AR1239" s="31"/>
      <c r="AS1239" s="94"/>
      <c r="AT1239" s="31"/>
      <c r="AU1239" s="31"/>
      <c r="AV1239" s="94"/>
      <c r="AW1239" s="32"/>
      <c r="AX1239" s="32"/>
      <c r="AY1239" s="32"/>
      <c r="AZ1239" s="32"/>
      <c r="BA1239" s="32"/>
      <c r="BB1239" s="31"/>
      <c r="BC1239" s="31"/>
      <c r="BD1239" s="31"/>
      <c r="BE1239" s="31"/>
      <c r="BF1239" s="96"/>
    </row>
    <row r="1240" spans="42:58" x14ac:dyDescent="0.35">
      <c r="AP1240" s="92"/>
      <c r="AQ1240" s="67"/>
      <c r="AR1240" s="67"/>
      <c r="AS1240" s="73"/>
      <c r="AT1240" s="67"/>
      <c r="AU1240" s="67"/>
      <c r="AV1240" s="73"/>
      <c r="AW1240" s="68"/>
      <c r="AX1240" s="68"/>
      <c r="AY1240" s="68"/>
      <c r="AZ1240" s="68"/>
      <c r="BA1240" s="68"/>
      <c r="BB1240" s="67"/>
      <c r="BC1240" s="67"/>
      <c r="BD1240" s="67"/>
      <c r="BE1240" s="67"/>
      <c r="BF1240" s="95"/>
    </row>
    <row r="1241" spans="42:58" x14ac:dyDescent="0.35">
      <c r="AP1241" s="93"/>
      <c r="AQ1241" s="31"/>
      <c r="AR1241" s="31"/>
      <c r="AS1241" s="94"/>
      <c r="AT1241" s="31"/>
      <c r="AU1241" s="31"/>
      <c r="AV1241" s="94"/>
      <c r="AW1241" s="32"/>
      <c r="AX1241" s="32"/>
      <c r="AY1241" s="32"/>
      <c r="AZ1241" s="32"/>
      <c r="BA1241" s="32"/>
      <c r="BB1241" s="31"/>
      <c r="BC1241" s="31"/>
      <c r="BD1241" s="31"/>
      <c r="BE1241" s="31"/>
      <c r="BF1241" s="96"/>
    </row>
    <row r="1242" spans="42:58" x14ac:dyDescent="0.35">
      <c r="AP1242" s="92"/>
      <c r="AQ1242" s="67"/>
      <c r="AR1242" s="67"/>
      <c r="AS1242" s="73"/>
      <c r="AT1242" s="67"/>
      <c r="AU1242" s="67"/>
      <c r="AV1242" s="73"/>
      <c r="AW1242" s="68"/>
      <c r="AX1242" s="68"/>
      <c r="AY1242" s="68"/>
      <c r="AZ1242" s="68"/>
      <c r="BA1242" s="68"/>
      <c r="BB1242" s="67"/>
      <c r="BC1242" s="67"/>
      <c r="BD1242" s="67"/>
      <c r="BE1242" s="67"/>
      <c r="BF1242" s="95"/>
    </row>
    <row r="1243" spans="42:58" x14ac:dyDescent="0.35">
      <c r="AP1243" s="93"/>
      <c r="AQ1243" s="31"/>
      <c r="AR1243" s="31"/>
      <c r="AS1243" s="94"/>
      <c r="AT1243" s="31"/>
      <c r="AU1243" s="31"/>
      <c r="AV1243" s="94"/>
      <c r="AW1243" s="32"/>
      <c r="AX1243" s="32"/>
      <c r="AY1243" s="32"/>
      <c r="AZ1243" s="32"/>
      <c r="BA1243" s="32"/>
      <c r="BB1243" s="31"/>
      <c r="BC1243" s="31"/>
      <c r="BD1243" s="31"/>
      <c r="BE1243" s="31"/>
      <c r="BF1243" s="96"/>
    </row>
    <row r="1244" spans="42:58" x14ac:dyDescent="0.35">
      <c r="AP1244" s="92"/>
      <c r="AQ1244" s="67"/>
      <c r="AR1244" s="67"/>
      <c r="AS1244" s="73"/>
      <c r="AT1244" s="67"/>
      <c r="AU1244" s="67"/>
      <c r="AV1244" s="73"/>
      <c r="AW1244" s="68"/>
      <c r="AX1244" s="68"/>
      <c r="AY1244" s="68"/>
      <c r="AZ1244" s="68"/>
      <c r="BA1244" s="68"/>
      <c r="BB1244" s="67"/>
      <c r="BC1244" s="67"/>
      <c r="BD1244" s="67"/>
      <c r="BE1244" s="67"/>
      <c r="BF1244" s="95"/>
    </row>
    <row r="1245" spans="42:58" x14ac:dyDescent="0.35">
      <c r="AP1245" s="93"/>
      <c r="AQ1245" s="31"/>
      <c r="AR1245" s="31"/>
      <c r="AS1245" s="94"/>
      <c r="AT1245" s="31"/>
      <c r="AU1245" s="31"/>
      <c r="AV1245" s="94"/>
      <c r="AW1245" s="32"/>
      <c r="AX1245" s="32"/>
      <c r="AY1245" s="32"/>
      <c r="AZ1245" s="32"/>
      <c r="BA1245" s="32"/>
      <c r="BB1245" s="31"/>
      <c r="BC1245" s="31"/>
      <c r="BD1245" s="31"/>
      <c r="BE1245" s="31"/>
      <c r="BF1245" s="96"/>
    </row>
    <row r="1246" spans="42:58" x14ac:dyDescent="0.35">
      <c r="AP1246" s="92"/>
      <c r="AQ1246" s="67"/>
      <c r="AR1246" s="67"/>
      <c r="AS1246" s="73"/>
      <c r="AT1246" s="67"/>
      <c r="AU1246" s="67"/>
      <c r="AV1246" s="73"/>
      <c r="AW1246" s="68"/>
      <c r="AX1246" s="68"/>
      <c r="AY1246" s="68"/>
      <c r="AZ1246" s="68"/>
      <c r="BA1246" s="68"/>
      <c r="BB1246" s="67"/>
      <c r="BC1246" s="67"/>
      <c r="BD1246" s="67"/>
      <c r="BE1246" s="67"/>
      <c r="BF1246" s="95"/>
    </row>
    <row r="1247" spans="42:58" x14ac:dyDescent="0.35">
      <c r="AP1247" s="93"/>
      <c r="AQ1247" s="31"/>
      <c r="AR1247" s="31"/>
      <c r="AS1247" s="94"/>
      <c r="AT1247" s="31"/>
      <c r="AU1247" s="31"/>
      <c r="AV1247" s="94"/>
      <c r="AW1247" s="32"/>
      <c r="AX1247" s="32"/>
      <c r="AY1247" s="32"/>
      <c r="AZ1247" s="32"/>
      <c r="BA1247" s="32"/>
      <c r="BB1247" s="31"/>
      <c r="BC1247" s="31"/>
      <c r="BD1247" s="31"/>
      <c r="BE1247" s="31"/>
      <c r="BF1247" s="96"/>
    </row>
    <row r="1248" spans="42:58" x14ac:dyDescent="0.35">
      <c r="AP1248" s="92"/>
      <c r="AQ1248" s="67"/>
      <c r="AR1248" s="67"/>
      <c r="AS1248" s="73"/>
      <c r="AT1248" s="67"/>
      <c r="AU1248" s="67"/>
      <c r="AV1248" s="73"/>
      <c r="AW1248" s="68"/>
      <c r="AX1248" s="68"/>
      <c r="AY1248" s="68"/>
      <c r="AZ1248" s="68"/>
      <c r="BA1248" s="68"/>
      <c r="BB1248" s="67"/>
      <c r="BC1248" s="67"/>
      <c r="BD1248" s="67"/>
      <c r="BE1248" s="67"/>
      <c r="BF1248" s="95"/>
    </row>
    <row r="1249" spans="42:58" x14ac:dyDescent="0.35">
      <c r="AP1249" s="93"/>
      <c r="AQ1249" s="31"/>
      <c r="AR1249" s="31"/>
      <c r="AS1249" s="94"/>
      <c r="AT1249" s="31"/>
      <c r="AU1249" s="31"/>
      <c r="AV1249" s="94"/>
      <c r="AW1249" s="32"/>
      <c r="AX1249" s="32"/>
      <c r="AY1249" s="32"/>
      <c r="AZ1249" s="32"/>
      <c r="BA1249" s="32"/>
      <c r="BB1249" s="31"/>
      <c r="BC1249" s="31"/>
      <c r="BD1249" s="31"/>
      <c r="BE1249" s="31"/>
      <c r="BF1249" s="96"/>
    </row>
    <row r="1250" spans="42:58" x14ac:dyDescent="0.35">
      <c r="AP1250" s="92"/>
      <c r="AQ1250" s="67"/>
      <c r="AR1250" s="67"/>
      <c r="AS1250" s="73"/>
      <c r="AT1250" s="67"/>
      <c r="AU1250" s="67"/>
      <c r="AV1250" s="73"/>
      <c r="AW1250" s="68"/>
      <c r="AX1250" s="68"/>
      <c r="AY1250" s="68"/>
      <c r="AZ1250" s="68"/>
      <c r="BA1250" s="68"/>
      <c r="BB1250" s="67"/>
      <c r="BC1250" s="67"/>
      <c r="BD1250" s="67"/>
      <c r="BE1250" s="67"/>
      <c r="BF1250" s="95"/>
    </row>
    <row r="1251" spans="42:58" x14ac:dyDescent="0.35">
      <c r="AP1251" s="93"/>
      <c r="AQ1251" s="31"/>
      <c r="AR1251" s="31"/>
      <c r="AS1251" s="94"/>
      <c r="AT1251" s="31"/>
      <c r="AU1251" s="31"/>
      <c r="AV1251" s="94"/>
      <c r="AW1251" s="32"/>
      <c r="AX1251" s="32"/>
      <c r="AY1251" s="32"/>
      <c r="AZ1251" s="32"/>
      <c r="BA1251" s="32"/>
      <c r="BB1251" s="31"/>
      <c r="BC1251" s="31"/>
      <c r="BD1251" s="31"/>
      <c r="BE1251" s="31"/>
      <c r="BF1251" s="96"/>
    </row>
    <row r="1252" spans="42:58" x14ac:dyDescent="0.35">
      <c r="AW1252" s="20"/>
      <c r="AX1252" s="20"/>
      <c r="AY1252" s="20"/>
      <c r="AZ1252" s="20"/>
      <c r="BA1252" s="20"/>
    </row>
    <row r="1253" spans="42:58" x14ac:dyDescent="0.35">
      <c r="AW1253" s="20"/>
      <c r="AX1253" s="20"/>
      <c r="AY1253" s="20"/>
      <c r="AZ1253" s="20"/>
      <c r="BA1253" s="20"/>
    </row>
    <row r="1254" spans="42:58" x14ac:dyDescent="0.35">
      <c r="AW1254" s="20"/>
      <c r="AX1254" s="20"/>
      <c r="AY1254" s="20"/>
      <c r="AZ1254" s="20"/>
      <c r="BA1254" s="20"/>
    </row>
    <row r="1255" spans="42:58" x14ac:dyDescent="0.35">
      <c r="AW1255" s="20"/>
      <c r="AX1255" s="20"/>
      <c r="AY1255" s="20"/>
      <c r="AZ1255" s="20"/>
      <c r="BA1255" s="20"/>
    </row>
    <row r="1256" spans="42:58" x14ac:dyDescent="0.35">
      <c r="AW1256" s="20"/>
      <c r="AX1256" s="20"/>
      <c r="AY1256" s="20"/>
      <c r="AZ1256" s="20"/>
      <c r="BA1256" s="20"/>
    </row>
    <row r="1257" spans="42:58" x14ac:dyDescent="0.35">
      <c r="AW1257" s="20"/>
      <c r="AX1257" s="20"/>
      <c r="AY1257" s="20"/>
      <c r="AZ1257" s="20"/>
      <c r="BA1257" s="20"/>
    </row>
    <row r="1258" spans="42:58" x14ac:dyDescent="0.35">
      <c r="AW1258" s="20"/>
      <c r="AX1258" s="20"/>
      <c r="AY1258" s="20"/>
      <c r="AZ1258" s="20"/>
      <c r="BA1258" s="20"/>
    </row>
    <row r="1259" spans="42:58" x14ac:dyDescent="0.35">
      <c r="AW1259" s="20"/>
      <c r="AX1259" s="20"/>
      <c r="AY1259" s="20"/>
      <c r="AZ1259" s="20"/>
      <c r="BA1259" s="20"/>
    </row>
    <row r="1260" spans="42:58" x14ac:dyDescent="0.35">
      <c r="AW1260" s="20"/>
      <c r="AX1260" s="20"/>
      <c r="AY1260" s="20"/>
      <c r="AZ1260" s="20"/>
      <c r="BA1260" s="20"/>
    </row>
    <row r="1261" spans="42:58" x14ac:dyDescent="0.35">
      <c r="AW1261" s="20"/>
      <c r="AX1261" s="20"/>
      <c r="AY1261" s="20"/>
      <c r="AZ1261" s="20"/>
      <c r="BA1261" s="20"/>
    </row>
    <row r="1262" spans="42:58" x14ac:dyDescent="0.35">
      <c r="AW1262" s="20"/>
      <c r="AX1262" s="20"/>
      <c r="AY1262" s="20"/>
      <c r="AZ1262" s="20"/>
      <c r="BA1262" s="20"/>
    </row>
    <row r="1263" spans="42:58" x14ac:dyDescent="0.35">
      <c r="AW1263" s="20"/>
      <c r="AX1263" s="20"/>
      <c r="AY1263" s="20"/>
      <c r="AZ1263" s="20"/>
      <c r="BA1263" s="20"/>
    </row>
    <row r="1264" spans="42:58" x14ac:dyDescent="0.35">
      <c r="AW1264" s="20"/>
      <c r="AX1264" s="20"/>
      <c r="AY1264" s="20"/>
      <c r="AZ1264" s="20"/>
      <c r="BA1264" s="20"/>
    </row>
    <row r="1265" spans="49:53" x14ac:dyDescent="0.35">
      <c r="AW1265" s="20"/>
      <c r="AX1265" s="20"/>
      <c r="AY1265" s="20"/>
      <c r="AZ1265" s="20"/>
      <c r="BA1265" s="20"/>
    </row>
    <row r="1266" spans="49:53" x14ac:dyDescent="0.35">
      <c r="AW1266" s="20"/>
      <c r="AX1266" s="20"/>
      <c r="AY1266" s="20"/>
      <c r="AZ1266" s="20"/>
      <c r="BA1266" s="20"/>
    </row>
    <row r="1267" spans="49:53" x14ac:dyDescent="0.35">
      <c r="AW1267" s="20"/>
      <c r="AX1267" s="20"/>
      <c r="AY1267" s="20"/>
      <c r="AZ1267" s="20"/>
      <c r="BA1267" s="20"/>
    </row>
    <row r="1268" spans="49:53" x14ac:dyDescent="0.35">
      <c r="AW1268" s="20"/>
      <c r="AX1268" s="20"/>
      <c r="AY1268" s="20"/>
      <c r="AZ1268" s="20"/>
      <c r="BA1268" s="20"/>
    </row>
    <row r="1269" spans="49:53" x14ac:dyDescent="0.35">
      <c r="AW1269" s="20"/>
      <c r="AX1269" s="20"/>
      <c r="AY1269" s="20"/>
      <c r="AZ1269" s="20"/>
      <c r="BA1269" s="20"/>
    </row>
    <row r="1270" spans="49:53" x14ac:dyDescent="0.35">
      <c r="AW1270" s="20"/>
      <c r="AX1270" s="20"/>
      <c r="AY1270" s="20"/>
      <c r="AZ1270" s="20"/>
      <c r="BA1270" s="20"/>
    </row>
    <row r="1271" spans="49:53" x14ac:dyDescent="0.35">
      <c r="AW1271" s="20"/>
      <c r="AX1271" s="20"/>
      <c r="AY1271" s="20"/>
      <c r="AZ1271" s="20"/>
      <c r="BA1271" s="20"/>
    </row>
    <row r="1272" spans="49:53" x14ac:dyDescent="0.35">
      <c r="AW1272" s="20"/>
      <c r="AX1272" s="20"/>
      <c r="AY1272" s="20"/>
      <c r="AZ1272" s="20"/>
      <c r="BA1272" s="20"/>
    </row>
    <row r="1273" spans="49:53" x14ac:dyDescent="0.35">
      <c r="AW1273" s="20"/>
      <c r="AX1273" s="20"/>
      <c r="AY1273" s="20"/>
      <c r="AZ1273" s="20"/>
      <c r="BA1273" s="20"/>
    </row>
    <row r="1274" spans="49:53" x14ac:dyDescent="0.35">
      <c r="AW1274" s="20"/>
      <c r="AX1274" s="20"/>
      <c r="AY1274" s="20"/>
      <c r="AZ1274" s="20"/>
      <c r="BA1274" s="20"/>
    </row>
    <row r="1275" spans="49:53" x14ac:dyDescent="0.35">
      <c r="AW1275" s="20"/>
      <c r="AX1275" s="20"/>
      <c r="AY1275" s="20"/>
      <c r="AZ1275" s="20"/>
      <c r="BA1275" s="20"/>
    </row>
    <row r="1276" spans="49:53" x14ac:dyDescent="0.35">
      <c r="AW1276" s="20"/>
      <c r="AX1276" s="20"/>
      <c r="AY1276" s="20"/>
      <c r="AZ1276" s="20"/>
      <c r="BA1276" s="20"/>
    </row>
    <row r="1277" spans="49:53" x14ac:dyDescent="0.35">
      <c r="AW1277" s="20"/>
      <c r="AX1277" s="20"/>
      <c r="AY1277" s="20"/>
      <c r="AZ1277" s="20"/>
      <c r="BA1277" s="20"/>
    </row>
    <row r="1278" spans="49:53" x14ac:dyDescent="0.35">
      <c r="AW1278" s="20"/>
      <c r="AX1278" s="20"/>
      <c r="AY1278" s="20"/>
      <c r="AZ1278" s="20"/>
      <c r="BA1278" s="20"/>
    </row>
    <row r="1279" spans="49:53" x14ac:dyDescent="0.35">
      <c r="AW1279" s="20"/>
      <c r="AX1279" s="20"/>
      <c r="AY1279" s="20"/>
      <c r="AZ1279" s="20"/>
      <c r="BA1279" s="20"/>
    </row>
    <row r="1280" spans="49:53" x14ac:dyDescent="0.35">
      <c r="AW1280" s="20"/>
      <c r="AX1280" s="20"/>
      <c r="AY1280" s="20"/>
      <c r="AZ1280" s="20"/>
      <c r="BA1280" s="20"/>
    </row>
    <row r="1281" spans="49:53" x14ac:dyDescent="0.35">
      <c r="AW1281" s="20"/>
      <c r="AX1281" s="20"/>
      <c r="AY1281" s="20"/>
      <c r="AZ1281" s="20"/>
      <c r="BA1281" s="20"/>
    </row>
    <row r="1282" spans="49:53" x14ac:dyDescent="0.35">
      <c r="AW1282" s="20"/>
      <c r="AX1282" s="20"/>
      <c r="AY1282" s="20"/>
      <c r="AZ1282" s="20"/>
      <c r="BA1282" s="20"/>
    </row>
    <row r="1283" spans="49:53" x14ac:dyDescent="0.35">
      <c r="AW1283" s="20"/>
      <c r="AX1283" s="20"/>
      <c r="AY1283" s="20"/>
      <c r="AZ1283" s="20"/>
      <c r="BA1283" s="20"/>
    </row>
    <row r="1284" spans="49:53" x14ac:dyDescent="0.35">
      <c r="AW1284" s="20"/>
      <c r="AX1284" s="20"/>
      <c r="AY1284" s="20"/>
      <c r="AZ1284" s="20"/>
      <c r="BA1284" s="20"/>
    </row>
    <row r="1285" spans="49:53" x14ac:dyDescent="0.35">
      <c r="AW1285" s="20"/>
      <c r="AX1285" s="20"/>
      <c r="AY1285" s="20"/>
      <c r="AZ1285" s="20"/>
      <c r="BA1285" s="20"/>
    </row>
    <row r="1286" spans="49:53" x14ac:dyDescent="0.35">
      <c r="AW1286" s="20"/>
      <c r="AX1286" s="20"/>
      <c r="AY1286" s="20"/>
      <c r="AZ1286" s="20"/>
      <c r="BA1286" s="20"/>
    </row>
    <row r="1287" spans="49:53" x14ac:dyDescent="0.35">
      <c r="AW1287" s="20"/>
      <c r="AX1287" s="20"/>
      <c r="AY1287" s="20"/>
      <c r="AZ1287" s="20"/>
      <c r="BA1287" s="20"/>
    </row>
    <row r="1288" spans="49:53" x14ac:dyDescent="0.35">
      <c r="AW1288" s="20"/>
      <c r="AX1288" s="20"/>
      <c r="AY1288" s="20"/>
      <c r="AZ1288" s="20"/>
      <c r="BA1288" s="20"/>
    </row>
    <row r="1289" spans="49:53" x14ac:dyDescent="0.35">
      <c r="AW1289" s="20"/>
      <c r="AX1289" s="20"/>
      <c r="AY1289" s="20"/>
      <c r="AZ1289" s="20"/>
      <c r="BA1289" s="20"/>
    </row>
    <row r="1290" spans="49:53" x14ac:dyDescent="0.35">
      <c r="AW1290" s="20"/>
      <c r="AX1290" s="20"/>
      <c r="AY1290" s="20"/>
      <c r="AZ1290" s="20"/>
      <c r="BA1290" s="20"/>
    </row>
    <row r="1291" spans="49:53" x14ac:dyDescent="0.35">
      <c r="AW1291" s="20"/>
      <c r="AX1291" s="20"/>
      <c r="AY1291" s="20"/>
      <c r="AZ1291" s="20"/>
      <c r="BA1291" s="20"/>
    </row>
    <row r="1292" spans="49:53" x14ac:dyDescent="0.35">
      <c r="AW1292" s="20"/>
      <c r="AX1292" s="20"/>
      <c r="AY1292" s="20"/>
      <c r="AZ1292" s="20"/>
      <c r="BA1292" s="20"/>
    </row>
    <row r="1293" spans="49:53" x14ac:dyDescent="0.35">
      <c r="AW1293" s="20"/>
      <c r="AX1293" s="20"/>
      <c r="AY1293" s="20"/>
      <c r="AZ1293" s="20"/>
      <c r="BA1293" s="20"/>
    </row>
    <row r="1294" spans="49:53" x14ac:dyDescent="0.35">
      <c r="AW1294" s="20"/>
      <c r="AX1294" s="20"/>
      <c r="AY1294" s="20"/>
      <c r="AZ1294" s="20"/>
      <c r="BA1294" s="20"/>
    </row>
    <row r="1295" spans="49:53" x14ac:dyDescent="0.35">
      <c r="AW1295" s="20"/>
      <c r="AX1295" s="20"/>
      <c r="AY1295" s="20"/>
      <c r="AZ1295" s="20"/>
      <c r="BA1295" s="20"/>
    </row>
    <row r="1296" spans="49:53" x14ac:dyDescent="0.35">
      <c r="AW1296" s="20"/>
      <c r="AX1296" s="20"/>
      <c r="AY1296" s="20"/>
      <c r="AZ1296" s="20"/>
      <c r="BA1296" s="20"/>
    </row>
    <row r="1297" spans="49:53" x14ac:dyDescent="0.35">
      <c r="AW1297" s="20"/>
      <c r="AX1297" s="20"/>
      <c r="AY1297" s="20"/>
      <c r="AZ1297" s="20"/>
      <c r="BA1297" s="20"/>
    </row>
    <row r="1298" spans="49:53" x14ac:dyDescent="0.35">
      <c r="AW1298" s="20"/>
      <c r="AX1298" s="20"/>
      <c r="AY1298" s="20"/>
      <c r="AZ1298" s="20"/>
      <c r="BA1298" s="20"/>
    </row>
    <row r="1299" spans="49:53" x14ac:dyDescent="0.35">
      <c r="AW1299" s="20"/>
      <c r="AX1299" s="20"/>
      <c r="AY1299" s="20"/>
      <c r="AZ1299" s="20"/>
      <c r="BA1299" s="20"/>
    </row>
    <row r="1300" spans="49:53" x14ac:dyDescent="0.35">
      <c r="AW1300" s="20"/>
      <c r="AX1300" s="20"/>
      <c r="AY1300" s="20"/>
      <c r="AZ1300" s="20"/>
      <c r="BA1300" s="20"/>
    </row>
    <row r="1301" spans="49:53" x14ac:dyDescent="0.35">
      <c r="AW1301" s="20"/>
      <c r="AX1301" s="20"/>
      <c r="AY1301" s="20"/>
      <c r="AZ1301" s="20"/>
      <c r="BA1301" s="20"/>
    </row>
    <row r="1302" spans="49:53" x14ac:dyDescent="0.35">
      <c r="AW1302" s="20"/>
      <c r="AX1302" s="20"/>
      <c r="AY1302" s="20"/>
      <c r="AZ1302" s="20"/>
      <c r="BA1302" s="20"/>
    </row>
    <row r="1303" spans="49:53" x14ac:dyDescent="0.35">
      <c r="AW1303" s="20"/>
      <c r="AX1303" s="20"/>
      <c r="AY1303" s="20"/>
      <c r="AZ1303" s="20"/>
      <c r="BA1303" s="20"/>
    </row>
    <row r="1304" spans="49:53" x14ac:dyDescent="0.35">
      <c r="AW1304" s="20"/>
      <c r="AX1304" s="20"/>
      <c r="AY1304" s="20"/>
      <c r="AZ1304" s="20"/>
      <c r="BA1304" s="20"/>
    </row>
    <row r="1305" spans="49:53" x14ac:dyDescent="0.35">
      <c r="AW1305" s="20"/>
      <c r="AX1305" s="20"/>
      <c r="AY1305" s="20"/>
      <c r="AZ1305" s="20"/>
      <c r="BA1305" s="20"/>
    </row>
    <row r="1306" spans="49:53" x14ac:dyDescent="0.35">
      <c r="AW1306" s="20"/>
      <c r="AX1306" s="20"/>
      <c r="AY1306" s="20"/>
      <c r="AZ1306" s="20"/>
      <c r="BA1306" s="20"/>
    </row>
    <row r="1307" spans="49:53" x14ac:dyDescent="0.35">
      <c r="AW1307" s="20"/>
      <c r="AX1307" s="20"/>
      <c r="AY1307" s="20"/>
      <c r="AZ1307" s="20"/>
      <c r="BA1307" s="20"/>
    </row>
    <row r="1308" spans="49:53" x14ac:dyDescent="0.35">
      <c r="AW1308" s="20"/>
      <c r="AX1308" s="20"/>
      <c r="AY1308" s="20"/>
      <c r="AZ1308" s="20"/>
      <c r="BA1308" s="20"/>
    </row>
    <row r="1309" spans="49:53" x14ac:dyDescent="0.35">
      <c r="AW1309" s="20"/>
      <c r="AX1309" s="20"/>
      <c r="AY1309" s="20"/>
      <c r="AZ1309" s="20"/>
      <c r="BA1309" s="20"/>
    </row>
    <row r="1310" spans="49:53" x14ac:dyDescent="0.35">
      <c r="AW1310" s="20"/>
      <c r="AX1310" s="20"/>
      <c r="AY1310" s="20"/>
      <c r="AZ1310" s="20"/>
      <c r="BA1310" s="20"/>
    </row>
    <row r="1311" spans="49:53" x14ac:dyDescent="0.35">
      <c r="AW1311" s="20"/>
      <c r="AX1311" s="20"/>
      <c r="AY1311" s="20"/>
      <c r="AZ1311" s="20"/>
      <c r="BA1311" s="20"/>
    </row>
    <row r="1312" spans="49:53" x14ac:dyDescent="0.35">
      <c r="AW1312" s="20"/>
      <c r="AX1312" s="20"/>
      <c r="AY1312" s="20"/>
      <c r="AZ1312" s="20"/>
      <c r="BA1312" s="20"/>
    </row>
    <row r="1313" spans="49:53" x14ac:dyDescent="0.35">
      <c r="AW1313" s="20"/>
      <c r="AX1313" s="20"/>
      <c r="AY1313" s="20"/>
      <c r="AZ1313" s="20"/>
      <c r="BA1313" s="20"/>
    </row>
    <row r="1314" spans="49:53" x14ac:dyDescent="0.35">
      <c r="AW1314" s="20"/>
      <c r="AX1314" s="20"/>
      <c r="AY1314" s="20"/>
      <c r="AZ1314" s="20"/>
      <c r="BA1314" s="20"/>
    </row>
    <row r="1315" spans="49:53" x14ac:dyDescent="0.35">
      <c r="AW1315" s="20"/>
      <c r="AX1315" s="20"/>
      <c r="AY1315" s="20"/>
      <c r="AZ1315" s="20"/>
      <c r="BA1315" s="20"/>
    </row>
    <row r="1316" spans="49:53" x14ac:dyDescent="0.35">
      <c r="AW1316" s="20"/>
      <c r="AX1316" s="20"/>
      <c r="AY1316" s="20"/>
      <c r="AZ1316" s="20"/>
      <c r="BA1316" s="20"/>
    </row>
    <row r="1317" spans="49:53" x14ac:dyDescent="0.35">
      <c r="AW1317" s="20"/>
      <c r="AX1317" s="20"/>
      <c r="AY1317" s="20"/>
      <c r="AZ1317" s="20"/>
      <c r="BA1317" s="20"/>
    </row>
    <row r="1318" spans="49:53" x14ac:dyDescent="0.35">
      <c r="AW1318" s="20"/>
      <c r="AX1318" s="20"/>
      <c r="AY1318" s="20"/>
      <c r="AZ1318" s="20"/>
      <c r="BA1318" s="20"/>
    </row>
    <row r="1319" spans="49:53" x14ac:dyDescent="0.35">
      <c r="AW1319" s="20"/>
      <c r="AX1319" s="20"/>
      <c r="AY1319" s="20"/>
      <c r="AZ1319" s="20"/>
      <c r="BA1319" s="20"/>
    </row>
    <row r="1320" spans="49:53" x14ac:dyDescent="0.35">
      <c r="AW1320" s="20"/>
      <c r="AX1320" s="20"/>
      <c r="AY1320" s="20"/>
      <c r="AZ1320" s="20"/>
      <c r="BA1320" s="20"/>
    </row>
    <row r="1321" spans="49:53" x14ac:dyDescent="0.35">
      <c r="AW1321" s="20"/>
      <c r="AX1321" s="20"/>
      <c r="AY1321" s="20"/>
      <c r="AZ1321" s="20"/>
      <c r="BA1321" s="20"/>
    </row>
    <row r="1322" spans="49:53" x14ac:dyDescent="0.35">
      <c r="AW1322" s="20"/>
      <c r="AX1322" s="20"/>
      <c r="AY1322" s="20"/>
      <c r="AZ1322" s="20"/>
      <c r="BA1322" s="20"/>
    </row>
    <row r="1323" spans="49:53" x14ac:dyDescent="0.35">
      <c r="AW1323" s="20"/>
      <c r="AX1323" s="20"/>
      <c r="AY1323" s="20"/>
      <c r="AZ1323" s="20"/>
      <c r="BA1323" s="20"/>
    </row>
    <row r="1324" spans="49:53" x14ac:dyDescent="0.35">
      <c r="AW1324" s="20"/>
      <c r="AX1324" s="20"/>
      <c r="AY1324" s="20"/>
      <c r="AZ1324" s="20"/>
      <c r="BA1324" s="20"/>
    </row>
    <row r="1325" spans="49:53" x14ac:dyDescent="0.35">
      <c r="AW1325" s="20"/>
      <c r="AX1325" s="20"/>
      <c r="AY1325" s="20"/>
      <c r="AZ1325" s="20"/>
      <c r="BA1325" s="20"/>
    </row>
    <row r="1326" spans="49:53" x14ac:dyDescent="0.35">
      <c r="AW1326" s="20"/>
      <c r="AX1326" s="20"/>
      <c r="AY1326" s="20"/>
      <c r="AZ1326" s="20"/>
      <c r="BA1326" s="20"/>
    </row>
    <row r="1327" spans="49:53" x14ac:dyDescent="0.35">
      <c r="AW1327" s="20"/>
      <c r="AX1327" s="20"/>
      <c r="AY1327" s="20"/>
      <c r="AZ1327" s="20"/>
      <c r="BA1327" s="20"/>
    </row>
    <row r="1328" spans="49:53" x14ac:dyDescent="0.35">
      <c r="AW1328" s="20"/>
      <c r="AX1328" s="20"/>
      <c r="AY1328" s="20"/>
      <c r="AZ1328" s="20"/>
      <c r="BA1328" s="20"/>
    </row>
    <row r="1329" spans="49:53" x14ac:dyDescent="0.35">
      <c r="AW1329" s="20"/>
      <c r="AX1329" s="20"/>
      <c r="AY1329" s="20"/>
      <c r="AZ1329" s="20"/>
      <c r="BA1329" s="20"/>
    </row>
    <row r="1330" spans="49:53" x14ac:dyDescent="0.35">
      <c r="AW1330" s="20"/>
      <c r="AX1330" s="20"/>
      <c r="AY1330" s="20"/>
      <c r="AZ1330" s="20"/>
      <c r="BA1330" s="20"/>
    </row>
    <row r="1331" spans="49:53" x14ac:dyDescent="0.35">
      <c r="AW1331" s="20"/>
      <c r="AX1331" s="20"/>
      <c r="AY1331" s="20"/>
      <c r="AZ1331" s="20"/>
      <c r="BA1331" s="20"/>
    </row>
    <row r="1332" spans="49:53" x14ac:dyDescent="0.35">
      <c r="AW1332" s="20"/>
      <c r="AX1332" s="20"/>
      <c r="AY1332" s="20"/>
      <c r="AZ1332" s="20"/>
      <c r="BA1332" s="20"/>
    </row>
    <row r="1333" spans="49:53" x14ac:dyDescent="0.35">
      <c r="AW1333" s="20"/>
      <c r="AX1333" s="20"/>
      <c r="AY1333" s="20"/>
      <c r="AZ1333" s="20"/>
      <c r="BA1333" s="20"/>
    </row>
    <row r="1334" spans="49:53" x14ac:dyDescent="0.35">
      <c r="AW1334" s="20"/>
      <c r="AX1334" s="20"/>
      <c r="AY1334" s="20"/>
      <c r="AZ1334" s="20"/>
      <c r="BA1334" s="20"/>
    </row>
    <row r="1335" spans="49:53" x14ac:dyDescent="0.35">
      <c r="AW1335" s="20"/>
      <c r="AX1335" s="20"/>
      <c r="AY1335" s="20"/>
      <c r="AZ1335" s="20"/>
      <c r="BA1335" s="20"/>
    </row>
    <row r="1336" spans="49:53" x14ac:dyDescent="0.35">
      <c r="AW1336" s="20"/>
      <c r="AX1336" s="20"/>
      <c r="AY1336" s="20"/>
      <c r="AZ1336" s="20"/>
      <c r="BA1336" s="20"/>
    </row>
    <row r="1337" spans="49:53" x14ac:dyDescent="0.35">
      <c r="AW1337" s="20"/>
      <c r="AX1337" s="20"/>
      <c r="AY1337" s="20"/>
      <c r="AZ1337" s="20"/>
      <c r="BA1337" s="20"/>
    </row>
    <row r="1338" spans="49:53" x14ac:dyDescent="0.35">
      <c r="AW1338" s="20"/>
      <c r="AX1338" s="20"/>
      <c r="AY1338" s="20"/>
      <c r="AZ1338" s="20"/>
      <c r="BA1338" s="20"/>
    </row>
    <row r="1339" spans="49:53" x14ac:dyDescent="0.35">
      <c r="AW1339" s="20"/>
      <c r="AX1339" s="20"/>
      <c r="AY1339" s="20"/>
      <c r="AZ1339" s="20"/>
      <c r="BA1339" s="20"/>
    </row>
    <row r="1340" spans="49:53" x14ac:dyDescent="0.35">
      <c r="AW1340" s="20"/>
      <c r="AX1340" s="20"/>
      <c r="AY1340" s="20"/>
      <c r="AZ1340" s="20"/>
      <c r="BA1340" s="20"/>
    </row>
    <row r="1341" spans="49:53" x14ac:dyDescent="0.35">
      <c r="AW1341" s="20"/>
      <c r="AX1341" s="20"/>
      <c r="AY1341" s="20"/>
      <c r="AZ1341" s="20"/>
      <c r="BA1341" s="20"/>
    </row>
    <row r="1342" spans="49:53" x14ac:dyDescent="0.35">
      <c r="AW1342" s="20"/>
      <c r="AX1342" s="20"/>
      <c r="AY1342" s="20"/>
      <c r="AZ1342" s="20"/>
      <c r="BA1342" s="20"/>
    </row>
    <row r="1343" spans="49:53" x14ac:dyDescent="0.35">
      <c r="AW1343" s="20"/>
      <c r="AX1343" s="20"/>
      <c r="AY1343" s="20"/>
      <c r="AZ1343" s="20"/>
      <c r="BA1343" s="20"/>
    </row>
    <row r="1344" spans="49:53" x14ac:dyDescent="0.35">
      <c r="AW1344" s="20"/>
      <c r="AX1344" s="20"/>
      <c r="AY1344" s="20"/>
      <c r="AZ1344" s="20"/>
      <c r="BA1344" s="20"/>
    </row>
    <row r="1345" spans="49:53" x14ac:dyDescent="0.35">
      <c r="AW1345" s="20"/>
      <c r="AX1345" s="20"/>
      <c r="AY1345" s="20"/>
      <c r="AZ1345" s="20"/>
      <c r="BA1345" s="20"/>
    </row>
    <row r="1346" spans="49:53" x14ac:dyDescent="0.35">
      <c r="AW1346" s="20"/>
      <c r="AX1346" s="20"/>
      <c r="AY1346" s="20"/>
      <c r="AZ1346" s="20"/>
      <c r="BA1346" s="20"/>
    </row>
    <row r="1347" spans="49:53" x14ac:dyDescent="0.35">
      <c r="AW1347" s="20"/>
      <c r="AX1347" s="20"/>
      <c r="AY1347" s="20"/>
      <c r="AZ1347" s="20"/>
      <c r="BA1347" s="20"/>
    </row>
    <row r="1348" spans="49:53" x14ac:dyDescent="0.35">
      <c r="AW1348" s="20"/>
      <c r="AX1348" s="20"/>
      <c r="AY1348" s="20"/>
      <c r="AZ1348" s="20"/>
      <c r="BA1348" s="20"/>
    </row>
    <row r="1349" spans="49:53" x14ac:dyDescent="0.35">
      <c r="AW1349" s="20"/>
      <c r="AX1349" s="20"/>
      <c r="AY1349" s="20"/>
      <c r="AZ1349" s="20"/>
      <c r="BA1349" s="20"/>
    </row>
    <row r="1350" spans="49:53" x14ac:dyDescent="0.35">
      <c r="AW1350" s="20"/>
      <c r="AX1350" s="20"/>
      <c r="AY1350" s="20"/>
      <c r="AZ1350" s="20"/>
      <c r="BA1350" s="20"/>
    </row>
    <row r="1351" spans="49:53" x14ac:dyDescent="0.35">
      <c r="AW1351" s="20"/>
      <c r="AX1351" s="20"/>
      <c r="AY1351" s="20"/>
      <c r="AZ1351" s="20"/>
      <c r="BA1351" s="20"/>
    </row>
    <row r="1352" spans="49:53" x14ac:dyDescent="0.35">
      <c r="AW1352" s="20"/>
      <c r="AX1352" s="20"/>
      <c r="AY1352" s="20"/>
      <c r="AZ1352" s="20"/>
      <c r="BA1352" s="20"/>
    </row>
    <row r="1353" spans="49:53" x14ac:dyDescent="0.35">
      <c r="AW1353" s="20"/>
      <c r="AX1353" s="20"/>
      <c r="AY1353" s="20"/>
      <c r="AZ1353" s="20"/>
      <c r="BA1353" s="20"/>
    </row>
    <row r="1354" spans="49:53" x14ac:dyDescent="0.35">
      <c r="AW1354" s="20"/>
      <c r="AX1354" s="20"/>
      <c r="AY1354" s="20"/>
      <c r="AZ1354" s="20"/>
      <c r="BA1354" s="20"/>
    </row>
    <row r="1355" spans="49:53" x14ac:dyDescent="0.35">
      <c r="AW1355" s="20"/>
      <c r="AX1355" s="20"/>
      <c r="AY1355" s="20"/>
      <c r="AZ1355" s="20"/>
      <c r="BA1355" s="20"/>
    </row>
    <row r="1356" spans="49:53" x14ac:dyDescent="0.35">
      <c r="AW1356" s="20"/>
      <c r="AX1356" s="20"/>
      <c r="AY1356" s="20"/>
      <c r="AZ1356" s="20"/>
      <c r="BA1356" s="20"/>
    </row>
    <row r="1357" spans="49:53" x14ac:dyDescent="0.35">
      <c r="AW1357" s="20"/>
      <c r="AX1357" s="20"/>
      <c r="AY1357" s="20"/>
      <c r="AZ1357" s="20"/>
      <c r="BA1357" s="20"/>
    </row>
    <row r="1358" spans="49:53" x14ac:dyDescent="0.35">
      <c r="AW1358" s="20"/>
      <c r="AX1358" s="20"/>
      <c r="AY1358" s="20"/>
      <c r="AZ1358" s="20"/>
      <c r="BA1358" s="20"/>
    </row>
    <row r="1359" spans="49:53" x14ac:dyDescent="0.35">
      <c r="AW1359" s="20"/>
      <c r="AX1359" s="20"/>
      <c r="AY1359" s="20"/>
      <c r="AZ1359" s="20"/>
      <c r="BA1359" s="20"/>
    </row>
    <row r="1360" spans="49:53" x14ac:dyDescent="0.35">
      <c r="AW1360" s="20"/>
      <c r="AX1360" s="20"/>
      <c r="AY1360" s="20"/>
      <c r="AZ1360" s="20"/>
      <c r="BA1360" s="20"/>
    </row>
    <row r="1361" spans="49:53" x14ac:dyDescent="0.35">
      <c r="AW1361" s="20"/>
      <c r="AX1361" s="20"/>
      <c r="AY1361" s="20"/>
      <c r="AZ1361" s="20"/>
      <c r="BA1361" s="20"/>
    </row>
    <row r="1362" spans="49:53" x14ac:dyDescent="0.35">
      <c r="AW1362" s="20"/>
      <c r="AX1362" s="20"/>
      <c r="AY1362" s="20"/>
      <c r="AZ1362" s="20"/>
      <c r="BA1362" s="20"/>
    </row>
    <row r="1363" spans="49:53" x14ac:dyDescent="0.35">
      <c r="AW1363" s="20"/>
      <c r="AX1363" s="20"/>
      <c r="AY1363" s="20"/>
      <c r="AZ1363" s="20"/>
      <c r="BA1363" s="20"/>
    </row>
    <row r="1364" spans="49:53" x14ac:dyDescent="0.35">
      <c r="AW1364" s="20"/>
      <c r="AX1364" s="20"/>
      <c r="AY1364" s="20"/>
      <c r="AZ1364" s="20"/>
      <c r="BA1364" s="20"/>
    </row>
    <row r="1365" spans="49:53" x14ac:dyDescent="0.35">
      <c r="AW1365" s="20"/>
      <c r="AX1365" s="20"/>
      <c r="AY1365" s="20"/>
      <c r="AZ1365" s="20"/>
      <c r="BA1365" s="20"/>
    </row>
    <row r="1366" spans="49:53" x14ac:dyDescent="0.35">
      <c r="AW1366" s="20"/>
      <c r="AX1366" s="20"/>
      <c r="AY1366" s="20"/>
      <c r="AZ1366" s="20"/>
      <c r="BA1366" s="20"/>
    </row>
    <row r="1367" spans="49:53" x14ac:dyDescent="0.35">
      <c r="AW1367" s="20"/>
      <c r="AX1367" s="20"/>
      <c r="AY1367" s="20"/>
      <c r="AZ1367" s="20"/>
      <c r="BA1367" s="20"/>
    </row>
    <row r="1368" spans="49:53" x14ac:dyDescent="0.35">
      <c r="AW1368" s="20"/>
      <c r="AX1368" s="20"/>
      <c r="AY1368" s="20"/>
      <c r="AZ1368" s="20"/>
      <c r="BA1368" s="20"/>
    </row>
    <row r="1369" spans="49:53" x14ac:dyDescent="0.35">
      <c r="AW1369" s="20"/>
      <c r="AX1369" s="20"/>
      <c r="AY1369" s="20"/>
      <c r="AZ1369" s="20"/>
      <c r="BA1369" s="20"/>
    </row>
    <row r="1370" spans="49:53" x14ac:dyDescent="0.35">
      <c r="AW1370" s="20"/>
      <c r="AX1370" s="20"/>
      <c r="AY1370" s="20"/>
      <c r="AZ1370" s="20"/>
      <c r="BA1370" s="20"/>
    </row>
    <row r="1371" spans="49:53" x14ac:dyDescent="0.35">
      <c r="AW1371" s="20"/>
      <c r="AX1371" s="20"/>
      <c r="AY1371" s="20"/>
      <c r="AZ1371" s="20"/>
      <c r="BA1371" s="20"/>
    </row>
    <row r="1372" spans="49:53" x14ac:dyDescent="0.35">
      <c r="AW1372" s="20"/>
      <c r="AX1372" s="20"/>
      <c r="AY1372" s="20"/>
      <c r="AZ1372" s="20"/>
      <c r="BA1372" s="20"/>
    </row>
    <row r="1373" spans="49:53" x14ac:dyDescent="0.35">
      <c r="AW1373" s="20"/>
      <c r="AX1373" s="20"/>
      <c r="AY1373" s="20"/>
      <c r="AZ1373" s="20"/>
      <c r="BA1373" s="20"/>
    </row>
    <row r="1374" spans="49:53" x14ac:dyDescent="0.35">
      <c r="AW1374" s="20"/>
      <c r="AX1374" s="20"/>
      <c r="AY1374" s="20"/>
      <c r="AZ1374" s="20"/>
      <c r="BA1374" s="20"/>
    </row>
    <row r="1375" spans="49:53" x14ac:dyDescent="0.35">
      <c r="AW1375" s="20"/>
      <c r="AX1375" s="20"/>
      <c r="AY1375" s="20"/>
      <c r="AZ1375" s="20"/>
      <c r="BA1375" s="20"/>
    </row>
    <row r="1376" spans="49:53" x14ac:dyDescent="0.35">
      <c r="AW1376" s="20"/>
      <c r="AX1376" s="20"/>
      <c r="AY1376" s="20"/>
      <c r="AZ1376" s="20"/>
      <c r="BA1376" s="20"/>
    </row>
    <row r="1377" spans="49:53" x14ac:dyDescent="0.35">
      <c r="AW1377" s="20"/>
      <c r="AX1377" s="20"/>
      <c r="AY1377" s="20"/>
      <c r="AZ1377" s="20"/>
      <c r="BA1377" s="20"/>
    </row>
    <row r="1378" spans="49:53" x14ac:dyDescent="0.35">
      <c r="AW1378" s="20"/>
      <c r="AX1378" s="20"/>
      <c r="AY1378" s="20"/>
      <c r="AZ1378" s="20"/>
      <c r="BA1378" s="20"/>
    </row>
    <row r="1379" spans="49:53" x14ac:dyDescent="0.35">
      <c r="AW1379" s="20"/>
      <c r="AX1379" s="20"/>
      <c r="AY1379" s="20"/>
      <c r="AZ1379" s="20"/>
      <c r="BA1379" s="20"/>
    </row>
    <row r="1380" spans="49:53" x14ac:dyDescent="0.35">
      <c r="AW1380" s="20"/>
      <c r="AX1380" s="20"/>
      <c r="AY1380" s="20"/>
      <c r="AZ1380" s="20"/>
      <c r="BA1380" s="20"/>
    </row>
    <row r="1381" spans="49:53" x14ac:dyDescent="0.35">
      <c r="AW1381" s="20"/>
      <c r="AX1381" s="20"/>
      <c r="AY1381" s="20"/>
      <c r="AZ1381" s="20"/>
      <c r="BA1381" s="20"/>
    </row>
    <row r="1382" spans="49:53" x14ac:dyDescent="0.35">
      <c r="AW1382" s="20"/>
      <c r="AX1382" s="20"/>
      <c r="AY1382" s="20"/>
      <c r="AZ1382" s="20"/>
      <c r="BA1382" s="20"/>
    </row>
    <row r="1383" spans="49:53" x14ac:dyDescent="0.35">
      <c r="AW1383" s="20"/>
      <c r="AX1383" s="20"/>
      <c r="AY1383" s="20"/>
      <c r="AZ1383" s="20"/>
      <c r="BA1383" s="20"/>
    </row>
    <row r="1384" spans="49:53" x14ac:dyDescent="0.35">
      <c r="AW1384" s="20"/>
      <c r="AX1384" s="20"/>
      <c r="AY1384" s="20"/>
      <c r="AZ1384" s="20"/>
      <c r="BA1384" s="20"/>
    </row>
    <row r="1385" spans="49:53" x14ac:dyDescent="0.35">
      <c r="AW1385" s="20"/>
      <c r="AX1385" s="20"/>
      <c r="AY1385" s="20"/>
      <c r="AZ1385" s="20"/>
      <c r="BA1385" s="20"/>
    </row>
    <row r="1386" spans="49:53" x14ac:dyDescent="0.35">
      <c r="AW1386" s="20"/>
      <c r="AX1386" s="20"/>
      <c r="AY1386" s="20"/>
      <c r="AZ1386" s="20"/>
      <c r="BA1386" s="20"/>
    </row>
    <row r="1387" spans="49:53" x14ac:dyDescent="0.35">
      <c r="AW1387" s="20"/>
      <c r="AX1387" s="20"/>
      <c r="AY1387" s="20"/>
      <c r="AZ1387" s="20"/>
      <c r="BA1387" s="20"/>
    </row>
    <row r="1388" spans="49:53" x14ac:dyDescent="0.35">
      <c r="AW1388" s="20"/>
      <c r="AX1388" s="20"/>
      <c r="AY1388" s="20"/>
      <c r="AZ1388" s="20"/>
      <c r="BA1388" s="20"/>
    </row>
    <row r="1389" spans="49:53" x14ac:dyDescent="0.35">
      <c r="AW1389" s="20"/>
      <c r="AX1389" s="20"/>
      <c r="AY1389" s="20"/>
      <c r="AZ1389" s="20"/>
      <c r="BA1389" s="20"/>
    </row>
    <row r="1390" spans="49:53" x14ac:dyDescent="0.35">
      <c r="AW1390" s="20"/>
      <c r="AX1390" s="20"/>
      <c r="AY1390" s="20"/>
      <c r="AZ1390" s="20"/>
      <c r="BA1390" s="20"/>
    </row>
    <row r="1391" spans="49:53" x14ac:dyDescent="0.35">
      <c r="AW1391" s="20"/>
      <c r="AX1391" s="20"/>
      <c r="AY1391" s="20"/>
      <c r="AZ1391" s="20"/>
      <c r="BA1391" s="20"/>
    </row>
    <row r="1392" spans="49:53" x14ac:dyDescent="0.35">
      <c r="AW1392" s="20"/>
      <c r="AX1392" s="20"/>
      <c r="AY1392" s="20"/>
      <c r="AZ1392" s="20"/>
      <c r="BA1392" s="20"/>
    </row>
    <row r="1393" spans="49:53" x14ac:dyDescent="0.35">
      <c r="AW1393" s="20"/>
      <c r="AX1393" s="20"/>
      <c r="AY1393" s="20"/>
      <c r="AZ1393" s="20"/>
      <c r="BA1393" s="20"/>
    </row>
    <row r="1394" spans="49:53" x14ac:dyDescent="0.35">
      <c r="AW1394" s="20"/>
      <c r="AX1394" s="20"/>
      <c r="AY1394" s="20"/>
      <c r="AZ1394" s="20"/>
      <c r="BA1394" s="20"/>
    </row>
    <row r="1395" spans="49:53" x14ac:dyDescent="0.35">
      <c r="AW1395" s="20"/>
      <c r="AX1395" s="20"/>
      <c r="AY1395" s="20"/>
      <c r="AZ1395" s="20"/>
      <c r="BA1395" s="20"/>
    </row>
    <row r="1396" spans="49:53" x14ac:dyDescent="0.35">
      <c r="AW1396" s="20"/>
      <c r="AX1396" s="20"/>
      <c r="AY1396" s="20"/>
      <c r="AZ1396" s="20"/>
      <c r="BA1396" s="20"/>
    </row>
    <row r="1397" spans="49:53" x14ac:dyDescent="0.35">
      <c r="AW1397" s="20"/>
      <c r="AX1397" s="20"/>
      <c r="AY1397" s="20"/>
      <c r="AZ1397" s="20"/>
      <c r="BA1397" s="20"/>
    </row>
    <row r="1398" spans="49:53" x14ac:dyDescent="0.35">
      <c r="AW1398" s="20"/>
      <c r="AX1398" s="20"/>
      <c r="AY1398" s="20"/>
      <c r="AZ1398" s="20"/>
      <c r="BA1398" s="20"/>
    </row>
    <row r="1399" spans="49:53" x14ac:dyDescent="0.35">
      <c r="AW1399" s="20"/>
      <c r="AX1399" s="20"/>
      <c r="AY1399" s="20"/>
      <c r="AZ1399" s="20"/>
      <c r="BA1399" s="20"/>
    </row>
    <row r="1400" spans="49:53" x14ac:dyDescent="0.35">
      <c r="AW1400" s="20"/>
      <c r="AX1400" s="20"/>
      <c r="AY1400" s="20"/>
      <c r="AZ1400" s="20"/>
      <c r="BA1400" s="20"/>
    </row>
    <row r="1401" spans="49:53" x14ac:dyDescent="0.35">
      <c r="AW1401" s="20"/>
      <c r="AX1401" s="20"/>
      <c r="AY1401" s="20"/>
      <c r="AZ1401" s="20"/>
      <c r="BA1401" s="20"/>
    </row>
    <row r="1402" spans="49:53" x14ac:dyDescent="0.35">
      <c r="AW1402" s="20"/>
      <c r="AX1402" s="20"/>
      <c r="AY1402" s="20"/>
      <c r="AZ1402" s="20"/>
      <c r="BA1402" s="20"/>
    </row>
    <row r="1403" spans="49:53" x14ac:dyDescent="0.35">
      <c r="AW1403" s="20"/>
      <c r="AX1403" s="20"/>
      <c r="AY1403" s="20"/>
      <c r="AZ1403" s="20"/>
      <c r="BA1403" s="20"/>
    </row>
    <row r="1404" spans="49:53" x14ac:dyDescent="0.35">
      <c r="AW1404" s="20"/>
      <c r="AX1404" s="20"/>
      <c r="AY1404" s="20"/>
      <c r="AZ1404" s="20"/>
      <c r="BA1404" s="20"/>
    </row>
    <row r="1405" spans="49:53" x14ac:dyDescent="0.35">
      <c r="AW1405" s="20"/>
      <c r="AX1405" s="20"/>
      <c r="AY1405" s="20"/>
      <c r="AZ1405" s="20"/>
      <c r="BA1405" s="20"/>
    </row>
    <row r="1406" spans="49:53" x14ac:dyDescent="0.35">
      <c r="AW1406" s="20"/>
      <c r="AX1406" s="20"/>
      <c r="AY1406" s="20"/>
      <c r="AZ1406" s="20"/>
      <c r="BA1406" s="20"/>
    </row>
    <row r="1407" spans="49:53" x14ac:dyDescent="0.35">
      <c r="AW1407" s="20"/>
      <c r="AX1407" s="20"/>
      <c r="AY1407" s="20"/>
      <c r="AZ1407" s="20"/>
      <c r="BA1407" s="20"/>
    </row>
    <row r="1408" spans="49:53" x14ac:dyDescent="0.35">
      <c r="AW1408" s="20"/>
      <c r="AX1408" s="20"/>
      <c r="AY1408" s="20"/>
      <c r="AZ1408" s="20"/>
      <c r="BA1408" s="20"/>
    </row>
    <row r="1409" spans="49:53" x14ac:dyDescent="0.35">
      <c r="AW1409" s="20"/>
      <c r="AX1409" s="20"/>
      <c r="AY1409" s="20"/>
      <c r="AZ1409" s="20"/>
      <c r="BA1409" s="20"/>
    </row>
    <row r="1410" spans="49:53" x14ac:dyDescent="0.35">
      <c r="AW1410" s="20"/>
      <c r="AX1410" s="20"/>
      <c r="AY1410" s="20"/>
      <c r="AZ1410" s="20"/>
      <c r="BA1410" s="20"/>
    </row>
    <row r="1411" spans="49:53" x14ac:dyDescent="0.35">
      <c r="AW1411" s="20"/>
      <c r="AX1411" s="20"/>
      <c r="AY1411" s="20"/>
      <c r="AZ1411" s="20"/>
      <c r="BA1411" s="20"/>
    </row>
    <row r="1412" spans="49:53" x14ac:dyDescent="0.35">
      <c r="AW1412" s="20"/>
      <c r="AX1412" s="20"/>
      <c r="AY1412" s="20"/>
      <c r="AZ1412" s="20"/>
      <c r="BA1412" s="20"/>
    </row>
    <row r="1413" spans="49:53" x14ac:dyDescent="0.35">
      <c r="AW1413" s="20"/>
      <c r="AX1413" s="20"/>
      <c r="AY1413" s="20"/>
      <c r="AZ1413" s="20"/>
      <c r="BA1413" s="20"/>
    </row>
    <row r="1414" spans="49:53" x14ac:dyDescent="0.35">
      <c r="AW1414" s="20"/>
      <c r="AX1414" s="20"/>
      <c r="AY1414" s="20"/>
      <c r="AZ1414" s="20"/>
      <c r="BA1414" s="20"/>
    </row>
    <row r="1415" spans="49:53" x14ac:dyDescent="0.35">
      <c r="AW1415" s="20"/>
      <c r="AX1415" s="20"/>
      <c r="AY1415" s="20"/>
      <c r="AZ1415" s="20"/>
      <c r="BA1415" s="20"/>
    </row>
    <row r="1416" spans="49:53" x14ac:dyDescent="0.35">
      <c r="AW1416" s="20"/>
      <c r="AX1416" s="20"/>
      <c r="AY1416" s="20"/>
      <c r="AZ1416" s="20"/>
      <c r="BA1416" s="20"/>
    </row>
    <row r="1417" spans="49:53" x14ac:dyDescent="0.35">
      <c r="AW1417" s="20"/>
      <c r="AX1417" s="20"/>
      <c r="AY1417" s="20"/>
      <c r="AZ1417" s="20"/>
      <c r="BA1417" s="20"/>
    </row>
    <row r="1418" spans="49:53" x14ac:dyDescent="0.35">
      <c r="AW1418" s="20"/>
      <c r="AX1418" s="20"/>
      <c r="AY1418" s="20"/>
      <c r="AZ1418" s="20"/>
      <c r="BA1418" s="20"/>
    </row>
    <row r="1419" spans="49:53" x14ac:dyDescent="0.35">
      <c r="AW1419" s="20"/>
      <c r="AX1419" s="20"/>
      <c r="AY1419" s="20"/>
      <c r="AZ1419" s="20"/>
      <c r="BA1419" s="20"/>
    </row>
    <row r="1420" spans="49:53" x14ac:dyDescent="0.35">
      <c r="AW1420" s="20"/>
      <c r="AX1420" s="20"/>
      <c r="AY1420" s="20"/>
      <c r="AZ1420" s="20"/>
      <c r="BA1420" s="20"/>
    </row>
    <row r="1421" spans="49:53" x14ac:dyDescent="0.35">
      <c r="AW1421" s="20"/>
      <c r="AX1421" s="20"/>
      <c r="AY1421" s="20"/>
      <c r="AZ1421" s="20"/>
      <c r="BA1421" s="20"/>
    </row>
    <row r="1422" spans="49:53" x14ac:dyDescent="0.35">
      <c r="AW1422" s="20"/>
      <c r="AX1422" s="20"/>
      <c r="AY1422" s="20"/>
      <c r="AZ1422" s="20"/>
      <c r="BA1422" s="20"/>
    </row>
    <row r="1423" spans="49:53" x14ac:dyDescent="0.35">
      <c r="AW1423" s="20"/>
      <c r="AX1423" s="20"/>
      <c r="AY1423" s="20"/>
      <c r="AZ1423" s="20"/>
      <c r="BA1423" s="20"/>
    </row>
    <row r="1424" spans="49:53" x14ac:dyDescent="0.35">
      <c r="AW1424" s="20"/>
      <c r="AX1424" s="20"/>
      <c r="AY1424" s="20"/>
      <c r="AZ1424" s="20"/>
      <c r="BA1424" s="20"/>
    </row>
    <row r="1425" spans="49:53" x14ac:dyDescent="0.35">
      <c r="AW1425" s="20"/>
      <c r="AX1425" s="20"/>
      <c r="AY1425" s="20"/>
      <c r="AZ1425" s="20"/>
      <c r="BA1425" s="20"/>
    </row>
    <row r="1426" spans="49:53" x14ac:dyDescent="0.35">
      <c r="AW1426" s="20"/>
      <c r="AX1426" s="20"/>
      <c r="AY1426" s="20"/>
      <c r="AZ1426" s="20"/>
      <c r="BA1426" s="20"/>
    </row>
    <row r="1427" spans="49:53" x14ac:dyDescent="0.35">
      <c r="AW1427" s="20"/>
      <c r="AX1427" s="20"/>
      <c r="AY1427" s="20"/>
      <c r="AZ1427" s="20"/>
      <c r="BA1427" s="20"/>
    </row>
    <row r="1428" spans="49:53" x14ac:dyDescent="0.35">
      <c r="AW1428" s="20"/>
      <c r="AX1428" s="20"/>
      <c r="AY1428" s="20"/>
      <c r="AZ1428" s="20"/>
      <c r="BA1428" s="20"/>
    </row>
    <row r="1429" spans="49:53" x14ac:dyDescent="0.35">
      <c r="AW1429" s="20"/>
      <c r="AX1429" s="20"/>
      <c r="AY1429" s="20"/>
      <c r="AZ1429" s="20"/>
      <c r="BA1429" s="20"/>
    </row>
    <row r="1430" spans="49:53" x14ac:dyDescent="0.35">
      <c r="AW1430" s="20"/>
      <c r="AX1430" s="20"/>
      <c r="AY1430" s="20"/>
      <c r="AZ1430" s="20"/>
      <c r="BA1430" s="20"/>
    </row>
    <row r="1431" spans="49:53" x14ac:dyDescent="0.35">
      <c r="AW1431" s="20"/>
      <c r="AX1431" s="20"/>
      <c r="AY1431" s="20"/>
      <c r="AZ1431" s="20"/>
      <c r="BA1431" s="20"/>
    </row>
    <row r="1432" spans="49:53" x14ac:dyDescent="0.35">
      <c r="AW1432" s="20"/>
      <c r="AX1432" s="20"/>
      <c r="AY1432" s="20"/>
      <c r="AZ1432" s="20"/>
      <c r="BA1432" s="20"/>
    </row>
    <row r="1433" spans="49:53" x14ac:dyDescent="0.35">
      <c r="AW1433" s="20"/>
      <c r="AX1433" s="20"/>
      <c r="AY1433" s="20"/>
      <c r="AZ1433" s="20"/>
      <c r="BA1433" s="20"/>
    </row>
    <row r="1434" spans="49:53" x14ac:dyDescent="0.35">
      <c r="AW1434" s="20"/>
      <c r="AX1434" s="20"/>
      <c r="AY1434" s="20"/>
      <c r="AZ1434" s="20"/>
      <c r="BA1434" s="20"/>
    </row>
    <row r="1435" spans="49:53" x14ac:dyDescent="0.35">
      <c r="AW1435" s="20"/>
      <c r="AX1435" s="20"/>
      <c r="AY1435" s="20"/>
      <c r="AZ1435" s="20"/>
      <c r="BA1435" s="20"/>
    </row>
    <row r="1436" spans="49:53" x14ac:dyDescent="0.35">
      <c r="AW1436" s="20"/>
      <c r="AX1436" s="20"/>
      <c r="AY1436" s="20"/>
      <c r="AZ1436" s="20"/>
      <c r="BA1436" s="20"/>
    </row>
    <row r="1437" spans="49:53" x14ac:dyDescent="0.35">
      <c r="AW1437" s="20"/>
      <c r="AX1437" s="20"/>
      <c r="AY1437" s="20"/>
      <c r="AZ1437" s="20"/>
      <c r="BA1437" s="20"/>
    </row>
    <row r="1438" spans="49:53" x14ac:dyDescent="0.35">
      <c r="AW1438" s="20"/>
      <c r="AX1438" s="20"/>
      <c r="AY1438" s="20"/>
      <c r="AZ1438" s="20"/>
      <c r="BA1438" s="20"/>
    </row>
    <row r="1439" spans="49:53" x14ac:dyDescent="0.35">
      <c r="AW1439" s="20"/>
      <c r="AX1439" s="20"/>
      <c r="AY1439" s="20"/>
      <c r="AZ1439" s="20"/>
      <c r="BA1439" s="20"/>
    </row>
    <row r="1440" spans="49:53" x14ac:dyDescent="0.35">
      <c r="AW1440" s="20"/>
      <c r="AX1440" s="20"/>
      <c r="AY1440" s="20"/>
      <c r="AZ1440" s="20"/>
      <c r="BA1440" s="20"/>
    </row>
    <row r="1441" spans="49:53" x14ac:dyDescent="0.35">
      <c r="AW1441" s="20"/>
      <c r="AX1441" s="20"/>
      <c r="AY1441" s="20"/>
      <c r="AZ1441" s="20"/>
      <c r="BA1441" s="20"/>
    </row>
    <row r="1442" spans="49:53" x14ac:dyDescent="0.35">
      <c r="AW1442" s="20"/>
      <c r="AX1442" s="20"/>
      <c r="AY1442" s="20"/>
      <c r="AZ1442" s="20"/>
      <c r="BA1442" s="20"/>
    </row>
    <row r="1443" spans="49:53" x14ac:dyDescent="0.35">
      <c r="AW1443" s="20"/>
      <c r="AX1443" s="20"/>
      <c r="AY1443" s="20"/>
      <c r="AZ1443" s="20"/>
      <c r="BA1443" s="20"/>
    </row>
    <row r="1444" spans="49:53" x14ac:dyDescent="0.35">
      <c r="AW1444" s="20"/>
      <c r="AX1444" s="20"/>
      <c r="AY1444" s="20"/>
      <c r="AZ1444" s="20"/>
      <c r="BA1444" s="20"/>
    </row>
    <row r="1445" spans="49:53" x14ac:dyDescent="0.35">
      <c r="AW1445" s="20"/>
      <c r="AX1445" s="20"/>
      <c r="AY1445" s="20"/>
      <c r="AZ1445" s="20"/>
      <c r="BA1445" s="20"/>
    </row>
    <row r="1446" spans="49:53" x14ac:dyDescent="0.35">
      <c r="AW1446" s="20"/>
      <c r="AX1446" s="20"/>
      <c r="AY1446" s="20"/>
      <c r="AZ1446" s="20"/>
      <c r="BA1446" s="20"/>
    </row>
    <row r="1447" spans="49:53" x14ac:dyDescent="0.35">
      <c r="AW1447" s="20"/>
      <c r="AX1447" s="20"/>
      <c r="AY1447" s="20"/>
      <c r="AZ1447" s="20"/>
      <c r="BA1447" s="20"/>
    </row>
    <row r="1448" spans="49:53" x14ac:dyDescent="0.35">
      <c r="AW1448" s="20"/>
      <c r="AX1448" s="20"/>
      <c r="AY1448" s="20"/>
      <c r="AZ1448" s="20"/>
      <c r="BA1448" s="20"/>
    </row>
    <row r="1449" spans="49:53" x14ac:dyDescent="0.35">
      <c r="AW1449" s="20"/>
      <c r="AX1449" s="20"/>
      <c r="AY1449" s="20"/>
      <c r="AZ1449" s="20"/>
      <c r="BA1449" s="20"/>
    </row>
    <row r="1450" spans="49:53" x14ac:dyDescent="0.35">
      <c r="AW1450" s="20"/>
      <c r="AX1450" s="20"/>
      <c r="AY1450" s="20"/>
      <c r="AZ1450" s="20"/>
      <c r="BA1450" s="20"/>
    </row>
    <row r="1451" spans="49:53" x14ac:dyDescent="0.35">
      <c r="AW1451" s="20"/>
      <c r="AX1451" s="20"/>
      <c r="AY1451" s="20"/>
      <c r="AZ1451" s="20"/>
      <c r="BA1451" s="20"/>
    </row>
    <row r="1452" spans="49:53" x14ac:dyDescent="0.35">
      <c r="AW1452" s="20"/>
      <c r="AX1452" s="20"/>
      <c r="AY1452" s="20"/>
      <c r="AZ1452" s="20"/>
      <c r="BA1452" s="20"/>
    </row>
    <row r="1453" spans="49:53" x14ac:dyDescent="0.35">
      <c r="AW1453" s="20"/>
      <c r="AX1453" s="20"/>
      <c r="AY1453" s="20"/>
      <c r="AZ1453" s="20"/>
      <c r="BA1453" s="20"/>
    </row>
    <row r="1454" spans="49:53" x14ac:dyDescent="0.35">
      <c r="AW1454" s="20"/>
      <c r="AX1454" s="20"/>
      <c r="AY1454" s="20"/>
      <c r="AZ1454" s="20"/>
      <c r="BA1454" s="20"/>
    </row>
    <row r="1455" spans="49:53" x14ac:dyDescent="0.35">
      <c r="AW1455" s="20"/>
      <c r="AX1455" s="20"/>
      <c r="AY1455" s="20"/>
      <c r="AZ1455" s="20"/>
      <c r="BA1455" s="20"/>
    </row>
    <row r="1456" spans="49:53" x14ac:dyDescent="0.35">
      <c r="AW1456" s="20"/>
      <c r="AX1456" s="20"/>
      <c r="AY1456" s="20"/>
      <c r="AZ1456" s="20"/>
      <c r="BA1456" s="20"/>
    </row>
    <row r="1457" spans="49:53" x14ac:dyDescent="0.35">
      <c r="AW1457" s="20"/>
      <c r="AX1457" s="20"/>
      <c r="AY1457" s="20"/>
      <c r="AZ1457" s="20"/>
      <c r="BA1457" s="20"/>
    </row>
    <row r="1458" spans="49:53" x14ac:dyDescent="0.35">
      <c r="AW1458" s="20"/>
      <c r="AX1458" s="20"/>
      <c r="AY1458" s="20"/>
      <c r="AZ1458" s="20"/>
      <c r="BA1458" s="20"/>
    </row>
    <row r="1459" spans="49:53" x14ac:dyDescent="0.35">
      <c r="AW1459" s="20"/>
      <c r="AX1459" s="20"/>
      <c r="AY1459" s="20"/>
      <c r="AZ1459" s="20"/>
      <c r="BA1459" s="20"/>
    </row>
    <row r="1460" spans="49:53" x14ac:dyDescent="0.35">
      <c r="AW1460" s="20"/>
      <c r="AX1460" s="20"/>
      <c r="AY1460" s="20"/>
      <c r="AZ1460" s="20"/>
      <c r="BA1460" s="20"/>
    </row>
    <row r="1461" spans="49:53" x14ac:dyDescent="0.35">
      <c r="AW1461" s="20"/>
      <c r="AX1461" s="20"/>
      <c r="AY1461" s="20"/>
      <c r="AZ1461" s="20"/>
      <c r="BA1461" s="20"/>
    </row>
    <row r="1462" spans="49:53" x14ac:dyDescent="0.35">
      <c r="AW1462" s="20"/>
      <c r="AX1462" s="20"/>
      <c r="AY1462" s="20"/>
      <c r="AZ1462" s="20"/>
      <c r="BA1462" s="20"/>
    </row>
    <row r="1463" spans="49:53" x14ac:dyDescent="0.35">
      <c r="AW1463" s="20"/>
      <c r="AX1463" s="20"/>
      <c r="AY1463" s="20"/>
      <c r="AZ1463" s="20"/>
      <c r="BA1463" s="20"/>
    </row>
    <row r="1464" spans="49:53" x14ac:dyDescent="0.35">
      <c r="AW1464" s="20"/>
      <c r="AX1464" s="20"/>
      <c r="AY1464" s="20"/>
      <c r="AZ1464" s="20"/>
      <c r="BA1464" s="20"/>
    </row>
    <row r="1465" spans="49:53" x14ac:dyDescent="0.35">
      <c r="AW1465" s="20"/>
      <c r="AX1465" s="20"/>
      <c r="AY1465" s="20"/>
      <c r="AZ1465" s="20"/>
      <c r="BA1465" s="20"/>
    </row>
    <row r="1466" spans="49:53" x14ac:dyDescent="0.35">
      <c r="AW1466" s="20"/>
      <c r="AX1466" s="20"/>
      <c r="AY1466" s="20"/>
      <c r="AZ1466" s="20"/>
      <c r="BA1466" s="20"/>
    </row>
    <row r="1467" spans="49:53" x14ac:dyDescent="0.35">
      <c r="AW1467" s="20"/>
      <c r="AX1467" s="20"/>
      <c r="AY1467" s="20"/>
      <c r="AZ1467" s="20"/>
      <c r="BA1467" s="20"/>
    </row>
    <row r="1468" spans="49:53" x14ac:dyDescent="0.35">
      <c r="AW1468" s="20"/>
      <c r="AX1468" s="20"/>
      <c r="AY1468" s="20"/>
      <c r="AZ1468" s="20"/>
      <c r="BA1468" s="20"/>
    </row>
    <row r="1469" spans="49:53" x14ac:dyDescent="0.35">
      <c r="AW1469" s="20"/>
      <c r="AX1469" s="20"/>
      <c r="AY1469" s="20"/>
      <c r="AZ1469" s="20"/>
      <c r="BA1469" s="20"/>
    </row>
    <row r="1470" spans="49:53" x14ac:dyDescent="0.35">
      <c r="AW1470" s="20"/>
      <c r="AX1470" s="20"/>
      <c r="AY1470" s="20"/>
      <c r="AZ1470" s="20"/>
      <c r="BA1470" s="20"/>
    </row>
    <row r="1471" spans="49:53" x14ac:dyDescent="0.35">
      <c r="AW1471" s="20"/>
      <c r="AX1471" s="20"/>
      <c r="AY1471" s="20"/>
      <c r="AZ1471" s="20"/>
      <c r="BA1471" s="20"/>
    </row>
    <row r="1472" spans="49:53" x14ac:dyDescent="0.35">
      <c r="AW1472" s="20"/>
      <c r="AX1472" s="20"/>
      <c r="AY1472" s="20"/>
      <c r="AZ1472" s="20"/>
      <c r="BA1472" s="20"/>
    </row>
    <row r="1473" spans="49:53" x14ac:dyDescent="0.35">
      <c r="AW1473" s="20"/>
      <c r="AX1473" s="20"/>
      <c r="AY1473" s="20"/>
      <c r="AZ1473" s="20"/>
      <c r="BA1473" s="20"/>
    </row>
    <row r="1474" spans="49:53" x14ac:dyDescent="0.35">
      <c r="AW1474" s="20"/>
      <c r="AX1474" s="20"/>
      <c r="AY1474" s="20"/>
      <c r="AZ1474" s="20"/>
      <c r="BA1474" s="20"/>
    </row>
    <row r="1475" spans="49:53" x14ac:dyDescent="0.35">
      <c r="AW1475" s="20"/>
      <c r="AX1475" s="20"/>
      <c r="AY1475" s="20"/>
      <c r="AZ1475" s="20"/>
      <c r="BA1475" s="20"/>
    </row>
    <row r="1476" spans="49:53" x14ac:dyDescent="0.35">
      <c r="AW1476" s="20"/>
      <c r="AX1476" s="20"/>
      <c r="AY1476" s="20"/>
      <c r="AZ1476" s="20"/>
      <c r="BA1476" s="20"/>
    </row>
    <row r="1477" spans="49:53" x14ac:dyDescent="0.35">
      <c r="AW1477" s="20"/>
      <c r="AX1477" s="20"/>
      <c r="AY1477" s="20"/>
      <c r="AZ1477" s="20"/>
      <c r="BA1477" s="20"/>
    </row>
    <row r="1478" spans="49:53" x14ac:dyDescent="0.35">
      <c r="AW1478" s="20"/>
      <c r="AX1478" s="20"/>
      <c r="AY1478" s="20"/>
      <c r="AZ1478" s="20"/>
      <c r="BA1478" s="20"/>
    </row>
    <row r="1479" spans="49:53" x14ac:dyDescent="0.35">
      <c r="AW1479" s="20"/>
      <c r="AX1479" s="20"/>
      <c r="AY1479" s="20"/>
      <c r="AZ1479" s="20"/>
      <c r="BA1479" s="20"/>
    </row>
    <row r="1480" spans="49:53" x14ac:dyDescent="0.35">
      <c r="AW1480" s="20"/>
      <c r="AX1480" s="20"/>
      <c r="AY1480" s="20"/>
      <c r="AZ1480" s="20"/>
      <c r="BA1480" s="20"/>
    </row>
    <row r="1481" spans="49:53" x14ac:dyDescent="0.35">
      <c r="AW1481" s="20"/>
      <c r="AX1481" s="20"/>
      <c r="AY1481" s="20"/>
      <c r="AZ1481" s="20"/>
      <c r="BA1481" s="20"/>
    </row>
    <row r="1482" spans="49:53" x14ac:dyDescent="0.35">
      <c r="AW1482" s="20"/>
      <c r="AX1482" s="20"/>
      <c r="AY1482" s="20"/>
      <c r="AZ1482" s="20"/>
      <c r="BA1482" s="20"/>
    </row>
    <row r="1483" spans="49:53" x14ac:dyDescent="0.35">
      <c r="AW1483" s="20"/>
      <c r="AX1483" s="20"/>
      <c r="AY1483" s="20"/>
      <c r="AZ1483" s="20"/>
      <c r="BA1483" s="20"/>
    </row>
    <row r="1484" spans="49:53" x14ac:dyDescent="0.35">
      <c r="AW1484" s="20"/>
      <c r="AX1484" s="20"/>
      <c r="AY1484" s="20"/>
      <c r="AZ1484" s="20"/>
      <c r="BA1484" s="20"/>
    </row>
    <row r="1485" spans="49:53" x14ac:dyDescent="0.35">
      <c r="AW1485" s="20"/>
      <c r="AX1485" s="20"/>
      <c r="AY1485" s="20"/>
      <c r="AZ1485" s="20"/>
      <c r="BA1485" s="20"/>
    </row>
    <row r="1486" spans="49:53" x14ac:dyDescent="0.35">
      <c r="AW1486" s="20"/>
      <c r="AX1486" s="20"/>
      <c r="AY1486" s="20"/>
      <c r="AZ1486" s="20"/>
      <c r="BA1486" s="20"/>
    </row>
    <row r="1487" spans="49:53" x14ac:dyDescent="0.35">
      <c r="AW1487" s="20"/>
      <c r="AX1487" s="20"/>
      <c r="AY1487" s="20"/>
      <c r="AZ1487" s="20"/>
      <c r="BA1487" s="20"/>
    </row>
    <row r="1488" spans="49:53" x14ac:dyDescent="0.35">
      <c r="AW1488" s="20"/>
      <c r="AX1488" s="20"/>
      <c r="AY1488" s="20"/>
      <c r="AZ1488" s="20"/>
      <c r="BA1488" s="20"/>
    </row>
    <row r="1489" spans="49:53" x14ac:dyDescent="0.35">
      <c r="AW1489" s="20"/>
      <c r="AX1489" s="20"/>
      <c r="AY1489" s="20"/>
      <c r="AZ1489" s="20"/>
      <c r="BA1489" s="20"/>
    </row>
    <row r="1490" spans="49:53" x14ac:dyDescent="0.35">
      <c r="AW1490" s="20"/>
      <c r="AX1490" s="20"/>
      <c r="AY1490" s="20"/>
      <c r="AZ1490" s="20"/>
      <c r="BA1490" s="20"/>
    </row>
    <row r="1491" spans="49:53" x14ac:dyDescent="0.35">
      <c r="AW1491" s="20"/>
      <c r="AX1491" s="20"/>
      <c r="AY1491" s="20"/>
      <c r="AZ1491" s="20"/>
      <c r="BA1491" s="20"/>
    </row>
    <row r="1492" spans="49:53" x14ac:dyDescent="0.35">
      <c r="AW1492" s="20"/>
      <c r="AX1492" s="20"/>
      <c r="AY1492" s="20"/>
      <c r="AZ1492" s="20"/>
      <c r="BA1492" s="20"/>
    </row>
    <row r="1493" spans="49:53" x14ac:dyDescent="0.35">
      <c r="AW1493" s="20"/>
      <c r="AX1493" s="20"/>
      <c r="AY1493" s="20"/>
      <c r="AZ1493" s="20"/>
      <c r="BA1493" s="20"/>
    </row>
    <row r="1494" spans="49:53" x14ac:dyDescent="0.35">
      <c r="AW1494" s="20"/>
      <c r="AX1494" s="20"/>
      <c r="AY1494" s="20"/>
      <c r="AZ1494" s="20"/>
      <c r="BA1494" s="20"/>
    </row>
    <row r="1495" spans="49:53" x14ac:dyDescent="0.35">
      <c r="AW1495" s="20"/>
      <c r="AX1495" s="20"/>
      <c r="AY1495" s="20"/>
      <c r="AZ1495" s="20"/>
      <c r="BA1495" s="20"/>
    </row>
    <row r="1496" spans="49:53" x14ac:dyDescent="0.35">
      <c r="AW1496" s="20"/>
      <c r="AX1496" s="20"/>
      <c r="AY1496" s="20"/>
      <c r="AZ1496" s="20"/>
      <c r="BA1496" s="20"/>
    </row>
    <row r="1497" spans="49:53" x14ac:dyDescent="0.35">
      <c r="AW1497" s="20"/>
      <c r="AX1497" s="20"/>
      <c r="AY1497" s="20"/>
      <c r="AZ1497" s="20"/>
      <c r="BA1497" s="20"/>
    </row>
    <row r="1498" spans="49:53" x14ac:dyDescent="0.35">
      <c r="AW1498" s="20"/>
      <c r="AX1498" s="20"/>
      <c r="AY1498" s="20"/>
      <c r="AZ1498" s="20"/>
      <c r="BA1498" s="20"/>
    </row>
    <row r="1499" spans="49:53" x14ac:dyDescent="0.35">
      <c r="AW1499" s="20"/>
      <c r="AX1499" s="20"/>
      <c r="AY1499" s="20"/>
      <c r="AZ1499" s="20"/>
      <c r="BA1499" s="20"/>
    </row>
    <row r="1500" spans="49:53" x14ac:dyDescent="0.35">
      <c r="AW1500" s="20"/>
      <c r="AX1500" s="20"/>
      <c r="AY1500" s="20"/>
      <c r="AZ1500" s="20"/>
      <c r="BA1500" s="20"/>
    </row>
    <row r="1501" spans="49:53" x14ac:dyDescent="0.35">
      <c r="AW1501" s="20"/>
      <c r="AX1501" s="20"/>
      <c r="AY1501" s="20"/>
      <c r="AZ1501" s="20"/>
      <c r="BA1501" s="20"/>
    </row>
    <row r="1502" spans="49:53" x14ac:dyDescent="0.35">
      <c r="AW1502" s="20"/>
      <c r="AX1502" s="20"/>
      <c r="AY1502" s="20"/>
      <c r="AZ1502" s="20"/>
      <c r="BA1502" s="20"/>
    </row>
    <row r="1503" spans="49:53" x14ac:dyDescent="0.35">
      <c r="AW1503" s="20"/>
      <c r="AX1503" s="20"/>
      <c r="AY1503" s="20"/>
      <c r="AZ1503" s="20"/>
      <c r="BA1503" s="20"/>
    </row>
    <row r="1504" spans="49:53" x14ac:dyDescent="0.35">
      <c r="AW1504" s="20"/>
      <c r="AX1504" s="20"/>
      <c r="AY1504" s="20"/>
      <c r="AZ1504" s="20"/>
      <c r="BA1504" s="20"/>
    </row>
    <row r="1505" spans="49:53" x14ac:dyDescent="0.35">
      <c r="AW1505" s="20"/>
      <c r="AX1505" s="20"/>
      <c r="AY1505" s="20"/>
      <c r="AZ1505" s="20"/>
      <c r="BA1505" s="20"/>
    </row>
    <row r="1506" spans="49:53" x14ac:dyDescent="0.35">
      <c r="AW1506" s="20"/>
      <c r="AX1506" s="20"/>
      <c r="AY1506" s="20"/>
      <c r="AZ1506" s="20"/>
      <c r="BA1506" s="20"/>
    </row>
    <row r="1507" spans="49:53" x14ac:dyDescent="0.35">
      <c r="AW1507" s="20"/>
      <c r="AX1507" s="20"/>
      <c r="AY1507" s="20"/>
      <c r="AZ1507" s="20"/>
      <c r="BA1507" s="20"/>
    </row>
    <row r="1508" spans="49:53" x14ac:dyDescent="0.35">
      <c r="AW1508" s="20"/>
      <c r="AX1508" s="20"/>
      <c r="AY1508" s="20"/>
      <c r="AZ1508" s="20"/>
      <c r="BA1508" s="20"/>
    </row>
    <row r="1509" spans="49:53" x14ac:dyDescent="0.35">
      <c r="AW1509" s="20"/>
      <c r="AX1509" s="20"/>
      <c r="AY1509" s="20"/>
      <c r="AZ1509" s="20"/>
      <c r="BA1509" s="20"/>
    </row>
    <row r="1510" spans="49:53" x14ac:dyDescent="0.35">
      <c r="AW1510" s="20"/>
      <c r="AX1510" s="20"/>
      <c r="AY1510" s="20"/>
      <c r="AZ1510" s="20"/>
      <c r="BA1510" s="20"/>
    </row>
    <row r="1511" spans="49:53" x14ac:dyDescent="0.35">
      <c r="AW1511" s="20"/>
      <c r="AX1511" s="20"/>
      <c r="AY1511" s="20"/>
      <c r="AZ1511" s="20"/>
      <c r="BA1511" s="20"/>
    </row>
    <row r="1512" spans="49:53" x14ac:dyDescent="0.35">
      <c r="AW1512" s="20"/>
      <c r="AX1512" s="20"/>
      <c r="AY1512" s="20"/>
      <c r="AZ1512" s="20"/>
      <c r="BA1512" s="20"/>
    </row>
    <row r="1513" spans="49:53" x14ac:dyDescent="0.35">
      <c r="AW1513" s="20"/>
      <c r="AX1513" s="20"/>
      <c r="AY1513" s="20"/>
      <c r="AZ1513" s="20"/>
      <c r="BA1513" s="20"/>
    </row>
    <row r="1514" spans="49:53" x14ac:dyDescent="0.35">
      <c r="AW1514" s="20"/>
      <c r="AX1514" s="20"/>
      <c r="AY1514" s="20"/>
      <c r="AZ1514" s="20"/>
      <c r="BA1514" s="20"/>
    </row>
    <row r="1515" spans="49:53" x14ac:dyDescent="0.35">
      <c r="AW1515" s="20"/>
      <c r="AX1515" s="20"/>
      <c r="AY1515" s="20"/>
      <c r="AZ1515" s="20"/>
      <c r="BA1515" s="20"/>
    </row>
    <row r="1516" spans="49:53" x14ac:dyDescent="0.35">
      <c r="AW1516" s="20"/>
      <c r="AX1516" s="20"/>
      <c r="AY1516" s="20"/>
      <c r="AZ1516" s="20"/>
      <c r="BA1516" s="20"/>
    </row>
    <row r="1517" spans="49:53" x14ac:dyDescent="0.35">
      <c r="AW1517" s="20"/>
      <c r="AX1517" s="20"/>
      <c r="AY1517" s="20"/>
      <c r="AZ1517" s="20"/>
      <c r="BA1517" s="20"/>
    </row>
    <row r="1518" spans="49:53" x14ac:dyDescent="0.35">
      <c r="AW1518" s="20"/>
      <c r="AX1518" s="20"/>
      <c r="AY1518" s="20"/>
      <c r="AZ1518" s="20"/>
      <c r="BA1518" s="20"/>
    </row>
    <row r="1519" spans="49:53" x14ac:dyDescent="0.35">
      <c r="AW1519" s="20"/>
      <c r="AX1519" s="20"/>
      <c r="AY1519" s="20"/>
      <c r="AZ1519" s="20"/>
      <c r="BA1519" s="20"/>
    </row>
    <row r="1520" spans="49:53" x14ac:dyDescent="0.35">
      <c r="AW1520" s="20"/>
      <c r="AX1520" s="20"/>
      <c r="AY1520" s="20"/>
      <c r="AZ1520" s="20"/>
      <c r="BA1520" s="20"/>
    </row>
    <row r="1521" spans="49:53" x14ac:dyDescent="0.35">
      <c r="AW1521" s="20"/>
      <c r="AX1521" s="20"/>
      <c r="AY1521" s="20"/>
      <c r="AZ1521" s="20"/>
      <c r="BA1521" s="20"/>
    </row>
    <row r="1522" spans="49:53" x14ac:dyDescent="0.35">
      <c r="AW1522" s="20"/>
      <c r="AX1522" s="20"/>
      <c r="AY1522" s="20"/>
      <c r="AZ1522" s="20"/>
      <c r="BA1522" s="20"/>
    </row>
    <row r="1523" spans="49:53" x14ac:dyDescent="0.35">
      <c r="AW1523" s="20"/>
      <c r="AX1523" s="20"/>
      <c r="AY1523" s="20"/>
      <c r="AZ1523" s="20"/>
      <c r="BA1523" s="20"/>
    </row>
    <row r="1524" spans="49:53" x14ac:dyDescent="0.35">
      <c r="AW1524" s="20"/>
      <c r="AX1524" s="20"/>
      <c r="AY1524" s="20"/>
      <c r="AZ1524" s="20"/>
      <c r="BA1524" s="20"/>
    </row>
    <row r="1525" spans="49:53" x14ac:dyDescent="0.35">
      <c r="AW1525" s="20"/>
      <c r="AX1525" s="20"/>
      <c r="AY1525" s="20"/>
      <c r="AZ1525" s="20"/>
      <c r="BA1525" s="20"/>
    </row>
    <row r="1526" spans="49:53" x14ac:dyDescent="0.35">
      <c r="AW1526" s="20"/>
      <c r="AX1526" s="20"/>
      <c r="AY1526" s="20"/>
      <c r="AZ1526" s="20"/>
      <c r="BA1526" s="20"/>
    </row>
    <row r="1527" spans="49:53" x14ac:dyDescent="0.35">
      <c r="AW1527" s="20"/>
      <c r="AX1527" s="20"/>
      <c r="AY1527" s="20"/>
      <c r="AZ1527" s="20"/>
      <c r="BA1527" s="20"/>
    </row>
    <row r="1528" spans="49:53" x14ac:dyDescent="0.35">
      <c r="AW1528" s="20"/>
      <c r="AX1528" s="20"/>
      <c r="AY1528" s="20"/>
      <c r="AZ1528" s="20"/>
      <c r="BA1528" s="20"/>
    </row>
    <row r="1529" spans="49:53" x14ac:dyDescent="0.35">
      <c r="AW1529" s="20"/>
      <c r="AX1529" s="20"/>
      <c r="AY1529" s="20"/>
      <c r="AZ1529" s="20"/>
      <c r="BA1529" s="20"/>
    </row>
    <row r="1530" spans="49:53" x14ac:dyDescent="0.35">
      <c r="AW1530" s="20"/>
      <c r="AX1530" s="20"/>
      <c r="AY1530" s="20"/>
      <c r="AZ1530" s="20"/>
      <c r="BA1530" s="20"/>
    </row>
    <row r="1531" spans="49:53" x14ac:dyDescent="0.35">
      <c r="AW1531" s="20"/>
      <c r="AX1531" s="20"/>
      <c r="AY1531" s="20"/>
      <c r="AZ1531" s="20"/>
      <c r="BA1531" s="20"/>
    </row>
    <row r="1532" spans="49:53" x14ac:dyDescent="0.35">
      <c r="AW1532" s="20"/>
      <c r="AX1532" s="20"/>
      <c r="AY1532" s="20"/>
      <c r="AZ1532" s="20"/>
      <c r="BA1532" s="20"/>
    </row>
    <row r="1533" spans="49:53" x14ac:dyDescent="0.35">
      <c r="AW1533" s="20"/>
      <c r="AX1533" s="20"/>
      <c r="AY1533" s="20"/>
      <c r="AZ1533" s="20"/>
      <c r="BA1533" s="20"/>
    </row>
    <row r="1534" spans="49:53" x14ac:dyDescent="0.35">
      <c r="AW1534" s="20"/>
      <c r="AX1534" s="20"/>
      <c r="AY1534" s="20"/>
      <c r="AZ1534" s="20"/>
      <c r="BA1534" s="20"/>
    </row>
    <row r="1535" spans="49:53" x14ac:dyDescent="0.35">
      <c r="AW1535" s="20"/>
      <c r="AX1535" s="20"/>
      <c r="AY1535" s="20"/>
      <c r="AZ1535" s="20"/>
      <c r="BA1535" s="20"/>
    </row>
    <row r="1536" spans="49:53" x14ac:dyDescent="0.35">
      <c r="AW1536" s="20"/>
      <c r="AX1536" s="20"/>
      <c r="AY1536" s="20"/>
      <c r="AZ1536" s="20"/>
      <c r="BA1536" s="20"/>
    </row>
    <row r="1537" spans="49:53" x14ac:dyDescent="0.35">
      <c r="AW1537" s="20"/>
      <c r="AX1537" s="20"/>
      <c r="AY1537" s="20"/>
      <c r="AZ1537" s="20"/>
      <c r="BA1537" s="20"/>
    </row>
    <row r="1538" spans="49:53" x14ac:dyDescent="0.35">
      <c r="AW1538" s="20"/>
      <c r="AX1538" s="20"/>
      <c r="AY1538" s="20"/>
      <c r="AZ1538" s="20"/>
      <c r="BA1538" s="20"/>
    </row>
    <row r="1539" spans="49:53" x14ac:dyDescent="0.35">
      <c r="AW1539" s="20"/>
      <c r="AX1539" s="20"/>
      <c r="AY1539" s="20"/>
      <c r="AZ1539" s="20"/>
      <c r="BA1539" s="20"/>
    </row>
    <row r="1540" spans="49:53" x14ac:dyDescent="0.35">
      <c r="AW1540" s="20"/>
      <c r="AX1540" s="20"/>
      <c r="AY1540" s="20"/>
      <c r="AZ1540" s="20"/>
      <c r="BA1540" s="20"/>
    </row>
    <row r="1541" spans="49:53" x14ac:dyDescent="0.35">
      <c r="AW1541" s="20"/>
      <c r="AX1541" s="20"/>
      <c r="AY1541" s="20"/>
      <c r="AZ1541" s="20"/>
      <c r="BA1541" s="20"/>
    </row>
    <row r="1542" spans="49:53" x14ac:dyDescent="0.35">
      <c r="AW1542" s="20"/>
      <c r="AX1542" s="20"/>
      <c r="AY1542" s="20"/>
      <c r="AZ1542" s="20"/>
      <c r="BA1542" s="20"/>
    </row>
    <row r="1543" spans="49:53" x14ac:dyDescent="0.35">
      <c r="AW1543" s="20"/>
      <c r="AX1543" s="20"/>
      <c r="AY1543" s="20"/>
      <c r="AZ1543" s="20"/>
      <c r="BA1543" s="20"/>
    </row>
    <row r="1544" spans="49:53" x14ac:dyDescent="0.35">
      <c r="AW1544" s="20"/>
      <c r="AX1544" s="20"/>
      <c r="AY1544" s="20"/>
      <c r="AZ1544" s="20"/>
      <c r="BA1544" s="20"/>
    </row>
    <row r="1545" spans="49:53" x14ac:dyDescent="0.35">
      <c r="AW1545" s="20"/>
      <c r="AX1545" s="20"/>
      <c r="AY1545" s="20"/>
      <c r="AZ1545" s="20"/>
      <c r="BA1545" s="20"/>
    </row>
    <row r="1546" spans="49:53" x14ac:dyDescent="0.35">
      <c r="AW1546" s="20"/>
      <c r="AX1546" s="20"/>
      <c r="AY1546" s="20"/>
      <c r="AZ1546" s="20"/>
      <c r="BA1546" s="20"/>
    </row>
    <row r="1547" spans="49:53" x14ac:dyDescent="0.35">
      <c r="AW1547" s="20"/>
      <c r="AX1547" s="20"/>
      <c r="AY1547" s="20"/>
      <c r="AZ1547" s="20"/>
      <c r="BA1547" s="20"/>
    </row>
    <row r="1548" spans="49:53" x14ac:dyDescent="0.35">
      <c r="AW1548" s="20"/>
      <c r="AX1548" s="20"/>
      <c r="AY1548" s="20"/>
      <c r="AZ1548" s="20"/>
      <c r="BA1548" s="20"/>
    </row>
    <row r="1549" spans="49:53" x14ac:dyDescent="0.35">
      <c r="AW1549" s="20"/>
      <c r="AX1549" s="20"/>
      <c r="AY1549" s="20"/>
      <c r="AZ1549" s="20"/>
      <c r="BA1549" s="20"/>
    </row>
    <row r="1550" spans="49:53" x14ac:dyDescent="0.35">
      <c r="AW1550" s="20"/>
      <c r="AX1550" s="20"/>
      <c r="AY1550" s="20"/>
      <c r="AZ1550" s="20"/>
      <c r="BA1550" s="20"/>
    </row>
    <row r="1551" spans="49:53" x14ac:dyDescent="0.35">
      <c r="AW1551" s="20"/>
      <c r="AX1551" s="20"/>
      <c r="AY1551" s="20"/>
      <c r="AZ1551" s="20"/>
      <c r="BA1551" s="20"/>
    </row>
    <row r="1552" spans="49:53" x14ac:dyDescent="0.35">
      <c r="AW1552" s="20"/>
      <c r="AX1552" s="20"/>
      <c r="AY1552" s="20"/>
      <c r="AZ1552" s="20"/>
      <c r="BA1552" s="20"/>
    </row>
    <row r="1553" spans="49:53" x14ac:dyDescent="0.35">
      <c r="AW1553" s="20"/>
      <c r="AX1553" s="20"/>
      <c r="AY1553" s="20"/>
      <c r="AZ1553" s="20"/>
      <c r="BA1553" s="20"/>
    </row>
    <row r="1554" spans="49:53" x14ac:dyDescent="0.35">
      <c r="AW1554" s="20"/>
      <c r="AX1554" s="20"/>
      <c r="AY1554" s="20"/>
      <c r="AZ1554" s="20"/>
      <c r="BA1554" s="20"/>
    </row>
    <row r="1555" spans="49:53" x14ac:dyDescent="0.35">
      <c r="AW1555" s="20"/>
      <c r="AX1555" s="20"/>
      <c r="AY1555" s="20"/>
      <c r="AZ1555" s="20"/>
      <c r="BA1555" s="20"/>
    </row>
    <row r="1556" spans="49:53" x14ac:dyDescent="0.35">
      <c r="AW1556" s="20"/>
      <c r="AX1556" s="20"/>
      <c r="AY1556" s="20"/>
      <c r="AZ1556" s="20"/>
      <c r="BA1556" s="20"/>
    </row>
    <row r="1557" spans="49:53" x14ac:dyDescent="0.35">
      <c r="AW1557" s="20"/>
      <c r="AX1557" s="20"/>
      <c r="AY1557" s="20"/>
      <c r="AZ1557" s="20"/>
      <c r="BA1557" s="20"/>
    </row>
    <row r="1558" spans="49:53" x14ac:dyDescent="0.35">
      <c r="AW1558" s="20"/>
      <c r="AX1558" s="20"/>
      <c r="AY1558" s="20"/>
      <c r="AZ1558" s="20"/>
      <c r="BA1558" s="20"/>
    </row>
    <row r="1559" spans="49:53" x14ac:dyDescent="0.35">
      <c r="AW1559" s="20"/>
      <c r="AX1559" s="20"/>
      <c r="AY1559" s="20"/>
      <c r="AZ1559" s="20"/>
      <c r="BA1559" s="20"/>
    </row>
    <row r="1560" spans="49:53" x14ac:dyDescent="0.35">
      <c r="AW1560" s="20"/>
      <c r="AX1560" s="20"/>
      <c r="AY1560" s="20"/>
      <c r="AZ1560" s="20"/>
      <c r="BA1560" s="20"/>
    </row>
    <row r="1561" spans="49:53" x14ac:dyDescent="0.35">
      <c r="AW1561" s="20"/>
      <c r="AX1561" s="20"/>
      <c r="AY1561" s="20"/>
      <c r="AZ1561" s="20"/>
      <c r="BA1561" s="20"/>
    </row>
    <row r="1562" spans="49:53" x14ac:dyDescent="0.35">
      <c r="AW1562" s="20"/>
      <c r="AX1562" s="20"/>
      <c r="AY1562" s="20"/>
      <c r="AZ1562" s="20"/>
      <c r="BA1562" s="20"/>
    </row>
    <row r="1563" spans="49:53" x14ac:dyDescent="0.35">
      <c r="AW1563" s="20"/>
      <c r="AX1563" s="20"/>
      <c r="AY1563" s="20"/>
      <c r="AZ1563" s="20"/>
      <c r="BA1563" s="20"/>
    </row>
    <row r="1564" spans="49:53" x14ac:dyDescent="0.35">
      <c r="AW1564" s="20"/>
      <c r="AX1564" s="20"/>
      <c r="AY1564" s="20"/>
      <c r="AZ1564" s="20"/>
      <c r="BA1564" s="20"/>
    </row>
    <row r="1565" spans="49:53" x14ac:dyDescent="0.35">
      <c r="AW1565" s="20"/>
      <c r="AX1565" s="20"/>
      <c r="AY1565" s="20"/>
      <c r="AZ1565" s="20"/>
      <c r="BA1565" s="20"/>
    </row>
    <row r="1566" spans="49:53" x14ac:dyDescent="0.35">
      <c r="AW1566" s="20"/>
      <c r="AX1566" s="20"/>
      <c r="AY1566" s="20"/>
      <c r="AZ1566" s="20"/>
      <c r="BA1566" s="20"/>
    </row>
    <row r="1567" spans="49:53" x14ac:dyDescent="0.35">
      <c r="AW1567" s="20"/>
      <c r="AX1567" s="20"/>
      <c r="AY1567" s="20"/>
      <c r="AZ1567" s="20"/>
      <c r="BA1567" s="20"/>
    </row>
    <row r="1568" spans="49:53" x14ac:dyDescent="0.35">
      <c r="AW1568" s="20"/>
      <c r="AX1568" s="20"/>
      <c r="AY1568" s="20"/>
      <c r="AZ1568" s="20"/>
      <c r="BA1568" s="20"/>
    </row>
    <row r="1569" spans="49:53" x14ac:dyDescent="0.35">
      <c r="AW1569" s="20"/>
      <c r="AX1569" s="20"/>
      <c r="AY1569" s="20"/>
      <c r="AZ1569" s="20"/>
      <c r="BA1569" s="20"/>
    </row>
    <row r="1570" spans="49:53" x14ac:dyDescent="0.35">
      <c r="AW1570" s="20"/>
      <c r="AX1570" s="20"/>
      <c r="AY1570" s="20"/>
      <c r="AZ1570" s="20"/>
      <c r="BA1570" s="20"/>
    </row>
    <row r="1571" spans="49:53" x14ac:dyDescent="0.35">
      <c r="AW1571" s="20"/>
      <c r="AX1571" s="20"/>
      <c r="AY1571" s="20"/>
      <c r="AZ1571" s="20"/>
      <c r="BA1571" s="20"/>
    </row>
    <row r="1572" spans="49:53" x14ac:dyDescent="0.35">
      <c r="AW1572" s="20"/>
      <c r="AX1572" s="20"/>
      <c r="AY1572" s="20"/>
      <c r="AZ1572" s="20"/>
      <c r="BA1572" s="20"/>
    </row>
    <row r="1573" spans="49:53" x14ac:dyDescent="0.35">
      <c r="AW1573" s="20"/>
      <c r="AX1573" s="20"/>
      <c r="AY1573" s="20"/>
      <c r="AZ1573" s="20"/>
      <c r="BA1573" s="20"/>
    </row>
    <row r="1574" spans="49:53" x14ac:dyDescent="0.35">
      <c r="AW1574" s="20"/>
      <c r="AX1574" s="20"/>
      <c r="AY1574" s="20"/>
      <c r="AZ1574" s="20"/>
      <c r="BA1574" s="20"/>
    </row>
    <row r="1575" spans="49:53" x14ac:dyDescent="0.35">
      <c r="AW1575" s="20"/>
      <c r="AX1575" s="20"/>
      <c r="AY1575" s="20"/>
      <c r="AZ1575" s="20"/>
      <c r="BA1575" s="20"/>
    </row>
    <row r="1576" spans="49:53" x14ac:dyDescent="0.35">
      <c r="AW1576" s="20"/>
      <c r="AX1576" s="20"/>
      <c r="AY1576" s="20"/>
      <c r="AZ1576" s="20"/>
      <c r="BA1576" s="20"/>
    </row>
    <row r="1577" spans="49:53" x14ac:dyDescent="0.35">
      <c r="AW1577" s="20"/>
      <c r="AX1577" s="20"/>
      <c r="AY1577" s="20"/>
      <c r="AZ1577" s="20"/>
      <c r="BA1577" s="20"/>
    </row>
    <row r="1578" spans="49:53" x14ac:dyDescent="0.35">
      <c r="AW1578" s="20"/>
      <c r="AX1578" s="20"/>
      <c r="AY1578" s="20"/>
      <c r="AZ1578" s="20"/>
      <c r="BA1578" s="20"/>
    </row>
    <row r="1579" spans="49:53" x14ac:dyDescent="0.35">
      <c r="AW1579" s="20"/>
      <c r="AX1579" s="20"/>
      <c r="AY1579" s="20"/>
      <c r="AZ1579" s="20"/>
      <c r="BA1579" s="20"/>
    </row>
    <row r="1580" spans="49:53" x14ac:dyDescent="0.35">
      <c r="AW1580" s="20"/>
      <c r="AX1580" s="20"/>
      <c r="AY1580" s="20"/>
      <c r="AZ1580" s="20"/>
      <c r="BA1580" s="20"/>
    </row>
    <row r="1581" spans="49:53" x14ac:dyDescent="0.35">
      <c r="AW1581" s="20"/>
      <c r="AX1581" s="20"/>
      <c r="AY1581" s="20"/>
      <c r="AZ1581" s="20"/>
      <c r="BA1581" s="20"/>
    </row>
    <row r="1582" spans="49:53" x14ac:dyDescent="0.35">
      <c r="AW1582" s="20"/>
      <c r="AX1582" s="20"/>
      <c r="AY1582" s="20"/>
      <c r="AZ1582" s="20"/>
      <c r="BA1582" s="20"/>
    </row>
    <row r="1583" spans="49:53" x14ac:dyDescent="0.35">
      <c r="AW1583" s="20"/>
      <c r="AX1583" s="20"/>
      <c r="AY1583" s="20"/>
      <c r="AZ1583" s="20"/>
      <c r="BA1583" s="20"/>
    </row>
    <row r="1584" spans="49:53" x14ac:dyDescent="0.35">
      <c r="AW1584" s="20"/>
      <c r="AX1584" s="20"/>
      <c r="AY1584" s="20"/>
      <c r="AZ1584" s="20"/>
      <c r="BA1584" s="20"/>
    </row>
    <row r="1585" spans="49:53" x14ac:dyDescent="0.35">
      <c r="AW1585" s="20"/>
      <c r="AX1585" s="20"/>
      <c r="AY1585" s="20"/>
      <c r="AZ1585" s="20"/>
      <c r="BA1585" s="20"/>
    </row>
    <row r="1586" spans="49:53" x14ac:dyDescent="0.35">
      <c r="AW1586" s="20"/>
      <c r="AX1586" s="20"/>
      <c r="AY1586" s="20"/>
      <c r="AZ1586" s="20"/>
      <c r="BA1586" s="20"/>
    </row>
    <row r="1587" spans="49:53" x14ac:dyDescent="0.35">
      <c r="AW1587" s="20"/>
      <c r="AX1587" s="20"/>
      <c r="AY1587" s="20"/>
      <c r="AZ1587" s="20"/>
      <c r="BA1587" s="20"/>
    </row>
    <row r="1588" spans="49:53" x14ac:dyDescent="0.35">
      <c r="AW1588" s="20"/>
      <c r="AX1588" s="20"/>
      <c r="AY1588" s="20"/>
      <c r="AZ1588" s="20"/>
      <c r="BA1588" s="20"/>
    </row>
    <row r="1589" spans="49:53" x14ac:dyDescent="0.35">
      <c r="AW1589" s="20"/>
      <c r="AX1589" s="20"/>
      <c r="AY1589" s="20"/>
      <c r="AZ1589" s="20"/>
      <c r="BA1589" s="20"/>
    </row>
    <row r="1590" spans="49:53" x14ac:dyDescent="0.35">
      <c r="AW1590" s="20"/>
      <c r="AX1590" s="20"/>
      <c r="AY1590" s="20"/>
      <c r="AZ1590" s="20"/>
      <c r="BA1590" s="20"/>
    </row>
    <row r="1591" spans="49:53" x14ac:dyDescent="0.35">
      <c r="AW1591" s="20"/>
      <c r="AX1591" s="20"/>
      <c r="AY1591" s="20"/>
      <c r="AZ1591" s="20"/>
      <c r="BA1591" s="20"/>
    </row>
    <row r="1592" spans="49:53" x14ac:dyDescent="0.35">
      <c r="AW1592" s="20"/>
      <c r="AX1592" s="20"/>
      <c r="AY1592" s="20"/>
      <c r="AZ1592" s="20"/>
      <c r="BA1592" s="20"/>
    </row>
    <row r="1593" spans="49:53" x14ac:dyDescent="0.35">
      <c r="AW1593" s="20"/>
      <c r="AX1593" s="20"/>
      <c r="AY1593" s="20"/>
      <c r="AZ1593" s="20"/>
      <c r="BA1593" s="20"/>
    </row>
    <row r="1594" spans="49:53" x14ac:dyDescent="0.35">
      <c r="AW1594" s="20"/>
      <c r="AX1594" s="20"/>
      <c r="AY1594" s="20"/>
      <c r="AZ1594" s="20"/>
      <c r="BA1594" s="20"/>
    </row>
    <row r="1595" spans="49:53" x14ac:dyDescent="0.35">
      <c r="AW1595" s="20"/>
      <c r="AX1595" s="20"/>
      <c r="AY1595" s="20"/>
      <c r="AZ1595" s="20"/>
      <c r="BA1595" s="20"/>
    </row>
    <row r="1596" spans="49:53" x14ac:dyDescent="0.35">
      <c r="AW1596" s="20"/>
      <c r="AX1596" s="20"/>
      <c r="AY1596" s="20"/>
      <c r="AZ1596" s="20"/>
      <c r="BA1596" s="20"/>
    </row>
    <row r="1597" spans="49:53" x14ac:dyDescent="0.35">
      <c r="AW1597" s="20"/>
      <c r="AX1597" s="20"/>
      <c r="AY1597" s="20"/>
      <c r="AZ1597" s="20"/>
      <c r="BA1597" s="20"/>
    </row>
    <row r="1598" spans="49:53" x14ac:dyDescent="0.35">
      <c r="AW1598" s="20"/>
      <c r="AX1598" s="20"/>
      <c r="AY1598" s="20"/>
      <c r="AZ1598" s="20"/>
      <c r="BA1598" s="20"/>
    </row>
    <row r="1599" spans="49:53" x14ac:dyDescent="0.35">
      <c r="AW1599" s="20"/>
      <c r="AX1599" s="20"/>
      <c r="AY1599" s="20"/>
      <c r="AZ1599" s="20"/>
      <c r="BA1599" s="20"/>
    </row>
    <row r="1600" spans="49:53" x14ac:dyDescent="0.35">
      <c r="AW1600" s="20"/>
      <c r="AX1600" s="20"/>
      <c r="AY1600" s="20"/>
      <c r="AZ1600" s="20"/>
      <c r="BA1600" s="20"/>
    </row>
    <row r="1601" spans="49:53" x14ac:dyDescent="0.35">
      <c r="AW1601" s="20"/>
      <c r="AX1601" s="20"/>
      <c r="AY1601" s="20"/>
      <c r="AZ1601" s="20"/>
      <c r="BA1601" s="20"/>
    </row>
    <row r="1602" spans="49:53" x14ac:dyDescent="0.35">
      <c r="AW1602" s="20"/>
      <c r="AX1602" s="20"/>
      <c r="AY1602" s="20"/>
      <c r="AZ1602" s="20"/>
      <c r="BA1602" s="20"/>
    </row>
    <row r="1603" spans="49:53" x14ac:dyDescent="0.35">
      <c r="AW1603" s="20"/>
      <c r="AX1603" s="20"/>
      <c r="AY1603" s="20"/>
      <c r="AZ1603" s="20"/>
      <c r="BA1603" s="20"/>
    </row>
    <row r="1604" spans="49:53" x14ac:dyDescent="0.35">
      <c r="AW1604" s="20"/>
      <c r="AX1604" s="20"/>
      <c r="AY1604" s="20"/>
      <c r="AZ1604" s="20"/>
      <c r="BA1604" s="20"/>
    </row>
    <row r="1605" spans="49:53" x14ac:dyDescent="0.35">
      <c r="AW1605" s="20"/>
      <c r="AX1605" s="20"/>
      <c r="AY1605" s="20"/>
      <c r="AZ1605" s="20"/>
      <c r="BA1605" s="20"/>
    </row>
    <row r="1606" spans="49:53" x14ac:dyDescent="0.35">
      <c r="AW1606" s="20"/>
      <c r="AX1606" s="20"/>
      <c r="AY1606" s="20"/>
      <c r="AZ1606" s="20"/>
      <c r="BA1606" s="20"/>
    </row>
    <row r="1607" spans="49:53" x14ac:dyDescent="0.35">
      <c r="AW1607" s="20"/>
      <c r="AX1607" s="20"/>
      <c r="AY1607" s="20"/>
      <c r="AZ1607" s="20"/>
      <c r="BA1607" s="20"/>
    </row>
    <row r="1608" spans="49:53" x14ac:dyDescent="0.35">
      <c r="AW1608" s="20"/>
      <c r="AX1608" s="20"/>
      <c r="AY1608" s="20"/>
      <c r="AZ1608" s="20"/>
      <c r="BA1608" s="20"/>
    </row>
    <row r="1609" spans="49:53" x14ac:dyDescent="0.35">
      <c r="AW1609" s="20"/>
      <c r="AX1609" s="20"/>
      <c r="AY1609" s="20"/>
      <c r="AZ1609" s="20"/>
      <c r="BA1609" s="20"/>
    </row>
    <row r="1610" spans="49:53" x14ac:dyDescent="0.35">
      <c r="AW1610" s="20"/>
      <c r="AX1610" s="20"/>
      <c r="AY1610" s="20"/>
      <c r="AZ1610" s="20"/>
      <c r="BA1610" s="20"/>
    </row>
    <row r="1611" spans="49:53" x14ac:dyDescent="0.35">
      <c r="AW1611" s="20"/>
      <c r="AX1611" s="20"/>
      <c r="AY1611" s="20"/>
      <c r="AZ1611" s="20"/>
      <c r="BA1611" s="20"/>
    </row>
    <row r="1612" spans="49:53" x14ac:dyDescent="0.35">
      <c r="AW1612" s="20"/>
      <c r="AX1612" s="20"/>
      <c r="AY1612" s="20"/>
      <c r="AZ1612" s="20"/>
      <c r="BA1612" s="20"/>
    </row>
    <row r="1613" spans="49:53" x14ac:dyDescent="0.35">
      <c r="AW1613" s="20"/>
      <c r="AX1613" s="20"/>
      <c r="AY1613" s="20"/>
      <c r="AZ1613" s="20"/>
      <c r="BA1613" s="20"/>
    </row>
    <row r="1614" spans="49:53" x14ac:dyDescent="0.35">
      <c r="AW1614" s="20"/>
      <c r="AX1614" s="20"/>
      <c r="AY1614" s="20"/>
      <c r="AZ1614" s="20"/>
      <c r="BA1614" s="20"/>
    </row>
    <row r="1615" spans="49:53" x14ac:dyDescent="0.35">
      <c r="AW1615" s="20"/>
      <c r="AX1615" s="20"/>
      <c r="AY1615" s="20"/>
      <c r="AZ1615" s="20"/>
      <c r="BA1615" s="20"/>
    </row>
    <row r="1616" spans="49:53" x14ac:dyDescent="0.35">
      <c r="AW1616" s="20"/>
      <c r="AX1616" s="20"/>
      <c r="AY1616" s="20"/>
      <c r="AZ1616" s="20"/>
      <c r="BA1616" s="20"/>
    </row>
    <row r="1617" spans="49:53" x14ac:dyDescent="0.35">
      <c r="AW1617" s="20"/>
      <c r="AX1617" s="20"/>
      <c r="AY1617" s="20"/>
      <c r="AZ1617" s="20"/>
      <c r="BA1617" s="20"/>
    </row>
    <row r="1618" spans="49:53" x14ac:dyDescent="0.35">
      <c r="AW1618" s="20"/>
      <c r="AX1618" s="20"/>
      <c r="AY1618" s="20"/>
      <c r="AZ1618" s="20"/>
      <c r="BA1618" s="20"/>
    </row>
    <row r="1619" spans="49:53" x14ac:dyDescent="0.35">
      <c r="AW1619" s="20"/>
      <c r="AX1619" s="20"/>
      <c r="AY1619" s="20"/>
      <c r="AZ1619" s="20"/>
      <c r="BA1619" s="20"/>
    </row>
    <row r="1620" spans="49:53" x14ac:dyDescent="0.35">
      <c r="AW1620" s="20"/>
      <c r="AX1620" s="20"/>
      <c r="AY1620" s="20"/>
      <c r="AZ1620" s="20"/>
      <c r="BA1620" s="20"/>
    </row>
    <row r="1621" spans="49:53" x14ac:dyDescent="0.35">
      <c r="AW1621" s="20"/>
      <c r="AX1621" s="20"/>
      <c r="AY1621" s="20"/>
      <c r="AZ1621" s="20"/>
      <c r="BA1621" s="20"/>
    </row>
    <row r="1622" spans="49:53" x14ac:dyDescent="0.35">
      <c r="AW1622" s="20"/>
      <c r="AX1622" s="20"/>
      <c r="AY1622" s="20"/>
      <c r="AZ1622" s="20"/>
      <c r="BA1622" s="20"/>
    </row>
    <row r="1623" spans="49:53" x14ac:dyDescent="0.35">
      <c r="AW1623" s="20"/>
      <c r="AX1623" s="20"/>
      <c r="AY1623" s="20"/>
      <c r="AZ1623" s="20"/>
      <c r="BA1623" s="20"/>
    </row>
    <row r="1624" spans="49:53" x14ac:dyDescent="0.35">
      <c r="AW1624" s="20"/>
      <c r="AX1624" s="20"/>
      <c r="AY1624" s="20"/>
      <c r="AZ1624" s="20"/>
      <c r="BA1624" s="20"/>
    </row>
    <row r="1625" spans="49:53" x14ac:dyDescent="0.35">
      <c r="AW1625" s="20"/>
      <c r="AX1625" s="20"/>
      <c r="AY1625" s="20"/>
      <c r="AZ1625" s="20"/>
      <c r="BA1625" s="20"/>
    </row>
    <row r="1626" spans="49:53" x14ac:dyDescent="0.35">
      <c r="AW1626" s="20"/>
      <c r="AX1626" s="20"/>
      <c r="AY1626" s="20"/>
      <c r="AZ1626" s="20"/>
      <c r="BA1626" s="20"/>
    </row>
    <row r="1627" spans="49:53" x14ac:dyDescent="0.35">
      <c r="AW1627" s="20"/>
      <c r="AX1627" s="20"/>
      <c r="AY1627" s="20"/>
      <c r="AZ1627" s="20"/>
      <c r="BA1627" s="20"/>
    </row>
    <row r="1628" spans="49:53" x14ac:dyDescent="0.35">
      <c r="AW1628" s="20"/>
      <c r="AX1628" s="20"/>
      <c r="AY1628" s="20"/>
      <c r="AZ1628" s="20"/>
      <c r="BA1628" s="20"/>
    </row>
    <row r="1629" spans="49:53" x14ac:dyDescent="0.35">
      <c r="AW1629" s="20"/>
      <c r="AX1629" s="20"/>
      <c r="AY1629" s="20"/>
      <c r="AZ1629" s="20"/>
      <c r="BA1629" s="20"/>
    </row>
    <row r="1630" spans="49:53" x14ac:dyDescent="0.35">
      <c r="AW1630" s="20"/>
      <c r="AX1630" s="20"/>
      <c r="AY1630" s="20"/>
      <c r="AZ1630" s="20"/>
      <c r="BA1630" s="20"/>
    </row>
    <row r="1631" spans="49:53" x14ac:dyDescent="0.35">
      <c r="AW1631" s="20"/>
      <c r="AX1631" s="20"/>
      <c r="AY1631" s="20"/>
      <c r="AZ1631" s="20"/>
      <c r="BA1631" s="20"/>
    </row>
    <row r="1632" spans="49:53" x14ac:dyDescent="0.35">
      <c r="AW1632" s="20"/>
      <c r="AX1632" s="20"/>
      <c r="AY1632" s="20"/>
      <c r="AZ1632" s="20"/>
      <c r="BA1632" s="20"/>
    </row>
    <row r="1633" spans="49:53" x14ac:dyDescent="0.35">
      <c r="AW1633" s="20"/>
      <c r="AX1633" s="20"/>
      <c r="AY1633" s="20"/>
      <c r="AZ1633" s="20"/>
      <c r="BA1633" s="20"/>
    </row>
    <row r="1634" spans="49:53" x14ac:dyDescent="0.35">
      <c r="AW1634" s="20"/>
      <c r="AX1634" s="20"/>
      <c r="AY1634" s="20"/>
      <c r="AZ1634" s="20"/>
      <c r="BA1634" s="20"/>
    </row>
    <row r="1635" spans="49:53" x14ac:dyDescent="0.35">
      <c r="AW1635" s="20"/>
      <c r="AX1635" s="20"/>
      <c r="AY1635" s="20"/>
      <c r="AZ1635" s="20"/>
      <c r="BA1635" s="20"/>
    </row>
    <row r="1636" spans="49:53" x14ac:dyDescent="0.35">
      <c r="AW1636" s="20"/>
      <c r="AX1636" s="20"/>
      <c r="AY1636" s="20"/>
      <c r="AZ1636" s="20"/>
      <c r="BA1636" s="20"/>
    </row>
    <row r="1637" spans="49:53" x14ac:dyDescent="0.35">
      <c r="AW1637" s="20"/>
      <c r="AX1637" s="20"/>
      <c r="AY1637" s="20"/>
      <c r="AZ1637" s="20"/>
      <c r="BA1637" s="20"/>
    </row>
    <row r="1638" spans="49:53" x14ac:dyDescent="0.35">
      <c r="AW1638" s="20"/>
      <c r="AX1638" s="20"/>
      <c r="AY1638" s="20"/>
      <c r="AZ1638" s="20"/>
      <c r="BA1638" s="20"/>
    </row>
    <row r="1639" spans="49:53" x14ac:dyDescent="0.35">
      <c r="AW1639" s="20"/>
      <c r="AX1639" s="20"/>
      <c r="AY1639" s="20"/>
      <c r="AZ1639" s="20"/>
      <c r="BA1639" s="20"/>
    </row>
    <row r="1640" spans="49:53" x14ac:dyDescent="0.35">
      <c r="AW1640" s="20"/>
      <c r="AX1640" s="20"/>
      <c r="AY1640" s="20"/>
      <c r="AZ1640" s="20"/>
      <c r="BA1640" s="20"/>
    </row>
    <row r="1641" spans="49:53" x14ac:dyDescent="0.35">
      <c r="AW1641" s="20"/>
      <c r="AX1641" s="20"/>
      <c r="AY1641" s="20"/>
      <c r="AZ1641" s="20"/>
      <c r="BA1641" s="20"/>
    </row>
    <row r="1642" spans="49:53" x14ac:dyDescent="0.35">
      <c r="AW1642" s="20"/>
      <c r="AX1642" s="20"/>
      <c r="AY1642" s="20"/>
      <c r="AZ1642" s="20"/>
      <c r="BA1642" s="20"/>
    </row>
    <row r="1643" spans="49:53" x14ac:dyDescent="0.35">
      <c r="AW1643" s="20"/>
      <c r="AX1643" s="20"/>
      <c r="AY1643" s="20"/>
      <c r="AZ1643" s="20"/>
      <c r="BA1643" s="20"/>
    </row>
    <row r="1644" spans="49:53" x14ac:dyDescent="0.35">
      <c r="AW1644" s="20"/>
      <c r="AX1644" s="20"/>
      <c r="AY1644" s="20"/>
      <c r="AZ1644" s="20"/>
      <c r="BA1644" s="20"/>
    </row>
    <row r="1645" spans="49:53" x14ac:dyDescent="0.35">
      <c r="AW1645" s="20"/>
      <c r="AX1645" s="20"/>
      <c r="AY1645" s="20"/>
      <c r="AZ1645" s="20"/>
      <c r="BA1645" s="20"/>
    </row>
    <row r="1646" spans="49:53" x14ac:dyDescent="0.35">
      <c r="AW1646" s="20"/>
      <c r="AX1646" s="20"/>
      <c r="AY1646" s="20"/>
      <c r="AZ1646" s="20"/>
      <c r="BA1646" s="20"/>
    </row>
    <row r="1647" spans="49:53" x14ac:dyDescent="0.35">
      <c r="AW1647" s="20"/>
      <c r="AX1647" s="20"/>
      <c r="AY1647" s="20"/>
      <c r="AZ1647" s="20"/>
      <c r="BA1647" s="20"/>
    </row>
    <row r="1648" spans="49:53" x14ac:dyDescent="0.35">
      <c r="AW1648" s="20"/>
      <c r="AX1648" s="20"/>
      <c r="AY1648" s="20"/>
      <c r="AZ1648" s="20"/>
      <c r="BA1648" s="20"/>
    </row>
    <row r="1649" spans="49:53" x14ac:dyDescent="0.35">
      <c r="AW1649" s="20"/>
      <c r="AX1649" s="20"/>
      <c r="AY1649" s="20"/>
      <c r="AZ1649" s="20"/>
      <c r="BA1649" s="20"/>
    </row>
    <row r="1650" spans="49:53" x14ac:dyDescent="0.35">
      <c r="AW1650" s="20"/>
      <c r="AX1650" s="20"/>
      <c r="AY1650" s="20"/>
      <c r="AZ1650" s="20"/>
      <c r="BA1650" s="20"/>
    </row>
    <row r="1651" spans="49:53" x14ac:dyDescent="0.35">
      <c r="AW1651" s="20"/>
      <c r="AX1651" s="20"/>
      <c r="AY1651" s="20"/>
      <c r="AZ1651" s="20"/>
      <c r="BA1651" s="20"/>
    </row>
    <row r="1652" spans="49:53" x14ac:dyDescent="0.35">
      <c r="AW1652" s="20"/>
      <c r="AX1652" s="20"/>
      <c r="AY1652" s="20"/>
      <c r="AZ1652" s="20"/>
      <c r="BA1652" s="20"/>
    </row>
    <row r="1653" spans="49:53" x14ac:dyDescent="0.35">
      <c r="AW1653" s="20"/>
      <c r="AX1653" s="20"/>
      <c r="AY1653" s="20"/>
      <c r="AZ1653" s="20"/>
      <c r="BA1653" s="20"/>
    </row>
    <row r="1654" spans="49:53" x14ac:dyDescent="0.35">
      <c r="AW1654" s="20"/>
      <c r="AX1654" s="20"/>
      <c r="AY1654" s="20"/>
      <c r="AZ1654" s="20"/>
      <c r="BA1654" s="20"/>
    </row>
    <row r="1655" spans="49:53" x14ac:dyDescent="0.35">
      <c r="AW1655" s="20"/>
      <c r="AX1655" s="20"/>
      <c r="AY1655" s="20"/>
      <c r="AZ1655" s="20"/>
      <c r="BA1655" s="20"/>
    </row>
    <row r="1656" spans="49:53" x14ac:dyDescent="0.35">
      <c r="AW1656" s="20"/>
      <c r="AX1656" s="20"/>
      <c r="AY1656" s="20"/>
      <c r="AZ1656" s="20"/>
      <c r="BA1656" s="20"/>
    </row>
    <row r="1657" spans="49:53" x14ac:dyDescent="0.35">
      <c r="AW1657" s="20"/>
      <c r="AX1657" s="20"/>
      <c r="AY1657" s="20"/>
      <c r="AZ1657" s="20"/>
      <c r="BA1657" s="20"/>
    </row>
    <row r="1658" spans="49:53" x14ac:dyDescent="0.35">
      <c r="AW1658" s="20"/>
      <c r="AX1658" s="20"/>
      <c r="AY1658" s="20"/>
      <c r="AZ1658" s="20"/>
      <c r="BA1658" s="20"/>
    </row>
    <row r="1659" spans="49:53" x14ac:dyDescent="0.35">
      <c r="AW1659" s="20"/>
      <c r="AX1659" s="20"/>
      <c r="AY1659" s="20"/>
      <c r="AZ1659" s="20"/>
      <c r="BA1659" s="20"/>
    </row>
    <row r="1660" spans="49:53" x14ac:dyDescent="0.35">
      <c r="AW1660" s="20"/>
      <c r="AX1660" s="20"/>
      <c r="AY1660" s="20"/>
      <c r="AZ1660" s="20"/>
      <c r="BA1660" s="20"/>
    </row>
    <row r="1661" spans="49:53" x14ac:dyDescent="0.35">
      <c r="AW1661" s="20"/>
      <c r="AX1661" s="20"/>
      <c r="AY1661" s="20"/>
      <c r="AZ1661" s="20"/>
      <c r="BA1661" s="20"/>
    </row>
    <row r="1662" spans="49:53" x14ac:dyDescent="0.35">
      <c r="AW1662" s="20"/>
      <c r="AX1662" s="20"/>
      <c r="AY1662" s="20"/>
      <c r="AZ1662" s="20"/>
      <c r="BA1662" s="20"/>
    </row>
    <row r="1663" spans="49:53" x14ac:dyDescent="0.35">
      <c r="AW1663" s="20"/>
      <c r="AX1663" s="20"/>
      <c r="AY1663" s="20"/>
      <c r="AZ1663" s="20"/>
      <c r="BA1663" s="20"/>
    </row>
    <row r="1664" spans="49:53" x14ac:dyDescent="0.35">
      <c r="AW1664" s="20"/>
      <c r="AX1664" s="20"/>
      <c r="AY1664" s="20"/>
      <c r="AZ1664" s="20"/>
      <c r="BA1664" s="20"/>
    </row>
    <row r="1665" spans="49:53" x14ac:dyDescent="0.35">
      <c r="AW1665" s="20"/>
      <c r="AX1665" s="20"/>
      <c r="AY1665" s="20"/>
      <c r="AZ1665" s="20"/>
      <c r="BA1665" s="20"/>
    </row>
    <row r="1666" spans="49:53" x14ac:dyDescent="0.35">
      <c r="AW1666" s="20"/>
      <c r="AX1666" s="20"/>
      <c r="AY1666" s="20"/>
      <c r="AZ1666" s="20"/>
      <c r="BA1666" s="20"/>
    </row>
    <row r="1667" spans="49:53" x14ac:dyDescent="0.35">
      <c r="AW1667" s="20"/>
      <c r="AX1667" s="20"/>
      <c r="AY1667" s="20"/>
      <c r="AZ1667" s="20"/>
      <c r="BA1667" s="20"/>
    </row>
    <row r="1668" spans="49:53" x14ac:dyDescent="0.35">
      <c r="AW1668" s="20"/>
      <c r="AX1668" s="20"/>
      <c r="AY1668" s="20"/>
      <c r="AZ1668" s="20"/>
      <c r="BA1668" s="20"/>
    </row>
    <row r="1669" spans="49:53" x14ac:dyDescent="0.35">
      <c r="AW1669" s="20"/>
      <c r="AX1669" s="20"/>
      <c r="AY1669" s="20"/>
      <c r="AZ1669" s="20"/>
      <c r="BA1669" s="20"/>
    </row>
    <row r="1670" spans="49:53" x14ac:dyDescent="0.35">
      <c r="AW1670" s="20"/>
      <c r="AX1670" s="20"/>
      <c r="AY1670" s="20"/>
      <c r="AZ1670" s="20"/>
      <c r="BA1670" s="20"/>
    </row>
    <row r="1671" spans="49:53" x14ac:dyDescent="0.35">
      <c r="AW1671" s="20"/>
      <c r="AX1671" s="20"/>
      <c r="AY1671" s="20"/>
      <c r="AZ1671" s="20"/>
      <c r="BA1671" s="20"/>
    </row>
    <row r="1672" spans="49:53" x14ac:dyDescent="0.35">
      <c r="AW1672" s="20"/>
      <c r="AX1672" s="20"/>
      <c r="AY1672" s="20"/>
      <c r="AZ1672" s="20"/>
      <c r="BA1672" s="20"/>
    </row>
    <row r="1673" spans="49:53" x14ac:dyDescent="0.35">
      <c r="AW1673" s="20"/>
      <c r="AX1673" s="20"/>
      <c r="AY1673" s="20"/>
      <c r="AZ1673" s="20"/>
      <c r="BA1673" s="20"/>
    </row>
    <row r="1674" spans="49:53" x14ac:dyDescent="0.35">
      <c r="AW1674" s="20"/>
      <c r="AX1674" s="20"/>
      <c r="AY1674" s="20"/>
      <c r="AZ1674" s="20"/>
      <c r="BA1674" s="20"/>
    </row>
    <row r="1675" spans="49:53" x14ac:dyDescent="0.35">
      <c r="AW1675" s="20"/>
      <c r="AX1675" s="20"/>
      <c r="AY1675" s="20"/>
      <c r="AZ1675" s="20"/>
      <c r="BA1675" s="20"/>
    </row>
    <row r="1676" spans="49:53" x14ac:dyDescent="0.35">
      <c r="AW1676" s="20"/>
      <c r="AX1676" s="20"/>
      <c r="AY1676" s="20"/>
      <c r="AZ1676" s="20"/>
      <c r="BA1676" s="20"/>
    </row>
    <row r="1677" spans="49:53" x14ac:dyDescent="0.35">
      <c r="AW1677" s="20"/>
      <c r="AX1677" s="20"/>
      <c r="AY1677" s="20"/>
      <c r="AZ1677" s="20"/>
      <c r="BA1677" s="20"/>
    </row>
    <row r="1678" spans="49:53" x14ac:dyDescent="0.35">
      <c r="AW1678" s="20"/>
      <c r="AX1678" s="20"/>
      <c r="AY1678" s="20"/>
      <c r="AZ1678" s="20"/>
      <c r="BA1678" s="20"/>
    </row>
    <row r="1679" spans="49:53" x14ac:dyDescent="0.35">
      <c r="AW1679" s="20"/>
      <c r="AX1679" s="20"/>
      <c r="AY1679" s="20"/>
      <c r="AZ1679" s="20"/>
      <c r="BA1679" s="20"/>
    </row>
    <row r="1680" spans="49:53" x14ac:dyDescent="0.35">
      <c r="AW1680" s="20"/>
      <c r="AX1680" s="20"/>
      <c r="AY1680" s="20"/>
      <c r="AZ1680" s="20"/>
      <c r="BA1680" s="20"/>
    </row>
    <row r="1681" spans="49:53" x14ac:dyDescent="0.35">
      <c r="AW1681" s="20"/>
      <c r="AX1681" s="20"/>
      <c r="AY1681" s="20"/>
      <c r="AZ1681" s="20"/>
      <c r="BA1681" s="20"/>
    </row>
    <row r="1682" spans="49:53" x14ac:dyDescent="0.35">
      <c r="AW1682" s="20"/>
      <c r="AX1682" s="20"/>
      <c r="AY1682" s="20"/>
      <c r="AZ1682" s="20"/>
      <c r="BA1682" s="20"/>
    </row>
    <row r="1683" spans="49:53" x14ac:dyDescent="0.35">
      <c r="AW1683" s="20"/>
      <c r="AX1683" s="20"/>
      <c r="AY1683" s="20"/>
      <c r="AZ1683" s="20"/>
      <c r="BA1683" s="20"/>
    </row>
    <row r="1684" spans="49:53" x14ac:dyDescent="0.35">
      <c r="AW1684" s="20"/>
      <c r="AX1684" s="20"/>
      <c r="AY1684" s="20"/>
      <c r="AZ1684" s="20"/>
      <c r="BA1684" s="20"/>
    </row>
    <row r="1685" spans="49:53" x14ac:dyDescent="0.35">
      <c r="AW1685" s="20"/>
      <c r="AX1685" s="20"/>
      <c r="AY1685" s="20"/>
      <c r="AZ1685" s="20"/>
      <c r="BA1685" s="20"/>
    </row>
    <row r="1686" spans="49:53" x14ac:dyDescent="0.35">
      <c r="AW1686" s="20"/>
      <c r="AX1686" s="20"/>
      <c r="AY1686" s="20"/>
      <c r="AZ1686" s="20"/>
      <c r="BA1686" s="20"/>
    </row>
    <row r="1687" spans="49:53" x14ac:dyDescent="0.35">
      <c r="AW1687" s="20"/>
      <c r="AX1687" s="20"/>
      <c r="AY1687" s="20"/>
      <c r="AZ1687" s="20"/>
      <c r="BA1687" s="20"/>
    </row>
    <row r="1688" spans="49:53" x14ac:dyDescent="0.35">
      <c r="AW1688" s="20"/>
      <c r="AX1688" s="20"/>
      <c r="AY1688" s="20"/>
      <c r="AZ1688" s="20"/>
      <c r="BA1688" s="20"/>
    </row>
    <row r="1689" spans="49:53" x14ac:dyDescent="0.35">
      <c r="AW1689" s="20"/>
      <c r="AX1689" s="20"/>
      <c r="AY1689" s="20"/>
      <c r="AZ1689" s="20"/>
      <c r="BA1689" s="20"/>
    </row>
    <row r="1690" spans="49:53" x14ac:dyDescent="0.35">
      <c r="AW1690" s="20"/>
      <c r="AX1690" s="20"/>
      <c r="AY1690" s="20"/>
      <c r="AZ1690" s="20"/>
      <c r="BA1690" s="20"/>
    </row>
    <row r="1691" spans="49:53" x14ac:dyDescent="0.35">
      <c r="AW1691" s="20"/>
      <c r="AX1691" s="20"/>
      <c r="AY1691" s="20"/>
      <c r="AZ1691" s="20"/>
      <c r="BA1691" s="20"/>
    </row>
    <row r="1692" spans="49:53" x14ac:dyDescent="0.35">
      <c r="AW1692" s="20"/>
      <c r="AX1692" s="20"/>
      <c r="AY1692" s="20"/>
      <c r="AZ1692" s="20"/>
      <c r="BA1692" s="20"/>
    </row>
    <row r="1693" spans="49:53" x14ac:dyDescent="0.35">
      <c r="AW1693" s="20"/>
      <c r="AX1693" s="20"/>
      <c r="AY1693" s="20"/>
      <c r="AZ1693" s="20"/>
      <c r="BA1693" s="20"/>
    </row>
    <row r="1694" spans="49:53" x14ac:dyDescent="0.35">
      <c r="AW1694" s="20"/>
      <c r="AX1694" s="20"/>
      <c r="AY1694" s="20"/>
      <c r="AZ1694" s="20"/>
      <c r="BA1694" s="20"/>
    </row>
    <row r="1695" spans="49:53" x14ac:dyDescent="0.35">
      <c r="AW1695" s="20"/>
      <c r="AX1695" s="20"/>
      <c r="AY1695" s="20"/>
      <c r="AZ1695" s="20"/>
      <c r="BA1695" s="20"/>
    </row>
    <row r="1696" spans="49:53" x14ac:dyDescent="0.35">
      <c r="AW1696" s="20"/>
      <c r="AX1696" s="20"/>
      <c r="AY1696" s="20"/>
      <c r="AZ1696" s="20"/>
      <c r="BA1696" s="20"/>
    </row>
    <row r="1697" spans="49:53" x14ac:dyDescent="0.35">
      <c r="AW1697" s="20"/>
      <c r="AX1697" s="20"/>
      <c r="AY1697" s="20"/>
      <c r="AZ1697" s="20"/>
      <c r="BA1697" s="20"/>
    </row>
    <row r="1698" spans="49:53" x14ac:dyDescent="0.35">
      <c r="AW1698" s="20"/>
      <c r="AX1698" s="20"/>
      <c r="AY1698" s="20"/>
      <c r="AZ1698" s="20"/>
      <c r="BA1698" s="20"/>
    </row>
    <row r="1699" spans="49:53" x14ac:dyDescent="0.35">
      <c r="AW1699" s="20"/>
      <c r="AX1699" s="20"/>
      <c r="AY1699" s="20"/>
      <c r="AZ1699" s="20"/>
      <c r="BA1699" s="20"/>
    </row>
    <row r="1700" spans="49:53" x14ac:dyDescent="0.35">
      <c r="AW1700" s="20"/>
      <c r="AX1700" s="20"/>
      <c r="AY1700" s="20"/>
      <c r="AZ1700" s="20"/>
      <c r="BA1700" s="20"/>
    </row>
    <row r="1701" spans="49:53" x14ac:dyDescent="0.35">
      <c r="AW1701" s="20"/>
      <c r="AX1701" s="20"/>
      <c r="AY1701" s="20"/>
      <c r="AZ1701" s="20"/>
      <c r="BA1701" s="20"/>
    </row>
    <row r="1702" spans="49:53" x14ac:dyDescent="0.35">
      <c r="AW1702" s="20"/>
      <c r="AX1702" s="20"/>
      <c r="AY1702" s="20"/>
      <c r="AZ1702" s="20"/>
      <c r="BA1702" s="20"/>
    </row>
    <row r="1703" spans="49:53" x14ac:dyDescent="0.35">
      <c r="AW1703" s="20"/>
      <c r="AX1703" s="20"/>
      <c r="AY1703" s="20"/>
      <c r="AZ1703" s="20"/>
      <c r="BA1703" s="20"/>
    </row>
    <row r="1704" spans="49:53" x14ac:dyDescent="0.35">
      <c r="AW1704" s="20"/>
      <c r="AX1704" s="20"/>
      <c r="AY1704" s="20"/>
      <c r="AZ1704" s="20"/>
      <c r="BA1704" s="20"/>
    </row>
    <row r="1705" spans="49:53" x14ac:dyDescent="0.35">
      <c r="AW1705" s="20"/>
      <c r="AX1705" s="20"/>
      <c r="AY1705" s="20"/>
      <c r="AZ1705" s="20"/>
      <c r="BA1705" s="20"/>
    </row>
    <row r="1706" spans="49:53" x14ac:dyDescent="0.35">
      <c r="AW1706" s="20"/>
      <c r="AX1706" s="20"/>
      <c r="AY1706" s="20"/>
      <c r="AZ1706" s="20"/>
      <c r="BA1706" s="20"/>
    </row>
    <row r="1707" spans="49:53" x14ac:dyDescent="0.35">
      <c r="AW1707" s="20"/>
      <c r="AX1707" s="20"/>
      <c r="AY1707" s="20"/>
      <c r="AZ1707" s="20"/>
      <c r="BA1707" s="20"/>
    </row>
    <row r="1708" spans="49:53" x14ac:dyDescent="0.35">
      <c r="AW1708" s="20"/>
      <c r="AX1708" s="20"/>
      <c r="AY1708" s="20"/>
      <c r="AZ1708" s="20"/>
      <c r="BA1708" s="20"/>
    </row>
    <row r="1709" spans="49:53" x14ac:dyDescent="0.35">
      <c r="AW1709" s="20"/>
      <c r="AX1709" s="20"/>
      <c r="AY1709" s="20"/>
      <c r="AZ1709" s="20"/>
      <c r="BA1709" s="20"/>
    </row>
    <row r="1710" spans="49:53" x14ac:dyDescent="0.35">
      <c r="AW1710" s="20"/>
      <c r="AX1710" s="20"/>
      <c r="AY1710" s="20"/>
      <c r="AZ1710" s="20"/>
      <c r="BA1710" s="20"/>
    </row>
    <row r="1711" spans="49:53" x14ac:dyDescent="0.35">
      <c r="AW1711" s="20"/>
      <c r="AX1711" s="20"/>
      <c r="AY1711" s="20"/>
      <c r="AZ1711" s="20"/>
      <c r="BA1711" s="20"/>
    </row>
    <row r="1712" spans="49:53" x14ac:dyDescent="0.35">
      <c r="AW1712" s="20"/>
      <c r="AX1712" s="20"/>
      <c r="AY1712" s="20"/>
      <c r="AZ1712" s="20"/>
      <c r="BA1712" s="20"/>
    </row>
    <row r="1713" spans="49:53" x14ac:dyDescent="0.35">
      <c r="AW1713" s="20"/>
      <c r="AX1713" s="20"/>
      <c r="AY1713" s="20"/>
      <c r="AZ1713" s="20"/>
      <c r="BA1713" s="20"/>
    </row>
    <row r="1714" spans="49:53" x14ac:dyDescent="0.35">
      <c r="AW1714" s="20"/>
      <c r="AX1714" s="20"/>
      <c r="AY1714" s="20"/>
      <c r="AZ1714" s="20"/>
      <c r="BA1714" s="20"/>
    </row>
    <row r="1715" spans="49:53" x14ac:dyDescent="0.35">
      <c r="AW1715" s="20"/>
      <c r="AX1715" s="20"/>
      <c r="AY1715" s="20"/>
      <c r="AZ1715" s="20"/>
      <c r="BA1715" s="20"/>
    </row>
    <row r="1716" spans="49:53" x14ac:dyDescent="0.35">
      <c r="AW1716" s="20"/>
      <c r="AX1716" s="20"/>
      <c r="AY1716" s="20"/>
      <c r="AZ1716" s="20"/>
      <c r="BA1716" s="20"/>
    </row>
    <row r="1717" spans="49:53" x14ac:dyDescent="0.35">
      <c r="AW1717" s="20"/>
      <c r="AX1717" s="20"/>
      <c r="AY1717" s="20"/>
      <c r="AZ1717" s="20"/>
      <c r="BA1717" s="20"/>
    </row>
    <row r="1718" spans="49:53" x14ac:dyDescent="0.35">
      <c r="AW1718" s="20"/>
      <c r="AX1718" s="20"/>
      <c r="AY1718" s="20"/>
      <c r="AZ1718" s="20"/>
      <c r="BA1718" s="20"/>
    </row>
    <row r="1719" spans="49:53" x14ac:dyDescent="0.35">
      <c r="AW1719" s="20"/>
      <c r="AX1719" s="20"/>
      <c r="AY1719" s="20"/>
      <c r="AZ1719" s="20"/>
      <c r="BA1719" s="20"/>
    </row>
    <row r="1720" spans="49:53" x14ac:dyDescent="0.35">
      <c r="AW1720" s="20"/>
      <c r="AX1720" s="20"/>
      <c r="AY1720" s="20"/>
      <c r="AZ1720" s="20"/>
      <c r="BA1720" s="20"/>
    </row>
    <row r="1721" spans="49:53" x14ac:dyDescent="0.35">
      <c r="AW1721" s="20"/>
      <c r="AX1721" s="20"/>
      <c r="AY1721" s="20"/>
      <c r="AZ1721" s="20"/>
      <c r="BA1721" s="20"/>
    </row>
    <row r="1722" spans="49:53" x14ac:dyDescent="0.35">
      <c r="AW1722" s="20"/>
      <c r="AX1722" s="20"/>
      <c r="AY1722" s="20"/>
      <c r="AZ1722" s="20"/>
      <c r="BA1722" s="20"/>
    </row>
    <row r="1723" spans="49:53" x14ac:dyDescent="0.35">
      <c r="AW1723" s="20"/>
      <c r="AX1723" s="20"/>
      <c r="AY1723" s="20"/>
      <c r="AZ1723" s="20"/>
      <c r="BA1723" s="20"/>
    </row>
    <row r="1724" spans="49:53" x14ac:dyDescent="0.35">
      <c r="AW1724" s="20"/>
      <c r="AX1724" s="20"/>
      <c r="AY1724" s="20"/>
      <c r="AZ1724" s="20"/>
      <c r="BA1724" s="20"/>
    </row>
    <row r="1725" spans="49:53" x14ac:dyDescent="0.35">
      <c r="AW1725" s="20"/>
      <c r="AX1725" s="20"/>
      <c r="AY1725" s="20"/>
      <c r="AZ1725" s="20"/>
      <c r="BA1725" s="20"/>
    </row>
    <row r="1726" spans="49:53" x14ac:dyDescent="0.35">
      <c r="AW1726" s="20"/>
      <c r="AX1726" s="20"/>
      <c r="AY1726" s="20"/>
      <c r="AZ1726" s="20"/>
      <c r="BA1726" s="20"/>
    </row>
    <row r="1727" spans="49:53" x14ac:dyDescent="0.35">
      <c r="AW1727" s="20"/>
      <c r="AX1727" s="20"/>
      <c r="AY1727" s="20"/>
      <c r="AZ1727" s="20"/>
      <c r="BA1727" s="20"/>
    </row>
    <row r="1728" spans="49:53" x14ac:dyDescent="0.35">
      <c r="AW1728" s="20"/>
      <c r="AX1728" s="20"/>
      <c r="AY1728" s="20"/>
      <c r="AZ1728" s="20"/>
      <c r="BA1728" s="20"/>
    </row>
    <row r="1729" spans="49:53" x14ac:dyDescent="0.35">
      <c r="AW1729" s="20"/>
      <c r="AX1729" s="20"/>
      <c r="AY1729" s="20"/>
      <c r="AZ1729" s="20"/>
      <c r="BA1729" s="20"/>
    </row>
    <row r="1730" spans="49:53" x14ac:dyDescent="0.35">
      <c r="AW1730" s="20"/>
      <c r="AX1730" s="20"/>
      <c r="AY1730" s="20"/>
      <c r="AZ1730" s="20"/>
      <c r="BA1730" s="20"/>
    </row>
    <row r="1731" spans="49:53" x14ac:dyDescent="0.35">
      <c r="AW1731" s="20"/>
      <c r="AX1731" s="20"/>
      <c r="AY1731" s="20"/>
      <c r="AZ1731" s="20"/>
      <c r="BA1731" s="20"/>
    </row>
    <row r="1732" spans="49:53" x14ac:dyDescent="0.35">
      <c r="AW1732" s="20"/>
      <c r="AX1732" s="20"/>
      <c r="AY1732" s="20"/>
      <c r="AZ1732" s="20"/>
      <c r="BA1732" s="20"/>
    </row>
    <row r="1733" spans="49:53" x14ac:dyDescent="0.35">
      <c r="AW1733" s="20"/>
      <c r="AX1733" s="20"/>
      <c r="AY1733" s="20"/>
      <c r="AZ1733" s="20"/>
      <c r="BA1733" s="20"/>
    </row>
    <row r="1734" spans="49:53" x14ac:dyDescent="0.35">
      <c r="AW1734" s="20"/>
      <c r="AX1734" s="20"/>
      <c r="AY1734" s="20"/>
      <c r="AZ1734" s="20"/>
      <c r="BA1734" s="20"/>
    </row>
    <row r="1735" spans="49:53" x14ac:dyDescent="0.35">
      <c r="AW1735" s="20"/>
      <c r="AX1735" s="20"/>
      <c r="AY1735" s="20"/>
      <c r="AZ1735" s="20"/>
      <c r="BA1735" s="20"/>
    </row>
    <row r="1736" spans="49:53" x14ac:dyDescent="0.35">
      <c r="AW1736" s="20"/>
      <c r="AX1736" s="20"/>
      <c r="AY1736" s="20"/>
      <c r="AZ1736" s="20"/>
      <c r="BA1736" s="20"/>
    </row>
    <row r="1737" spans="49:53" x14ac:dyDescent="0.35">
      <c r="AW1737" s="20"/>
      <c r="AX1737" s="20"/>
      <c r="AY1737" s="20"/>
      <c r="AZ1737" s="20"/>
      <c r="BA1737" s="20"/>
    </row>
    <row r="1738" spans="49:53" x14ac:dyDescent="0.35">
      <c r="AW1738" s="20"/>
      <c r="AX1738" s="20"/>
      <c r="AY1738" s="20"/>
      <c r="AZ1738" s="20"/>
      <c r="BA1738" s="20"/>
    </row>
    <row r="1739" spans="49:53" x14ac:dyDescent="0.35">
      <c r="AW1739" s="20"/>
      <c r="AX1739" s="20"/>
      <c r="AY1739" s="20"/>
      <c r="AZ1739" s="20"/>
      <c r="BA1739" s="20"/>
    </row>
    <row r="1740" spans="49:53" x14ac:dyDescent="0.35">
      <c r="AW1740" s="20"/>
      <c r="AX1740" s="20"/>
      <c r="AY1740" s="20"/>
      <c r="AZ1740" s="20"/>
      <c r="BA1740" s="20"/>
    </row>
    <row r="1741" spans="49:53" x14ac:dyDescent="0.35">
      <c r="AW1741" s="20"/>
      <c r="AX1741" s="20"/>
      <c r="AY1741" s="20"/>
      <c r="AZ1741" s="20"/>
      <c r="BA1741" s="20"/>
    </row>
    <row r="1742" spans="49:53" x14ac:dyDescent="0.35">
      <c r="AW1742" s="20"/>
      <c r="AX1742" s="20"/>
      <c r="AY1742" s="20"/>
      <c r="AZ1742" s="20"/>
      <c r="BA1742" s="20"/>
    </row>
    <row r="1743" spans="49:53" x14ac:dyDescent="0.35">
      <c r="AW1743" s="20"/>
      <c r="AX1743" s="20"/>
      <c r="AY1743" s="20"/>
      <c r="AZ1743" s="20"/>
      <c r="BA1743" s="20"/>
    </row>
    <row r="1744" spans="49:53" x14ac:dyDescent="0.35">
      <c r="AW1744" s="20"/>
      <c r="AX1744" s="20"/>
      <c r="AY1744" s="20"/>
      <c r="AZ1744" s="20"/>
      <c r="BA1744" s="20"/>
    </row>
    <row r="1745" spans="49:53" x14ac:dyDescent="0.35">
      <c r="AW1745" s="20"/>
      <c r="AX1745" s="20"/>
      <c r="AY1745" s="20"/>
      <c r="AZ1745" s="20"/>
      <c r="BA1745" s="20"/>
    </row>
    <row r="1746" spans="49:53" x14ac:dyDescent="0.35">
      <c r="AW1746" s="20"/>
      <c r="AX1746" s="20"/>
      <c r="AY1746" s="20"/>
      <c r="AZ1746" s="20"/>
      <c r="BA1746" s="20"/>
    </row>
    <row r="1747" spans="49:53" x14ac:dyDescent="0.35">
      <c r="AW1747" s="20"/>
      <c r="AX1747" s="20"/>
      <c r="AY1747" s="20"/>
      <c r="AZ1747" s="20"/>
      <c r="BA1747" s="20"/>
    </row>
    <row r="1748" spans="49:53" x14ac:dyDescent="0.35">
      <c r="AW1748" s="20"/>
      <c r="AX1748" s="20"/>
      <c r="AY1748" s="20"/>
      <c r="AZ1748" s="20"/>
      <c r="BA1748" s="20"/>
    </row>
    <row r="1749" spans="49:53" x14ac:dyDescent="0.35">
      <c r="AW1749" s="20"/>
      <c r="AX1749" s="20"/>
      <c r="AY1749" s="20"/>
      <c r="AZ1749" s="20"/>
      <c r="BA1749" s="20"/>
    </row>
    <row r="1750" spans="49:53" x14ac:dyDescent="0.35">
      <c r="AW1750" s="20"/>
      <c r="AX1750" s="20"/>
      <c r="AY1750" s="20"/>
      <c r="AZ1750" s="20"/>
      <c r="BA1750" s="20"/>
    </row>
    <row r="1751" spans="49:53" x14ac:dyDescent="0.35">
      <c r="AW1751" s="20"/>
      <c r="AX1751" s="20"/>
      <c r="AY1751" s="20"/>
      <c r="AZ1751" s="20"/>
      <c r="BA1751" s="20"/>
    </row>
    <row r="1752" spans="49:53" x14ac:dyDescent="0.35">
      <c r="AW1752" s="20"/>
      <c r="AX1752" s="20"/>
      <c r="AY1752" s="20"/>
      <c r="AZ1752" s="20"/>
      <c r="BA1752" s="20"/>
    </row>
    <row r="1753" spans="49:53" x14ac:dyDescent="0.35">
      <c r="AW1753" s="20"/>
      <c r="AX1753" s="20"/>
      <c r="AY1753" s="20"/>
      <c r="AZ1753" s="20"/>
      <c r="BA1753" s="20"/>
    </row>
    <row r="1754" spans="49:53" x14ac:dyDescent="0.35">
      <c r="AW1754" s="20"/>
      <c r="AX1754" s="20"/>
      <c r="AY1754" s="20"/>
      <c r="AZ1754" s="20"/>
      <c r="BA1754" s="20"/>
    </row>
    <row r="1755" spans="49:53" x14ac:dyDescent="0.35">
      <c r="AW1755" s="20"/>
      <c r="AX1755" s="20"/>
      <c r="AY1755" s="20"/>
      <c r="AZ1755" s="20"/>
      <c r="BA1755" s="20"/>
    </row>
    <row r="1756" spans="49:53" x14ac:dyDescent="0.35">
      <c r="AW1756" s="20"/>
      <c r="AX1756" s="20"/>
      <c r="AY1756" s="20"/>
      <c r="AZ1756" s="20"/>
      <c r="BA1756" s="20"/>
    </row>
    <row r="1757" spans="49:53" x14ac:dyDescent="0.35">
      <c r="AW1757" s="20"/>
      <c r="AX1757" s="20"/>
      <c r="AY1757" s="20"/>
      <c r="AZ1757" s="20"/>
      <c r="BA1757" s="20"/>
    </row>
    <row r="1758" spans="49:53" x14ac:dyDescent="0.35">
      <c r="AW1758" s="20"/>
      <c r="AX1758" s="20"/>
      <c r="AY1758" s="20"/>
      <c r="AZ1758" s="20"/>
      <c r="BA1758" s="20"/>
    </row>
    <row r="1759" spans="49:53" x14ac:dyDescent="0.35">
      <c r="AW1759" s="20"/>
      <c r="AX1759" s="20"/>
      <c r="AY1759" s="20"/>
      <c r="AZ1759" s="20"/>
      <c r="BA1759" s="20"/>
    </row>
    <row r="1760" spans="49:53" x14ac:dyDescent="0.35">
      <c r="AW1760" s="20"/>
      <c r="AX1760" s="20"/>
      <c r="AY1760" s="20"/>
      <c r="AZ1760" s="20"/>
      <c r="BA1760" s="20"/>
    </row>
    <row r="1761" spans="49:53" x14ac:dyDescent="0.35">
      <c r="AW1761" s="20"/>
      <c r="AX1761" s="20"/>
      <c r="AY1761" s="20"/>
      <c r="AZ1761" s="20"/>
      <c r="BA1761" s="20"/>
    </row>
    <row r="1762" spans="49:53" x14ac:dyDescent="0.35">
      <c r="AW1762" s="20"/>
      <c r="AX1762" s="20"/>
      <c r="AY1762" s="20"/>
      <c r="AZ1762" s="20"/>
      <c r="BA1762" s="20"/>
    </row>
    <row r="1763" spans="49:53" x14ac:dyDescent="0.35">
      <c r="AW1763" s="20"/>
      <c r="AX1763" s="20"/>
      <c r="AY1763" s="20"/>
      <c r="AZ1763" s="20"/>
      <c r="BA1763" s="20"/>
    </row>
    <row r="1764" spans="49:53" x14ac:dyDescent="0.35">
      <c r="AW1764" s="20"/>
      <c r="AX1764" s="20"/>
      <c r="AY1764" s="20"/>
      <c r="AZ1764" s="20"/>
      <c r="BA1764" s="20"/>
    </row>
    <row r="1765" spans="49:53" x14ac:dyDescent="0.35">
      <c r="AW1765" s="20"/>
      <c r="AX1765" s="20"/>
      <c r="AY1765" s="20"/>
      <c r="AZ1765" s="20"/>
      <c r="BA1765" s="20"/>
    </row>
    <row r="1766" spans="49:53" x14ac:dyDescent="0.35">
      <c r="AW1766" s="20"/>
      <c r="AX1766" s="20"/>
      <c r="AY1766" s="20"/>
      <c r="AZ1766" s="20"/>
      <c r="BA1766" s="20"/>
    </row>
    <row r="1767" spans="49:53" x14ac:dyDescent="0.35">
      <c r="AW1767" s="20"/>
      <c r="AX1767" s="20"/>
      <c r="AY1767" s="20"/>
      <c r="AZ1767" s="20"/>
      <c r="BA1767" s="20"/>
    </row>
    <row r="1768" spans="49:53" x14ac:dyDescent="0.35">
      <c r="AW1768" s="20"/>
      <c r="AX1768" s="20"/>
      <c r="AY1768" s="20"/>
      <c r="AZ1768" s="20"/>
      <c r="BA1768" s="20"/>
    </row>
    <row r="1769" spans="49:53" x14ac:dyDescent="0.35">
      <c r="AW1769" s="20"/>
      <c r="AX1769" s="20"/>
      <c r="AY1769" s="20"/>
      <c r="AZ1769" s="20"/>
      <c r="BA1769" s="20"/>
    </row>
    <row r="1770" spans="49:53" x14ac:dyDescent="0.35">
      <c r="AW1770" s="20"/>
      <c r="AX1770" s="20"/>
      <c r="AY1770" s="20"/>
      <c r="AZ1770" s="20"/>
      <c r="BA1770" s="20"/>
    </row>
    <row r="1771" spans="49:53" x14ac:dyDescent="0.35">
      <c r="AW1771" s="20"/>
      <c r="AX1771" s="20"/>
      <c r="AY1771" s="20"/>
      <c r="AZ1771" s="20"/>
      <c r="BA1771" s="20"/>
    </row>
    <row r="1772" spans="49:53" x14ac:dyDescent="0.35">
      <c r="AW1772" s="20"/>
      <c r="AX1772" s="20"/>
      <c r="AY1772" s="20"/>
      <c r="AZ1772" s="20"/>
      <c r="BA1772" s="20"/>
    </row>
    <row r="1773" spans="49:53" x14ac:dyDescent="0.35">
      <c r="AW1773" s="20"/>
      <c r="AX1773" s="20"/>
      <c r="AY1773" s="20"/>
      <c r="AZ1773" s="20"/>
      <c r="BA1773" s="20"/>
    </row>
    <row r="1774" spans="49:53" x14ac:dyDescent="0.35">
      <c r="AW1774" s="20"/>
      <c r="AX1774" s="20"/>
      <c r="AZ1774" s="20"/>
      <c r="BA1774" s="20"/>
    </row>
    <row r="1775" spans="49:53" x14ac:dyDescent="0.35">
      <c r="AW1775" s="20"/>
      <c r="AX1775" s="20"/>
      <c r="AY1775" s="20"/>
      <c r="AZ1775" s="20"/>
      <c r="BA1775" s="20"/>
    </row>
    <row r="1776" spans="49:53" x14ac:dyDescent="0.35">
      <c r="AW1776" s="20"/>
      <c r="AX1776" s="20"/>
      <c r="AY1776" s="20"/>
      <c r="AZ1776" s="20"/>
      <c r="BA1776" s="20"/>
    </row>
    <row r="1777" spans="49:53" x14ac:dyDescent="0.35">
      <c r="AW1777" s="20"/>
      <c r="AX1777" s="20"/>
      <c r="AY1777" s="20"/>
      <c r="AZ1777" s="20"/>
      <c r="BA1777" s="20"/>
    </row>
    <row r="1778" spans="49:53" x14ac:dyDescent="0.35">
      <c r="AW1778" s="20"/>
      <c r="AX1778" s="20"/>
      <c r="AY1778" s="20"/>
      <c r="AZ1778" s="20"/>
      <c r="BA1778" s="20"/>
    </row>
    <row r="1779" spans="49:53" x14ac:dyDescent="0.35">
      <c r="AW1779" s="20"/>
      <c r="AX1779" s="20"/>
      <c r="AZ1779" s="20"/>
      <c r="BA1779" s="20"/>
    </row>
    <row r="1780" spans="49:53" x14ac:dyDescent="0.35">
      <c r="AW1780" s="20"/>
      <c r="AX1780" s="20"/>
      <c r="AY1780" s="20"/>
      <c r="AZ1780" s="20"/>
      <c r="BA1780" s="20"/>
    </row>
    <row r="1781" spans="49:53" x14ac:dyDescent="0.35">
      <c r="AW1781" s="20"/>
      <c r="AX1781" s="20"/>
      <c r="AY1781" s="20"/>
      <c r="AZ1781" s="20"/>
      <c r="BA1781" s="20"/>
    </row>
    <row r="1782" spans="49:53" x14ac:dyDescent="0.35">
      <c r="AW1782" s="20"/>
      <c r="AX1782" s="20"/>
      <c r="AY1782" s="20"/>
      <c r="AZ1782" s="20"/>
      <c r="BA1782" s="20"/>
    </row>
    <row r="1783" spans="49:53" x14ac:dyDescent="0.35">
      <c r="AW1783" s="20"/>
      <c r="AX1783" s="20"/>
      <c r="AY1783" s="20"/>
      <c r="AZ1783" s="20"/>
      <c r="BA1783" s="20"/>
    </row>
    <row r="1784" spans="49:53" x14ac:dyDescent="0.35">
      <c r="AW1784" s="20"/>
      <c r="AX1784" s="20"/>
      <c r="AY1784" s="20"/>
      <c r="AZ1784" s="20"/>
      <c r="BA1784" s="20"/>
    </row>
    <row r="1785" spans="49:53" x14ac:dyDescent="0.35">
      <c r="AW1785" s="20"/>
      <c r="AX1785" s="20"/>
      <c r="AY1785" s="20"/>
      <c r="AZ1785" s="20"/>
      <c r="BA1785" s="20"/>
    </row>
    <row r="1786" spans="49:53" x14ac:dyDescent="0.35">
      <c r="AW1786" s="20"/>
      <c r="AX1786" s="20"/>
      <c r="AZ1786" s="20"/>
      <c r="BA1786" s="20"/>
    </row>
    <row r="1787" spans="49:53" x14ac:dyDescent="0.35">
      <c r="AW1787" s="20"/>
      <c r="AX1787" s="20"/>
      <c r="AY1787" s="20"/>
      <c r="AZ1787" s="20"/>
      <c r="BA1787" s="20"/>
    </row>
    <row r="1788" spans="49:53" x14ac:dyDescent="0.35">
      <c r="AW1788" s="20"/>
      <c r="AX1788" s="20"/>
      <c r="AY1788" s="20"/>
      <c r="AZ1788" s="20"/>
      <c r="BA1788" s="20"/>
    </row>
    <row r="1789" spans="49:53" x14ac:dyDescent="0.35">
      <c r="AW1789" s="20"/>
      <c r="AX1789" s="20"/>
      <c r="AY1789" s="20"/>
      <c r="AZ1789" s="20"/>
      <c r="BA1789" s="20"/>
    </row>
    <row r="1790" spans="49:53" x14ac:dyDescent="0.35">
      <c r="AW1790" s="20"/>
      <c r="AX1790" s="20"/>
      <c r="AZ1790" s="20"/>
      <c r="BA1790" s="20"/>
    </row>
    <row r="1791" spans="49:53" x14ac:dyDescent="0.35">
      <c r="AW1791" s="20"/>
      <c r="AX1791" s="20"/>
      <c r="AZ1791" s="20"/>
      <c r="BA1791" s="20"/>
    </row>
    <row r="1792" spans="49:53" x14ac:dyDescent="0.35">
      <c r="AW1792" s="20"/>
      <c r="AX1792" s="20"/>
      <c r="AZ1792" s="20"/>
      <c r="BA1792" s="20"/>
    </row>
    <row r="1793" spans="49:53" x14ac:dyDescent="0.35">
      <c r="AW1793" s="20"/>
      <c r="AX1793" s="20"/>
      <c r="AZ1793" s="20"/>
      <c r="BA1793" s="20"/>
    </row>
    <row r="1794" spans="49:53" x14ac:dyDescent="0.35">
      <c r="AW1794" s="20"/>
      <c r="AX1794" s="20"/>
      <c r="AZ1794" s="20"/>
      <c r="BA1794" s="20"/>
    </row>
    <row r="1795" spans="49:53" x14ac:dyDescent="0.35">
      <c r="AW1795" s="20"/>
      <c r="AX1795" s="20"/>
      <c r="AZ1795" s="20"/>
      <c r="BA1795" s="20"/>
    </row>
    <row r="1796" spans="49:53" x14ac:dyDescent="0.35">
      <c r="AW1796" s="20"/>
      <c r="AX1796" s="20"/>
      <c r="AZ1796" s="20"/>
      <c r="BA1796" s="20"/>
    </row>
    <row r="1797" spans="49:53" x14ac:dyDescent="0.35">
      <c r="AW1797" s="20"/>
      <c r="AX1797" s="20"/>
      <c r="AZ1797" s="20"/>
      <c r="BA1797" s="20"/>
    </row>
    <row r="1798" spans="49:53" x14ac:dyDescent="0.35">
      <c r="AW1798" s="20"/>
      <c r="AX1798" s="20"/>
      <c r="AZ1798" s="20"/>
      <c r="BA1798" s="20"/>
    </row>
    <row r="1799" spans="49:53" x14ac:dyDescent="0.35">
      <c r="AW1799" s="20"/>
      <c r="AX1799" s="20"/>
      <c r="AZ1799" s="20"/>
      <c r="BA1799" s="20"/>
    </row>
    <row r="1800" spans="49:53" x14ac:dyDescent="0.35">
      <c r="AW1800" s="20"/>
      <c r="AX1800" s="20"/>
      <c r="AY1800" s="20"/>
      <c r="AZ1800" s="20"/>
      <c r="BA1800" s="20"/>
    </row>
    <row r="1801" spans="49:53" x14ac:dyDescent="0.35">
      <c r="AW1801" s="20"/>
      <c r="AX1801" s="20"/>
      <c r="AZ1801" s="20"/>
      <c r="BA1801" s="20"/>
    </row>
    <row r="1802" spans="49:53" x14ac:dyDescent="0.35">
      <c r="AW1802" s="20"/>
      <c r="AX1802" s="20"/>
      <c r="AZ1802" s="20"/>
      <c r="BA1802" s="20"/>
    </row>
    <row r="1803" spans="49:53" x14ac:dyDescent="0.35">
      <c r="AW1803" s="20"/>
      <c r="AX1803" s="20"/>
      <c r="AZ1803" s="20"/>
      <c r="BA1803" s="20"/>
    </row>
    <row r="1804" spans="49:53" x14ac:dyDescent="0.35">
      <c r="AW1804" s="20"/>
      <c r="AX1804" s="20"/>
      <c r="AY1804" s="20"/>
      <c r="AZ1804" s="20"/>
      <c r="BA1804" s="20"/>
    </row>
    <row r="1805" spans="49:53" x14ac:dyDescent="0.35">
      <c r="AW1805" s="20"/>
      <c r="AX1805" s="20"/>
      <c r="AZ1805" s="20"/>
      <c r="BA1805" s="20"/>
    </row>
    <row r="1806" spans="49:53" x14ac:dyDescent="0.35">
      <c r="AW1806" s="20"/>
      <c r="AX1806" s="20"/>
      <c r="AZ1806" s="20"/>
      <c r="BA1806" s="20"/>
    </row>
    <row r="1807" spans="49:53" x14ac:dyDescent="0.35">
      <c r="AW1807" s="20"/>
      <c r="AX1807" s="20"/>
      <c r="AZ1807" s="20"/>
      <c r="BA1807" s="20"/>
    </row>
    <row r="1808" spans="49:53" x14ac:dyDescent="0.35">
      <c r="AW1808" s="20"/>
      <c r="AX1808" s="20"/>
      <c r="AZ1808" s="20"/>
      <c r="BA1808" s="20"/>
    </row>
    <row r="1809" spans="49:53" x14ac:dyDescent="0.35">
      <c r="AW1809" s="20"/>
      <c r="AX1809" s="20"/>
      <c r="AZ1809" s="20"/>
      <c r="BA1809" s="20"/>
    </row>
    <row r="1810" spans="49:53" x14ac:dyDescent="0.35">
      <c r="AW1810" s="20"/>
      <c r="AX1810" s="20"/>
      <c r="AZ1810" s="20"/>
      <c r="BA1810" s="20"/>
    </row>
    <row r="1811" spans="49:53" x14ac:dyDescent="0.35">
      <c r="AW1811" s="20"/>
      <c r="AX1811" s="20"/>
      <c r="AZ1811" s="20"/>
      <c r="BA1811" s="20"/>
    </row>
    <row r="1812" spans="49:53" x14ac:dyDescent="0.35">
      <c r="AW1812" s="20"/>
      <c r="AX1812" s="20"/>
      <c r="AZ1812" s="20"/>
      <c r="BA1812" s="20"/>
    </row>
    <row r="1813" spans="49:53" x14ac:dyDescent="0.35">
      <c r="AW1813" s="20"/>
      <c r="AX1813" s="20"/>
      <c r="AZ1813" s="20"/>
      <c r="BA1813" s="20"/>
    </row>
    <row r="1814" spans="49:53" x14ac:dyDescent="0.35">
      <c r="AW1814" s="20"/>
      <c r="AX1814" s="20"/>
      <c r="AZ1814" s="20"/>
      <c r="BA1814" s="20"/>
    </row>
    <row r="1815" spans="49:53" x14ac:dyDescent="0.35">
      <c r="AW1815" s="20"/>
      <c r="AX1815" s="20"/>
      <c r="AZ1815" s="20"/>
      <c r="BA1815" s="20"/>
    </row>
    <row r="1816" spans="49:53" x14ac:dyDescent="0.35">
      <c r="AW1816" s="20"/>
      <c r="AX1816" s="20"/>
      <c r="AZ1816" s="20"/>
      <c r="BA1816" s="20"/>
    </row>
    <row r="1817" spans="49:53" x14ac:dyDescent="0.35">
      <c r="AW1817" s="20"/>
      <c r="AX1817" s="20"/>
      <c r="AZ1817" s="20"/>
      <c r="BA1817" s="20"/>
    </row>
    <row r="1818" spans="49:53" x14ac:dyDescent="0.35">
      <c r="AW1818" s="20"/>
      <c r="AX1818" s="20"/>
      <c r="AZ1818" s="20"/>
      <c r="BA1818" s="20"/>
    </row>
    <row r="1819" spans="49:53" x14ac:dyDescent="0.35">
      <c r="AW1819" s="20"/>
      <c r="AX1819" s="20"/>
      <c r="AZ1819" s="20"/>
      <c r="BA1819" s="20"/>
    </row>
    <row r="1820" spans="49:53" x14ac:dyDescent="0.35">
      <c r="AW1820" s="20"/>
      <c r="AX1820" s="20"/>
      <c r="AZ1820" s="20"/>
      <c r="BA1820" s="20"/>
    </row>
    <row r="1821" spans="49:53" x14ac:dyDescent="0.35">
      <c r="AW1821" s="20"/>
      <c r="AX1821" s="20"/>
      <c r="AZ1821" s="20"/>
      <c r="BA1821" s="20"/>
    </row>
    <row r="1822" spans="49:53" x14ac:dyDescent="0.35">
      <c r="AW1822" s="20"/>
      <c r="AX1822" s="20"/>
      <c r="AZ1822" s="20"/>
      <c r="BA1822" s="20"/>
    </row>
    <row r="1823" spans="49:53" x14ac:dyDescent="0.35">
      <c r="AW1823" s="20"/>
      <c r="AX1823" s="20"/>
      <c r="AZ1823" s="20"/>
      <c r="BA1823" s="20"/>
    </row>
    <row r="1824" spans="49:53" x14ac:dyDescent="0.35">
      <c r="AW1824" s="20"/>
      <c r="AX1824" s="20"/>
      <c r="AZ1824" s="20"/>
      <c r="BA1824" s="20"/>
    </row>
    <row r="1825" spans="49:53" x14ac:dyDescent="0.35">
      <c r="AW1825" s="20"/>
      <c r="AX1825" s="20"/>
      <c r="AZ1825" s="20"/>
      <c r="BA1825" s="20"/>
    </row>
    <row r="1826" spans="49:53" x14ac:dyDescent="0.35">
      <c r="AW1826" s="20"/>
      <c r="AX1826" s="20"/>
      <c r="AZ1826" s="20"/>
      <c r="BA1826" s="20"/>
    </row>
    <row r="1827" spans="49:53" x14ac:dyDescent="0.35">
      <c r="AW1827" s="20"/>
      <c r="AX1827" s="20"/>
      <c r="AZ1827" s="20"/>
      <c r="BA1827" s="20"/>
    </row>
    <row r="1828" spans="49:53" x14ac:dyDescent="0.35">
      <c r="AW1828" s="20"/>
      <c r="AX1828" s="20"/>
      <c r="AZ1828" s="20"/>
      <c r="BA1828" s="20"/>
    </row>
    <row r="1829" spans="49:53" x14ac:dyDescent="0.35">
      <c r="AW1829" s="20"/>
      <c r="AX1829" s="20"/>
      <c r="AY1829" s="20"/>
      <c r="AZ1829" s="20"/>
      <c r="BA1829" s="20"/>
    </row>
    <row r="1830" spans="49:53" x14ac:dyDescent="0.35">
      <c r="AW1830" s="20"/>
      <c r="AX1830" s="20"/>
      <c r="AY1830" s="20"/>
      <c r="AZ1830" s="20"/>
      <c r="BA1830" s="20"/>
    </row>
    <row r="1831" spans="49:53" x14ac:dyDescent="0.35">
      <c r="AW1831" s="20"/>
      <c r="AX1831" s="20"/>
      <c r="AY1831" s="20"/>
      <c r="AZ1831" s="20"/>
      <c r="BA1831" s="20"/>
    </row>
    <row r="1832" spans="49:53" x14ac:dyDescent="0.35">
      <c r="AW1832" s="20"/>
      <c r="AX1832" s="20"/>
      <c r="AY1832" s="20"/>
      <c r="AZ1832" s="20"/>
      <c r="BA1832" s="20"/>
    </row>
    <row r="1833" spans="49:53" x14ac:dyDescent="0.35">
      <c r="AW1833" s="20"/>
      <c r="AX1833" s="20"/>
      <c r="AY1833" s="20"/>
      <c r="AZ1833" s="20"/>
      <c r="BA1833" s="20"/>
    </row>
    <row r="1834" spans="49:53" x14ac:dyDescent="0.35">
      <c r="AW1834" s="20"/>
      <c r="AX1834" s="20"/>
      <c r="AY1834" s="20"/>
      <c r="AZ1834" s="20"/>
      <c r="BA1834" s="20"/>
    </row>
    <row r="1835" spans="49:53" x14ac:dyDescent="0.35">
      <c r="AW1835" s="20"/>
      <c r="AX1835" s="20"/>
      <c r="AY1835" s="20"/>
      <c r="AZ1835" s="20"/>
      <c r="BA1835" s="20"/>
    </row>
    <row r="1836" spans="49:53" x14ac:dyDescent="0.35">
      <c r="AW1836" s="20"/>
      <c r="AX1836" s="20"/>
      <c r="AY1836" s="20"/>
      <c r="AZ1836" s="20"/>
      <c r="BA1836" s="20"/>
    </row>
    <row r="1837" spans="49:53" x14ac:dyDescent="0.35">
      <c r="AW1837" s="20"/>
      <c r="AX1837" s="20"/>
      <c r="AY1837" s="20"/>
      <c r="AZ1837" s="20"/>
      <c r="BA1837" s="20"/>
    </row>
    <row r="1838" spans="49:53" x14ac:dyDescent="0.35">
      <c r="AW1838" s="20"/>
      <c r="AX1838" s="20"/>
      <c r="AY1838" s="20"/>
      <c r="AZ1838" s="20"/>
      <c r="BA1838" s="20"/>
    </row>
    <row r="1839" spans="49:53" x14ac:dyDescent="0.35">
      <c r="AW1839" s="20"/>
      <c r="AX1839" s="20"/>
      <c r="AY1839" s="20"/>
      <c r="AZ1839" s="20"/>
      <c r="BA1839" s="20"/>
    </row>
    <row r="1840" spans="49:53" x14ac:dyDescent="0.35">
      <c r="AW1840" s="20"/>
      <c r="AX1840" s="20"/>
      <c r="AY1840" s="20"/>
      <c r="AZ1840" s="20"/>
      <c r="BA1840" s="20"/>
    </row>
    <row r="1841" spans="49:53" x14ac:dyDescent="0.35">
      <c r="AW1841" s="20"/>
      <c r="AX1841" s="20"/>
      <c r="AY1841" s="20"/>
      <c r="AZ1841" s="20"/>
      <c r="BA1841" s="20"/>
    </row>
    <row r="1842" spans="49:53" x14ac:dyDescent="0.35">
      <c r="AW1842" s="20"/>
      <c r="AX1842" s="20"/>
      <c r="AY1842" s="20"/>
      <c r="AZ1842" s="20"/>
      <c r="BA1842" s="20"/>
    </row>
    <row r="1843" spans="49:53" x14ac:dyDescent="0.35">
      <c r="AW1843" s="20"/>
      <c r="AX1843" s="20"/>
      <c r="AY1843" s="20"/>
      <c r="AZ1843" s="20"/>
      <c r="BA1843" s="20"/>
    </row>
    <row r="1844" spans="49:53" x14ac:dyDescent="0.35">
      <c r="AW1844" s="20"/>
      <c r="AX1844" s="20"/>
      <c r="AY1844" s="20"/>
      <c r="AZ1844" s="20"/>
      <c r="BA1844" s="20"/>
    </row>
    <row r="1845" spans="49:53" x14ac:dyDescent="0.35">
      <c r="AW1845" s="20"/>
      <c r="AX1845" s="20"/>
      <c r="AY1845" s="20"/>
      <c r="AZ1845" s="20"/>
      <c r="BA1845" s="20"/>
    </row>
    <row r="1846" spans="49:53" x14ac:dyDescent="0.35">
      <c r="AW1846" s="20"/>
      <c r="AX1846" s="20"/>
      <c r="AY1846" s="20"/>
      <c r="AZ1846" s="20"/>
      <c r="BA1846" s="20"/>
    </row>
    <row r="1847" spans="49:53" x14ac:dyDescent="0.35">
      <c r="AW1847" s="20"/>
      <c r="AX1847" s="20"/>
      <c r="AY1847" s="20"/>
      <c r="AZ1847" s="20"/>
      <c r="BA1847" s="20"/>
    </row>
    <row r="1848" spans="49:53" x14ac:dyDescent="0.35">
      <c r="AW1848" s="20"/>
      <c r="AX1848" s="20"/>
      <c r="AY1848" s="20"/>
      <c r="AZ1848" s="20"/>
      <c r="BA1848" s="20"/>
    </row>
    <row r="1849" spans="49:53" x14ac:dyDescent="0.35">
      <c r="AW1849" s="20"/>
      <c r="AX1849" s="20"/>
      <c r="AY1849" s="20"/>
      <c r="AZ1849" s="20"/>
      <c r="BA1849" s="20"/>
    </row>
    <row r="1850" spans="49:53" x14ac:dyDescent="0.35">
      <c r="AW1850" s="20"/>
      <c r="AX1850" s="20"/>
      <c r="AY1850" s="20"/>
      <c r="AZ1850" s="20"/>
      <c r="BA1850" s="20"/>
    </row>
    <row r="1851" spans="49:53" x14ac:dyDescent="0.35">
      <c r="AW1851" s="20"/>
      <c r="AX1851" s="20"/>
      <c r="AY1851" s="20"/>
      <c r="AZ1851" s="20"/>
      <c r="BA1851" s="20"/>
    </row>
    <row r="1852" spans="49:53" x14ac:dyDescent="0.35">
      <c r="AW1852" s="20"/>
      <c r="AX1852" s="20"/>
      <c r="AY1852" s="20"/>
      <c r="AZ1852" s="20"/>
      <c r="BA1852" s="20"/>
    </row>
    <row r="1853" spans="49:53" x14ac:dyDescent="0.35">
      <c r="AW1853" s="20"/>
      <c r="AX1853" s="20"/>
      <c r="AY1853" s="20"/>
      <c r="AZ1853" s="20"/>
      <c r="BA1853" s="20"/>
    </row>
    <row r="1854" spans="49:53" x14ac:dyDescent="0.35">
      <c r="AW1854" s="20"/>
      <c r="AX1854" s="20"/>
      <c r="AY1854" s="20"/>
      <c r="AZ1854" s="20"/>
      <c r="BA1854" s="20"/>
    </row>
    <row r="1855" spans="49:53" x14ac:dyDescent="0.35">
      <c r="AW1855" s="20"/>
      <c r="AX1855" s="20"/>
      <c r="AY1855" s="20"/>
      <c r="AZ1855" s="20"/>
      <c r="BA1855" s="20"/>
    </row>
    <row r="1856" spans="49:53" x14ac:dyDescent="0.35">
      <c r="AW1856" s="20"/>
      <c r="AX1856" s="20"/>
      <c r="AY1856" s="20"/>
      <c r="AZ1856" s="20"/>
      <c r="BA1856" s="20"/>
    </row>
    <row r="1857" spans="49:53" x14ac:dyDescent="0.35">
      <c r="AW1857" s="20"/>
      <c r="AX1857" s="20"/>
      <c r="AY1857" s="20"/>
      <c r="AZ1857" s="20"/>
      <c r="BA1857" s="20"/>
    </row>
    <row r="1858" spans="49:53" x14ac:dyDescent="0.35">
      <c r="AW1858" s="20"/>
      <c r="AX1858" s="20"/>
      <c r="AY1858" s="20"/>
      <c r="AZ1858" s="20"/>
      <c r="BA1858" s="20"/>
    </row>
    <row r="1859" spans="49:53" x14ac:dyDescent="0.35">
      <c r="AW1859" s="20"/>
      <c r="AX1859" s="20"/>
      <c r="AY1859" s="20"/>
      <c r="AZ1859" s="20"/>
      <c r="BA1859" s="20"/>
    </row>
    <row r="1860" spans="49:53" x14ac:dyDescent="0.35">
      <c r="AW1860" s="20"/>
      <c r="AX1860" s="20"/>
      <c r="AY1860" s="20"/>
      <c r="AZ1860" s="20"/>
      <c r="BA1860" s="20"/>
    </row>
    <row r="1861" spans="49:53" x14ac:dyDescent="0.35">
      <c r="AW1861" s="20"/>
      <c r="AX1861" s="20"/>
      <c r="AY1861" s="20"/>
      <c r="AZ1861" s="20"/>
      <c r="BA1861" s="20"/>
    </row>
    <row r="1862" spans="49:53" x14ac:dyDescent="0.35">
      <c r="AW1862" s="20"/>
      <c r="AX1862" s="20"/>
      <c r="AY1862" s="20"/>
      <c r="AZ1862" s="20"/>
      <c r="BA1862" s="20"/>
    </row>
    <row r="1863" spans="49:53" x14ac:dyDescent="0.35">
      <c r="AW1863" s="20"/>
      <c r="AX1863" s="20"/>
      <c r="AY1863" s="20"/>
      <c r="AZ1863" s="20"/>
      <c r="BA1863" s="20"/>
    </row>
    <row r="1864" spans="49:53" x14ac:dyDescent="0.35">
      <c r="AW1864" s="20"/>
      <c r="AX1864" s="20"/>
      <c r="AY1864" s="20"/>
      <c r="AZ1864" s="20"/>
      <c r="BA1864" s="20"/>
    </row>
    <row r="1865" spans="49:53" x14ac:dyDescent="0.35">
      <c r="AW1865" s="20"/>
      <c r="AX1865" s="20"/>
      <c r="AY1865" s="20"/>
      <c r="AZ1865" s="20"/>
      <c r="BA1865" s="20"/>
    </row>
    <row r="1866" spans="49:53" x14ac:dyDescent="0.35">
      <c r="AW1866" s="20"/>
      <c r="AX1866" s="20"/>
      <c r="AY1866" s="20"/>
      <c r="AZ1866" s="20"/>
      <c r="BA1866" s="20"/>
    </row>
    <row r="1867" spans="49:53" x14ac:dyDescent="0.35">
      <c r="AW1867" s="20"/>
      <c r="AX1867" s="20"/>
      <c r="AY1867" s="20"/>
      <c r="AZ1867" s="20"/>
      <c r="BA1867" s="20"/>
    </row>
    <row r="1868" spans="49:53" x14ac:dyDescent="0.35">
      <c r="AW1868" s="20"/>
      <c r="AX1868" s="20"/>
      <c r="AY1868" s="20"/>
      <c r="AZ1868" s="20"/>
      <c r="BA1868" s="20"/>
    </row>
    <row r="1869" spans="49:53" x14ac:dyDescent="0.35">
      <c r="AW1869" s="20"/>
      <c r="AX1869" s="20"/>
      <c r="AY1869" s="20"/>
      <c r="AZ1869" s="20"/>
      <c r="BA1869" s="20"/>
    </row>
    <row r="1870" spans="49:53" x14ac:dyDescent="0.35">
      <c r="AW1870" s="20"/>
      <c r="AX1870" s="20"/>
      <c r="AY1870" s="20"/>
      <c r="AZ1870" s="20"/>
      <c r="BA1870" s="20"/>
    </row>
    <row r="1871" spans="49:53" x14ac:dyDescent="0.35">
      <c r="AW1871" s="20"/>
      <c r="AX1871" s="20"/>
      <c r="AY1871" s="20"/>
      <c r="AZ1871" s="20"/>
      <c r="BA1871" s="20"/>
    </row>
    <row r="1872" spans="49:53" x14ac:dyDescent="0.35">
      <c r="AW1872" s="20"/>
      <c r="AX1872" s="20"/>
      <c r="AY1872" s="20"/>
      <c r="AZ1872" s="20"/>
      <c r="BA1872" s="20"/>
    </row>
    <row r="1873" spans="49:53" x14ac:dyDescent="0.35">
      <c r="AW1873" s="20"/>
      <c r="AX1873" s="20"/>
      <c r="AY1873" s="20"/>
      <c r="AZ1873" s="20"/>
      <c r="BA1873" s="20"/>
    </row>
    <row r="1874" spans="49:53" x14ac:dyDescent="0.35">
      <c r="AW1874" s="20"/>
      <c r="AX1874" s="20"/>
      <c r="AY1874" s="20"/>
      <c r="AZ1874" s="20"/>
      <c r="BA1874" s="20"/>
    </row>
    <row r="1875" spans="49:53" x14ac:dyDescent="0.35">
      <c r="AW1875" s="20"/>
      <c r="AX1875" s="20"/>
      <c r="AY1875" s="20"/>
      <c r="AZ1875" s="20"/>
      <c r="BA1875" s="20"/>
    </row>
    <row r="1876" spans="49:53" x14ac:dyDescent="0.35">
      <c r="AW1876" s="20"/>
      <c r="AX1876" s="20"/>
      <c r="AY1876" s="20"/>
      <c r="AZ1876" s="20"/>
      <c r="BA1876" s="20"/>
    </row>
    <row r="1877" spans="49:53" x14ac:dyDescent="0.35">
      <c r="AW1877" s="20"/>
      <c r="AX1877" s="20"/>
      <c r="AY1877" s="20"/>
      <c r="AZ1877" s="20"/>
      <c r="BA1877" s="20"/>
    </row>
    <row r="1878" spans="49:53" x14ac:dyDescent="0.35">
      <c r="AW1878" s="20"/>
      <c r="AX1878" s="20"/>
      <c r="AY1878" s="20"/>
      <c r="AZ1878" s="20"/>
      <c r="BA1878" s="20"/>
    </row>
    <row r="1879" spans="49:53" x14ac:dyDescent="0.35">
      <c r="AW1879" s="20"/>
      <c r="AX1879" s="20"/>
      <c r="AY1879" s="20"/>
      <c r="AZ1879" s="20"/>
      <c r="BA1879" s="20"/>
    </row>
    <row r="1880" spans="49:53" x14ac:dyDescent="0.35">
      <c r="AW1880" s="20"/>
      <c r="AX1880" s="20"/>
      <c r="AY1880" s="20"/>
      <c r="AZ1880" s="20"/>
      <c r="BA1880" s="20"/>
    </row>
    <row r="1881" spans="49:53" x14ac:dyDescent="0.35">
      <c r="AW1881" s="20"/>
      <c r="AX1881" s="20"/>
      <c r="AY1881" s="20"/>
      <c r="AZ1881" s="20"/>
      <c r="BA1881" s="20"/>
    </row>
    <row r="1882" spans="49:53" x14ac:dyDescent="0.35">
      <c r="AW1882" s="20"/>
      <c r="AX1882" s="20"/>
      <c r="AY1882" s="20"/>
      <c r="AZ1882" s="20"/>
      <c r="BA1882" s="20"/>
    </row>
    <row r="1883" spans="49:53" x14ac:dyDescent="0.35">
      <c r="AW1883" s="20"/>
      <c r="AX1883" s="20"/>
      <c r="AY1883" s="20"/>
      <c r="AZ1883" s="20"/>
      <c r="BA1883" s="20"/>
    </row>
    <row r="1884" spans="49:53" x14ac:dyDescent="0.35">
      <c r="AW1884" s="20"/>
      <c r="AX1884" s="20"/>
      <c r="AY1884" s="20"/>
      <c r="AZ1884" s="20"/>
      <c r="BA1884" s="20"/>
    </row>
    <row r="1885" spans="49:53" x14ac:dyDescent="0.35">
      <c r="AW1885" s="20"/>
      <c r="AX1885" s="20"/>
      <c r="AY1885" s="20"/>
      <c r="AZ1885" s="20"/>
      <c r="BA1885" s="20"/>
    </row>
    <row r="1886" spans="49:53" x14ac:dyDescent="0.35">
      <c r="AW1886" s="20"/>
      <c r="AX1886" s="20"/>
      <c r="AY1886" s="20"/>
      <c r="AZ1886" s="20"/>
      <c r="BA1886" s="20"/>
    </row>
    <row r="1887" spans="49:53" x14ac:dyDescent="0.35">
      <c r="AW1887" s="20"/>
      <c r="AX1887" s="20"/>
      <c r="AY1887" s="20"/>
      <c r="AZ1887" s="20"/>
      <c r="BA1887" s="20"/>
    </row>
    <row r="1888" spans="49:53" x14ac:dyDescent="0.35">
      <c r="AW1888" s="20"/>
      <c r="AX1888" s="20"/>
      <c r="AY1888" s="20"/>
      <c r="AZ1888" s="20"/>
      <c r="BA1888" s="20"/>
    </row>
    <row r="1889" spans="49:53" x14ac:dyDescent="0.35">
      <c r="AW1889" s="20"/>
      <c r="AX1889" s="20"/>
      <c r="AY1889" s="20"/>
      <c r="AZ1889" s="20"/>
      <c r="BA1889" s="20"/>
    </row>
    <row r="1890" spans="49:53" x14ac:dyDescent="0.35">
      <c r="AW1890" s="20"/>
      <c r="AX1890" s="20"/>
      <c r="AY1890" s="20"/>
      <c r="AZ1890" s="20"/>
      <c r="BA1890" s="20"/>
    </row>
    <row r="1891" spans="49:53" x14ac:dyDescent="0.35">
      <c r="AW1891" s="20"/>
      <c r="AX1891" s="20"/>
      <c r="AY1891" s="20"/>
      <c r="AZ1891" s="20"/>
      <c r="BA1891" s="20"/>
    </row>
    <row r="1892" spans="49:53" x14ac:dyDescent="0.35">
      <c r="AW1892" s="20"/>
      <c r="AX1892" s="20"/>
      <c r="AY1892" s="20"/>
      <c r="AZ1892" s="20"/>
      <c r="BA1892" s="20"/>
    </row>
    <row r="1893" spans="49:53" x14ac:dyDescent="0.35">
      <c r="AW1893" s="20"/>
      <c r="AX1893" s="20"/>
      <c r="AY1893" s="20"/>
      <c r="AZ1893" s="20"/>
      <c r="BA1893" s="20"/>
    </row>
    <row r="1894" spans="49:53" x14ac:dyDescent="0.35">
      <c r="AW1894" s="20"/>
      <c r="AX1894" s="20"/>
      <c r="AY1894" s="20"/>
      <c r="AZ1894" s="20"/>
      <c r="BA1894" s="20"/>
    </row>
    <row r="1895" spans="49:53" x14ac:dyDescent="0.35">
      <c r="AW1895" s="20"/>
      <c r="AX1895" s="20"/>
      <c r="AY1895" s="20"/>
      <c r="AZ1895" s="20"/>
      <c r="BA1895" s="20"/>
    </row>
    <row r="1896" spans="49:53" x14ac:dyDescent="0.35">
      <c r="AW1896" s="20"/>
      <c r="AX1896" s="20"/>
      <c r="AY1896" s="20"/>
      <c r="AZ1896" s="20"/>
      <c r="BA1896" s="20"/>
    </row>
    <row r="1897" spans="49:53" x14ac:dyDescent="0.35">
      <c r="AW1897" s="20"/>
      <c r="AX1897" s="20"/>
      <c r="AY1897" s="20"/>
      <c r="AZ1897" s="20"/>
      <c r="BA1897" s="20"/>
    </row>
    <row r="1898" spans="49:53" x14ac:dyDescent="0.35">
      <c r="AW1898" s="20"/>
      <c r="AX1898" s="20"/>
      <c r="AY1898" s="20"/>
      <c r="AZ1898" s="20"/>
      <c r="BA1898" s="20"/>
    </row>
    <row r="1899" spans="49:53" x14ac:dyDescent="0.35">
      <c r="AW1899" s="20"/>
      <c r="AX1899" s="20"/>
      <c r="AY1899" s="20"/>
      <c r="AZ1899" s="20"/>
      <c r="BA1899" s="20"/>
    </row>
    <row r="1900" spans="49:53" x14ac:dyDescent="0.35">
      <c r="AW1900" s="20"/>
      <c r="AX1900" s="20"/>
      <c r="AY1900" s="20"/>
      <c r="AZ1900" s="20"/>
      <c r="BA1900" s="20"/>
    </row>
    <row r="1901" spans="49:53" x14ac:dyDescent="0.35">
      <c r="AW1901" s="20"/>
      <c r="AX1901" s="20"/>
      <c r="AY1901" s="20"/>
      <c r="AZ1901" s="20"/>
      <c r="BA1901" s="20"/>
    </row>
    <row r="1902" spans="49:53" x14ac:dyDescent="0.35">
      <c r="AW1902" s="20"/>
      <c r="AX1902" s="20"/>
      <c r="AY1902" s="20"/>
      <c r="AZ1902" s="20"/>
      <c r="BA1902" s="20"/>
    </row>
    <row r="1903" spans="49:53" x14ac:dyDescent="0.35">
      <c r="AW1903" s="20"/>
      <c r="AX1903" s="20"/>
      <c r="AY1903" s="20"/>
      <c r="AZ1903" s="20"/>
      <c r="BA1903" s="20"/>
    </row>
    <row r="1904" spans="49:53" x14ac:dyDescent="0.35">
      <c r="AW1904" s="20"/>
      <c r="AX1904" s="20"/>
      <c r="AY1904" s="20"/>
      <c r="AZ1904" s="20"/>
      <c r="BA1904" s="20"/>
    </row>
    <row r="1905" spans="49:53" x14ac:dyDescent="0.35">
      <c r="AW1905" s="20"/>
      <c r="AX1905" s="20"/>
      <c r="AY1905" s="20"/>
      <c r="AZ1905" s="20"/>
      <c r="BA1905" s="20"/>
    </row>
    <row r="1906" spans="49:53" x14ac:dyDescent="0.35">
      <c r="AW1906" s="20"/>
      <c r="AX1906" s="20"/>
      <c r="AY1906" s="20"/>
      <c r="AZ1906" s="20"/>
      <c r="BA1906" s="20"/>
    </row>
    <row r="1907" spans="49:53" x14ac:dyDescent="0.35">
      <c r="AW1907" s="20"/>
      <c r="AX1907" s="20"/>
      <c r="AY1907" s="20"/>
      <c r="AZ1907" s="20"/>
      <c r="BA1907" s="20"/>
    </row>
    <row r="1908" spans="49:53" x14ac:dyDescent="0.35">
      <c r="AW1908" s="20"/>
      <c r="AX1908" s="20"/>
      <c r="AY1908" s="20"/>
      <c r="AZ1908" s="20"/>
      <c r="BA1908" s="20"/>
    </row>
    <row r="1909" spans="49:53" x14ac:dyDescent="0.35">
      <c r="AW1909" s="20"/>
      <c r="AX1909" s="20"/>
      <c r="AY1909" s="20"/>
      <c r="AZ1909" s="20"/>
      <c r="BA1909" s="20"/>
    </row>
    <row r="1910" spans="49:53" x14ac:dyDescent="0.35">
      <c r="AW1910" s="20"/>
      <c r="AX1910" s="20"/>
      <c r="AY1910" s="20"/>
      <c r="AZ1910" s="20"/>
      <c r="BA1910" s="20"/>
    </row>
    <row r="1911" spans="49:53" x14ac:dyDescent="0.35">
      <c r="AW1911" s="20"/>
      <c r="AX1911" s="20"/>
      <c r="AY1911" s="20"/>
      <c r="AZ1911" s="20"/>
      <c r="BA1911" s="20"/>
    </row>
    <row r="1912" spans="49:53" x14ac:dyDescent="0.35">
      <c r="AW1912" s="20"/>
      <c r="AX1912" s="20"/>
      <c r="AY1912" s="20"/>
      <c r="AZ1912" s="20"/>
      <c r="BA1912" s="20"/>
    </row>
    <row r="1913" spans="49:53" x14ac:dyDescent="0.35">
      <c r="AW1913" s="20"/>
      <c r="AX1913" s="20"/>
      <c r="AY1913" s="20"/>
      <c r="AZ1913" s="20"/>
      <c r="BA1913" s="20"/>
    </row>
    <row r="1914" spans="49:53" x14ac:dyDescent="0.35">
      <c r="AW1914" s="20"/>
      <c r="AX1914" s="20"/>
      <c r="AY1914" s="20"/>
      <c r="AZ1914" s="20"/>
      <c r="BA1914" s="20"/>
    </row>
    <row r="1915" spans="49:53" x14ac:dyDescent="0.35">
      <c r="AW1915" s="20"/>
      <c r="AX1915" s="20"/>
      <c r="AY1915" s="20"/>
      <c r="AZ1915" s="20"/>
      <c r="BA1915" s="20"/>
    </row>
    <row r="1916" spans="49:53" x14ac:dyDescent="0.35">
      <c r="AW1916" s="20"/>
      <c r="AX1916" s="20"/>
      <c r="AY1916" s="20"/>
      <c r="AZ1916" s="20"/>
      <c r="BA1916" s="20"/>
    </row>
    <row r="1917" spans="49:53" x14ac:dyDescent="0.35">
      <c r="AW1917" s="20"/>
      <c r="AX1917" s="20"/>
      <c r="AY1917" s="20"/>
      <c r="AZ1917" s="20"/>
      <c r="BA1917" s="20"/>
    </row>
    <row r="1918" spans="49:53" x14ac:dyDescent="0.35">
      <c r="AW1918" s="20"/>
      <c r="AX1918" s="20"/>
      <c r="AY1918" s="20"/>
      <c r="AZ1918" s="20"/>
      <c r="BA1918" s="20"/>
    </row>
    <row r="1919" spans="49:53" x14ac:dyDescent="0.35">
      <c r="AW1919" s="20"/>
      <c r="AX1919" s="20"/>
      <c r="AY1919" s="20"/>
      <c r="AZ1919" s="20"/>
      <c r="BA1919" s="20"/>
    </row>
    <row r="1920" spans="49:53" x14ac:dyDescent="0.35">
      <c r="AW1920" s="20"/>
      <c r="AX1920" s="20"/>
      <c r="AY1920" s="20"/>
      <c r="AZ1920" s="20"/>
      <c r="BA1920" s="20"/>
    </row>
    <row r="1921" spans="49:53" x14ac:dyDescent="0.35">
      <c r="AW1921" s="20"/>
      <c r="AX1921" s="20"/>
      <c r="AY1921" s="20"/>
      <c r="AZ1921" s="20"/>
      <c r="BA1921" s="20"/>
    </row>
    <row r="1922" spans="49:53" x14ac:dyDescent="0.35">
      <c r="AW1922" s="20"/>
      <c r="AX1922" s="20"/>
      <c r="AY1922" s="20"/>
      <c r="AZ1922" s="20"/>
      <c r="BA1922" s="20"/>
    </row>
    <row r="1923" spans="49:53" x14ac:dyDescent="0.35">
      <c r="AW1923" s="20"/>
      <c r="AX1923" s="20"/>
      <c r="AY1923" s="20"/>
      <c r="AZ1923" s="20"/>
      <c r="BA1923" s="20"/>
    </row>
    <row r="1924" spans="49:53" x14ac:dyDescent="0.35">
      <c r="AW1924" s="20"/>
      <c r="AX1924" s="20"/>
      <c r="AY1924" s="20"/>
      <c r="AZ1924" s="20"/>
      <c r="BA1924" s="20"/>
    </row>
    <row r="1925" spans="49:53" x14ac:dyDescent="0.35">
      <c r="AW1925" s="20"/>
      <c r="AX1925" s="20"/>
      <c r="AY1925" s="20"/>
      <c r="AZ1925" s="20"/>
      <c r="BA1925" s="20"/>
    </row>
    <row r="1926" spans="49:53" x14ac:dyDescent="0.35">
      <c r="AW1926" s="20"/>
      <c r="AX1926" s="20"/>
      <c r="AY1926" s="20"/>
      <c r="AZ1926" s="20"/>
      <c r="BA1926" s="20"/>
    </row>
    <row r="1927" spans="49:53" x14ac:dyDescent="0.35">
      <c r="AW1927" s="20"/>
      <c r="AX1927" s="20"/>
      <c r="AY1927" s="20"/>
      <c r="AZ1927" s="20"/>
      <c r="BA1927" s="20"/>
    </row>
    <row r="1928" spans="49:53" x14ac:dyDescent="0.35">
      <c r="AW1928" s="20"/>
      <c r="AX1928" s="20"/>
      <c r="AY1928" s="20"/>
      <c r="AZ1928" s="20"/>
      <c r="BA1928" s="20"/>
    </row>
    <row r="1929" spans="49:53" x14ac:dyDescent="0.35">
      <c r="AW1929" s="20"/>
      <c r="AX1929" s="20"/>
      <c r="AY1929" s="20"/>
      <c r="AZ1929" s="20"/>
      <c r="BA1929" s="20"/>
    </row>
    <row r="1930" spans="49:53" x14ac:dyDescent="0.35">
      <c r="AW1930" s="20"/>
      <c r="AX1930" s="20"/>
      <c r="AY1930" s="20"/>
      <c r="AZ1930" s="20"/>
      <c r="BA1930" s="20"/>
    </row>
    <row r="1931" spans="49:53" x14ac:dyDescent="0.35">
      <c r="AW1931" s="20"/>
      <c r="AX1931" s="20"/>
      <c r="AY1931" s="20"/>
      <c r="AZ1931" s="20"/>
      <c r="BA1931" s="20"/>
    </row>
    <row r="1932" spans="49:53" x14ac:dyDescent="0.35">
      <c r="AW1932" s="20"/>
      <c r="AX1932" s="20"/>
      <c r="AY1932" s="20"/>
      <c r="AZ1932" s="20"/>
      <c r="BA1932" s="20"/>
    </row>
    <row r="1933" spans="49:53" x14ac:dyDescent="0.35">
      <c r="AW1933" s="20"/>
      <c r="AX1933" s="20"/>
      <c r="AY1933" s="20"/>
      <c r="AZ1933" s="20"/>
      <c r="BA1933" s="20"/>
    </row>
    <row r="1934" spans="49:53" x14ac:dyDescent="0.35">
      <c r="AW1934" s="20"/>
      <c r="AX1934" s="20"/>
      <c r="AY1934" s="20"/>
      <c r="AZ1934" s="20"/>
      <c r="BA1934" s="20"/>
    </row>
    <row r="1935" spans="49:53" x14ac:dyDescent="0.35">
      <c r="AW1935" s="20"/>
      <c r="AX1935" s="20"/>
      <c r="AY1935" s="20"/>
      <c r="AZ1935" s="20"/>
      <c r="BA1935" s="20"/>
    </row>
    <row r="1936" spans="49:53" x14ac:dyDescent="0.35">
      <c r="AW1936" s="20"/>
      <c r="AX1936" s="20"/>
      <c r="AY1936" s="20"/>
      <c r="AZ1936" s="20"/>
      <c r="BA1936" s="20"/>
    </row>
    <row r="1937" spans="49:53" x14ac:dyDescent="0.35">
      <c r="AW1937" s="20"/>
      <c r="AX1937" s="20"/>
      <c r="AY1937" s="20"/>
      <c r="AZ1937" s="20"/>
      <c r="BA1937" s="20"/>
    </row>
    <row r="1938" spans="49:53" x14ac:dyDescent="0.35">
      <c r="AW1938" s="20"/>
      <c r="AX1938" s="20"/>
      <c r="AY1938" s="20"/>
      <c r="AZ1938" s="20"/>
      <c r="BA1938" s="20"/>
    </row>
    <row r="1939" spans="49:53" x14ac:dyDescent="0.35">
      <c r="AW1939" s="20"/>
      <c r="AX1939" s="20"/>
      <c r="AY1939" s="20"/>
      <c r="AZ1939" s="20"/>
      <c r="BA1939" s="20"/>
    </row>
    <row r="1940" spans="49:53" x14ac:dyDescent="0.35">
      <c r="AW1940" s="20"/>
      <c r="AX1940" s="20"/>
      <c r="AY1940" s="20"/>
      <c r="AZ1940" s="20"/>
      <c r="BA1940" s="20"/>
    </row>
    <row r="1941" spans="49:53" x14ac:dyDescent="0.35">
      <c r="AW1941" s="20"/>
      <c r="AX1941" s="20"/>
      <c r="AY1941" s="20"/>
      <c r="AZ1941" s="20"/>
      <c r="BA1941" s="20"/>
    </row>
    <row r="1942" spans="49:53" x14ac:dyDescent="0.35">
      <c r="AW1942" s="20"/>
      <c r="AX1942" s="20"/>
      <c r="AY1942" s="20"/>
      <c r="AZ1942" s="20"/>
      <c r="BA1942" s="20"/>
    </row>
    <row r="1943" spans="49:53" x14ac:dyDescent="0.35">
      <c r="AW1943" s="20"/>
      <c r="AX1943" s="20"/>
      <c r="AY1943" s="20"/>
      <c r="AZ1943" s="20"/>
      <c r="BA1943" s="20"/>
    </row>
    <row r="1944" spans="49:53" x14ac:dyDescent="0.35">
      <c r="AW1944" s="20"/>
      <c r="AX1944" s="20"/>
      <c r="AY1944" s="20"/>
      <c r="AZ1944" s="20"/>
      <c r="BA1944" s="20"/>
    </row>
    <row r="1945" spans="49:53" x14ac:dyDescent="0.35">
      <c r="AW1945" s="20"/>
      <c r="AX1945" s="20"/>
      <c r="AY1945" s="20"/>
      <c r="AZ1945" s="20"/>
      <c r="BA1945" s="20"/>
    </row>
    <row r="1946" spans="49:53" x14ac:dyDescent="0.35">
      <c r="AW1946" s="20"/>
      <c r="AX1946" s="20"/>
      <c r="AY1946" s="20"/>
      <c r="AZ1946" s="20"/>
      <c r="BA1946" s="20"/>
    </row>
    <row r="1947" spans="49:53" x14ac:dyDescent="0.35">
      <c r="AW1947" s="20"/>
      <c r="AX1947" s="20"/>
      <c r="AY1947" s="20"/>
      <c r="AZ1947" s="20"/>
      <c r="BA1947" s="20"/>
    </row>
    <row r="1948" spans="49:53" x14ac:dyDescent="0.35">
      <c r="AW1948" s="20"/>
      <c r="AX1948" s="20"/>
      <c r="AY1948" s="20"/>
      <c r="AZ1948" s="20"/>
      <c r="BA1948" s="20"/>
    </row>
    <row r="1949" spans="49:53" x14ac:dyDescent="0.35">
      <c r="AW1949" s="20"/>
      <c r="AX1949" s="20"/>
      <c r="AY1949" s="20"/>
      <c r="AZ1949" s="20"/>
      <c r="BA1949" s="20"/>
    </row>
    <row r="1950" spans="49:53" x14ac:dyDescent="0.35">
      <c r="AW1950" s="20"/>
      <c r="AX1950" s="20"/>
      <c r="AY1950" s="20"/>
      <c r="AZ1950" s="20"/>
      <c r="BA1950" s="20"/>
    </row>
    <row r="1951" spans="49:53" x14ac:dyDescent="0.35">
      <c r="AW1951" s="20"/>
      <c r="AX1951" s="20"/>
      <c r="AY1951" s="20"/>
      <c r="AZ1951" s="20"/>
      <c r="BA1951" s="20"/>
    </row>
    <row r="1952" spans="49:53" x14ac:dyDescent="0.35">
      <c r="AW1952" s="20"/>
      <c r="AX1952" s="20"/>
      <c r="AY1952" s="20"/>
      <c r="AZ1952" s="20"/>
      <c r="BA1952" s="20"/>
    </row>
    <row r="1953" spans="49:53" x14ac:dyDescent="0.35">
      <c r="AW1953" s="20"/>
      <c r="AX1953" s="20"/>
      <c r="AY1953" s="20"/>
      <c r="AZ1953" s="20"/>
      <c r="BA1953" s="20"/>
    </row>
    <row r="1954" spans="49:53" x14ac:dyDescent="0.35">
      <c r="AW1954" s="20"/>
      <c r="AX1954" s="20"/>
      <c r="AY1954" s="20"/>
      <c r="AZ1954" s="20"/>
      <c r="BA1954" s="20"/>
    </row>
    <row r="1955" spans="49:53" x14ac:dyDescent="0.35">
      <c r="AW1955" s="20"/>
      <c r="AX1955" s="20"/>
      <c r="AY1955" s="20"/>
      <c r="AZ1955" s="20"/>
      <c r="BA1955" s="20"/>
    </row>
    <row r="1956" spans="49:53" x14ac:dyDescent="0.35">
      <c r="AW1956" s="20"/>
      <c r="AX1956" s="20"/>
      <c r="AY1956" s="20"/>
      <c r="AZ1956" s="20"/>
      <c r="BA1956" s="20"/>
    </row>
    <row r="1957" spans="49:53" x14ac:dyDescent="0.35">
      <c r="AW1957" s="20"/>
      <c r="AX1957" s="20"/>
      <c r="AY1957" s="20"/>
      <c r="AZ1957" s="20"/>
      <c r="BA1957" s="20"/>
    </row>
    <row r="1958" spans="49:53" x14ac:dyDescent="0.35">
      <c r="AW1958" s="20"/>
      <c r="AX1958" s="20"/>
      <c r="AY1958" s="20"/>
      <c r="AZ1958" s="20"/>
      <c r="BA1958" s="20"/>
    </row>
    <row r="1959" spans="49:53" x14ac:dyDescent="0.35">
      <c r="AW1959" s="20"/>
      <c r="AX1959" s="20"/>
      <c r="AY1959" s="20"/>
      <c r="AZ1959" s="20"/>
      <c r="BA1959" s="20"/>
    </row>
    <row r="1960" spans="49:53" x14ac:dyDescent="0.35">
      <c r="AW1960" s="20"/>
      <c r="AX1960" s="20"/>
      <c r="AY1960" s="20"/>
      <c r="AZ1960" s="20"/>
      <c r="BA1960" s="20"/>
    </row>
    <row r="1961" spans="49:53" x14ac:dyDescent="0.35">
      <c r="AW1961" s="20"/>
      <c r="AX1961" s="20"/>
      <c r="AY1961" s="20"/>
      <c r="AZ1961" s="20"/>
      <c r="BA1961" s="20"/>
    </row>
    <row r="1962" spans="49:53" x14ac:dyDescent="0.35">
      <c r="AW1962" s="20"/>
      <c r="AX1962" s="20"/>
      <c r="AY1962" s="20"/>
      <c r="AZ1962" s="20"/>
      <c r="BA1962" s="20"/>
    </row>
    <row r="1963" spans="49:53" x14ac:dyDescent="0.35">
      <c r="AW1963" s="20"/>
      <c r="AX1963" s="20"/>
      <c r="AY1963" s="20"/>
      <c r="AZ1963" s="20"/>
      <c r="BA1963" s="20"/>
    </row>
    <row r="1964" spans="49:53" x14ac:dyDescent="0.35">
      <c r="AW1964" s="20"/>
      <c r="AX1964" s="20"/>
      <c r="AY1964" s="20"/>
      <c r="AZ1964" s="20"/>
      <c r="BA1964" s="20"/>
    </row>
    <row r="1965" spans="49:53" x14ac:dyDescent="0.35">
      <c r="AW1965" s="20"/>
      <c r="AX1965" s="20"/>
      <c r="AY1965" s="20"/>
      <c r="AZ1965" s="20"/>
      <c r="BA1965" s="20"/>
    </row>
    <row r="1966" spans="49:53" x14ac:dyDescent="0.35">
      <c r="AW1966" s="20"/>
      <c r="AX1966" s="20"/>
      <c r="AY1966" s="20"/>
      <c r="AZ1966" s="20"/>
      <c r="BA1966" s="20"/>
    </row>
    <row r="1967" spans="49:53" x14ac:dyDescent="0.35">
      <c r="AW1967" s="20"/>
      <c r="AX1967" s="20"/>
      <c r="AY1967" s="20"/>
      <c r="AZ1967" s="20"/>
      <c r="BA1967" s="20"/>
    </row>
    <row r="1968" spans="49:53" x14ac:dyDescent="0.35">
      <c r="AW1968" s="20"/>
      <c r="AX1968" s="20"/>
      <c r="AY1968" s="20"/>
      <c r="AZ1968" s="20"/>
      <c r="BA1968" s="20"/>
    </row>
    <row r="1969" spans="49:53" x14ac:dyDescent="0.35">
      <c r="AW1969" s="20"/>
      <c r="AX1969" s="20"/>
      <c r="AY1969" s="20"/>
      <c r="AZ1969" s="20"/>
      <c r="BA1969" s="20"/>
    </row>
    <row r="1970" spans="49:53" x14ac:dyDescent="0.35">
      <c r="AW1970" s="20"/>
      <c r="AX1970" s="20"/>
      <c r="AY1970" s="20"/>
      <c r="AZ1970" s="20"/>
      <c r="BA1970" s="20"/>
    </row>
    <row r="1971" spans="49:53" x14ac:dyDescent="0.35">
      <c r="AW1971" s="20"/>
      <c r="AX1971" s="20"/>
      <c r="AY1971" s="20"/>
      <c r="AZ1971" s="20"/>
      <c r="BA1971" s="20"/>
    </row>
    <row r="1972" spans="49:53" x14ac:dyDescent="0.35">
      <c r="AW1972" s="20"/>
      <c r="AX1972" s="20"/>
      <c r="AY1972" s="20"/>
      <c r="AZ1972" s="20"/>
      <c r="BA1972" s="20"/>
    </row>
    <row r="1973" spans="49:53" x14ac:dyDescent="0.35">
      <c r="AW1973" s="20"/>
      <c r="AX1973" s="20"/>
      <c r="AY1973" s="20"/>
      <c r="AZ1973" s="20"/>
      <c r="BA1973" s="20"/>
    </row>
    <row r="1974" spans="49:53" x14ac:dyDescent="0.35">
      <c r="AW1974" s="20"/>
      <c r="AX1974" s="20"/>
      <c r="AY1974" s="20"/>
      <c r="AZ1974" s="20"/>
      <c r="BA1974" s="20"/>
    </row>
    <row r="1975" spans="49:53" x14ac:dyDescent="0.35">
      <c r="AW1975" s="20"/>
      <c r="AX1975" s="20"/>
      <c r="AY1975" s="20"/>
      <c r="AZ1975" s="20"/>
      <c r="BA1975" s="20"/>
    </row>
    <row r="1976" spans="49:53" x14ac:dyDescent="0.35">
      <c r="AW1976" s="20"/>
      <c r="AX1976" s="20"/>
      <c r="AY1976" s="20"/>
      <c r="AZ1976" s="20"/>
      <c r="BA1976" s="20"/>
    </row>
    <row r="1977" spans="49:53" x14ac:dyDescent="0.35">
      <c r="AW1977" s="20"/>
      <c r="AX1977" s="20"/>
      <c r="AY1977" s="20"/>
      <c r="AZ1977" s="20"/>
      <c r="BA1977" s="20"/>
    </row>
    <row r="1978" spans="49:53" x14ac:dyDescent="0.35">
      <c r="AW1978" s="20"/>
      <c r="AX1978" s="20"/>
      <c r="AY1978" s="20"/>
      <c r="AZ1978" s="20"/>
      <c r="BA1978" s="20"/>
    </row>
    <row r="1979" spans="49:53" x14ac:dyDescent="0.35">
      <c r="AW1979" s="20"/>
      <c r="AX1979" s="20"/>
      <c r="AY1979" s="20"/>
      <c r="AZ1979" s="20"/>
      <c r="BA1979" s="20"/>
    </row>
    <row r="1980" spans="49:53" x14ac:dyDescent="0.35">
      <c r="AW1980" s="20"/>
      <c r="AX1980" s="20"/>
      <c r="AY1980" s="20"/>
      <c r="AZ1980" s="20"/>
      <c r="BA1980" s="20"/>
    </row>
    <row r="1981" spans="49:53" x14ac:dyDescent="0.35">
      <c r="AW1981" s="20"/>
      <c r="AX1981" s="20"/>
      <c r="AY1981" s="20"/>
      <c r="AZ1981" s="20"/>
      <c r="BA1981" s="20"/>
    </row>
    <row r="1982" spans="49:53" x14ac:dyDescent="0.35">
      <c r="AW1982" s="20"/>
      <c r="AX1982" s="20"/>
      <c r="AY1982" s="20"/>
      <c r="AZ1982" s="20"/>
      <c r="BA1982" s="20"/>
    </row>
    <row r="1983" spans="49:53" x14ac:dyDescent="0.35">
      <c r="AW1983" s="20"/>
      <c r="AX1983" s="20"/>
      <c r="AY1983" s="20"/>
      <c r="AZ1983" s="20"/>
      <c r="BA1983" s="20"/>
    </row>
    <row r="1984" spans="49:53" x14ac:dyDescent="0.35">
      <c r="AW1984" s="20"/>
      <c r="AX1984" s="20"/>
      <c r="AY1984" s="20"/>
      <c r="AZ1984" s="20"/>
      <c r="BA1984" s="20"/>
    </row>
    <row r="1985" spans="49:53" x14ac:dyDescent="0.35">
      <c r="AW1985" s="20"/>
      <c r="AX1985" s="20"/>
      <c r="AY1985" s="20"/>
      <c r="AZ1985" s="20"/>
      <c r="BA1985" s="20"/>
    </row>
    <row r="1986" spans="49:53" x14ac:dyDescent="0.35">
      <c r="AW1986" s="20"/>
      <c r="AX1986" s="20"/>
      <c r="AY1986" s="20"/>
      <c r="AZ1986" s="20"/>
      <c r="BA1986" s="20"/>
    </row>
    <row r="1987" spans="49:53" x14ac:dyDescent="0.35">
      <c r="AW1987" s="20"/>
      <c r="AX1987" s="20"/>
      <c r="AY1987" s="20"/>
      <c r="AZ1987" s="20"/>
      <c r="BA1987" s="20"/>
    </row>
    <row r="1988" spans="49:53" x14ac:dyDescent="0.35">
      <c r="AW1988" s="20"/>
      <c r="AX1988" s="20"/>
      <c r="AY1988" s="20"/>
      <c r="AZ1988" s="20"/>
      <c r="BA1988" s="20"/>
    </row>
    <row r="1989" spans="49:53" x14ac:dyDescent="0.35">
      <c r="AW1989" s="20"/>
      <c r="AX1989" s="20"/>
      <c r="AY1989" s="20"/>
      <c r="AZ1989" s="20"/>
      <c r="BA1989" s="20"/>
    </row>
    <row r="1990" spans="49:53" x14ac:dyDescent="0.35">
      <c r="AW1990" s="20"/>
      <c r="AX1990" s="20"/>
      <c r="AY1990" s="20"/>
      <c r="AZ1990" s="20"/>
      <c r="BA1990" s="20"/>
    </row>
    <row r="1991" spans="49:53" x14ac:dyDescent="0.35">
      <c r="AW1991" s="20"/>
      <c r="AX1991" s="20"/>
      <c r="AY1991" s="20"/>
      <c r="AZ1991" s="20"/>
      <c r="BA1991" s="20"/>
    </row>
    <row r="1992" spans="49:53" x14ac:dyDescent="0.35">
      <c r="AW1992" s="20"/>
      <c r="AX1992" s="20"/>
      <c r="AY1992" s="20"/>
      <c r="AZ1992" s="20"/>
      <c r="BA1992" s="20"/>
    </row>
    <row r="1993" spans="49:53" x14ac:dyDescent="0.35">
      <c r="AW1993" s="20"/>
      <c r="AX1993" s="20"/>
      <c r="AY1993" s="20"/>
      <c r="AZ1993" s="20"/>
      <c r="BA1993" s="20"/>
    </row>
    <row r="1994" spans="49:53" x14ac:dyDescent="0.35">
      <c r="AW1994" s="20"/>
      <c r="AX1994" s="20"/>
      <c r="AY1994" s="20"/>
      <c r="AZ1994" s="20"/>
      <c r="BA1994" s="20"/>
    </row>
    <row r="1995" spans="49:53" x14ac:dyDescent="0.35">
      <c r="AW1995" s="20"/>
      <c r="AX1995" s="20"/>
      <c r="AY1995" s="20"/>
      <c r="AZ1995" s="20"/>
      <c r="BA1995" s="20"/>
    </row>
    <row r="1996" spans="49:53" x14ac:dyDescent="0.35">
      <c r="AW1996" s="20"/>
      <c r="AX1996" s="20"/>
      <c r="AY1996" s="20"/>
      <c r="AZ1996" s="20"/>
      <c r="BA1996" s="20"/>
    </row>
    <row r="1997" spans="49:53" x14ac:dyDescent="0.35">
      <c r="AW1997" s="20"/>
      <c r="AX1997" s="20"/>
      <c r="AY1997" s="20"/>
      <c r="AZ1997" s="20"/>
      <c r="BA1997" s="20"/>
    </row>
    <row r="1998" spans="49:53" x14ac:dyDescent="0.35">
      <c r="AW1998" s="20"/>
      <c r="AX1998" s="20"/>
      <c r="AY1998" s="20"/>
      <c r="AZ1998" s="20"/>
      <c r="BA1998" s="20"/>
    </row>
    <row r="1999" spans="49:53" x14ac:dyDescent="0.35">
      <c r="AW1999" s="20"/>
      <c r="AX1999" s="20"/>
      <c r="AY1999" s="20"/>
      <c r="AZ1999" s="20"/>
      <c r="BA1999" s="20"/>
    </row>
    <row r="2000" spans="49:53" x14ac:dyDescent="0.35">
      <c r="AW2000" s="20"/>
      <c r="AX2000" s="20"/>
      <c r="AY2000" s="20"/>
      <c r="AZ2000" s="20"/>
      <c r="BA2000" s="20"/>
    </row>
    <row r="2001" spans="49:53" x14ac:dyDescent="0.35">
      <c r="AW2001" s="20"/>
      <c r="AX2001" s="20"/>
      <c r="AY2001" s="20"/>
      <c r="AZ2001" s="20"/>
      <c r="BA2001" s="20"/>
    </row>
    <row r="2002" spans="49:53" x14ac:dyDescent="0.35">
      <c r="AW2002" s="20"/>
      <c r="AX2002" s="20"/>
      <c r="AY2002" s="20"/>
      <c r="AZ2002" s="20"/>
      <c r="BA2002" s="20"/>
    </row>
    <row r="2003" spans="49:53" x14ac:dyDescent="0.35">
      <c r="AW2003" s="20"/>
      <c r="AX2003" s="20"/>
      <c r="AY2003" s="20"/>
      <c r="AZ2003" s="20"/>
      <c r="BA2003" s="20"/>
    </row>
    <row r="2004" spans="49:53" x14ac:dyDescent="0.35">
      <c r="AW2004" s="20"/>
      <c r="AX2004" s="20"/>
      <c r="AY2004" s="20"/>
      <c r="AZ2004" s="20"/>
      <c r="BA2004" s="20"/>
    </row>
    <row r="2005" spans="49:53" x14ac:dyDescent="0.35">
      <c r="AW2005" s="20"/>
      <c r="AX2005" s="20"/>
      <c r="AY2005" s="20"/>
      <c r="AZ2005" s="20"/>
      <c r="BA2005" s="20"/>
    </row>
    <row r="2006" spans="49:53" x14ac:dyDescent="0.35">
      <c r="AW2006" s="20"/>
      <c r="AX2006" s="20"/>
      <c r="AY2006" s="20"/>
      <c r="AZ2006" s="20"/>
      <c r="BA2006" s="20"/>
    </row>
    <row r="2007" spans="49:53" x14ac:dyDescent="0.35">
      <c r="AW2007" s="20"/>
      <c r="AX2007" s="20"/>
      <c r="AY2007" s="20"/>
      <c r="AZ2007" s="20"/>
      <c r="BA2007" s="20"/>
    </row>
    <row r="2008" spans="49:53" x14ac:dyDescent="0.35">
      <c r="AW2008" s="20"/>
      <c r="AX2008" s="20"/>
      <c r="AY2008" s="20"/>
      <c r="AZ2008" s="20"/>
      <c r="BA2008" s="20"/>
    </row>
    <row r="2009" spans="49:53" x14ac:dyDescent="0.35">
      <c r="AW2009" s="20"/>
      <c r="AX2009" s="20"/>
      <c r="AY2009" s="20"/>
      <c r="AZ2009" s="20"/>
      <c r="BA2009" s="20"/>
    </row>
    <row r="2010" spans="49:53" x14ac:dyDescent="0.35">
      <c r="AW2010" s="20"/>
      <c r="AX2010" s="20"/>
      <c r="AY2010" s="20"/>
      <c r="AZ2010" s="20"/>
      <c r="BA2010" s="20"/>
    </row>
    <row r="2011" spans="49:53" x14ac:dyDescent="0.35">
      <c r="AW2011" s="20"/>
      <c r="AX2011" s="20"/>
      <c r="AY2011" s="20"/>
      <c r="AZ2011" s="20"/>
      <c r="BA2011" s="20"/>
    </row>
    <row r="2012" spans="49:53" x14ac:dyDescent="0.35">
      <c r="AW2012" s="20"/>
      <c r="AX2012" s="20"/>
      <c r="AY2012" s="20"/>
      <c r="AZ2012" s="20"/>
      <c r="BA2012" s="20"/>
    </row>
    <row r="2013" spans="49:53" x14ac:dyDescent="0.35">
      <c r="AW2013" s="20"/>
      <c r="AX2013" s="20"/>
      <c r="AY2013" s="20"/>
      <c r="AZ2013" s="20"/>
      <c r="BA2013" s="20"/>
    </row>
    <row r="2014" spans="49:53" x14ac:dyDescent="0.35">
      <c r="AW2014" s="20"/>
      <c r="AX2014" s="20"/>
      <c r="AY2014" s="20"/>
      <c r="AZ2014" s="20"/>
      <c r="BA2014" s="20"/>
    </row>
    <row r="2015" spans="49:53" x14ac:dyDescent="0.35">
      <c r="AW2015" s="20"/>
      <c r="AX2015" s="20"/>
      <c r="AY2015" s="20"/>
      <c r="AZ2015" s="20"/>
      <c r="BA2015" s="20"/>
    </row>
    <row r="2016" spans="49:53" x14ac:dyDescent="0.35">
      <c r="AW2016" s="20"/>
      <c r="AX2016" s="20"/>
      <c r="AY2016" s="20"/>
      <c r="AZ2016" s="20"/>
      <c r="BA2016" s="20"/>
    </row>
    <row r="2017" spans="49:53" x14ac:dyDescent="0.35">
      <c r="AW2017" s="20"/>
      <c r="AX2017" s="20"/>
      <c r="AY2017" s="20"/>
      <c r="AZ2017" s="20"/>
      <c r="BA2017" s="20"/>
    </row>
    <row r="2018" spans="49:53" x14ac:dyDescent="0.35">
      <c r="AW2018" s="20"/>
      <c r="AX2018" s="20"/>
      <c r="AY2018" s="20"/>
      <c r="AZ2018" s="20"/>
      <c r="BA2018" s="20"/>
    </row>
    <row r="2019" spans="49:53" x14ac:dyDescent="0.35">
      <c r="AW2019" s="20"/>
      <c r="AX2019" s="20"/>
      <c r="AY2019" s="20"/>
      <c r="AZ2019" s="20"/>
      <c r="BA2019" s="20"/>
    </row>
    <row r="2020" spans="49:53" x14ac:dyDescent="0.35">
      <c r="AW2020" s="20"/>
      <c r="AX2020" s="20"/>
      <c r="AY2020" s="20"/>
      <c r="AZ2020" s="20"/>
      <c r="BA2020" s="20"/>
    </row>
    <row r="2021" spans="49:53" x14ac:dyDescent="0.35">
      <c r="AW2021" s="20"/>
      <c r="AX2021" s="20"/>
      <c r="AY2021" s="20"/>
      <c r="AZ2021" s="20"/>
      <c r="BA2021" s="20"/>
    </row>
    <row r="2022" spans="49:53" x14ac:dyDescent="0.35">
      <c r="AW2022" s="20"/>
      <c r="AX2022" s="20"/>
      <c r="AY2022" s="20"/>
      <c r="AZ2022" s="20"/>
      <c r="BA2022" s="20"/>
    </row>
    <row r="2023" spans="49:53" x14ac:dyDescent="0.35">
      <c r="AW2023" s="20"/>
      <c r="AX2023" s="20"/>
      <c r="AY2023" s="20"/>
      <c r="AZ2023" s="20"/>
      <c r="BA2023" s="20"/>
    </row>
    <row r="2024" spans="49:53" x14ac:dyDescent="0.35">
      <c r="AW2024" s="20"/>
      <c r="AX2024" s="20"/>
      <c r="AY2024" s="20"/>
      <c r="AZ2024" s="20"/>
      <c r="BA2024" s="20"/>
    </row>
    <row r="2025" spans="49:53" x14ac:dyDescent="0.35">
      <c r="AW2025" s="20"/>
      <c r="AX2025" s="20"/>
      <c r="AY2025" s="20"/>
      <c r="AZ2025" s="20"/>
      <c r="BA2025" s="20"/>
    </row>
    <row r="2026" spans="49:53" x14ac:dyDescent="0.35">
      <c r="AW2026" s="20"/>
      <c r="AX2026" s="20"/>
      <c r="AY2026" s="20"/>
      <c r="AZ2026" s="20"/>
      <c r="BA2026" s="20"/>
    </row>
    <row r="2027" spans="49:53" x14ac:dyDescent="0.35">
      <c r="AW2027" s="20"/>
      <c r="AX2027" s="20"/>
      <c r="AY2027" s="20"/>
      <c r="AZ2027" s="20"/>
      <c r="BA2027" s="20"/>
    </row>
    <row r="2028" spans="49:53" x14ac:dyDescent="0.35">
      <c r="AW2028" s="20"/>
      <c r="AX2028" s="20"/>
      <c r="AY2028" s="20"/>
      <c r="AZ2028" s="20"/>
      <c r="BA2028" s="20"/>
    </row>
    <row r="2029" spans="49:53" x14ac:dyDescent="0.35">
      <c r="AW2029" s="20"/>
      <c r="AX2029" s="20"/>
      <c r="AY2029" s="20"/>
      <c r="AZ2029" s="20"/>
      <c r="BA2029" s="20"/>
    </row>
    <row r="2030" spans="49:53" x14ac:dyDescent="0.35">
      <c r="AW2030" s="20"/>
      <c r="AX2030" s="20"/>
      <c r="AY2030" s="20"/>
      <c r="AZ2030" s="20"/>
      <c r="BA2030" s="20"/>
    </row>
    <row r="2031" spans="49:53" x14ac:dyDescent="0.35">
      <c r="AW2031" s="20"/>
      <c r="AX2031" s="20"/>
      <c r="AY2031" s="20"/>
      <c r="AZ2031" s="20"/>
      <c r="BA2031" s="20"/>
    </row>
    <row r="2032" spans="49:53" x14ac:dyDescent="0.35">
      <c r="AW2032" s="20"/>
      <c r="AX2032" s="20"/>
      <c r="AY2032" s="20"/>
      <c r="AZ2032" s="20"/>
      <c r="BA2032" s="20"/>
    </row>
    <row r="2033" spans="49:53" x14ac:dyDescent="0.35">
      <c r="AW2033" s="20"/>
      <c r="AX2033" s="20"/>
      <c r="AY2033" s="20"/>
      <c r="AZ2033" s="20"/>
      <c r="BA2033" s="20"/>
    </row>
    <row r="2034" spans="49:53" x14ac:dyDescent="0.35">
      <c r="AW2034" s="20"/>
      <c r="AX2034" s="20"/>
      <c r="AY2034" s="20"/>
      <c r="AZ2034" s="20"/>
      <c r="BA2034" s="20"/>
    </row>
    <row r="2035" spans="49:53" x14ac:dyDescent="0.35">
      <c r="AW2035" s="20"/>
      <c r="AX2035" s="20"/>
      <c r="AY2035" s="20"/>
      <c r="AZ2035" s="20"/>
      <c r="BA2035" s="20"/>
    </row>
    <row r="2036" spans="49:53" x14ac:dyDescent="0.35">
      <c r="AW2036" s="20"/>
      <c r="AX2036" s="20"/>
      <c r="AY2036" s="20"/>
      <c r="AZ2036" s="20"/>
      <c r="BA2036" s="20"/>
    </row>
    <row r="2037" spans="49:53" x14ac:dyDescent="0.35">
      <c r="AW2037" s="20"/>
      <c r="AX2037" s="20"/>
      <c r="AY2037" s="20"/>
      <c r="AZ2037" s="20"/>
      <c r="BA2037" s="20"/>
    </row>
    <row r="2038" spans="49:53" x14ac:dyDescent="0.35">
      <c r="AW2038" s="20"/>
      <c r="AX2038" s="20"/>
      <c r="AY2038" s="20"/>
      <c r="AZ2038" s="20"/>
      <c r="BA2038" s="20"/>
    </row>
    <row r="2039" spans="49:53" x14ac:dyDescent="0.35">
      <c r="AW2039" s="20"/>
      <c r="AX2039" s="20"/>
      <c r="AY2039" s="20"/>
      <c r="AZ2039" s="20"/>
      <c r="BA2039" s="20"/>
    </row>
    <row r="2040" spans="49:53" x14ac:dyDescent="0.35">
      <c r="AW2040" s="20"/>
      <c r="AX2040" s="20"/>
      <c r="AY2040" s="20"/>
      <c r="AZ2040" s="20"/>
      <c r="BA2040" s="20"/>
    </row>
    <row r="2041" spans="49:53" x14ac:dyDescent="0.35">
      <c r="AW2041" s="20"/>
      <c r="AX2041" s="20"/>
      <c r="AY2041" s="20"/>
      <c r="AZ2041" s="20"/>
      <c r="BA2041" s="20"/>
    </row>
    <row r="2042" spans="49:53" x14ac:dyDescent="0.35">
      <c r="AW2042" s="20"/>
      <c r="AX2042" s="20"/>
      <c r="AY2042" s="20"/>
      <c r="AZ2042" s="20"/>
      <c r="BA2042" s="20"/>
    </row>
    <row r="2043" spans="49:53" x14ac:dyDescent="0.35">
      <c r="AW2043" s="20"/>
      <c r="AX2043" s="20"/>
      <c r="AY2043" s="20"/>
      <c r="AZ2043" s="20"/>
      <c r="BA2043" s="20"/>
    </row>
    <row r="2044" spans="49:53" x14ac:dyDescent="0.35">
      <c r="AW2044" s="20"/>
      <c r="AX2044" s="20"/>
      <c r="AY2044" s="20"/>
      <c r="AZ2044" s="20"/>
      <c r="BA2044" s="20"/>
    </row>
    <row r="2045" spans="49:53" x14ac:dyDescent="0.35">
      <c r="AW2045" s="20"/>
      <c r="AX2045" s="20"/>
      <c r="AY2045" s="20"/>
      <c r="AZ2045" s="20"/>
      <c r="BA2045" s="20"/>
    </row>
    <row r="2046" spans="49:53" x14ac:dyDescent="0.35">
      <c r="AW2046" s="20"/>
      <c r="AX2046" s="20"/>
      <c r="AY2046" s="20"/>
      <c r="AZ2046" s="20"/>
      <c r="BA2046" s="20"/>
    </row>
    <row r="2047" spans="49:53" x14ac:dyDescent="0.35">
      <c r="AW2047" s="20"/>
      <c r="AX2047" s="20"/>
      <c r="AY2047" s="20"/>
      <c r="AZ2047" s="20"/>
      <c r="BA2047" s="20"/>
    </row>
    <row r="2048" spans="49:53" x14ac:dyDescent="0.35">
      <c r="AW2048" s="20"/>
      <c r="AX2048" s="20"/>
      <c r="AY2048" s="20"/>
      <c r="AZ2048" s="20"/>
      <c r="BA2048" s="20"/>
    </row>
    <row r="2049" spans="49:53" x14ac:dyDescent="0.35">
      <c r="AW2049" s="20"/>
      <c r="AX2049" s="20"/>
      <c r="AY2049" s="20"/>
      <c r="AZ2049" s="20"/>
      <c r="BA2049" s="20"/>
    </row>
    <row r="2050" spans="49:53" x14ac:dyDescent="0.35">
      <c r="AW2050" s="20"/>
      <c r="AX2050" s="20"/>
      <c r="AY2050" s="20"/>
      <c r="AZ2050" s="20"/>
      <c r="BA2050" s="20"/>
    </row>
    <row r="2051" spans="49:53" x14ac:dyDescent="0.35">
      <c r="AW2051" s="20"/>
      <c r="AX2051" s="20"/>
      <c r="AY2051" s="20"/>
      <c r="AZ2051" s="20"/>
      <c r="BA2051" s="20"/>
    </row>
    <row r="2052" spans="49:53" x14ac:dyDescent="0.35">
      <c r="AW2052" s="20"/>
      <c r="AX2052" s="20"/>
      <c r="AY2052" s="20"/>
      <c r="AZ2052" s="20"/>
      <c r="BA2052" s="20"/>
    </row>
    <row r="2053" spans="49:53" x14ac:dyDescent="0.35">
      <c r="AW2053" s="20"/>
      <c r="AX2053" s="20"/>
      <c r="AY2053" s="20"/>
      <c r="AZ2053" s="20"/>
      <c r="BA2053" s="20"/>
    </row>
    <row r="2054" spans="49:53" x14ac:dyDescent="0.35">
      <c r="AW2054" s="20"/>
      <c r="AX2054" s="20"/>
      <c r="AY2054" s="20"/>
      <c r="AZ2054" s="20"/>
      <c r="BA2054" s="20"/>
    </row>
    <row r="2055" spans="49:53" x14ac:dyDescent="0.35">
      <c r="AW2055" s="20"/>
      <c r="AX2055" s="20"/>
      <c r="AY2055" s="20"/>
      <c r="AZ2055" s="20"/>
      <c r="BA2055" s="20"/>
    </row>
    <row r="2056" spans="49:53" x14ac:dyDescent="0.35">
      <c r="AW2056" s="20"/>
      <c r="AX2056" s="20"/>
      <c r="AY2056" s="20"/>
      <c r="AZ2056" s="20"/>
      <c r="BA2056" s="20"/>
    </row>
    <row r="2057" spans="49:53" x14ac:dyDescent="0.35">
      <c r="AW2057" s="20"/>
      <c r="AX2057" s="20"/>
      <c r="AY2057" s="20"/>
      <c r="AZ2057" s="20"/>
      <c r="BA2057" s="20"/>
    </row>
    <row r="2058" spans="49:53" x14ac:dyDescent="0.35">
      <c r="AW2058" s="20"/>
      <c r="AX2058" s="20"/>
      <c r="AY2058" s="20"/>
      <c r="AZ2058" s="20"/>
      <c r="BA2058" s="20"/>
    </row>
    <row r="2059" spans="49:53" x14ac:dyDescent="0.35">
      <c r="AW2059" s="20"/>
      <c r="AX2059" s="20"/>
      <c r="AY2059" s="20"/>
      <c r="AZ2059" s="20"/>
      <c r="BA2059" s="20"/>
    </row>
    <row r="2060" spans="49:53" x14ac:dyDescent="0.35">
      <c r="AW2060" s="20"/>
      <c r="AX2060" s="20"/>
      <c r="AY2060" s="20"/>
      <c r="AZ2060" s="20"/>
      <c r="BA2060" s="20"/>
    </row>
    <row r="2061" spans="49:53" x14ac:dyDescent="0.35">
      <c r="AW2061" s="20"/>
      <c r="AX2061" s="20"/>
      <c r="AY2061" s="20"/>
      <c r="AZ2061" s="20"/>
      <c r="BA2061" s="20"/>
    </row>
    <row r="2062" spans="49:53" x14ac:dyDescent="0.35">
      <c r="AW2062" s="20"/>
      <c r="AX2062" s="20"/>
      <c r="AY2062" s="20"/>
      <c r="AZ2062" s="20"/>
      <c r="BA2062" s="20"/>
    </row>
    <row r="2063" spans="49:53" x14ac:dyDescent="0.35">
      <c r="AW2063" s="20"/>
      <c r="AX2063" s="20"/>
      <c r="AY2063" s="20"/>
      <c r="AZ2063" s="20"/>
      <c r="BA2063" s="20"/>
    </row>
    <row r="2064" spans="49:53" x14ac:dyDescent="0.35">
      <c r="AW2064" s="20"/>
      <c r="AX2064" s="20"/>
      <c r="AY2064" s="20"/>
      <c r="AZ2064" s="20"/>
      <c r="BA2064" s="20"/>
    </row>
    <row r="2065" spans="49:53" x14ac:dyDescent="0.35">
      <c r="AW2065" s="20"/>
      <c r="AX2065" s="20"/>
      <c r="AY2065" s="20"/>
      <c r="AZ2065" s="20"/>
      <c r="BA2065" s="20"/>
    </row>
    <row r="2066" spans="49:53" x14ac:dyDescent="0.35">
      <c r="AW2066" s="20"/>
      <c r="AX2066" s="20"/>
      <c r="AY2066" s="20"/>
      <c r="AZ2066" s="20"/>
      <c r="BA2066" s="20"/>
    </row>
    <row r="2067" spans="49:53" x14ac:dyDescent="0.35">
      <c r="AW2067" s="20"/>
      <c r="AX2067" s="20"/>
      <c r="AY2067" s="20"/>
      <c r="AZ2067" s="20"/>
      <c r="BA2067" s="20"/>
    </row>
    <row r="2068" spans="49:53" x14ac:dyDescent="0.35">
      <c r="AW2068" s="20"/>
      <c r="AX2068" s="20"/>
      <c r="AY2068" s="20"/>
      <c r="AZ2068" s="20"/>
      <c r="BA2068" s="20"/>
    </row>
    <row r="2069" spans="49:53" x14ac:dyDescent="0.35">
      <c r="AW2069" s="20"/>
      <c r="AX2069" s="20"/>
      <c r="AY2069" s="20"/>
      <c r="AZ2069" s="20"/>
      <c r="BA2069" s="20"/>
    </row>
    <row r="2070" spans="49:53" x14ac:dyDescent="0.35">
      <c r="AW2070" s="20"/>
      <c r="AX2070" s="20"/>
      <c r="AY2070" s="20"/>
      <c r="AZ2070" s="20"/>
      <c r="BA2070" s="20"/>
    </row>
    <row r="2071" spans="49:53" x14ac:dyDescent="0.35">
      <c r="AW2071" s="20"/>
      <c r="AX2071" s="20"/>
      <c r="AY2071" s="20"/>
      <c r="AZ2071" s="20"/>
      <c r="BA2071" s="20"/>
    </row>
    <row r="2072" spans="49:53" x14ac:dyDescent="0.35">
      <c r="AW2072" s="20"/>
      <c r="AX2072" s="20"/>
      <c r="AY2072" s="20"/>
      <c r="AZ2072" s="20"/>
      <c r="BA2072" s="20"/>
    </row>
    <row r="2073" spans="49:53" x14ac:dyDescent="0.35">
      <c r="AW2073" s="20"/>
      <c r="AX2073" s="20"/>
      <c r="AY2073" s="20"/>
      <c r="AZ2073" s="20"/>
      <c r="BA2073" s="20"/>
    </row>
    <row r="2074" spans="49:53" x14ac:dyDescent="0.35">
      <c r="AW2074" s="20"/>
      <c r="AX2074" s="20"/>
      <c r="AY2074" s="20"/>
      <c r="AZ2074" s="20"/>
      <c r="BA2074" s="20"/>
    </row>
    <row r="2075" spans="49:53" x14ac:dyDescent="0.35">
      <c r="AW2075" s="20"/>
      <c r="AX2075" s="20"/>
      <c r="AY2075" s="20"/>
      <c r="AZ2075" s="20"/>
      <c r="BA2075" s="20"/>
    </row>
    <row r="2076" spans="49:53" x14ac:dyDescent="0.35">
      <c r="AW2076" s="20"/>
      <c r="AX2076" s="20"/>
      <c r="AY2076" s="20"/>
      <c r="AZ2076" s="20"/>
      <c r="BA2076" s="20"/>
    </row>
    <row r="2077" spans="49:53" x14ac:dyDescent="0.35">
      <c r="AW2077" s="20"/>
      <c r="AX2077" s="20"/>
      <c r="AY2077" s="20"/>
      <c r="AZ2077" s="20"/>
      <c r="BA2077" s="20"/>
    </row>
    <row r="2078" spans="49:53" x14ac:dyDescent="0.35">
      <c r="AW2078" s="20"/>
      <c r="AX2078" s="20"/>
      <c r="AY2078" s="20"/>
      <c r="AZ2078" s="20"/>
      <c r="BA2078" s="20"/>
    </row>
    <row r="2079" spans="49:53" x14ac:dyDescent="0.35">
      <c r="AW2079" s="20"/>
      <c r="AX2079" s="20"/>
      <c r="AY2079" s="20"/>
      <c r="AZ2079" s="20"/>
      <c r="BA2079" s="20"/>
    </row>
    <row r="2080" spans="49:53" x14ac:dyDescent="0.35">
      <c r="AW2080" s="20"/>
      <c r="AX2080" s="20"/>
      <c r="AY2080" s="20"/>
      <c r="AZ2080" s="20"/>
      <c r="BA2080" s="20"/>
    </row>
    <row r="2081" spans="49:53" x14ac:dyDescent="0.35">
      <c r="AW2081" s="20"/>
      <c r="AX2081" s="20"/>
      <c r="AY2081" s="20"/>
      <c r="AZ2081" s="20"/>
      <c r="BA2081" s="20"/>
    </row>
    <row r="2082" spans="49:53" x14ac:dyDescent="0.35">
      <c r="AW2082" s="20"/>
      <c r="AX2082" s="20"/>
      <c r="AY2082" s="20"/>
      <c r="AZ2082" s="20"/>
      <c r="BA2082" s="20"/>
    </row>
    <row r="2083" spans="49:53" x14ac:dyDescent="0.35">
      <c r="AW2083" s="20"/>
      <c r="AX2083" s="20"/>
      <c r="AY2083" s="20"/>
      <c r="AZ2083" s="20"/>
      <c r="BA2083" s="20"/>
    </row>
    <row r="2084" spans="49:53" x14ac:dyDescent="0.35">
      <c r="AW2084" s="20"/>
      <c r="AX2084" s="20"/>
      <c r="AY2084" s="20"/>
      <c r="AZ2084" s="20"/>
      <c r="BA2084" s="20"/>
    </row>
    <row r="2085" spans="49:53" x14ac:dyDescent="0.35">
      <c r="AW2085" s="20"/>
      <c r="AX2085" s="20"/>
      <c r="AY2085" s="20"/>
      <c r="AZ2085" s="20"/>
      <c r="BA2085" s="20"/>
    </row>
    <row r="2086" spans="49:53" x14ac:dyDescent="0.35">
      <c r="AW2086" s="20"/>
      <c r="AX2086" s="20"/>
      <c r="AY2086" s="20"/>
      <c r="AZ2086" s="20"/>
      <c r="BA2086" s="20"/>
    </row>
    <row r="2087" spans="49:53" x14ac:dyDescent="0.35">
      <c r="AW2087" s="20"/>
      <c r="AX2087" s="20"/>
      <c r="AY2087" s="20"/>
      <c r="AZ2087" s="20"/>
      <c r="BA2087" s="20"/>
    </row>
    <row r="2088" spans="49:53" x14ac:dyDescent="0.35">
      <c r="AW2088" s="20"/>
      <c r="AX2088" s="20"/>
      <c r="AY2088" s="20"/>
      <c r="AZ2088" s="20"/>
      <c r="BA2088" s="20"/>
    </row>
    <row r="2089" spans="49:53" x14ac:dyDescent="0.35">
      <c r="AW2089" s="20"/>
      <c r="AX2089" s="20"/>
      <c r="AY2089" s="20"/>
      <c r="AZ2089" s="20"/>
      <c r="BA2089" s="20"/>
    </row>
    <row r="2090" spans="49:53" x14ac:dyDescent="0.35">
      <c r="AW2090" s="20"/>
      <c r="AX2090" s="20"/>
      <c r="AY2090" s="20"/>
      <c r="AZ2090" s="20"/>
      <c r="BA2090" s="20"/>
    </row>
    <row r="2091" spans="49:53" x14ac:dyDescent="0.35">
      <c r="AW2091" s="20"/>
      <c r="AX2091" s="20"/>
      <c r="AY2091" s="20"/>
      <c r="AZ2091" s="20"/>
      <c r="BA2091" s="20"/>
    </row>
    <row r="2092" spans="49:53" x14ac:dyDescent="0.35">
      <c r="AW2092" s="20"/>
      <c r="AX2092" s="20"/>
      <c r="AY2092" s="20"/>
      <c r="AZ2092" s="20"/>
      <c r="BA2092" s="20"/>
    </row>
    <row r="2093" spans="49:53" x14ac:dyDescent="0.35">
      <c r="AW2093" s="20"/>
      <c r="AX2093" s="20"/>
      <c r="AY2093" s="20"/>
      <c r="AZ2093" s="20"/>
      <c r="BA2093" s="20"/>
    </row>
    <row r="2094" spans="49:53" x14ac:dyDescent="0.35">
      <c r="AW2094" s="20"/>
      <c r="AX2094" s="20"/>
      <c r="AY2094" s="20"/>
      <c r="AZ2094" s="20"/>
      <c r="BA2094" s="20"/>
    </row>
    <row r="2095" spans="49:53" x14ac:dyDescent="0.35">
      <c r="AW2095" s="20"/>
      <c r="AX2095" s="20"/>
      <c r="AY2095" s="20"/>
      <c r="AZ2095" s="20"/>
      <c r="BA2095" s="20"/>
    </row>
    <row r="2096" spans="49:53" x14ac:dyDescent="0.35">
      <c r="AW2096" s="20"/>
      <c r="AX2096" s="20"/>
      <c r="AY2096" s="20"/>
      <c r="AZ2096" s="20"/>
      <c r="BA2096" s="20"/>
    </row>
    <row r="2097" spans="49:53" x14ac:dyDescent="0.35">
      <c r="AW2097" s="20"/>
      <c r="AX2097" s="20"/>
      <c r="AY2097" s="20"/>
      <c r="AZ2097" s="20"/>
      <c r="BA2097" s="20"/>
    </row>
    <row r="2098" spans="49:53" x14ac:dyDescent="0.35">
      <c r="AW2098" s="20"/>
      <c r="AX2098" s="20"/>
      <c r="AY2098" s="20"/>
      <c r="AZ2098" s="20"/>
      <c r="BA2098" s="20"/>
    </row>
    <row r="2099" spans="49:53" x14ac:dyDescent="0.35">
      <c r="AW2099" s="20"/>
      <c r="AX2099" s="20"/>
      <c r="AY2099" s="20"/>
      <c r="AZ2099" s="20"/>
      <c r="BA2099" s="20"/>
    </row>
    <row r="2100" spans="49:53" x14ac:dyDescent="0.35">
      <c r="AW2100" s="20"/>
      <c r="AX2100" s="20"/>
      <c r="AY2100" s="20"/>
      <c r="AZ2100" s="20"/>
      <c r="BA2100" s="20"/>
    </row>
    <row r="2101" spans="49:53" x14ac:dyDescent="0.35">
      <c r="AW2101" s="20"/>
      <c r="AX2101" s="20"/>
      <c r="AY2101" s="20"/>
      <c r="AZ2101" s="20"/>
      <c r="BA2101" s="20"/>
    </row>
    <row r="2102" spans="49:53" x14ac:dyDescent="0.35">
      <c r="AW2102" s="20"/>
      <c r="AX2102" s="20"/>
      <c r="AY2102" s="20"/>
      <c r="AZ2102" s="20"/>
      <c r="BA2102" s="20"/>
    </row>
    <row r="2103" spans="49:53" x14ac:dyDescent="0.35">
      <c r="AW2103" s="20"/>
      <c r="AX2103" s="20"/>
      <c r="AY2103" s="20"/>
      <c r="AZ2103" s="20"/>
      <c r="BA2103" s="20"/>
    </row>
    <row r="2104" spans="49:53" x14ac:dyDescent="0.35">
      <c r="AW2104" s="20"/>
      <c r="AX2104" s="20"/>
      <c r="AY2104" s="20"/>
      <c r="AZ2104" s="20"/>
      <c r="BA2104" s="20"/>
    </row>
    <row r="2105" spans="49:53" x14ac:dyDescent="0.35">
      <c r="AW2105" s="20"/>
      <c r="AX2105" s="20"/>
      <c r="AY2105" s="20"/>
      <c r="AZ2105" s="20"/>
      <c r="BA2105" s="20"/>
    </row>
    <row r="2106" spans="49:53" x14ac:dyDescent="0.35">
      <c r="AW2106" s="20"/>
      <c r="AX2106" s="20"/>
      <c r="AY2106" s="20"/>
      <c r="AZ2106" s="20"/>
      <c r="BA2106" s="20"/>
    </row>
    <row r="2107" spans="49:53" x14ac:dyDescent="0.35">
      <c r="AW2107" s="20"/>
      <c r="AX2107" s="20"/>
      <c r="AY2107" s="20"/>
      <c r="AZ2107" s="20"/>
      <c r="BA2107" s="20"/>
    </row>
    <row r="2108" spans="49:53" x14ac:dyDescent="0.35">
      <c r="AW2108" s="20"/>
      <c r="AX2108" s="20"/>
      <c r="AY2108" s="20"/>
      <c r="AZ2108" s="20"/>
      <c r="BA2108" s="20"/>
    </row>
    <row r="2109" spans="49:53" x14ac:dyDescent="0.35">
      <c r="AW2109" s="20"/>
      <c r="AX2109" s="20"/>
      <c r="AY2109" s="20"/>
      <c r="AZ2109" s="20"/>
      <c r="BA2109" s="20"/>
    </row>
    <row r="2110" spans="49:53" x14ac:dyDescent="0.35">
      <c r="AW2110" s="20"/>
      <c r="AX2110" s="20"/>
      <c r="AY2110" s="20"/>
      <c r="AZ2110" s="20"/>
      <c r="BA2110" s="20"/>
    </row>
    <row r="2111" spans="49:53" x14ac:dyDescent="0.35">
      <c r="AW2111" s="20"/>
      <c r="AX2111" s="20"/>
      <c r="AY2111" s="20"/>
      <c r="AZ2111" s="20"/>
      <c r="BA2111" s="20"/>
    </row>
    <row r="2112" spans="49:53" x14ac:dyDescent="0.35">
      <c r="AW2112" s="20"/>
      <c r="AX2112" s="20"/>
      <c r="AY2112" s="20"/>
      <c r="AZ2112" s="20"/>
      <c r="BA2112" s="20"/>
    </row>
    <row r="2113" spans="49:53" x14ac:dyDescent="0.35">
      <c r="AW2113" s="20"/>
      <c r="AX2113" s="20"/>
      <c r="AY2113" s="20"/>
      <c r="AZ2113" s="20"/>
      <c r="BA2113" s="20"/>
    </row>
    <row r="2114" spans="49:53" x14ac:dyDescent="0.35">
      <c r="AW2114" s="20"/>
      <c r="AX2114" s="20"/>
      <c r="AY2114" s="20"/>
      <c r="AZ2114" s="20"/>
      <c r="BA2114" s="20"/>
    </row>
    <row r="2115" spans="49:53" x14ac:dyDescent="0.35">
      <c r="AW2115" s="20"/>
      <c r="AX2115" s="20"/>
      <c r="AY2115" s="20"/>
      <c r="AZ2115" s="20"/>
      <c r="BA2115" s="20"/>
    </row>
    <row r="2116" spans="49:53" x14ac:dyDescent="0.35">
      <c r="AW2116" s="20"/>
      <c r="AX2116" s="20"/>
      <c r="AY2116" s="20"/>
      <c r="AZ2116" s="20"/>
      <c r="BA2116" s="20"/>
    </row>
    <row r="2117" spans="49:53" x14ac:dyDescent="0.35">
      <c r="AW2117" s="20"/>
      <c r="AX2117" s="20"/>
      <c r="AY2117" s="20"/>
      <c r="AZ2117" s="20"/>
      <c r="BA2117" s="20"/>
    </row>
    <row r="2118" spans="49:53" x14ac:dyDescent="0.35">
      <c r="AW2118" s="20"/>
      <c r="AX2118" s="20"/>
      <c r="AY2118" s="20"/>
      <c r="AZ2118" s="20"/>
      <c r="BA2118" s="20"/>
    </row>
    <row r="2119" spans="49:53" x14ac:dyDescent="0.35">
      <c r="AW2119" s="20"/>
      <c r="AX2119" s="20"/>
      <c r="AY2119" s="20"/>
      <c r="AZ2119" s="20"/>
      <c r="BA2119" s="20"/>
    </row>
    <row r="2120" spans="49:53" x14ac:dyDescent="0.35">
      <c r="AW2120" s="20"/>
      <c r="AX2120" s="20"/>
      <c r="AY2120" s="20"/>
      <c r="AZ2120" s="20"/>
      <c r="BA2120" s="20"/>
    </row>
    <row r="2121" spans="49:53" x14ac:dyDescent="0.35">
      <c r="AW2121" s="20"/>
      <c r="AX2121" s="20"/>
      <c r="AY2121" s="20"/>
      <c r="AZ2121" s="20"/>
      <c r="BA2121" s="20"/>
    </row>
    <row r="2122" spans="49:53" x14ac:dyDescent="0.35">
      <c r="AW2122" s="20"/>
      <c r="AX2122" s="20"/>
      <c r="AY2122" s="20"/>
      <c r="AZ2122" s="20"/>
      <c r="BA2122" s="20"/>
    </row>
    <row r="2123" spans="49:53" x14ac:dyDescent="0.35">
      <c r="AW2123" s="20"/>
      <c r="AX2123" s="20"/>
      <c r="AY2123" s="20"/>
      <c r="AZ2123" s="20"/>
      <c r="BA2123" s="20"/>
    </row>
    <row r="2124" spans="49:53" x14ac:dyDescent="0.35">
      <c r="AW2124" s="20"/>
      <c r="AX2124" s="20"/>
      <c r="AY2124" s="20"/>
      <c r="AZ2124" s="20"/>
      <c r="BA2124" s="20"/>
    </row>
    <row r="2125" spans="49:53" x14ac:dyDescent="0.35">
      <c r="AW2125" s="20"/>
      <c r="AX2125" s="20"/>
      <c r="AY2125" s="20"/>
      <c r="AZ2125" s="20"/>
      <c r="BA2125" s="20"/>
    </row>
    <row r="2126" spans="49:53" x14ac:dyDescent="0.35">
      <c r="AW2126" s="20"/>
      <c r="AX2126" s="20"/>
      <c r="AY2126" s="20"/>
      <c r="AZ2126" s="20"/>
      <c r="BA2126" s="20"/>
    </row>
    <row r="2127" spans="49:53" x14ac:dyDescent="0.35">
      <c r="AW2127" s="20"/>
      <c r="AX2127" s="20"/>
      <c r="AY2127" s="20"/>
      <c r="AZ2127" s="20"/>
      <c r="BA2127" s="20"/>
    </row>
    <row r="2128" spans="49:53" x14ac:dyDescent="0.35">
      <c r="AW2128" s="20"/>
      <c r="AX2128" s="20"/>
      <c r="AY2128" s="20"/>
      <c r="AZ2128" s="20"/>
      <c r="BA2128" s="20"/>
    </row>
    <row r="2129" spans="49:53" x14ac:dyDescent="0.35">
      <c r="AW2129" s="20"/>
      <c r="AX2129" s="20"/>
      <c r="AY2129" s="20"/>
      <c r="AZ2129" s="20"/>
      <c r="BA2129" s="20"/>
    </row>
    <row r="2130" spans="49:53" x14ac:dyDescent="0.35">
      <c r="AW2130" s="20"/>
      <c r="AX2130" s="20"/>
      <c r="AY2130" s="20"/>
      <c r="AZ2130" s="20"/>
      <c r="BA2130" s="20"/>
    </row>
    <row r="2131" spans="49:53" x14ac:dyDescent="0.35">
      <c r="AW2131" s="20"/>
      <c r="AX2131" s="20"/>
      <c r="AY2131" s="20"/>
      <c r="AZ2131" s="20"/>
      <c r="BA2131" s="20"/>
    </row>
    <row r="2132" spans="49:53" x14ac:dyDescent="0.35">
      <c r="AW2132" s="20"/>
      <c r="AX2132" s="20"/>
      <c r="AY2132" s="20"/>
      <c r="AZ2132" s="20"/>
      <c r="BA2132" s="20"/>
    </row>
    <row r="2133" spans="49:53" x14ac:dyDescent="0.35">
      <c r="AW2133" s="20"/>
      <c r="AX2133" s="20"/>
      <c r="AY2133" s="20"/>
      <c r="AZ2133" s="20"/>
      <c r="BA2133" s="20"/>
    </row>
    <row r="2134" spans="49:53" x14ac:dyDescent="0.35">
      <c r="AW2134" s="20"/>
      <c r="AX2134" s="20"/>
      <c r="AY2134" s="20"/>
      <c r="AZ2134" s="20"/>
      <c r="BA2134" s="20"/>
    </row>
    <row r="2135" spans="49:53" x14ac:dyDescent="0.35">
      <c r="AW2135" s="20"/>
      <c r="AX2135" s="20"/>
      <c r="AY2135" s="20"/>
      <c r="AZ2135" s="20"/>
      <c r="BA2135" s="20"/>
    </row>
    <row r="2136" spans="49:53" x14ac:dyDescent="0.35">
      <c r="AW2136" s="20"/>
      <c r="AX2136" s="20"/>
      <c r="AY2136" s="20"/>
      <c r="AZ2136" s="20"/>
      <c r="BA2136" s="20"/>
    </row>
    <row r="2137" spans="49:53" x14ac:dyDescent="0.35">
      <c r="AW2137" s="20"/>
      <c r="AX2137" s="20"/>
      <c r="AY2137" s="20"/>
      <c r="AZ2137" s="20"/>
      <c r="BA2137" s="20"/>
    </row>
    <row r="2138" spans="49:53" x14ac:dyDescent="0.35">
      <c r="AW2138" s="20"/>
      <c r="AX2138" s="20"/>
      <c r="AY2138" s="20"/>
      <c r="AZ2138" s="20"/>
      <c r="BA2138" s="20"/>
    </row>
    <row r="2139" spans="49:53" x14ac:dyDescent="0.35">
      <c r="AW2139" s="20"/>
      <c r="AX2139" s="20"/>
      <c r="AY2139" s="20"/>
      <c r="AZ2139" s="20"/>
      <c r="BA2139" s="20"/>
    </row>
    <row r="2140" spans="49:53" x14ac:dyDescent="0.35">
      <c r="AW2140" s="20"/>
      <c r="AX2140" s="20"/>
      <c r="AY2140" s="20"/>
      <c r="AZ2140" s="20"/>
      <c r="BA2140" s="20"/>
    </row>
    <row r="2141" spans="49:53" x14ac:dyDescent="0.35">
      <c r="AW2141" s="20"/>
      <c r="AX2141" s="20"/>
      <c r="AY2141" s="20"/>
      <c r="AZ2141" s="20"/>
      <c r="BA2141" s="20"/>
    </row>
    <row r="2142" spans="49:53" x14ac:dyDescent="0.35">
      <c r="AW2142" s="20"/>
      <c r="AX2142" s="20"/>
      <c r="AY2142" s="20"/>
      <c r="AZ2142" s="20"/>
      <c r="BA2142" s="20"/>
    </row>
    <row r="2143" spans="49:53" x14ac:dyDescent="0.35">
      <c r="AW2143" s="20"/>
      <c r="AX2143" s="20"/>
      <c r="AY2143" s="20"/>
      <c r="AZ2143" s="20"/>
      <c r="BA2143" s="20"/>
    </row>
    <row r="2144" spans="49:53" x14ac:dyDescent="0.35">
      <c r="AW2144" s="20"/>
      <c r="AX2144" s="20"/>
      <c r="AY2144" s="20"/>
      <c r="AZ2144" s="20"/>
      <c r="BA2144" s="20"/>
    </row>
    <row r="2145" spans="49:53" x14ac:dyDescent="0.35">
      <c r="AW2145" s="20"/>
      <c r="AX2145" s="20"/>
      <c r="AY2145" s="20"/>
      <c r="AZ2145" s="20"/>
      <c r="BA2145" s="20"/>
    </row>
    <row r="2146" spans="49:53" x14ac:dyDescent="0.35">
      <c r="AW2146" s="20"/>
      <c r="AX2146" s="20"/>
      <c r="AY2146" s="20"/>
      <c r="AZ2146" s="20"/>
      <c r="BA2146" s="20"/>
    </row>
    <row r="2147" spans="49:53" x14ac:dyDescent="0.35">
      <c r="AW2147" s="20"/>
      <c r="AX2147" s="20"/>
      <c r="AY2147" s="20"/>
      <c r="AZ2147" s="20"/>
      <c r="BA2147" s="20"/>
    </row>
    <row r="2148" spans="49:53" x14ac:dyDescent="0.35">
      <c r="AW2148" s="20"/>
      <c r="AX2148" s="20"/>
      <c r="AY2148" s="20"/>
      <c r="AZ2148" s="20"/>
      <c r="BA2148" s="20"/>
    </row>
    <row r="2149" spans="49:53" x14ac:dyDescent="0.35">
      <c r="AW2149" s="20"/>
      <c r="AX2149" s="20"/>
      <c r="AY2149" s="20"/>
      <c r="AZ2149" s="20"/>
      <c r="BA2149" s="20"/>
    </row>
    <row r="2150" spans="49:53" x14ac:dyDescent="0.35">
      <c r="AW2150" s="20"/>
      <c r="AX2150" s="20"/>
      <c r="AY2150" s="20"/>
      <c r="AZ2150" s="20"/>
      <c r="BA2150" s="20"/>
    </row>
    <row r="2151" spans="49:53" x14ac:dyDescent="0.35">
      <c r="AW2151" s="20"/>
      <c r="AX2151" s="20"/>
      <c r="AY2151" s="20"/>
      <c r="AZ2151" s="20"/>
      <c r="BA2151" s="20"/>
    </row>
    <row r="2152" spans="49:53" x14ac:dyDescent="0.35">
      <c r="AW2152" s="20"/>
      <c r="AX2152" s="20"/>
      <c r="AY2152" s="20"/>
      <c r="AZ2152" s="20"/>
      <c r="BA2152" s="20"/>
    </row>
    <row r="2153" spans="49:53" x14ac:dyDescent="0.35">
      <c r="AW2153" s="20"/>
      <c r="AX2153" s="20"/>
      <c r="AY2153" s="20"/>
      <c r="AZ2153" s="20"/>
      <c r="BA2153" s="20"/>
    </row>
    <row r="2154" spans="49:53" x14ac:dyDescent="0.35">
      <c r="AW2154" s="20"/>
      <c r="AX2154" s="20"/>
      <c r="AY2154" s="20"/>
      <c r="AZ2154" s="20"/>
      <c r="BA2154" s="20"/>
    </row>
    <row r="2155" spans="49:53" x14ac:dyDescent="0.35">
      <c r="AW2155" s="20"/>
      <c r="AX2155" s="20"/>
      <c r="AY2155" s="20"/>
      <c r="AZ2155" s="20"/>
      <c r="BA2155" s="20"/>
    </row>
    <row r="2156" spans="49:53" x14ac:dyDescent="0.35">
      <c r="AW2156" s="20"/>
      <c r="AX2156" s="20"/>
      <c r="AY2156" s="20"/>
      <c r="AZ2156" s="20"/>
      <c r="BA2156" s="20"/>
    </row>
    <row r="2157" spans="49:53" x14ac:dyDescent="0.35">
      <c r="AW2157" s="20"/>
      <c r="AX2157" s="20"/>
      <c r="AY2157" s="20"/>
      <c r="AZ2157" s="20"/>
      <c r="BA2157" s="20"/>
    </row>
    <row r="2158" spans="49:53" x14ac:dyDescent="0.35">
      <c r="AW2158" s="20"/>
      <c r="AX2158" s="20"/>
      <c r="AY2158" s="20"/>
      <c r="AZ2158" s="20"/>
      <c r="BA2158" s="20"/>
    </row>
    <row r="2159" spans="49:53" x14ac:dyDescent="0.35">
      <c r="AW2159" s="20"/>
      <c r="AX2159" s="20"/>
      <c r="AY2159" s="20"/>
      <c r="AZ2159" s="20"/>
      <c r="BA2159" s="20"/>
    </row>
    <row r="2160" spans="49:53" x14ac:dyDescent="0.35">
      <c r="AW2160" s="20"/>
      <c r="AX2160" s="20"/>
      <c r="AY2160" s="20"/>
      <c r="AZ2160" s="20"/>
      <c r="BA2160" s="20"/>
    </row>
    <row r="2161" spans="49:53" x14ac:dyDescent="0.35">
      <c r="AW2161" s="20"/>
      <c r="AX2161" s="20"/>
      <c r="AY2161" s="20"/>
      <c r="AZ2161" s="20"/>
      <c r="BA2161" s="20"/>
    </row>
    <row r="2162" spans="49:53" x14ac:dyDescent="0.35">
      <c r="AW2162" s="20"/>
      <c r="AX2162" s="20"/>
      <c r="AY2162" s="20"/>
      <c r="AZ2162" s="20"/>
      <c r="BA2162" s="20"/>
    </row>
    <row r="2163" spans="49:53" x14ac:dyDescent="0.35">
      <c r="AW2163" s="20"/>
      <c r="AX2163" s="20"/>
      <c r="AY2163" s="20"/>
      <c r="AZ2163" s="20"/>
      <c r="BA2163" s="20"/>
    </row>
    <row r="2164" spans="49:53" x14ac:dyDescent="0.35">
      <c r="AW2164" s="20"/>
      <c r="AX2164" s="20"/>
      <c r="AY2164" s="20"/>
      <c r="AZ2164" s="20"/>
      <c r="BA2164" s="20"/>
    </row>
    <row r="2165" spans="49:53" x14ac:dyDescent="0.35">
      <c r="AW2165" s="20"/>
      <c r="AX2165" s="20"/>
      <c r="AY2165" s="20"/>
      <c r="AZ2165" s="20"/>
      <c r="BA2165" s="20"/>
    </row>
    <row r="2166" spans="49:53" x14ac:dyDescent="0.35">
      <c r="AW2166" s="20"/>
      <c r="AX2166" s="20"/>
      <c r="AY2166" s="20"/>
      <c r="AZ2166" s="20"/>
      <c r="BA2166" s="20"/>
    </row>
    <row r="2167" spans="49:53" x14ac:dyDescent="0.35">
      <c r="AW2167" s="20"/>
      <c r="AX2167" s="20"/>
      <c r="AY2167" s="20"/>
      <c r="AZ2167" s="20"/>
      <c r="BA2167" s="20"/>
    </row>
    <row r="2168" spans="49:53" x14ac:dyDescent="0.35">
      <c r="AW2168" s="20"/>
      <c r="AX2168" s="20"/>
      <c r="AY2168" s="20"/>
      <c r="AZ2168" s="20"/>
      <c r="BA2168" s="20"/>
    </row>
    <row r="2169" spans="49:53" x14ac:dyDescent="0.35">
      <c r="AW2169" s="20"/>
      <c r="AX2169" s="20"/>
      <c r="AY2169" s="20"/>
      <c r="AZ2169" s="20"/>
      <c r="BA2169" s="20"/>
    </row>
    <row r="2170" spans="49:53" x14ac:dyDescent="0.35">
      <c r="AW2170" s="20"/>
      <c r="AX2170" s="20"/>
      <c r="AY2170" s="20"/>
      <c r="AZ2170" s="20"/>
      <c r="BA2170" s="20"/>
    </row>
    <row r="2171" spans="49:53" x14ac:dyDescent="0.35">
      <c r="AW2171" s="20"/>
      <c r="AX2171" s="20"/>
      <c r="AY2171" s="20"/>
      <c r="AZ2171" s="20"/>
      <c r="BA2171" s="20"/>
    </row>
    <row r="2172" spans="49:53" x14ac:dyDescent="0.35">
      <c r="AW2172" s="20"/>
      <c r="AX2172" s="20"/>
      <c r="AY2172" s="20"/>
      <c r="AZ2172" s="20"/>
      <c r="BA2172" s="20"/>
    </row>
    <row r="2173" spans="49:53" x14ac:dyDescent="0.35">
      <c r="AW2173" s="20"/>
      <c r="AX2173" s="20"/>
      <c r="AY2173" s="20"/>
      <c r="AZ2173" s="20"/>
      <c r="BA2173" s="20"/>
    </row>
    <row r="2174" spans="49:53" x14ac:dyDescent="0.35">
      <c r="AW2174" s="20"/>
      <c r="AX2174" s="20"/>
      <c r="AY2174" s="20"/>
      <c r="AZ2174" s="20"/>
      <c r="BA2174" s="20"/>
    </row>
    <row r="2175" spans="49:53" x14ac:dyDescent="0.35">
      <c r="AW2175" s="20"/>
      <c r="AX2175" s="20"/>
      <c r="AY2175" s="20"/>
      <c r="AZ2175" s="20"/>
      <c r="BA2175" s="20"/>
    </row>
    <row r="2176" spans="49:53" x14ac:dyDescent="0.35">
      <c r="AW2176" s="20"/>
      <c r="AX2176" s="20"/>
      <c r="AY2176" s="20"/>
      <c r="AZ2176" s="20"/>
      <c r="BA2176" s="20"/>
    </row>
    <row r="2177" spans="49:53" x14ac:dyDescent="0.35">
      <c r="AW2177" s="20"/>
      <c r="AX2177" s="20"/>
      <c r="AY2177" s="20"/>
      <c r="AZ2177" s="20"/>
      <c r="BA2177" s="20"/>
    </row>
    <row r="2178" spans="49:53" x14ac:dyDescent="0.35">
      <c r="AW2178" s="20"/>
      <c r="AX2178" s="20"/>
      <c r="AY2178" s="20"/>
      <c r="AZ2178" s="20"/>
      <c r="BA2178" s="20"/>
    </row>
    <row r="2179" spans="49:53" x14ac:dyDescent="0.35">
      <c r="AW2179" s="20"/>
      <c r="AX2179" s="20"/>
      <c r="AY2179" s="20"/>
      <c r="AZ2179" s="20"/>
      <c r="BA2179" s="20"/>
    </row>
    <row r="2180" spans="49:53" x14ac:dyDescent="0.35">
      <c r="AW2180" s="20"/>
      <c r="AX2180" s="20"/>
      <c r="AY2180" s="20"/>
      <c r="AZ2180" s="20"/>
      <c r="BA2180" s="20"/>
    </row>
    <row r="2181" spans="49:53" x14ac:dyDescent="0.35">
      <c r="AW2181" s="20"/>
      <c r="AX2181" s="20"/>
      <c r="AY2181" s="20"/>
      <c r="AZ2181" s="20"/>
      <c r="BA2181" s="20"/>
    </row>
    <row r="2182" spans="49:53" x14ac:dyDescent="0.35">
      <c r="AW2182" s="20"/>
      <c r="AX2182" s="20"/>
      <c r="AY2182" s="20"/>
      <c r="AZ2182" s="20"/>
      <c r="BA2182" s="20"/>
    </row>
    <row r="2183" spans="49:53" x14ac:dyDescent="0.35">
      <c r="AW2183" s="20"/>
      <c r="AX2183" s="20"/>
      <c r="AY2183" s="20"/>
      <c r="AZ2183" s="20"/>
      <c r="BA2183" s="20"/>
    </row>
    <row r="2184" spans="49:53" x14ac:dyDescent="0.35">
      <c r="AW2184" s="20"/>
      <c r="AX2184" s="20"/>
      <c r="AY2184" s="20"/>
      <c r="AZ2184" s="20"/>
      <c r="BA2184" s="20"/>
    </row>
    <row r="2185" spans="49:53" x14ac:dyDescent="0.35">
      <c r="AW2185" s="20"/>
      <c r="AX2185" s="20"/>
      <c r="AY2185" s="20"/>
      <c r="AZ2185" s="20"/>
      <c r="BA2185" s="20"/>
    </row>
    <row r="2186" spans="49:53" x14ac:dyDescent="0.35">
      <c r="AW2186" s="20"/>
      <c r="AX2186" s="20"/>
      <c r="AY2186" s="20"/>
      <c r="AZ2186" s="20"/>
      <c r="BA2186" s="20"/>
    </row>
    <row r="2187" spans="49:53" x14ac:dyDescent="0.35">
      <c r="AW2187" s="20"/>
      <c r="AX2187" s="20"/>
      <c r="AY2187" s="20"/>
      <c r="AZ2187" s="20"/>
      <c r="BA2187" s="20"/>
    </row>
    <row r="2188" spans="49:53" x14ac:dyDescent="0.35">
      <c r="AW2188" s="20"/>
      <c r="AX2188" s="20"/>
      <c r="AY2188" s="20"/>
      <c r="AZ2188" s="20"/>
      <c r="BA2188" s="20"/>
    </row>
    <row r="2189" spans="49:53" x14ac:dyDescent="0.35">
      <c r="AW2189" s="20"/>
      <c r="AX2189" s="20"/>
      <c r="AY2189" s="20"/>
      <c r="AZ2189" s="20"/>
      <c r="BA2189" s="20"/>
    </row>
    <row r="2190" spans="49:53" x14ac:dyDescent="0.35">
      <c r="AW2190" s="20"/>
      <c r="AX2190" s="20"/>
      <c r="AY2190" s="20"/>
      <c r="AZ2190" s="20"/>
      <c r="BA2190" s="20"/>
    </row>
    <row r="2191" spans="49:53" x14ac:dyDescent="0.35">
      <c r="AW2191" s="20"/>
      <c r="AX2191" s="20"/>
      <c r="AY2191" s="20"/>
      <c r="AZ2191" s="20"/>
      <c r="BA2191" s="20"/>
    </row>
    <row r="2192" spans="49:53" x14ac:dyDescent="0.35">
      <c r="AW2192" s="20"/>
      <c r="AX2192" s="20"/>
      <c r="AY2192" s="20"/>
      <c r="AZ2192" s="20"/>
      <c r="BA2192" s="20"/>
    </row>
    <row r="2193" spans="49:53" x14ac:dyDescent="0.35">
      <c r="AW2193" s="20"/>
      <c r="AX2193" s="20"/>
      <c r="AY2193" s="20"/>
      <c r="AZ2193" s="20"/>
      <c r="BA2193" s="20"/>
    </row>
    <row r="2194" spans="49:53" x14ac:dyDescent="0.35">
      <c r="AW2194" s="20"/>
      <c r="AX2194" s="20"/>
      <c r="AY2194" s="20"/>
      <c r="AZ2194" s="20"/>
      <c r="BA2194" s="20"/>
    </row>
    <row r="2195" spans="49:53" x14ac:dyDescent="0.35">
      <c r="AW2195" s="20"/>
      <c r="AX2195" s="20"/>
      <c r="AY2195" s="20"/>
      <c r="AZ2195" s="20"/>
      <c r="BA2195" s="20"/>
    </row>
    <row r="2196" spans="49:53" x14ac:dyDescent="0.35">
      <c r="AW2196" s="20"/>
      <c r="AX2196" s="20"/>
      <c r="AY2196" s="20"/>
      <c r="AZ2196" s="20"/>
      <c r="BA2196" s="20"/>
    </row>
    <row r="2197" spans="49:53" x14ac:dyDescent="0.35">
      <c r="AW2197" s="20"/>
      <c r="AX2197" s="20"/>
      <c r="AY2197" s="20"/>
      <c r="AZ2197" s="20"/>
      <c r="BA2197" s="20"/>
    </row>
    <row r="2198" spans="49:53" x14ac:dyDescent="0.35">
      <c r="AW2198" s="20"/>
      <c r="AX2198" s="20"/>
      <c r="AY2198" s="20"/>
      <c r="AZ2198" s="20"/>
      <c r="BA2198" s="20"/>
    </row>
    <row r="2199" spans="49:53" x14ac:dyDescent="0.35">
      <c r="AW2199" s="20"/>
      <c r="AX2199" s="20"/>
      <c r="AY2199" s="20"/>
      <c r="AZ2199" s="20"/>
      <c r="BA2199" s="20"/>
    </row>
    <row r="2200" spans="49:53" x14ac:dyDescent="0.35">
      <c r="AW2200" s="20"/>
      <c r="AX2200" s="20"/>
      <c r="AY2200" s="20"/>
      <c r="AZ2200" s="20"/>
      <c r="BA2200" s="20"/>
    </row>
    <row r="2201" spans="49:53" x14ac:dyDescent="0.35">
      <c r="AW2201" s="20"/>
      <c r="AX2201" s="20"/>
      <c r="AY2201" s="20"/>
      <c r="AZ2201" s="20"/>
      <c r="BA2201" s="20"/>
    </row>
    <row r="2202" spans="49:53" x14ac:dyDescent="0.35">
      <c r="AW2202" s="20"/>
      <c r="AX2202" s="20"/>
      <c r="AY2202" s="20"/>
      <c r="AZ2202" s="20"/>
      <c r="BA2202" s="20"/>
    </row>
    <row r="2203" spans="49:53" x14ac:dyDescent="0.35">
      <c r="AW2203" s="20"/>
      <c r="AX2203" s="20"/>
      <c r="AY2203" s="20"/>
      <c r="AZ2203" s="20"/>
      <c r="BA2203" s="20"/>
    </row>
    <row r="2204" spans="49:53" x14ac:dyDescent="0.35">
      <c r="AW2204" s="20"/>
      <c r="AX2204" s="20"/>
      <c r="AY2204" s="20"/>
      <c r="AZ2204" s="20"/>
      <c r="BA2204" s="20"/>
    </row>
    <row r="2205" spans="49:53" x14ac:dyDescent="0.35">
      <c r="AW2205" s="20"/>
      <c r="AX2205" s="20"/>
      <c r="AY2205" s="20"/>
      <c r="AZ2205" s="20"/>
      <c r="BA2205" s="20"/>
    </row>
    <row r="2206" spans="49:53" x14ac:dyDescent="0.35">
      <c r="AW2206" s="20"/>
      <c r="AX2206" s="20"/>
      <c r="AY2206" s="20"/>
      <c r="AZ2206" s="20"/>
      <c r="BA2206" s="20"/>
    </row>
    <row r="2207" spans="49:53" x14ac:dyDescent="0.35">
      <c r="AW2207" s="20"/>
      <c r="AX2207" s="20"/>
      <c r="AY2207" s="20"/>
      <c r="AZ2207" s="20"/>
      <c r="BA2207" s="20"/>
    </row>
    <row r="2208" spans="49:53" x14ac:dyDescent="0.35">
      <c r="AW2208" s="20"/>
      <c r="AX2208" s="20"/>
      <c r="AY2208" s="20"/>
      <c r="AZ2208" s="20"/>
      <c r="BA2208" s="20"/>
    </row>
    <row r="2209" spans="49:53" x14ac:dyDescent="0.35">
      <c r="AW2209" s="20"/>
      <c r="AX2209" s="20"/>
      <c r="AY2209" s="20"/>
      <c r="AZ2209" s="20"/>
      <c r="BA2209" s="20"/>
    </row>
    <row r="2210" spans="49:53" x14ac:dyDescent="0.35">
      <c r="AW2210" s="20"/>
      <c r="AX2210" s="20"/>
      <c r="AY2210" s="20"/>
      <c r="AZ2210" s="20"/>
      <c r="BA2210" s="20"/>
    </row>
    <row r="2211" spans="49:53" x14ac:dyDescent="0.35">
      <c r="AW2211" s="20"/>
      <c r="AX2211" s="20"/>
      <c r="AY2211" s="20"/>
      <c r="AZ2211" s="20"/>
      <c r="BA2211" s="20"/>
    </row>
    <row r="2212" spans="49:53" x14ac:dyDescent="0.35">
      <c r="AW2212" s="20"/>
      <c r="AX2212" s="20"/>
      <c r="AY2212" s="20"/>
      <c r="AZ2212" s="20"/>
      <c r="BA2212" s="20"/>
    </row>
    <row r="2213" spans="49:53" x14ac:dyDescent="0.35">
      <c r="AW2213" s="20"/>
      <c r="AX2213" s="20"/>
      <c r="AY2213" s="20"/>
      <c r="AZ2213" s="20"/>
      <c r="BA2213" s="20"/>
    </row>
    <row r="2214" spans="49:53" x14ac:dyDescent="0.35">
      <c r="AW2214" s="20"/>
      <c r="AX2214" s="20"/>
      <c r="AY2214" s="20"/>
      <c r="AZ2214" s="20"/>
      <c r="BA2214" s="20"/>
    </row>
    <row r="2215" spans="49:53" x14ac:dyDescent="0.35">
      <c r="AW2215" s="20"/>
      <c r="AX2215" s="20"/>
      <c r="AY2215" s="20"/>
      <c r="AZ2215" s="20"/>
      <c r="BA2215" s="20"/>
    </row>
    <row r="2216" spans="49:53" x14ac:dyDescent="0.35">
      <c r="AW2216" s="20"/>
      <c r="AX2216" s="20"/>
      <c r="AY2216" s="20"/>
      <c r="AZ2216" s="20"/>
      <c r="BA2216" s="20"/>
    </row>
    <row r="2217" spans="49:53" x14ac:dyDescent="0.35">
      <c r="AW2217" s="20"/>
      <c r="AX2217" s="20"/>
      <c r="AY2217" s="20"/>
      <c r="AZ2217" s="20"/>
      <c r="BA2217" s="20"/>
    </row>
    <row r="2218" spans="49:53" x14ac:dyDescent="0.35">
      <c r="AW2218" s="20"/>
      <c r="AX2218" s="20"/>
      <c r="AY2218" s="20"/>
      <c r="AZ2218" s="20"/>
      <c r="BA2218" s="20"/>
    </row>
    <row r="2219" spans="49:53" x14ac:dyDescent="0.35">
      <c r="AW2219" s="20"/>
      <c r="AX2219" s="20"/>
      <c r="AY2219" s="20"/>
      <c r="AZ2219" s="20"/>
      <c r="BA2219" s="20"/>
    </row>
    <row r="2220" spans="49:53" x14ac:dyDescent="0.35">
      <c r="AW2220" s="20"/>
      <c r="AX2220" s="20"/>
      <c r="AY2220" s="20"/>
      <c r="AZ2220" s="20"/>
      <c r="BA2220" s="20"/>
    </row>
    <row r="2221" spans="49:53" x14ac:dyDescent="0.35">
      <c r="AW2221" s="20"/>
      <c r="AX2221" s="20"/>
      <c r="AY2221" s="20"/>
      <c r="AZ2221" s="20"/>
      <c r="BA2221" s="20"/>
    </row>
    <row r="2222" spans="49:53" x14ac:dyDescent="0.35">
      <c r="AW2222" s="20"/>
      <c r="AX2222" s="20"/>
      <c r="AY2222" s="20"/>
      <c r="AZ2222" s="20"/>
      <c r="BA2222" s="20"/>
    </row>
    <row r="2223" spans="49:53" x14ac:dyDescent="0.35">
      <c r="AW2223" s="20"/>
      <c r="AX2223" s="20"/>
      <c r="AY2223" s="20"/>
      <c r="AZ2223" s="20"/>
      <c r="BA2223" s="20"/>
    </row>
    <row r="2224" spans="49:53" x14ac:dyDescent="0.35">
      <c r="AW2224" s="20"/>
      <c r="AX2224" s="20"/>
      <c r="AY2224" s="20"/>
      <c r="AZ2224" s="20"/>
      <c r="BA2224" s="20"/>
    </row>
    <row r="2225" spans="49:53" x14ac:dyDescent="0.35">
      <c r="AW2225" s="20"/>
      <c r="AX2225" s="20"/>
      <c r="AY2225" s="20"/>
      <c r="AZ2225" s="20"/>
      <c r="BA2225" s="20"/>
    </row>
    <row r="2226" spans="49:53" x14ac:dyDescent="0.35">
      <c r="AW2226" s="20"/>
      <c r="AX2226" s="20"/>
      <c r="AY2226" s="20"/>
      <c r="AZ2226" s="20"/>
      <c r="BA2226" s="20"/>
    </row>
    <row r="2227" spans="49:53" x14ac:dyDescent="0.35">
      <c r="AW2227" s="20"/>
      <c r="AX2227" s="20"/>
      <c r="AY2227" s="20"/>
      <c r="AZ2227" s="20"/>
      <c r="BA2227" s="20"/>
    </row>
    <row r="2228" spans="49:53" x14ac:dyDescent="0.35">
      <c r="AW2228" s="20"/>
      <c r="AX2228" s="20"/>
      <c r="AY2228" s="20"/>
      <c r="AZ2228" s="20"/>
      <c r="BA2228" s="20"/>
    </row>
    <row r="2229" spans="49:53" x14ac:dyDescent="0.35">
      <c r="AW2229" s="20"/>
      <c r="AX2229" s="20"/>
      <c r="AY2229" s="20"/>
      <c r="AZ2229" s="20"/>
      <c r="BA2229" s="20"/>
    </row>
    <row r="2230" spans="49:53" x14ac:dyDescent="0.35">
      <c r="AW2230" s="20"/>
      <c r="AX2230" s="20"/>
      <c r="AY2230" s="20"/>
      <c r="AZ2230" s="20"/>
      <c r="BA2230" s="20"/>
    </row>
    <row r="2231" spans="49:53" x14ac:dyDescent="0.35">
      <c r="AW2231" s="20"/>
      <c r="AX2231" s="20"/>
      <c r="AY2231" s="20"/>
      <c r="AZ2231" s="20"/>
      <c r="BA2231" s="20"/>
    </row>
    <row r="2232" spans="49:53" x14ac:dyDescent="0.35">
      <c r="AW2232" s="20"/>
      <c r="AX2232" s="20"/>
      <c r="AY2232" s="20"/>
      <c r="AZ2232" s="20"/>
      <c r="BA2232" s="20"/>
    </row>
    <row r="2233" spans="49:53" x14ac:dyDescent="0.35">
      <c r="AW2233" s="20"/>
      <c r="AX2233" s="20"/>
      <c r="AY2233" s="20"/>
      <c r="AZ2233" s="20"/>
      <c r="BA2233" s="20"/>
    </row>
    <row r="2234" spans="49:53" x14ac:dyDescent="0.35">
      <c r="AW2234" s="20"/>
      <c r="AX2234" s="20"/>
      <c r="AY2234" s="20"/>
      <c r="AZ2234" s="20"/>
      <c r="BA2234" s="20"/>
    </row>
    <row r="2235" spans="49:53" x14ac:dyDescent="0.35">
      <c r="AW2235" s="20"/>
      <c r="AX2235" s="20"/>
      <c r="AY2235" s="20"/>
      <c r="AZ2235" s="20"/>
      <c r="BA2235" s="20"/>
    </row>
    <row r="2236" spans="49:53" x14ac:dyDescent="0.35">
      <c r="AW2236" s="20"/>
      <c r="AX2236" s="20"/>
      <c r="AY2236" s="20"/>
      <c r="AZ2236" s="20"/>
      <c r="BA2236" s="20"/>
    </row>
    <row r="2237" spans="49:53" x14ac:dyDescent="0.35">
      <c r="AW2237" s="20"/>
      <c r="AX2237" s="20"/>
      <c r="AY2237" s="20"/>
      <c r="AZ2237" s="20"/>
      <c r="BA2237" s="20"/>
    </row>
    <row r="2238" spans="49:53" x14ac:dyDescent="0.35">
      <c r="AW2238" s="20"/>
      <c r="AX2238" s="20"/>
      <c r="AY2238" s="20"/>
      <c r="AZ2238" s="20"/>
      <c r="BA2238" s="20"/>
    </row>
    <row r="2239" spans="49:53" x14ac:dyDescent="0.35">
      <c r="AW2239" s="20"/>
      <c r="AX2239" s="20"/>
      <c r="AY2239" s="20"/>
      <c r="AZ2239" s="20"/>
      <c r="BA2239" s="20"/>
    </row>
    <row r="2240" spans="49:53" x14ac:dyDescent="0.35">
      <c r="AW2240" s="20"/>
      <c r="AX2240" s="20"/>
      <c r="AY2240" s="20"/>
      <c r="AZ2240" s="20"/>
      <c r="BA2240" s="20"/>
    </row>
    <row r="2241" spans="49:53" x14ac:dyDescent="0.35">
      <c r="AW2241" s="20"/>
      <c r="AX2241" s="20"/>
      <c r="AY2241" s="20"/>
      <c r="AZ2241" s="20"/>
      <c r="BA2241" s="20"/>
    </row>
    <row r="2242" spans="49:53" x14ac:dyDescent="0.35">
      <c r="AW2242" s="20"/>
      <c r="AX2242" s="20"/>
      <c r="AY2242" s="20"/>
      <c r="AZ2242" s="20"/>
      <c r="BA2242" s="20"/>
    </row>
    <row r="2243" spans="49:53" x14ac:dyDescent="0.35">
      <c r="AW2243" s="20"/>
      <c r="AX2243" s="20"/>
      <c r="AY2243" s="20"/>
      <c r="AZ2243" s="20"/>
      <c r="BA2243" s="20"/>
    </row>
    <row r="2244" spans="49:53" x14ac:dyDescent="0.35">
      <c r="AW2244" s="20"/>
      <c r="AX2244" s="20"/>
      <c r="AY2244" s="20"/>
      <c r="AZ2244" s="20"/>
      <c r="BA2244" s="20"/>
    </row>
    <row r="2245" spans="49:53" x14ac:dyDescent="0.35">
      <c r="AW2245" s="20"/>
      <c r="AX2245" s="20"/>
      <c r="AY2245" s="20"/>
      <c r="AZ2245" s="20"/>
      <c r="BA2245" s="20"/>
    </row>
    <row r="2246" spans="49:53" x14ac:dyDescent="0.35">
      <c r="AW2246" s="20"/>
      <c r="AX2246" s="20"/>
      <c r="AY2246" s="20"/>
      <c r="AZ2246" s="20"/>
      <c r="BA2246" s="20"/>
    </row>
    <row r="2247" spans="49:53" x14ac:dyDescent="0.35">
      <c r="AW2247" s="20"/>
      <c r="AX2247" s="20"/>
      <c r="AY2247" s="20"/>
      <c r="AZ2247" s="20"/>
      <c r="BA2247" s="20"/>
    </row>
    <row r="2248" spans="49:53" x14ac:dyDescent="0.35">
      <c r="AW2248" s="20"/>
      <c r="AX2248" s="20"/>
      <c r="AY2248" s="20"/>
      <c r="AZ2248" s="20"/>
      <c r="BA2248" s="20"/>
    </row>
    <row r="2249" spans="49:53" x14ac:dyDescent="0.35">
      <c r="AW2249" s="20"/>
      <c r="AX2249" s="20"/>
      <c r="AY2249" s="20"/>
      <c r="AZ2249" s="20"/>
      <c r="BA2249" s="20"/>
    </row>
    <row r="2250" spans="49:53" x14ac:dyDescent="0.35">
      <c r="AW2250" s="20"/>
      <c r="AX2250" s="20"/>
      <c r="AY2250" s="20"/>
      <c r="AZ2250" s="20"/>
      <c r="BA2250" s="20"/>
    </row>
    <row r="2251" spans="49:53" x14ac:dyDescent="0.35">
      <c r="AW2251" s="20"/>
      <c r="AX2251" s="20"/>
      <c r="AY2251" s="20"/>
      <c r="AZ2251" s="20"/>
      <c r="BA2251" s="20"/>
    </row>
    <row r="2252" spans="49:53" x14ac:dyDescent="0.35">
      <c r="AW2252" s="20"/>
      <c r="AX2252" s="20"/>
      <c r="AY2252" s="20"/>
      <c r="AZ2252" s="20"/>
      <c r="BA2252" s="20"/>
    </row>
    <row r="2253" spans="49:53" x14ac:dyDescent="0.35">
      <c r="AW2253" s="20"/>
      <c r="AX2253" s="20"/>
      <c r="AY2253" s="20"/>
      <c r="AZ2253" s="20"/>
      <c r="BA2253" s="20"/>
    </row>
    <row r="2254" spans="49:53" x14ac:dyDescent="0.35">
      <c r="AW2254" s="20"/>
      <c r="AX2254" s="20"/>
      <c r="AY2254" s="20"/>
      <c r="AZ2254" s="20"/>
      <c r="BA2254" s="20"/>
    </row>
    <row r="2255" spans="49:53" x14ac:dyDescent="0.35">
      <c r="AW2255" s="20"/>
      <c r="AX2255" s="20"/>
      <c r="AY2255" s="20"/>
      <c r="AZ2255" s="20"/>
      <c r="BA2255" s="20"/>
    </row>
    <row r="2256" spans="49:53" x14ac:dyDescent="0.35">
      <c r="AW2256" s="20"/>
      <c r="AX2256" s="20"/>
      <c r="AY2256" s="20"/>
      <c r="AZ2256" s="20"/>
      <c r="BA2256" s="20"/>
    </row>
    <row r="2257" spans="49:53" x14ac:dyDescent="0.35">
      <c r="AW2257" s="20"/>
      <c r="AX2257" s="20"/>
      <c r="AY2257" s="20"/>
      <c r="AZ2257" s="20"/>
      <c r="BA2257" s="20"/>
    </row>
    <row r="2258" spans="49:53" x14ac:dyDescent="0.35">
      <c r="AW2258" s="20"/>
      <c r="AX2258" s="20"/>
      <c r="AY2258" s="20"/>
      <c r="AZ2258" s="20"/>
      <c r="BA2258" s="20"/>
    </row>
    <row r="2259" spans="49:53" x14ac:dyDescent="0.35">
      <c r="AW2259" s="20"/>
      <c r="AX2259" s="20"/>
      <c r="AY2259" s="20"/>
      <c r="AZ2259" s="20"/>
      <c r="BA2259" s="20"/>
    </row>
    <row r="2260" spans="49:53" x14ac:dyDescent="0.35">
      <c r="AW2260" s="20"/>
      <c r="AX2260" s="20"/>
      <c r="AY2260" s="20"/>
      <c r="AZ2260" s="20"/>
      <c r="BA2260" s="20"/>
    </row>
    <row r="2261" spans="49:53" x14ac:dyDescent="0.35">
      <c r="AW2261" s="20"/>
      <c r="AX2261" s="20"/>
      <c r="AY2261" s="20"/>
      <c r="AZ2261" s="20"/>
      <c r="BA2261" s="20"/>
    </row>
    <row r="2262" spans="49:53" x14ac:dyDescent="0.35">
      <c r="AW2262" s="20"/>
      <c r="AX2262" s="20"/>
      <c r="AY2262" s="20"/>
      <c r="AZ2262" s="20"/>
      <c r="BA2262" s="20"/>
    </row>
    <row r="2263" spans="49:53" x14ac:dyDescent="0.35">
      <c r="AW2263" s="20"/>
      <c r="AX2263" s="20"/>
      <c r="AY2263" s="20"/>
      <c r="AZ2263" s="20"/>
      <c r="BA2263" s="20"/>
    </row>
    <row r="2264" spans="49:53" x14ac:dyDescent="0.35">
      <c r="AW2264" s="20"/>
      <c r="AX2264" s="20"/>
      <c r="AY2264" s="20"/>
      <c r="AZ2264" s="20"/>
      <c r="BA2264" s="20"/>
    </row>
    <row r="2265" spans="49:53" x14ac:dyDescent="0.35">
      <c r="AW2265" s="20"/>
      <c r="AX2265" s="20"/>
      <c r="AY2265" s="20"/>
      <c r="AZ2265" s="20"/>
      <c r="BA2265" s="20"/>
    </row>
    <row r="2266" spans="49:53" x14ac:dyDescent="0.35">
      <c r="AW2266" s="20"/>
      <c r="AX2266" s="20"/>
      <c r="AY2266" s="20"/>
      <c r="AZ2266" s="20"/>
      <c r="BA2266" s="20"/>
    </row>
    <row r="2267" spans="49:53" x14ac:dyDescent="0.35">
      <c r="AW2267" s="20"/>
      <c r="AX2267" s="20"/>
      <c r="AY2267" s="20"/>
      <c r="AZ2267" s="20"/>
      <c r="BA2267" s="20"/>
    </row>
    <row r="2268" spans="49:53" x14ac:dyDescent="0.35">
      <c r="AW2268" s="20"/>
      <c r="AX2268" s="20"/>
      <c r="AY2268" s="20"/>
      <c r="AZ2268" s="20"/>
      <c r="BA2268" s="20"/>
    </row>
    <row r="2269" spans="49:53" x14ac:dyDescent="0.35">
      <c r="AW2269" s="20"/>
      <c r="AX2269" s="20"/>
      <c r="AY2269" s="20"/>
      <c r="AZ2269" s="20"/>
      <c r="BA2269" s="20"/>
    </row>
    <row r="2270" spans="49:53" x14ac:dyDescent="0.35">
      <c r="AW2270" s="20"/>
      <c r="AX2270" s="20"/>
      <c r="AY2270" s="20"/>
      <c r="AZ2270" s="20"/>
      <c r="BA2270" s="20"/>
    </row>
    <row r="2271" spans="49:53" x14ac:dyDescent="0.35">
      <c r="AW2271" s="20"/>
      <c r="AX2271" s="20"/>
      <c r="AY2271" s="20"/>
      <c r="AZ2271" s="20"/>
      <c r="BA2271" s="20"/>
    </row>
    <row r="2272" spans="49:53" x14ac:dyDescent="0.35">
      <c r="AW2272" s="20"/>
      <c r="AX2272" s="20"/>
      <c r="AY2272" s="20"/>
      <c r="AZ2272" s="20"/>
      <c r="BA2272" s="20"/>
    </row>
    <row r="2273" spans="49:53" x14ac:dyDescent="0.35">
      <c r="AW2273" s="20"/>
      <c r="AX2273" s="20"/>
      <c r="AY2273" s="20"/>
      <c r="AZ2273" s="20"/>
      <c r="BA2273" s="20"/>
    </row>
    <row r="2274" spans="49:53" x14ac:dyDescent="0.35">
      <c r="AW2274" s="20"/>
      <c r="AX2274" s="20"/>
      <c r="AY2274" s="20"/>
      <c r="AZ2274" s="20"/>
      <c r="BA2274" s="20"/>
    </row>
    <row r="2275" spans="49:53" x14ac:dyDescent="0.35">
      <c r="AW2275" s="20"/>
      <c r="AX2275" s="20"/>
      <c r="AY2275" s="20"/>
      <c r="AZ2275" s="20"/>
      <c r="BA2275" s="20"/>
    </row>
    <row r="2276" spans="49:53" x14ac:dyDescent="0.35">
      <c r="AW2276" s="20"/>
      <c r="AX2276" s="20"/>
      <c r="AY2276" s="20"/>
      <c r="AZ2276" s="20"/>
      <c r="BA2276" s="20"/>
    </row>
    <row r="2277" spans="49:53" x14ac:dyDescent="0.35">
      <c r="AW2277" s="20"/>
      <c r="AX2277" s="20"/>
      <c r="AY2277" s="20"/>
      <c r="AZ2277" s="20"/>
      <c r="BA2277" s="20"/>
    </row>
    <row r="2278" spans="49:53" x14ac:dyDescent="0.35">
      <c r="AW2278" s="20"/>
      <c r="AX2278" s="20"/>
      <c r="AY2278" s="20"/>
      <c r="AZ2278" s="20"/>
      <c r="BA2278" s="20"/>
    </row>
    <row r="2279" spans="49:53" x14ac:dyDescent="0.35">
      <c r="AW2279" s="20"/>
      <c r="AX2279" s="20"/>
      <c r="AY2279" s="20"/>
      <c r="AZ2279" s="20"/>
      <c r="BA2279" s="20"/>
    </row>
    <row r="2280" spans="49:53" x14ac:dyDescent="0.35">
      <c r="AW2280" s="20"/>
      <c r="AX2280" s="20"/>
      <c r="AY2280" s="20"/>
      <c r="AZ2280" s="20"/>
      <c r="BA2280" s="20"/>
    </row>
    <row r="2281" spans="49:53" x14ac:dyDescent="0.35">
      <c r="AW2281" s="20"/>
      <c r="AX2281" s="20"/>
      <c r="AY2281" s="20"/>
      <c r="AZ2281" s="20"/>
      <c r="BA2281" s="20"/>
    </row>
    <row r="2282" spans="49:53" x14ac:dyDescent="0.35">
      <c r="AW2282" s="20"/>
      <c r="AX2282" s="20"/>
      <c r="AY2282" s="20"/>
      <c r="AZ2282" s="20"/>
      <c r="BA2282" s="20"/>
    </row>
    <row r="2283" spans="49:53" x14ac:dyDescent="0.35">
      <c r="AW2283" s="20"/>
      <c r="AX2283" s="20"/>
      <c r="AY2283" s="20"/>
      <c r="AZ2283" s="20"/>
      <c r="BA2283" s="20"/>
    </row>
    <row r="2284" spans="49:53" x14ac:dyDescent="0.35">
      <c r="AW2284" s="20"/>
      <c r="AX2284" s="20"/>
      <c r="AY2284" s="20"/>
      <c r="AZ2284" s="20"/>
      <c r="BA2284" s="20"/>
    </row>
    <row r="2285" spans="49:53" x14ac:dyDescent="0.35">
      <c r="AW2285" s="20"/>
      <c r="AX2285" s="20"/>
      <c r="AY2285" s="20"/>
      <c r="AZ2285" s="20"/>
      <c r="BA2285" s="20"/>
    </row>
    <row r="2286" spans="49:53" x14ac:dyDescent="0.35">
      <c r="AW2286" s="20"/>
      <c r="AX2286" s="20"/>
      <c r="AY2286" s="20"/>
      <c r="AZ2286" s="20"/>
      <c r="BA2286" s="20"/>
    </row>
    <row r="2287" spans="49:53" x14ac:dyDescent="0.35">
      <c r="AW2287" s="20"/>
      <c r="AX2287" s="20"/>
      <c r="AY2287" s="20"/>
      <c r="AZ2287" s="20"/>
      <c r="BA2287" s="20"/>
    </row>
    <row r="2288" spans="49:53" x14ac:dyDescent="0.35">
      <c r="AW2288" s="20"/>
      <c r="AX2288" s="20"/>
      <c r="AY2288" s="20"/>
      <c r="AZ2288" s="20"/>
      <c r="BA2288" s="20"/>
    </row>
    <row r="2289" spans="49:53" x14ac:dyDescent="0.35">
      <c r="AW2289" s="20"/>
      <c r="AX2289" s="20"/>
      <c r="AY2289" s="20"/>
      <c r="AZ2289" s="20"/>
      <c r="BA2289" s="20"/>
    </row>
    <row r="2290" spans="49:53" x14ac:dyDescent="0.35">
      <c r="AW2290" s="20"/>
      <c r="AX2290" s="20"/>
      <c r="AY2290" s="20"/>
      <c r="AZ2290" s="20"/>
      <c r="BA2290" s="20"/>
    </row>
    <row r="2291" spans="49:53" x14ac:dyDescent="0.35">
      <c r="AW2291" s="20"/>
      <c r="AX2291" s="20"/>
      <c r="AY2291" s="20"/>
      <c r="AZ2291" s="20"/>
      <c r="BA2291" s="20"/>
    </row>
    <row r="2292" spans="49:53" x14ac:dyDescent="0.35">
      <c r="AW2292" s="20"/>
      <c r="AX2292" s="20"/>
      <c r="AY2292" s="20"/>
      <c r="AZ2292" s="20"/>
      <c r="BA2292" s="20"/>
    </row>
    <row r="2293" spans="49:53" x14ac:dyDescent="0.35">
      <c r="AW2293" s="20"/>
      <c r="AX2293" s="20"/>
      <c r="AY2293" s="20"/>
      <c r="AZ2293" s="20"/>
      <c r="BA2293" s="20"/>
    </row>
    <row r="2294" spans="49:53" x14ac:dyDescent="0.35">
      <c r="AW2294" s="20"/>
      <c r="AX2294" s="20"/>
      <c r="AY2294" s="20"/>
      <c r="AZ2294" s="20"/>
      <c r="BA2294" s="20"/>
    </row>
    <row r="2295" spans="49:53" x14ac:dyDescent="0.35">
      <c r="AW2295" s="20"/>
      <c r="AX2295" s="20"/>
      <c r="AY2295" s="20"/>
      <c r="AZ2295" s="20"/>
      <c r="BA2295" s="20"/>
    </row>
    <row r="2296" spans="49:53" x14ac:dyDescent="0.35">
      <c r="AW2296" s="20"/>
      <c r="AX2296" s="20"/>
      <c r="AY2296" s="20"/>
      <c r="AZ2296" s="20"/>
      <c r="BA2296" s="20"/>
    </row>
    <row r="2297" spans="49:53" x14ac:dyDescent="0.35">
      <c r="AW2297" s="20"/>
      <c r="AX2297" s="20"/>
      <c r="AY2297" s="20"/>
      <c r="AZ2297" s="20"/>
      <c r="BA2297" s="20"/>
    </row>
    <row r="2298" spans="49:53" x14ac:dyDescent="0.35">
      <c r="AW2298" s="20"/>
      <c r="AX2298" s="20"/>
      <c r="AY2298" s="20"/>
      <c r="AZ2298" s="20"/>
      <c r="BA2298" s="20"/>
    </row>
    <row r="2299" spans="49:53" x14ac:dyDescent="0.35">
      <c r="AW2299" s="20"/>
      <c r="AX2299" s="20"/>
      <c r="AY2299" s="20"/>
      <c r="AZ2299" s="20"/>
      <c r="BA2299" s="20"/>
    </row>
    <row r="2300" spans="49:53" x14ac:dyDescent="0.35">
      <c r="AW2300" s="20"/>
      <c r="AX2300" s="20"/>
      <c r="AY2300" s="20"/>
      <c r="AZ2300" s="20"/>
      <c r="BA2300" s="20"/>
    </row>
    <row r="2301" spans="49:53" x14ac:dyDescent="0.35">
      <c r="AW2301" s="20"/>
      <c r="AX2301" s="20"/>
      <c r="AY2301" s="20"/>
      <c r="AZ2301" s="20"/>
      <c r="BA2301" s="20"/>
    </row>
    <row r="2302" spans="49:53" x14ac:dyDescent="0.35">
      <c r="AW2302" s="20"/>
      <c r="AX2302" s="20"/>
      <c r="AY2302" s="20"/>
      <c r="AZ2302" s="20"/>
      <c r="BA2302" s="20"/>
    </row>
    <row r="2303" spans="49:53" x14ac:dyDescent="0.35">
      <c r="AW2303" s="20"/>
      <c r="AX2303" s="20"/>
      <c r="AY2303" s="20"/>
      <c r="AZ2303" s="20"/>
      <c r="BA2303" s="20"/>
    </row>
    <row r="2304" spans="49:53" x14ac:dyDescent="0.35">
      <c r="AW2304" s="20"/>
      <c r="AX2304" s="20"/>
      <c r="AY2304" s="20"/>
      <c r="AZ2304" s="20"/>
      <c r="BA2304" s="20"/>
    </row>
    <row r="2305" spans="49:53" x14ac:dyDescent="0.35">
      <c r="AW2305" s="20"/>
      <c r="AX2305" s="20"/>
      <c r="AY2305" s="20"/>
      <c r="AZ2305" s="20"/>
      <c r="BA2305" s="20"/>
    </row>
    <row r="2306" spans="49:53" x14ac:dyDescent="0.35">
      <c r="AW2306" s="20"/>
      <c r="AX2306" s="20"/>
      <c r="AY2306" s="20"/>
      <c r="AZ2306" s="20"/>
      <c r="BA2306" s="20"/>
    </row>
    <row r="2307" spans="49:53" x14ac:dyDescent="0.35">
      <c r="AW2307" s="20"/>
      <c r="AX2307" s="20"/>
      <c r="AY2307" s="20"/>
      <c r="AZ2307" s="20"/>
      <c r="BA2307" s="20"/>
    </row>
    <row r="2308" spans="49:53" x14ac:dyDescent="0.35">
      <c r="AW2308" s="20"/>
      <c r="AX2308" s="20"/>
      <c r="AY2308" s="20"/>
      <c r="AZ2308" s="20"/>
      <c r="BA2308" s="20"/>
    </row>
    <row r="2309" spans="49:53" x14ac:dyDescent="0.35">
      <c r="AW2309" s="20"/>
      <c r="AX2309" s="20"/>
      <c r="AY2309" s="20"/>
      <c r="AZ2309" s="20"/>
      <c r="BA2309" s="20"/>
    </row>
    <row r="2310" spans="49:53" x14ac:dyDescent="0.35">
      <c r="AW2310" s="20"/>
      <c r="AX2310" s="20"/>
      <c r="AY2310" s="20"/>
      <c r="AZ2310" s="20"/>
      <c r="BA2310" s="20"/>
    </row>
    <row r="2311" spans="49:53" x14ac:dyDescent="0.35">
      <c r="AW2311" s="20"/>
      <c r="AX2311" s="20"/>
      <c r="AY2311" s="20"/>
      <c r="AZ2311" s="20"/>
      <c r="BA2311" s="20"/>
    </row>
    <row r="2312" spans="49:53" x14ac:dyDescent="0.35">
      <c r="AW2312" s="20"/>
      <c r="AX2312" s="20"/>
      <c r="AY2312" s="20"/>
      <c r="AZ2312" s="20"/>
      <c r="BA2312" s="20"/>
    </row>
    <row r="2313" spans="49:53" x14ac:dyDescent="0.35">
      <c r="AW2313" s="20"/>
      <c r="AX2313" s="20"/>
      <c r="AY2313" s="20"/>
      <c r="AZ2313" s="20"/>
      <c r="BA2313" s="20"/>
    </row>
    <row r="2314" spans="49:53" x14ac:dyDescent="0.35">
      <c r="AW2314" s="20"/>
      <c r="AX2314" s="20"/>
      <c r="AY2314" s="20"/>
      <c r="AZ2314" s="20"/>
      <c r="BA2314" s="20"/>
    </row>
    <row r="2315" spans="49:53" x14ac:dyDescent="0.35">
      <c r="AW2315" s="20"/>
      <c r="AX2315" s="20"/>
      <c r="AY2315" s="20"/>
      <c r="AZ2315" s="20"/>
      <c r="BA2315" s="20"/>
    </row>
    <row r="2316" spans="49:53" x14ac:dyDescent="0.35">
      <c r="AW2316" s="20"/>
      <c r="AX2316" s="20"/>
      <c r="AY2316" s="20"/>
      <c r="AZ2316" s="20"/>
      <c r="BA2316" s="20"/>
    </row>
    <row r="2317" spans="49:53" x14ac:dyDescent="0.35">
      <c r="AW2317" s="20"/>
      <c r="AX2317" s="20"/>
      <c r="AY2317" s="20"/>
      <c r="AZ2317" s="20"/>
      <c r="BA2317" s="20"/>
    </row>
    <row r="2318" spans="49:53" x14ac:dyDescent="0.35">
      <c r="AW2318" s="20"/>
      <c r="AX2318" s="20"/>
      <c r="AY2318" s="20"/>
      <c r="AZ2318" s="20"/>
      <c r="BA2318" s="20"/>
    </row>
    <row r="2319" spans="49:53" x14ac:dyDescent="0.35">
      <c r="AW2319" s="20"/>
      <c r="AX2319" s="20"/>
      <c r="AY2319" s="20"/>
      <c r="AZ2319" s="20"/>
      <c r="BA2319" s="20"/>
    </row>
    <row r="2320" spans="49:53" x14ac:dyDescent="0.35">
      <c r="AW2320" s="20"/>
      <c r="AX2320" s="20"/>
      <c r="AY2320" s="20"/>
      <c r="AZ2320" s="20"/>
      <c r="BA2320" s="20"/>
    </row>
    <row r="2321" spans="49:53" x14ac:dyDescent="0.35">
      <c r="AW2321" s="20"/>
      <c r="AX2321" s="20"/>
      <c r="AY2321" s="20"/>
      <c r="AZ2321" s="20"/>
      <c r="BA2321" s="20"/>
    </row>
    <row r="2322" spans="49:53" x14ac:dyDescent="0.35">
      <c r="AW2322" s="20"/>
      <c r="AX2322" s="20"/>
      <c r="AY2322" s="20"/>
      <c r="AZ2322" s="20"/>
      <c r="BA2322" s="20"/>
    </row>
    <row r="2323" spans="49:53" x14ac:dyDescent="0.35">
      <c r="AW2323" s="20"/>
      <c r="AX2323" s="20"/>
      <c r="AY2323" s="20"/>
      <c r="AZ2323" s="20"/>
      <c r="BA2323" s="20"/>
    </row>
    <row r="2324" spans="49:53" x14ac:dyDescent="0.35">
      <c r="AW2324" s="20"/>
      <c r="AX2324" s="20"/>
      <c r="AY2324" s="20"/>
      <c r="AZ2324" s="20"/>
      <c r="BA2324" s="20"/>
    </row>
    <row r="2325" spans="49:53" x14ac:dyDescent="0.35">
      <c r="AW2325" s="20"/>
      <c r="AX2325" s="20"/>
      <c r="AY2325" s="20"/>
      <c r="AZ2325" s="20"/>
      <c r="BA2325" s="20"/>
    </row>
    <row r="2326" spans="49:53" x14ac:dyDescent="0.35">
      <c r="AW2326" s="20"/>
      <c r="AX2326" s="20"/>
      <c r="AY2326" s="20"/>
      <c r="AZ2326" s="20"/>
      <c r="BA2326" s="20"/>
    </row>
    <row r="2327" spans="49:53" x14ac:dyDescent="0.35">
      <c r="AW2327" s="20"/>
      <c r="AX2327" s="20"/>
      <c r="AY2327" s="20"/>
      <c r="AZ2327" s="20"/>
      <c r="BA2327" s="20"/>
    </row>
    <row r="2328" spans="49:53" x14ac:dyDescent="0.35">
      <c r="AW2328" s="20"/>
      <c r="AX2328" s="20"/>
      <c r="AY2328" s="20"/>
      <c r="AZ2328" s="20"/>
      <c r="BA2328" s="20"/>
    </row>
    <row r="2329" spans="49:53" x14ac:dyDescent="0.35">
      <c r="AW2329" s="20"/>
      <c r="AX2329" s="20"/>
      <c r="AY2329" s="20"/>
      <c r="AZ2329" s="20"/>
      <c r="BA2329" s="20"/>
    </row>
    <row r="2330" spans="49:53" x14ac:dyDescent="0.35">
      <c r="AW2330" s="20"/>
      <c r="AX2330" s="20"/>
      <c r="AY2330" s="20"/>
      <c r="AZ2330" s="20"/>
      <c r="BA2330" s="20"/>
    </row>
    <row r="2331" spans="49:53" x14ac:dyDescent="0.35">
      <c r="AW2331" s="20"/>
      <c r="AX2331" s="20"/>
      <c r="AY2331" s="20"/>
      <c r="AZ2331" s="20"/>
      <c r="BA2331" s="20"/>
    </row>
    <row r="2332" spans="49:53" x14ac:dyDescent="0.35">
      <c r="AW2332" s="20"/>
      <c r="AX2332" s="20"/>
      <c r="AY2332" s="20"/>
      <c r="AZ2332" s="20"/>
      <c r="BA2332" s="20"/>
    </row>
    <row r="2333" spans="49:53" x14ac:dyDescent="0.35">
      <c r="AW2333" s="20"/>
      <c r="AX2333" s="20"/>
      <c r="AY2333" s="20"/>
      <c r="AZ2333" s="20"/>
      <c r="BA2333" s="20"/>
    </row>
    <row r="2334" spans="49:53" x14ac:dyDescent="0.35">
      <c r="AW2334" s="20"/>
      <c r="AX2334" s="20"/>
      <c r="AY2334" s="20"/>
      <c r="AZ2334" s="20"/>
      <c r="BA2334" s="20"/>
    </row>
    <row r="2335" spans="49:53" x14ac:dyDescent="0.35">
      <c r="AW2335" s="20"/>
      <c r="AX2335" s="20"/>
      <c r="AY2335" s="20"/>
      <c r="AZ2335" s="20"/>
      <c r="BA2335" s="20"/>
    </row>
    <row r="2336" spans="49:53" x14ac:dyDescent="0.35">
      <c r="AW2336" s="20"/>
      <c r="AX2336" s="20"/>
      <c r="AY2336" s="20"/>
      <c r="AZ2336" s="20"/>
      <c r="BA2336" s="20"/>
    </row>
    <row r="2337" spans="49:53" x14ac:dyDescent="0.35">
      <c r="AW2337" s="20"/>
      <c r="AX2337" s="20"/>
      <c r="AY2337" s="20"/>
      <c r="AZ2337" s="20"/>
      <c r="BA2337" s="20"/>
    </row>
    <row r="2338" spans="49:53" x14ac:dyDescent="0.35">
      <c r="AW2338" s="20"/>
      <c r="AX2338" s="20"/>
      <c r="AY2338" s="20"/>
      <c r="AZ2338" s="20"/>
      <c r="BA2338" s="20"/>
    </row>
    <row r="2339" spans="49:53" x14ac:dyDescent="0.35">
      <c r="AW2339" s="20"/>
      <c r="AX2339" s="20"/>
      <c r="AY2339" s="20"/>
      <c r="AZ2339" s="20"/>
      <c r="BA2339" s="20"/>
    </row>
    <row r="2340" spans="49:53" x14ac:dyDescent="0.35">
      <c r="AW2340" s="20"/>
      <c r="AX2340" s="20"/>
      <c r="AY2340" s="20"/>
      <c r="AZ2340" s="20"/>
      <c r="BA2340" s="20"/>
    </row>
    <row r="2341" spans="49:53" x14ac:dyDescent="0.35">
      <c r="AW2341" s="20"/>
      <c r="AX2341" s="20"/>
      <c r="AY2341" s="20"/>
      <c r="AZ2341" s="20"/>
      <c r="BA2341" s="20"/>
    </row>
    <row r="2342" spans="49:53" x14ac:dyDescent="0.35">
      <c r="AW2342" s="20"/>
      <c r="AX2342" s="20"/>
      <c r="AY2342" s="20"/>
      <c r="AZ2342" s="20"/>
      <c r="BA2342" s="20"/>
    </row>
    <row r="2343" spans="49:53" x14ac:dyDescent="0.35">
      <c r="AW2343" s="20"/>
      <c r="AX2343" s="20"/>
      <c r="AY2343" s="20"/>
      <c r="AZ2343" s="20"/>
      <c r="BA2343" s="20"/>
    </row>
    <row r="2344" spans="49:53" x14ac:dyDescent="0.35">
      <c r="AW2344" s="20"/>
      <c r="AX2344" s="20"/>
      <c r="AY2344" s="20"/>
      <c r="AZ2344" s="20"/>
      <c r="BA2344" s="20"/>
    </row>
    <row r="2345" spans="49:53" x14ac:dyDescent="0.35">
      <c r="AW2345" s="20"/>
      <c r="AX2345" s="20"/>
      <c r="AY2345" s="20"/>
      <c r="AZ2345" s="20"/>
      <c r="BA2345" s="20"/>
    </row>
    <row r="2346" spans="49:53" x14ac:dyDescent="0.35">
      <c r="AW2346" s="20"/>
      <c r="AX2346" s="20"/>
      <c r="AY2346" s="20"/>
      <c r="AZ2346" s="20"/>
      <c r="BA2346" s="20"/>
    </row>
    <row r="2347" spans="49:53" x14ac:dyDescent="0.35">
      <c r="AW2347" s="20"/>
      <c r="AX2347" s="20"/>
      <c r="AY2347" s="20"/>
      <c r="AZ2347" s="20"/>
      <c r="BA2347" s="20"/>
    </row>
    <row r="2348" spans="49:53" x14ac:dyDescent="0.35">
      <c r="AW2348" s="20"/>
      <c r="AX2348" s="20"/>
      <c r="AY2348" s="20"/>
      <c r="AZ2348" s="20"/>
      <c r="BA2348" s="20"/>
    </row>
    <row r="2349" spans="49:53" x14ac:dyDescent="0.35">
      <c r="AW2349" s="20"/>
      <c r="AX2349" s="20"/>
      <c r="AY2349" s="20"/>
      <c r="AZ2349" s="20"/>
      <c r="BA2349" s="20"/>
    </row>
    <row r="2350" spans="49:53" x14ac:dyDescent="0.35">
      <c r="AW2350" s="20"/>
      <c r="AX2350" s="20"/>
      <c r="AY2350" s="20"/>
      <c r="AZ2350" s="20"/>
      <c r="BA2350" s="20"/>
    </row>
    <row r="2351" spans="49:53" x14ac:dyDescent="0.35">
      <c r="AW2351" s="20"/>
      <c r="AX2351" s="20"/>
      <c r="AY2351" s="20"/>
      <c r="AZ2351" s="20"/>
      <c r="BA2351" s="20"/>
    </row>
    <row r="2352" spans="49:53" x14ac:dyDescent="0.35">
      <c r="AW2352" s="20"/>
      <c r="AX2352" s="20"/>
      <c r="AY2352" s="20"/>
      <c r="AZ2352" s="20"/>
      <c r="BA2352" s="20"/>
    </row>
    <row r="2353" spans="49:53" x14ac:dyDescent="0.35">
      <c r="AW2353" s="20"/>
      <c r="AX2353" s="20"/>
      <c r="AY2353" s="20"/>
      <c r="AZ2353" s="20"/>
      <c r="BA2353" s="20"/>
    </row>
    <row r="2354" spans="49:53" x14ac:dyDescent="0.35">
      <c r="AW2354" s="20"/>
      <c r="AX2354" s="20"/>
      <c r="AY2354" s="20"/>
      <c r="AZ2354" s="20"/>
      <c r="BA2354" s="20"/>
    </row>
    <row r="2355" spans="49:53" x14ac:dyDescent="0.35">
      <c r="AW2355" s="20"/>
      <c r="AX2355" s="20"/>
      <c r="AY2355" s="20"/>
      <c r="AZ2355" s="20"/>
      <c r="BA2355" s="20"/>
    </row>
    <row r="2356" spans="49:53" x14ac:dyDescent="0.35">
      <c r="AW2356" s="20"/>
      <c r="AX2356" s="20"/>
      <c r="AY2356" s="20"/>
      <c r="AZ2356" s="20"/>
      <c r="BA2356" s="20"/>
    </row>
    <row r="2357" spans="49:53" x14ac:dyDescent="0.35">
      <c r="AW2357" s="20"/>
      <c r="AX2357" s="20"/>
      <c r="AY2357" s="20"/>
      <c r="AZ2357" s="20"/>
      <c r="BA2357" s="20"/>
    </row>
    <row r="2358" spans="49:53" x14ac:dyDescent="0.35">
      <c r="AW2358" s="20"/>
      <c r="AX2358" s="20"/>
      <c r="AY2358" s="20"/>
      <c r="AZ2358" s="20"/>
      <c r="BA2358" s="20"/>
    </row>
    <row r="2359" spans="49:53" x14ac:dyDescent="0.35">
      <c r="AW2359" s="20"/>
      <c r="AX2359" s="20"/>
      <c r="AY2359" s="20"/>
      <c r="AZ2359" s="20"/>
      <c r="BA2359" s="20"/>
    </row>
    <row r="2360" spans="49:53" x14ac:dyDescent="0.35">
      <c r="AW2360" s="20"/>
      <c r="AX2360" s="20"/>
      <c r="AY2360" s="20"/>
      <c r="AZ2360" s="20"/>
      <c r="BA2360" s="20"/>
    </row>
    <row r="2361" spans="49:53" x14ac:dyDescent="0.35">
      <c r="AW2361" s="20"/>
      <c r="AX2361" s="20"/>
      <c r="AY2361" s="20"/>
      <c r="AZ2361" s="20"/>
      <c r="BA2361" s="20"/>
    </row>
    <row r="2362" spans="49:53" x14ac:dyDescent="0.35">
      <c r="AW2362" s="20"/>
      <c r="AX2362" s="20"/>
      <c r="AY2362" s="20"/>
      <c r="AZ2362" s="20"/>
      <c r="BA2362" s="20"/>
    </row>
    <row r="2363" spans="49:53" x14ac:dyDescent="0.35">
      <c r="AW2363" s="20"/>
      <c r="AX2363" s="20"/>
      <c r="AY2363" s="20"/>
      <c r="AZ2363" s="20"/>
      <c r="BA2363" s="20"/>
    </row>
    <row r="2364" spans="49:53" x14ac:dyDescent="0.35">
      <c r="AW2364" s="20"/>
      <c r="AX2364" s="20"/>
      <c r="AY2364" s="20"/>
      <c r="AZ2364" s="20"/>
      <c r="BA2364" s="20"/>
    </row>
    <row r="2365" spans="49:53" x14ac:dyDescent="0.35">
      <c r="AW2365" s="20"/>
      <c r="AX2365" s="20"/>
      <c r="AY2365" s="20"/>
      <c r="AZ2365" s="20"/>
      <c r="BA2365" s="20"/>
    </row>
    <row r="2366" spans="49:53" x14ac:dyDescent="0.35">
      <c r="AW2366" s="20"/>
      <c r="AX2366" s="20"/>
      <c r="AY2366" s="20"/>
      <c r="AZ2366" s="20"/>
      <c r="BA2366" s="20"/>
    </row>
    <row r="2367" spans="49:53" x14ac:dyDescent="0.35">
      <c r="AW2367" s="20"/>
      <c r="AX2367" s="20"/>
      <c r="AY2367" s="20"/>
      <c r="AZ2367" s="20"/>
      <c r="BA2367" s="20"/>
    </row>
    <row r="2368" spans="49:53" x14ac:dyDescent="0.35">
      <c r="AW2368" s="20"/>
      <c r="AX2368" s="20"/>
      <c r="AY2368" s="20"/>
      <c r="AZ2368" s="20"/>
      <c r="BA2368" s="20"/>
    </row>
    <row r="2369" spans="49:53" x14ac:dyDescent="0.35">
      <c r="AW2369" s="20"/>
      <c r="AX2369" s="20"/>
      <c r="AY2369" s="20"/>
      <c r="AZ2369" s="20"/>
      <c r="BA2369" s="20"/>
    </row>
    <row r="2370" spans="49:53" x14ac:dyDescent="0.35">
      <c r="AW2370" s="20"/>
      <c r="AX2370" s="20"/>
      <c r="AY2370" s="20"/>
      <c r="AZ2370" s="20"/>
      <c r="BA2370" s="20"/>
    </row>
    <row r="2371" spans="49:53" x14ac:dyDescent="0.35">
      <c r="AW2371" s="20"/>
      <c r="AX2371" s="20"/>
      <c r="AY2371" s="20"/>
      <c r="AZ2371" s="20"/>
      <c r="BA2371" s="20"/>
    </row>
    <row r="2372" spans="49:53" x14ac:dyDescent="0.35">
      <c r="AW2372" s="20"/>
      <c r="AX2372" s="20"/>
      <c r="AY2372" s="20"/>
      <c r="AZ2372" s="20"/>
      <c r="BA2372" s="20"/>
    </row>
    <row r="2373" spans="49:53" x14ac:dyDescent="0.35">
      <c r="AW2373" s="20"/>
      <c r="AX2373" s="20"/>
      <c r="AY2373" s="20"/>
      <c r="AZ2373" s="20"/>
      <c r="BA2373" s="20"/>
    </row>
    <row r="2374" spans="49:53" x14ac:dyDescent="0.35">
      <c r="AW2374" s="20"/>
      <c r="AX2374" s="20"/>
      <c r="AY2374" s="20"/>
      <c r="AZ2374" s="20"/>
      <c r="BA2374" s="20"/>
    </row>
    <row r="2375" spans="49:53" x14ac:dyDescent="0.35">
      <c r="AW2375" s="20"/>
      <c r="AX2375" s="20"/>
      <c r="AY2375" s="20"/>
      <c r="AZ2375" s="20"/>
      <c r="BA2375" s="20"/>
    </row>
    <row r="2376" spans="49:53" x14ac:dyDescent="0.35">
      <c r="AW2376" s="20"/>
      <c r="AX2376" s="20"/>
      <c r="AY2376" s="20"/>
      <c r="AZ2376" s="20"/>
      <c r="BA2376" s="20"/>
    </row>
    <row r="2377" spans="49:53" x14ac:dyDescent="0.35">
      <c r="AW2377" s="20"/>
      <c r="AX2377" s="20"/>
      <c r="AY2377" s="20"/>
      <c r="AZ2377" s="20"/>
      <c r="BA2377" s="20"/>
    </row>
    <row r="2378" spans="49:53" x14ac:dyDescent="0.35">
      <c r="AW2378" s="20"/>
      <c r="AX2378" s="20"/>
      <c r="AY2378" s="20"/>
      <c r="AZ2378" s="20"/>
      <c r="BA2378" s="20"/>
    </row>
    <row r="2379" spans="49:53" x14ac:dyDescent="0.35">
      <c r="AW2379" s="20"/>
      <c r="AX2379" s="20"/>
      <c r="AY2379" s="20"/>
      <c r="AZ2379" s="20"/>
      <c r="BA2379" s="20"/>
    </row>
    <row r="2380" spans="49:53" x14ac:dyDescent="0.35">
      <c r="AW2380" s="20"/>
      <c r="AX2380" s="20"/>
      <c r="AY2380" s="20"/>
      <c r="AZ2380" s="20"/>
      <c r="BA2380" s="20"/>
    </row>
    <row r="2381" spans="49:53" x14ac:dyDescent="0.35">
      <c r="AW2381" s="20"/>
      <c r="AX2381" s="20"/>
      <c r="AY2381" s="20"/>
      <c r="AZ2381" s="20"/>
      <c r="BA2381" s="20"/>
    </row>
    <row r="2382" spans="49:53" x14ac:dyDescent="0.35">
      <c r="AW2382" s="20"/>
      <c r="AX2382" s="20"/>
      <c r="AY2382" s="20"/>
      <c r="AZ2382" s="20"/>
      <c r="BA2382" s="20"/>
    </row>
    <row r="2383" spans="49:53" x14ac:dyDescent="0.35">
      <c r="AW2383" s="20"/>
      <c r="AX2383" s="20"/>
      <c r="AY2383" s="20"/>
      <c r="AZ2383" s="20"/>
      <c r="BA2383" s="20"/>
    </row>
    <row r="2384" spans="49:53" x14ac:dyDescent="0.35">
      <c r="AW2384" s="20"/>
      <c r="AX2384" s="20"/>
      <c r="AY2384" s="20"/>
      <c r="AZ2384" s="20"/>
      <c r="BA2384" s="20"/>
    </row>
    <row r="2385" spans="49:53" x14ac:dyDescent="0.35">
      <c r="AW2385" s="20"/>
      <c r="AX2385" s="20"/>
      <c r="AY2385" s="20"/>
      <c r="AZ2385" s="20"/>
      <c r="BA2385" s="20"/>
    </row>
    <row r="2386" spans="49:53" x14ac:dyDescent="0.35">
      <c r="AW2386" s="20"/>
      <c r="AX2386" s="20"/>
      <c r="AY2386" s="20"/>
      <c r="AZ2386" s="20"/>
      <c r="BA2386" s="20"/>
    </row>
    <row r="2387" spans="49:53" x14ac:dyDescent="0.35">
      <c r="AW2387" s="20"/>
      <c r="AX2387" s="20"/>
      <c r="AY2387" s="20"/>
      <c r="AZ2387" s="20"/>
      <c r="BA2387" s="20"/>
    </row>
    <row r="2388" spans="49:53" x14ac:dyDescent="0.35">
      <c r="AW2388" s="20"/>
      <c r="AX2388" s="20"/>
      <c r="AY2388" s="20"/>
      <c r="AZ2388" s="20"/>
      <c r="BA2388" s="20"/>
    </row>
    <row r="2389" spans="49:53" x14ac:dyDescent="0.35">
      <c r="AW2389" s="20"/>
      <c r="AX2389" s="20"/>
      <c r="AY2389" s="20"/>
      <c r="AZ2389" s="20"/>
      <c r="BA2389" s="20"/>
    </row>
    <row r="2390" spans="49:53" x14ac:dyDescent="0.35">
      <c r="AW2390" s="20"/>
      <c r="AX2390" s="20"/>
      <c r="AY2390" s="20"/>
      <c r="AZ2390" s="20"/>
      <c r="BA2390" s="20"/>
    </row>
    <row r="2391" spans="49:53" x14ac:dyDescent="0.35">
      <c r="AW2391" s="20"/>
      <c r="AX2391" s="20"/>
      <c r="AY2391" s="20"/>
      <c r="AZ2391" s="20"/>
      <c r="BA2391" s="20"/>
    </row>
    <row r="2392" spans="49:53" x14ac:dyDescent="0.35">
      <c r="AW2392" s="20"/>
      <c r="AX2392" s="20"/>
      <c r="AY2392" s="20"/>
      <c r="AZ2392" s="20"/>
      <c r="BA2392" s="20"/>
    </row>
    <row r="2393" spans="49:53" x14ac:dyDescent="0.35">
      <c r="AW2393" s="20"/>
      <c r="AX2393" s="20"/>
      <c r="AY2393" s="20"/>
      <c r="AZ2393" s="20"/>
      <c r="BA2393" s="20"/>
    </row>
    <row r="2394" spans="49:53" x14ac:dyDescent="0.35">
      <c r="AW2394" s="20"/>
      <c r="AX2394" s="20"/>
      <c r="AY2394" s="20"/>
      <c r="AZ2394" s="20"/>
      <c r="BA2394" s="20"/>
    </row>
    <row r="2395" spans="49:53" x14ac:dyDescent="0.35">
      <c r="AW2395" s="20"/>
      <c r="AX2395" s="20"/>
      <c r="AY2395" s="20"/>
      <c r="AZ2395" s="20"/>
      <c r="BA2395" s="20"/>
    </row>
    <row r="2396" spans="49:53" x14ac:dyDescent="0.35">
      <c r="AW2396" s="20"/>
      <c r="AX2396" s="20"/>
      <c r="AY2396" s="20"/>
      <c r="AZ2396" s="20"/>
      <c r="BA2396" s="20"/>
    </row>
    <row r="2397" spans="49:53" x14ac:dyDescent="0.35">
      <c r="AW2397" s="20"/>
      <c r="AX2397" s="20"/>
      <c r="AY2397" s="20"/>
      <c r="AZ2397" s="20"/>
      <c r="BA2397" s="20"/>
    </row>
    <row r="2398" spans="49:53" x14ac:dyDescent="0.35">
      <c r="AW2398" s="20"/>
      <c r="AX2398" s="20"/>
      <c r="AY2398" s="20"/>
      <c r="AZ2398" s="20"/>
      <c r="BA2398" s="20"/>
    </row>
    <row r="2399" spans="49:53" x14ac:dyDescent="0.35">
      <c r="AW2399" s="20"/>
      <c r="AX2399" s="20"/>
      <c r="AY2399" s="20"/>
      <c r="AZ2399" s="20"/>
      <c r="BA2399" s="20"/>
    </row>
    <row r="2400" spans="49:53" x14ac:dyDescent="0.35">
      <c r="AW2400" s="20"/>
      <c r="AX2400" s="20"/>
      <c r="AY2400" s="20"/>
      <c r="AZ2400" s="20"/>
      <c r="BA2400" s="20"/>
    </row>
    <row r="2401" spans="49:53" x14ac:dyDescent="0.35">
      <c r="AW2401" s="20"/>
      <c r="AX2401" s="20"/>
      <c r="AY2401" s="20"/>
      <c r="AZ2401" s="20"/>
      <c r="BA2401" s="20"/>
    </row>
    <row r="2402" spans="49:53" x14ac:dyDescent="0.35">
      <c r="AW2402" s="20"/>
      <c r="AX2402" s="20"/>
      <c r="AY2402" s="20"/>
      <c r="AZ2402" s="20"/>
      <c r="BA2402" s="20"/>
    </row>
    <row r="2403" spans="49:53" x14ac:dyDescent="0.35">
      <c r="AW2403" s="20"/>
      <c r="AX2403" s="20"/>
      <c r="AY2403" s="20"/>
      <c r="AZ2403" s="20"/>
      <c r="BA2403" s="20"/>
    </row>
    <row r="2404" spans="49:53" x14ac:dyDescent="0.35">
      <c r="AW2404" s="20"/>
      <c r="AX2404" s="20"/>
      <c r="AY2404" s="20"/>
      <c r="AZ2404" s="20"/>
      <c r="BA2404" s="20"/>
    </row>
    <row r="2405" spans="49:53" x14ac:dyDescent="0.35">
      <c r="AW2405" s="20"/>
      <c r="AX2405" s="20"/>
      <c r="AY2405" s="20"/>
      <c r="AZ2405" s="20"/>
      <c r="BA2405" s="20"/>
    </row>
    <row r="2406" spans="49:53" x14ac:dyDescent="0.35">
      <c r="AW2406" s="20"/>
      <c r="AX2406" s="20"/>
      <c r="AY2406" s="20"/>
      <c r="AZ2406" s="20"/>
      <c r="BA2406" s="20"/>
    </row>
    <row r="2407" spans="49:53" x14ac:dyDescent="0.35">
      <c r="AW2407" s="20"/>
      <c r="AX2407" s="20"/>
      <c r="AY2407" s="20"/>
      <c r="AZ2407" s="20"/>
      <c r="BA2407" s="20"/>
    </row>
    <row r="2408" spans="49:53" x14ac:dyDescent="0.35">
      <c r="AW2408" s="20"/>
      <c r="AX2408" s="20"/>
      <c r="AY2408" s="20"/>
      <c r="AZ2408" s="20"/>
      <c r="BA2408" s="20"/>
    </row>
    <row r="2409" spans="49:53" x14ac:dyDescent="0.35">
      <c r="AW2409" s="20"/>
      <c r="AX2409" s="20"/>
      <c r="AY2409" s="20"/>
      <c r="AZ2409" s="20"/>
      <c r="BA2409" s="20"/>
    </row>
    <row r="2410" spans="49:53" x14ac:dyDescent="0.35">
      <c r="AW2410" s="20"/>
      <c r="AX2410" s="20"/>
      <c r="AY2410" s="20"/>
      <c r="AZ2410" s="20"/>
      <c r="BA2410" s="20"/>
    </row>
    <row r="2411" spans="49:53" x14ac:dyDescent="0.35">
      <c r="AW2411" s="20"/>
      <c r="AX2411" s="20"/>
      <c r="AY2411" s="20"/>
      <c r="AZ2411" s="20"/>
      <c r="BA2411" s="20"/>
    </row>
    <row r="2412" spans="49:53" x14ac:dyDescent="0.35">
      <c r="AW2412" s="20"/>
      <c r="AX2412" s="20"/>
      <c r="AY2412" s="20"/>
      <c r="AZ2412" s="20"/>
      <c r="BA2412" s="20"/>
    </row>
    <row r="2413" spans="49:53" x14ac:dyDescent="0.35">
      <c r="AW2413" s="20"/>
      <c r="AX2413" s="20"/>
      <c r="AY2413" s="20"/>
      <c r="AZ2413" s="20"/>
      <c r="BA2413" s="20"/>
    </row>
    <row r="2414" spans="49:53" x14ac:dyDescent="0.35">
      <c r="AW2414" s="20"/>
      <c r="AX2414" s="20"/>
      <c r="AY2414" s="20"/>
      <c r="AZ2414" s="20"/>
      <c r="BA2414" s="20"/>
    </row>
    <row r="2415" spans="49:53" x14ac:dyDescent="0.35">
      <c r="AW2415" s="20"/>
      <c r="AX2415" s="20"/>
      <c r="AY2415" s="20"/>
      <c r="AZ2415" s="20"/>
      <c r="BA2415" s="20"/>
    </row>
    <row r="2416" spans="49:53" x14ac:dyDescent="0.35">
      <c r="AW2416" s="20"/>
      <c r="AX2416" s="20"/>
      <c r="AY2416" s="20"/>
      <c r="AZ2416" s="20"/>
      <c r="BA2416" s="20"/>
    </row>
    <row r="2417" spans="49:53" x14ac:dyDescent="0.35">
      <c r="AW2417" s="20"/>
      <c r="AX2417" s="20"/>
      <c r="AY2417" s="20"/>
      <c r="AZ2417" s="20"/>
      <c r="BA2417" s="20"/>
    </row>
    <row r="2418" spans="49:53" x14ac:dyDescent="0.35">
      <c r="AW2418" s="20"/>
      <c r="AX2418" s="20"/>
      <c r="AY2418" s="20"/>
      <c r="AZ2418" s="20"/>
      <c r="BA2418" s="20"/>
    </row>
    <row r="2419" spans="49:53" x14ac:dyDescent="0.35">
      <c r="AW2419" s="20"/>
      <c r="AX2419" s="20"/>
      <c r="AY2419" s="20"/>
      <c r="AZ2419" s="20"/>
      <c r="BA2419" s="20"/>
    </row>
    <row r="2420" spans="49:53" x14ac:dyDescent="0.35">
      <c r="AW2420" s="20"/>
      <c r="AX2420" s="20"/>
      <c r="AY2420" s="20"/>
      <c r="AZ2420" s="20"/>
      <c r="BA2420" s="20"/>
    </row>
    <row r="2421" spans="49:53" x14ac:dyDescent="0.35">
      <c r="AW2421" s="20"/>
      <c r="AX2421" s="20"/>
      <c r="AY2421" s="20"/>
      <c r="AZ2421" s="20"/>
      <c r="BA2421" s="20"/>
    </row>
    <row r="2422" spans="49:53" x14ac:dyDescent="0.35">
      <c r="AW2422" s="20"/>
      <c r="AX2422" s="20"/>
      <c r="AY2422" s="20"/>
      <c r="AZ2422" s="20"/>
      <c r="BA2422" s="20"/>
    </row>
    <row r="2423" spans="49:53" x14ac:dyDescent="0.35">
      <c r="AW2423" s="20"/>
      <c r="AX2423" s="20"/>
      <c r="AY2423" s="20"/>
      <c r="AZ2423" s="20"/>
      <c r="BA2423" s="20"/>
    </row>
    <row r="2424" spans="49:53" x14ac:dyDescent="0.35">
      <c r="AW2424" s="20"/>
      <c r="AX2424" s="20"/>
      <c r="AY2424" s="20"/>
      <c r="AZ2424" s="20"/>
      <c r="BA2424" s="20"/>
    </row>
    <row r="2425" spans="49:53" x14ac:dyDescent="0.35">
      <c r="AW2425" s="20"/>
      <c r="AX2425" s="20"/>
      <c r="AY2425" s="20"/>
      <c r="AZ2425" s="20"/>
      <c r="BA2425" s="20"/>
    </row>
    <row r="2426" spans="49:53" x14ac:dyDescent="0.35">
      <c r="AW2426" s="20"/>
      <c r="AX2426" s="20"/>
      <c r="AY2426" s="20"/>
      <c r="AZ2426" s="20"/>
      <c r="BA2426" s="20"/>
    </row>
    <row r="2427" spans="49:53" x14ac:dyDescent="0.35">
      <c r="AW2427" s="20"/>
      <c r="AX2427" s="20"/>
      <c r="AY2427" s="20"/>
      <c r="AZ2427" s="20"/>
      <c r="BA2427" s="20"/>
    </row>
    <row r="2428" spans="49:53" x14ac:dyDescent="0.35">
      <c r="AW2428" s="20"/>
      <c r="AX2428" s="20"/>
      <c r="AY2428" s="20"/>
      <c r="AZ2428" s="20"/>
      <c r="BA2428" s="20"/>
    </row>
    <row r="2429" spans="49:53" x14ac:dyDescent="0.35">
      <c r="AW2429" s="20"/>
      <c r="AX2429" s="20"/>
      <c r="AY2429" s="20"/>
      <c r="AZ2429" s="20"/>
      <c r="BA2429" s="20"/>
    </row>
    <row r="2430" spans="49:53" x14ac:dyDescent="0.35">
      <c r="AW2430" s="20"/>
      <c r="AX2430" s="20"/>
      <c r="AY2430" s="20"/>
      <c r="AZ2430" s="20"/>
      <c r="BA2430" s="20"/>
    </row>
    <row r="2431" spans="49:53" x14ac:dyDescent="0.35">
      <c r="AW2431" s="20"/>
      <c r="AX2431" s="20"/>
      <c r="AY2431" s="20"/>
      <c r="AZ2431" s="20"/>
      <c r="BA2431" s="20"/>
    </row>
    <row r="2432" spans="49:53" x14ac:dyDescent="0.35">
      <c r="AW2432" s="20"/>
      <c r="AX2432" s="20"/>
      <c r="AY2432" s="20"/>
      <c r="AZ2432" s="20"/>
      <c r="BA2432" s="20"/>
    </row>
    <row r="2433" spans="49:53" x14ac:dyDescent="0.35">
      <c r="AW2433" s="20"/>
      <c r="AX2433" s="20"/>
      <c r="AY2433" s="20"/>
      <c r="AZ2433" s="20"/>
      <c r="BA2433" s="20"/>
    </row>
    <row r="2434" spans="49:53" x14ac:dyDescent="0.35">
      <c r="AW2434" s="20"/>
      <c r="AX2434" s="20"/>
      <c r="AY2434" s="20"/>
      <c r="AZ2434" s="20"/>
      <c r="BA2434" s="20"/>
    </row>
    <row r="2435" spans="49:53" x14ac:dyDescent="0.35">
      <c r="AW2435" s="20"/>
      <c r="AX2435" s="20"/>
      <c r="AY2435" s="20"/>
      <c r="AZ2435" s="20"/>
      <c r="BA2435" s="20"/>
    </row>
    <row r="2436" spans="49:53" x14ac:dyDescent="0.35">
      <c r="AW2436" s="20"/>
      <c r="AX2436" s="20"/>
      <c r="AY2436" s="20"/>
      <c r="AZ2436" s="20"/>
      <c r="BA2436" s="20"/>
    </row>
    <row r="2437" spans="49:53" x14ac:dyDescent="0.35">
      <c r="AW2437" s="20"/>
      <c r="AX2437" s="20"/>
      <c r="AY2437" s="20"/>
      <c r="AZ2437" s="20"/>
      <c r="BA2437" s="20"/>
    </row>
    <row r="2438" spans="49:53" x14ac:dyDescent="0.35">
      <c r="AW2438" s="20"/>
      <c r="AX2438" s="20"/>
      <c r="AY2438" s="20"/>
      <c r="AZ2438" s="20"/>
      <c r="BA2438" s="20"/>
    </row>
    <row r="2439" spans="49:53" x14ac:dyDescent="0.35">
      <c r="AW2439" s="20"/>
      <c r="AX2439" s="20"/>
      <c r="AY2439" s="20"/>
      <c r="AZ2439" s="20"/>
      <c r="BA2439" s="20"/>
    </row>
    <row r="2440" spans="49:53" x14ac:dyDescent="0.35">
      <c r="AW2440" s="20"/>
      <c r="AX2440" s="20"/>
      <c r="AY2440" s="20"/>
      <c r="AZ2440" s="20"/>
      <c r="BA2440" s="20"/>
    </row>
    <row r="2441" spans="49:53" x14ac:dyDescent="0.35">
      <c r="AW2441" s="20"/>
      <c r="AX2441" s="20"/>
      <c r="AY2441" s="20"/>
      <c r="AZ2441" s="20"/>
      <c r="BA2441" s="20"/>
    </row>
    <row r="2442" spans="49:53" x14ac:dyDescent="0.35">
      <c r="AW2442" s="20"/>
      <c r="AX2442" s="20"/>
      <c r="AY2442" s="20"/>
      <c r="AZ2442" s="20"/>
      <c r="BA2442" s="20"/>
    </row>
    <row r="2443" spans="49:53" x14ac:dyDescent="0.35">
      <c r="AW2443" s="20"/>
      <c r="AX2443" s="20"/>
      <c r="AY2443" s="20"/>
      <c r="AZ2443" s="20"/>
      <c r="BA2443" s="20"/>
    </row>
    <row r="2444" spans="49:53" x14ac:dyDescent="0.35">
      <c r="AW2444" s="20"/>
      <c r="AX2444" s="20"/>
      <c r="AY2444" s="20"/>
      <c r="AZ2444" s="20"/>
      <c r="BA2444" s="20"/>
    </row>
    <row r="2445" spans="49:53" x14ac:dyDescent="0.35">
      <c r="AW2445" s="20"/>
      <c r="AX2445" s="20"/>
      <c r="AY2445" s="20"/>
      <c r="AZ2445" s="20"/>
      <c r="BA2445" s="20"/>
    </row>
    <row r="2446" spans="49:53" x14ac:dyDescent="0.35">
      <c r="AW2446" s="20"/>
      <c r="AX2446" s="20"/>
      <c r="AY2446" s="20"/>
      <c r="AZ2446" s="20"/>
      <c r="BA2446" s="20"/>
    </row>
    <row r="2447" spans="49:53" x14ac:dyDescent="0.35">
      <c r="AW2447" s="20"/>
      <c r="AX2447" s="20"/>
      <c r="AY2447" s="20"/>
      <c r="AZ2447" s="20"/>
      <c r="BA2447" s="20"/>
    </row>
    <row r="2448" spans="49:53" x14ac:dyDescent="0.35">
      <c r="AW2448" s="20"/>
      <c r="AX2448" s="20"/>
      <c r="AY2448" s="20"/>
      <c r="AZ2448" s="20"/>
      <c r="BA2448" s="20"/>
    </row>
    <row r="2449" spans="49:53" x14ac:dyDescent="0.35">
      <c r="AW2449" s="20"/>
      <c r="AX2449" s="20"/>
      <c r="AY2449" s="20"/>
      <c r="AZ2449" s="20"/>
      <c r="BA2449" s="20"/>
    </row>
    <row r="2450" spans="49:53" x14ac:dyDescent="0.35">
      <c r="AW2450" s="20"/>
      <c r="AX2450" s="20"/>
      <c r="AY2450" s="20"/>
      <c r="AZ2450" s="20"/>
      <c r="BA2450" s="20"/>
    </row>
    <row r="2451" spans="49:53" x14ac:dyDescent="0.35">
      <c r="AW2451" s="20"/>
      <c r="AX2451" s="20"/>
      <c r="AY2451" s="20"/>
      <c r="AZ2451" s="20"/>
      <c r="BA2451" s="20"/>
    </row>
    <row r="2452" spans="49:53" x14ac:dyDescent="0.35">
      <c r="AW2452" s="20"/>
      <c r="AX2452" s="20"/>
      <c r="AY2452" s="20"/>
      <c r="AZ2452" s="20"/>
      <c r="BA2452" s="20"/>
    </row>
    <row r="2453" spans="49:53" x14ac:dyDescent="0.35">
      <c r="AW2453" s="20"/>
      <c r="AX2453" s="20"/>
      <c r="AY2453" s="20"/>
      <c r="AZ2453" s="20"/>
      <c r="BA2453" s="20"/>
    </row>
    <row r="2454" spans="49:53" x14ac:dyDescent="0.35">
      <c r="AW2454" s="20"/>
      <c r="AX2454" s="20"/>
      <c r="AY2454" s="20"/>
      <c r="AZ2454" s="20"/>
      <c r="BA2454" s="20"/>
    </row>
    <row r="2455" spans="49:53" x14ac:dyDescent="0.35">
      <c r="AW2455" s="20"/>
      <c r="AX2455" s="20"/>
      <c r="AY2455" s="20"/>
      <c r="AZ2455" s="20"/>
      <c r="BA2455" s="20"/>
    </row>
    <row r="2456" spans="49:53" x14ac:dyDescent="0.35">
      <c r="AW2456" s="20"/>
      <c r="AX2456" s="20"/>
      <c r="AY2456" s="20"/>
      <c r="AZ2456" s="20"/>
      <c r="BA2456" s="20"/>
    </row>
    <row r="2457" spans="49:53" x14ac:dyDescent="0.35">
      <c r="AW2457" s="20"/>
      <c r="AX2457" s="20"/>
      <c r="AY2457" s="20"/>
      <c r="AZ2457" s="20"/>
      <c r="BA2457" s="20"/>
    </row>
    <row r="2458" spans="49:53" x14ac:dyDescent="0.35">
      <c r="AW2458" s="20"/>
      <c r="AX2458" s="20"/>
      <c r="AY2458" s="20"/>
      <c r="AZ2458" s="20"/>
      <c r="BA2458" s="20"/>
    </row>
    <row r="2459" spans="49:53" x14ac:dyDescent="0.35">
      <c r="AW2459" s="20"/>
      <c r="AX2459" s="20"/>
      <c r="AY2459" s="20"/>
      <c r="AZ2459" s="20"/>
      <c r="BA2459" s="20"/>
    </row>
    <row r="2460" spans="49:53" x14ac:dyDescent="0.35">
      <c r="AW2460" s="20"/>
      <c r="AX2460" s="20"/>
      <c r="AY2460" s="20"/>
      <c r="AZ2460" s="20"/>
      <c r="BA2460" s="20"/>
    </row>
    <row r="2461" spans="49:53" x14ac:dyDescent="0.35">
      <c r="AW2461" s="20"/>
      <c r="AX2461" s="20"/>
      <c r="AY2461" s="20"/>
      <c r="AZ2461" s="20"/>
      <c r="BA2461" s="20"/>
    </row>
    <row r="2462" spans="49:53" x14ac:dyDescent="0.35">
      <c r="AW2462" s="20"/>
      <c r="AX2462" s="20"/>
      <c r="AY2462" s="20"/>
      <c r="AZ2462" s="20"/>
      <c r="BA2462" s="20"/>
    </row>
    <row r="2463" spans="49:53" x14ac:dyDescent="0.35">
      <c r="AW2463" s="20"/>
      <c r="AX2463" s="20"/>
      <c r="AY2463" s="20"/>
      <c r="AZ2463" s="20"/>
      <c r="BA2463" s="20"/>
    </row>
    <row r="2464" spans="49:53" x14ac:dyDescent="0.35">
      <c r="AW2464" s="20"/>
      <c r="AX2464" s="20"/>
      <c r="AY2464" s="20"/>
      <c r="AZ2464" s="20"/>
      <c r="BA2464" s="20"/>
    </row>
    <row r="2465" spans="49:53" x14ac:dyDescent="0.35">
      <c r="AW2465" s="20"/>
      <c r="AX2465" s="20"/>
      <c r="AY2465" s="20"/>
      <c r="AZ2465" s="20"/>
      <c r="BA2465" s="20"/>
    </row>
    <row r="2466" spans="49:53" x14ac:dyDescent="0.35">
      <c r="AW2466" s="20"/>
      <c r="AX2466" s="20"/>
      <c r="AY2466" s="20"/>
      <c r="AZ2466" s="20"/>
      <c r="BA2466" s="20"/>
    </row>
    <row r="2467" spans="49:53" x14ac:dyDescent="0.35">
      <c r="AW2467" s="20"/>
      <c r="AX2467" s="20"/>
      <c r="AY2467" s="20"/>
      <c r="AZ2467" s="20"/>
      <c r="BA2467" s="20"/>
    </row>
    <row r="2468" spans="49:53" x14ac:dyDescent="0.35">
      <c r="AW2468" s="20"/>
      <c r="AX2468" s="20"/>
      <c r="AY2468" s="20"/>
      <c r="AZ2468" s="20"/>
      <c r="BA2468" s="20"/>
    </row>
    <row r="2469" spans="49:53" x14ac:dyDescent="0.35">
      <c r="AW2469" s="20"/>
      <c r="AX2469" s="20"/>
      <c r="AY2469" s="20"/>
      <c r="AZ2469" s="20"/>
      <c r="BA2469" s="20"/>
    </row>
    <row r="2470" spans="49:53" x14ac:dyDescent="0.35">
      <c r="AW2470" s="20"/>
      <c r="AX2470" s="20"/>
      <c r="AY2470" s="20"/>
      <c r="AZ2470" s="20"/>
      <c r="BA2470" s="20"/>
    </row>
    <row r="2471" spans="49:53" x14ac:dyDescent="0.35">
      <c r="AW2471" s="20"/>
      <c r="AX2471" s="20"/>
      <c r="AY2471" s="20"/>
      <c r="AZ2471" s="20"/>
      <c r="BA2471" s="20"/>
    </row>
    <row r="2472" spans="49:53" x14ac:dyDescent="0.35">
      <c r="AW2472" s="20"/>
      <c r="AX2472" s="20"/>
      <c r="AY2472" s="20"/>
      <c r="AZ2472" s="20"/>
      <c r="BA2472" s="20"/>
    </row>
    <row r="2473" spans="49:53" x14ac:dyDescent="0.35">
      <c r="AW2473" s="20"/>
      <c r="AX2473" s="20"/>
      <c r="AY2473" s="20"/>
      <c r="AZ2473" s="20"/>
      <c r="BA2473" s="20"/>
    </row>
    <row r="2474" spans="49:53" x14ac:dyDescent="0.35">
      <c r="AW2474" s="20"/>
      <c r="AX2474" s="20"/>
      <c r="AY2474" s="20"/>
      <c r="AZ2474" s="20"/>
      <c r="BA2474" s="20"/>
    </row>
    <row r="2475" spans="49:53" x14ac:dyDescent="0.35">
      <c r="AW2475" s="20"/>
      <c r="AX2475" s="20"/>
      <c r="AY2475" s="20"/>
      <c r="AZ2475" s="20"/>
      <c r="BA2475" s="20"/>
    </row>
    <row r="2476" spans="49:53" x14ac:dyDescent="0.35">
      <c r="AW2476" s="20"/>
      <c r="AX2476" s="20"/>
      <c r="AY2476" s="20"/>
      <c r="AZ2476" s="20"/>
      <c r="BA2476" s="20"/>
    </row>
    <row r="2477" spans="49:53" x14ac:dyDescent="0.35">
      <c r="AW2477" s="20"/>
      <c r="AX2477" s="20"/>
      <c r="AY2477" s="20"/>
      <c r="AZ2477" s="20"/>
      <c r="BA2477" s="20"/>
    </row>
    <row r="2478" spans="49:53" x14ac:dyDescent="0.35">
      <c r="AW2478" s="20"/>
      <c r="AX2478" s="20"/>
      <c r="AY2478" s="20"/>
      <c r="AZ2478" s="20"/>
      <c r="BA2478" s="20"/>
    </row>
    <row r="2479" spans="49:53" x14ac:dyDescent="0.35">
      <c r="AW2479" s="20"/>
      <c r="AX2479" s="20"/>
      <c r="AY2479" s="20"/>
      <c r="AZ2479" s="20"/>
      <c r="BA2479" s="20"/>
    </row>
    <row r="2480" spans="49:53" x14ac:dyDescent="0.35">
      <c r="AW2480" s="20"/>
      <c r="AX2480" s="20"/>
      <c r="AY2480" s="20"/>
      <c r="AZ2480" s="20"/>
      <c r="BA2480" s="20"/>
    </row>
    <row r="2481" spans="49:53" x14ac:dyDescent="0.35">
      <c r="AW2481" s="20"/>
      <c r="AX2481" s="20"/>
      <c r="AY2481" s="20"/>
      <c r="AZ2481" s="20"/>
      <c r="BA2481" s="20"/>
    </row>
    <row r="2482" spans="49:53" x14ac:dyDescent="0.35">
      <c r="AW2482" s="20"/>
      <c r="AX2482" s="20"/>
      <c r="AY2482" s="20"/>
      <c r="AZ2482" s="20"/>
      <c r="BA2482" s="20"/>
    </row>
    <row r="2483" spans="49:53" x14ac:dyDescent="0.35">
      <c r="AW2483" s="20"/>
      <c r="AX2483" s="20"/>
      <c r="AY2483" s="20"/>
      <c r="AZ2483" s="20"/>
      <c r="BA2483" s="20"/>
    </row>
    <row r="2484" spans="49:53" x14ac:dyDescent="0.35">
      <c r="AW2484" s="20"/>
      <c r="AX2484" s="20"/>
      <c r="AY2484" s="20"/>
      <c r="AZ2484" s="20"/>
      <c r="BA2484" s="20"/>
    </row>
    <row r="2485" spans="49:53" x14ac:dyDescent="0.35">
      <c r="AW2485" s="20"/>
      <c r="AX2485" s="20"/>
      <c r="AY2485" s="20"/>
      <c r="AZ2485" s="20"/>
      <c r="BA2485" s="20"/>
    </row>
    <row r="2486" spans="49:53" x14ac:dyDescent="0.35">
      <c r="AW2486" s="20"/>
      <c r="AX2486" s="20"/>
      <c r="AY2486" s="20"/>
      <c r="AZ2486" s="20"/>
      <c r="BA2486" s="20"/>
    </row>
    <row r="2487" spans="49:53" x14ac:dyDescent="0.35">
      <c r="AW2487" s="20"/>
      <c r="AX2487" s="20"/>
      <c r="AY2487" s="20"/>
      <c r="AZ2487" s="20"/>
      <c r="BA2487" s="20"/>
    </row>
    <row r="2488" spans="49:53" x14ac:dyDescent="0.35">
      <c r="AW2488" s="20"/>
      <c r="AX2488" s="20"/>
      <c r="AY2488" s="20"/>
      <c r="AZ2488" s="20"/>
      <c r="BA2488" s="20"/>
    </row>
    <row r="2489" spans="49:53" x14ac:dyDescent="0.35">
      <c r="AW2489" s="20"/>
      <c r="AX2489" s="20"/>
      <c r="AY2489" s="20"/>
      <c r="AZ2489" s="20"/>
      <c r="BA2489" s="20"/>
    </row>
    <row r="2490" spans="49:53" x14ac:dyDescent="0.35">
      <c r="AW2490" s="20"/>
      <c r="AX2490" s="20"/>
      <c r="AY2490" s="20"/>
      <c r="AZ2490" s="20"/>
      <c r="BA2490" s="20"/>
    </row>
    <row r="2491" spans="49:53" x14ac:dyDescent="0.35">
      <c r="AW2491" s="20"/>
      <c r="AX2491" s="20"/>
      <c r="AY2491" s="20"/>
      <c r="AZ2491" s="20"/>
      <c r="BA2491" s="20"/>
    </row>
    <row r="2492" spans="49:53" x14ac:dyDescent="0.35">
      <c r="AW2492" s="20"/>
      <c r="AX2492" s="20"/>
      <c r="AY2492" s="20"/>
      <c r="AZ2492" s="20"/>
      <c r="BA2492" s="20"/>
    </row>
    <row r="2493" spans="49:53" x14ac:dyDescent="0.35">
      <c r="AW2493" s="20"/>
      <c r="AX2493" s="20"/>
      <c r="AY2493" s="20"/>
      <c r="AZ2493" s="20"/>
      <c r="BA2493" s="20"/>
    </row>
    <row r="2494" spans="49:53" x14ac:dyDescent="0.35">
      <c r="AW2494" s="20"/>
      <c r="AX2494" s="20"/>
      <c r="AY2494" s="20"/>
      <c r="AZ2494" s="20"/>
      <c r="BA2494" s="20"/>
    </row>
    <row r="2495" spans="49:53" x14ac:dyDescent="0.35">
      <c r="AW2495" s="20"/>
      <c r="AX2495" s="20"/>
      <c r="AY2495" s="20"/>
      <c r="AZ2495" s="20"/>
      <c r="BA2495" s="20"/>
    </row>
    <row r="2496" spans="49:53" x14ac:dyDescent="0.35">
      <c r="AW2496" s="20"/>
      <c r="AX2496" s="20"/>
      <c r="AY2496" s="20"/>
      <c r="AZ2496" s="20"/>
      <c r="BA2496" s="20"/>
    </row>
    <row r="2497" spans="49:53" x14ac:dyDescent="0.35">
      <c r="AW2497" s="20"/>
      <c r="AX2497" s="20"/>
      <c r="AY2497" s="20"/>
      <c r="AZ2497" s="20"/>
      <c r="BA2497" s="20"/>
    </row>
    <row r="2498" spans="49:53" x14ac:dyDescent="0.35">
      <c r="AW2498" s="20"/>
      <c r="AX2498" s="20"/>
      <c r="AY2498" s="20"/>
      <c r="AZ2498" s="20"/>
      <c r="BA2498" s="20"/>
    </row>
    <row r="2499" spans="49:53" x14ac:dyDescent="0.35">
      <c r="AW2499" s="20"/>
      <c r="AX2499" s="20"/>
      <c r="AY2499" s="20"/>
      <c r="AZ2499" s="20"/>
      <c r="BA2499" s="20"/>
    </row>
    <row r="2500" spans="49:53" x14ac:dyDescent="0.35">
      <c r="AW2500" s="20"/>
      <c r="AX2500" s="20"/>
      <c r="AY2500" s="20"/>
      <c r="AZ2500" s="20"/>
      <c r="BA2500" s="20"/>
    </row>
    <row r="2501" spans="49:53" x14ac:dyDescent="0.35">
      <c r="AW2501" s="20"/>
      <c r="AX2501" s="20"/>
      <c r="AY2501" s="20"/>
      <c r="AZ2501" s="20"/>
      <c r="BA2501" s="20"/>
    </row>
    <row r="2502" spans="49:53" x14ac:dyDescent="0.35">
      <c r="AW2502" s="20"/>
      <c r="AX2502" s="20"/>
      <c r="AY2502" s="20"/>
      <c r="AZ2502" s="20"/>
      <c r="BA2502" s="20"/>
    </row>
    <row r="2503" spans="49:53" x14ac:dyDescent="0.35">
      <c r="AW2503" s="20"/>
      <c r="AX2503" s="20"/>
      <c r="AY2503" s="20"/>
      <c r="AZ2503" s="20"/>
      <c r="BA2503" s="20"/>
    </row>
    <row r="2504" spans="49:53" x14ac:dyDescent="0.35">
      <c r="AW2504" s="20"/>
      <c r="AX2504" s="20"/>
      <c r="AY2504" s="20"/>
      <c r="AZ2504" s="20"/>
      <c r="BA2504" s="20"/>
    </row>
    <row r="2505" spans="49:53" x14ac:dyDescent="0.35">
      <c r="AW2505" s="20"/>
      <c r="AX2505" s="20"/>
      <c r="AY2505" s="20"/>
      <c r="AZ2505" s="20"/>
      <c r="BA2505" s="20"/>
    </row>
    <row r="2506" spans="49:53" x14ac:dyDescent="0.35">
      <c r="AW2506" s="20"/>
      <c r="AX2506" s="20"/>
      <c r="AY2506" s="20"/>
      <c r="AZ2506" s="20"/>
      <c r="BA2506" s="20"/>
    </row>
    <row r="2507" spans="49:53" x14ac:dyDescent="0.35">
      <c r="AW2507" s="20"/>
      <c r="AX2507" s="20"/>
      <c r="AY2507" s="20"/>
      <c r="AZ2507" s="20"/>
      <c r="BA2507" s="20"/>
    </row>
    <row r="2508" spans="49:53" x14ac:dyDescent="0.35">
      <c r="AW2508" s="20"/>
      <c r="AX2508" s="20"/>
      <c r="AY2508" s="20"/>
      <c r="AZ2508" s="20"/>
      <c r="BA2508" s="20"/>
    </row>
    <row r="2509" spans="49:53" x14ac:dyDescent="0.35">
      <c r="AW2509" s="20"/>
      <c r="AX2509" s="20"/>
      <c r="AY2509" s="20"/>
      <c r="AZ2509" s="20"/>
      <c r="BA2509" s="20"/>
    </row>
    <row r="2510" spans="49:53" x14ac:dyDescent="0.35">
      <c r="AW2510" s="20"/>
      <c r="AX2510" s="20"/>
      <c r="AY2510" s="20"/>
      <c r="AZ2510" s="20"/>
      <c r="BA2510" s="20"/>
    </row>
    <row r="2511" spans="49:53" x14ac:dyDescent="0.35">
      <c r="AW2511" s="20"/>
      <c r="AX2511" s="20"/>
      <c r="AY2511" s="20"/>
      <c r="AZ2511" s="20"/>
      <c r="BA2511" s="20"/>
    </row>
    <row r="2512" spans="49:53" x14ac:dyDescent="0.35">
      <c r="AW2512" s="20"/>
      <c r="AX2512" s="20"/>
      <c r="AY2512" s="20"/>
      <c r="AZ2512" s="20"/>
      <c r="BA2512" s="20"/>
    </row>
    <row r="2513" spans="49:53" x14ac:dyDescent="0.35">
      <c r="AW2513" s="20"/>
      <c r="AX2513" s="20"/>
      <c r="AY2513" s="20"/>
      <c r="AZ2513" s="20"/>
      <c r="BA2513" s="20"/>
    </row>
    <row r="2514" spans="49:53" x14ac:dyDescent="0.35">
      <c r="AW2514" s="20"/>
      <c r="AX2514" s="20"/>
      <c r="AY2514" s="20"/>
      <c r="AZ2514" s="20"/>
      <c r="BA2514" s="20"/>
    </row>
    <row r="2515" spans="49:53" x14ac:dyDescent="0.35">
      <c r="AW2515" s="20"/>
      <c r="AX2515" s="20"/>
      <c r="AY2515" s="20"/>
      <c r="AZ2515" s="20"/>
      <c r="BA2515" s="20"/>
    </row>
    <row r="2516" spans="49:53" x14ac:dyDescent="0.35">
      <c r="AW2516" s="20"/>
      <c r="AX2516" s="20"/>
      <c r="AY2516" s="20"/>
      <c r="AZ2516" s="20"/>
      <c r="BA2516" s="20"/>
    </row>
    <row r="2517" spans="49:53" x14ac:dyDescent="0.35">
      <c r="AW2517" s="20"/>
      <c r="AX2517" s="20"/>
      <c r="AY2517" s="20"/>
      <c r="AZ2517" s="20"/>
      <c r="BA2517" s="20"/>
    </row>
    <row r="2518" spans="49:53" x14ac:dyDescent="0.35">
      <c r="AW2518" s="20"/>
      <c r="AX2518" s="20"/>
      <c r="AY2518" s="20"/>
      <c r="AZ2518" s="20"/>
      <c r="BA2518" s="20"/>
    </row>
    <row r="2519" spans="49:53" x14ac:dyDescent="0.35">
      <c r="AW2519" s="20"/>
      <c r="AX2519" s="20"/>
      <c r="AY2519" s="20"/>
      <c r="AZ2519" s="20"/>
      <c r="BA2519" s="20"/>
    </row>
    <row r="2520" spans="49:53" x14ac:dyDescent="0.35">
      <c r="AW2520" s="20"/>
      <c r="AX2520" s="20"/>
      <c r="AY2520" s="20"/>
      <c r="AZ2520" s="20"/>
      <c r="BA2520" s="20"/>
    </row>
    <row r="2521" spans="49:53" x14ac:dyDescent="0.35">
      <c r="AW2521" s="20"/>
      <c r="AX2521" s="20"/>
      <c r="AY2521" s="20"/>
      <c r="AZ2521" s="20"/>
      <c r="BA2521" s="20"/>
    </row>
    <row r="2522" spans="49:53" x14ac:dyDescent="0.35">
      <c r="AW2522" s="20"/>
      <c r="AX2522" s="20"/>
      <c r="AY2522" s="20"/>
      <c r="AZ2522" s="20"/>
      <c r="BA2522" s="20"/>
    </row>
    <row r="2523" spans="49:53" x14ac:dyDescent="0.35">
      <c r="AW2523" s="20"/>
      <c r="AX2523" s="20"/>
      <c r="AY2523" s="20"/>
      <c r="AZ2523" s="20"/>
      <c r="BA2523" s="20"/>
    </row>
    <row r="2524" spans="49:53" x14ac:dyDescent="0.35">
      <c r="AW2524" s="20"/>
      <c r="AX2524" s="20"/>
      <c r="AY2524" s="20"/>
      <c r="AZ2524" s="20"/>
      <c r="BA2524" s="20"/>
    </row>
    <row r="2525" spans="49:53" x14ac:dyDescent="0.35">
      <c r="AW2525" s="20"/>
      <c r="AX2525" s="20"/>
      <c r="AY2525" s="20"/>
      <c r="AZ2525" s="20"/>
      <c r="BA2525" s="20"/>
    </row>
    <row r="2526" spans="49:53" x14ac:dyDescent="0.35">
      <c r="AW2526" s="20"/>
      <c r="AX2526" s="20"/>
      <c r="AY2526" s="20"/>
      <c r="AZ2526" s="20"/>
      <c r="BA2526" s="20"/>
    </row>
    <row r="2527" spans="49:53" x14ac:dyDescent="0.35">
      <c r="AW2527" s="20"/>
      <c r="AX2527" s="20"/>
      <c r="AY2527" s="20"/>
      <c r="AZ2527" s="20"/>
      <c r="BA2527" s="20"/>
    </row>
    <row r="2528" spans="49:53" x14ac:dyDescent="0.35">
      <c r="AW2528" s="20"/>
      <c r="AX2528" s="20"/>
      <c r="AY2528" s="20"/>
      <c r="AZ2528" s="20"/>
      <c r="BA2528" s="20"/>
    </row>
    <row r="2529" spans="49:53" x14ac:dyDescent="0.35">
      <c r="AW2529" s="20"/>
      <c r="AX2529" s="20"/>
      <c r="AY2529" s="20"/>
      <c r="AZ2529" s="20"/>
      <c r="BA2529" s="20"/>
    </row>
    <row r="2530" spans="49:53" x14ac:dyDescent="0.35">
      <c r="AW2530" s="20"/>
      <c r="AX2530" s="20"/>
      <c r="AY2530" s="20"/>
      <c r="AZ2530" s="20"/>
      <c r="BA2530" s="20"/>
    </row>
    <row r="2531" spans="49:53" x14ac:dyDescent="0.35">
      <c r="AW2531" s="20"/>
      <c r="AX2531" s="20"/>
      <c r="AY2531" s="20"/>
      <c r="AZ2531" s="20"/>
      <c r="BA2531" s="20"/>
    </row>
    <row r="2532" spans="49:53" x14ac:dyDescent="0.35">
      <c r="AW2532" s="20"/>
      <c r="AX2532" s="20"/>
      <c r="AY2532" s="20"/>
      <c r="AZ2532" s="20"/>
      <c r="BA2532" s="20"/>
    </row>
    <row r="2533" spans="49:53" x14ac:dyDescent="0.35">
      <c r="AW2533" s="20"/>
      <c r="AX2533" s="20"/>
      <c r="AY2533" s="20"/>
      <c r="AZ2533" s="20"/>
      <c r="BA2533" s="20"/>
    </row>
    <row r="2534" spans="49:53" x14ac:dyDescent="0.35">
      <c r="AW2534" s="20"/>
      <c r="AX2534" s="20"/>
      <c r="AY2534" s="20"/>
      <c r="AZ2534" s="20"/>
      <c r="BA2534" s="20"/>
    </row>
    <row r="2535" spans="49:53" x14ac:dyDescent="0.35">
      <c r="AW2535" s="20"/>
      <c r="AX2535" s="20"/>
      <c r="AY2535" s="20"/>
      <c r="AZ2535" s="20"/>
      <c r="BA2535" s="20"/>
    </row>
    <row r="2536" spans="49:53" x14ac:dyDescent="0.35">
      <c r="AW2536" s="20"/>
      <c r="AX2536" s="20"/>
      <c r="AY2536" s="20"/>
      <c r="AZ2536" s="20"/>
      <c r="BA2536" s="20"/>
    </row>
    <row r="2537" spans="49:53" x14ac:dyDescent="0.35">
      <c r="AW2537" s="20"/>
      <c r="AX2537" s="20"/>
      <c r="AY2537" s="20"/>
      <c r="AZ2537" s="20"/>
      <c r="BA2537" s="20"/>
    </row>
    <row r="2538" spans="49:53" x14ac:dyDescent="0.35">
      <c r="AW2538" s="20"/>
      <c r="AX2538" s="20"/>
      <c r="AY2538" s="20"/>
      <c r="AZ2538" s="20"/>
      <c r="BA2538" s="20"/>
    </row>
    <row r="2539" spans="49:53" x14ac:dyDescent="0.35">
      <c r="AW2539" s="20"/>
      <c r="AX2539" s="20"/>
      <c r="AY2539" s="20"/>
      <c r="AZ2539" s="20"/>
      <c r="BA2539" s="20"/>
    </row>
    <row r="2540" spans="49:53" x14ac:dyDescent="0.35">
      <c r="AW2540" s="20"/>
      <c r="AX2540" s="20"/>
      <c r="AY2540" s="20"/>
      <c r="AZ2540" s="20"/>
      <c r="BA2540" s="20"/>
    </row>
    <row r="2541" spans="49:53" x14ac:dyDescent="0.35">
      <c r="AW2541" s="20"/>
      <c r="AX2541" s="20"/>
      <c r="AY2541" s="20"/>
      <c r="AZ2541" s="20"/>
      <c r="BA2541" s="20"/>
    </row>
    <row r="2542" spans="49:53" x14ac:dyDescent="0.35">
      <c r="AW2542" s="20"/>
      <c r="AX2542" s="20"/>
      <c r="AY2542" s="20"/>
      <c r="AZ2542" s="20"/>
      <c r="BA2542" s="20"/>
    </row>
    <row r="2543" spans="49:53" x14ac:dyDescent="0.35">
      <c r="AW2543" s="20"/>
      <c r="AX2543" s="20"/>
      <c r="AY2543" s="20"/>
      <c r="AZ2543" s="20"/>
      <c r="BA2543" s="20"/>
    </row>
    <row r="2544" spans="49:53" x14ac:dyDescent="0.35">
      <c r="AW2544" s="20"/>
      <c r="AX2544" s="20"/>
      <c r="AY2544" s="20"/>
      <c r="AZ2544" s="20"/>
      <c r="BA2544" s="20"/>
    </row>
    <row r="2545" spans="49:53" x14ac:dyDescent="0.35">
      <c r="AW2545" s="20"/>
      <c r="AX2545" s="20"/>
      <c r="AY2545" s="20"/>
      <c r="AZ2545" s="20"/>
      <c r="BA2545" s="20"/>
    </row>
    <row r="2546" spans="49:53" x14ac:dyDescent="0.35">
      <c r="AW2546" s="20"/>
      <c r="AX2546" s="20"/>
      <c r="AY2546" s="20"/>
      <c r="AZ2546" s="20"/>
      <c r="BA2546" s="20"/>
    </row>
    <row r="2547" spans="49:53" x14ac:dyDescent="0.35">
      <c r="AW2547" s="20"/>
      <c r="AX2547" s="20"/>
      <c r="AY2547" s="20"/>
      <c r="AZ2547" s="20"/>
      <c r="BA2547" s="20"/>
    </row>
    <row r="2548" spans="49:53" x14ac:dyDescent="0.35">
      <c r="AW2548" s="20"/>
      <c r="AX2548" s="20"/>
      <c r="AY2548" s="20"/>
      <c r="AZ2548" s="20"/>
      <c r="BA2548" s="20"/>
    </row>
    <row r="2549" spans="49:53" x14ac:dyDescent="0.35">
      <c r="AW2549" s="20"/>
      <c r="AX2549" s="20"/>
      <c r="AY2549" s="20"/>
      <c r="AZ2549" s="20"/>
      <c r="BA2549" s="20"/>
    </row>
    <row r="2550" spans="49:53" x14ac:dyDescent="0.35">
      <c r="AW2550" s="20"/>
      <c r="AX2550" s="20"/>
      <c r="AY2550" s="20"/>
      <c r="AZ2550" s="20"/>
      <c r="BA2550" s="20"/>
    </row>
    <row r="2551" spans="49:53" x14ac:dyDescent="0.35">
      <c r="AW2551" s="20"/>
      <c r="AX2551" s="20"/>
      <c r="AY2551" s="20"/>
      <c r="AZ2551" s="20"/>
      <c r="BA2551" s="20"/>
    </row>
    <row r="2552" spans="49:53" x14ac:dyDescent="0.35">
      <c r="AW2552" s="20"/>
      <c r="AX2552" s="20"/>
      <c r="AY2552" s="20"/>
      <c r="AZ2552" s="20"/>
      <c r="BA2552" s="20"/>
    </row>
    <row r="2553" spans="49:53" x14ac:dyDescent="0.35">
      <c r="AW2553" s="20"/>
      <c r="AX2553" s="20"/>
      <c r="AY2553" s="20"/>
      <c r="AZ2553" s="20"/>
      <c r="BA2553" s="20"/>
    </row>
    <row r="2554" spans="49:53" x14ac:dyDescent="0.35">
      <c r="AW2554" s="20"/>
      <c r="AX2554" s="20"/>
      <c r="AY2554" s="20"/>
      <c r="AZ2554" s="20"/>
      <c r="BA2554" s="20"/>
    </row>
    <row r="2555" spans="49:53" x14ac:dyDescent="0.35">
      <c r="AW2555" s="20"/>
      <c r="AX2555" s="20"/>
      <c r="AY2555" s="20"/>
      <c r="AZ2555" s="20"/>
      <c r="BA2555" s="20"/>
    </row>
    <row r="2556" spans="49:53" x14ac:dyDescent="0.35">
      <c r="AW2556" s="20"/>
      <c r="AX2556" s="20"/>
      <c r="AY2556" s="20"/>
      <c r="AZ2556" s="20"/>
      <c r="BA2556" s="20"/>
    </row>
    <row r="2557" spans="49:53" x14ac:dyDescent="0.35">
      <c r="AW2557" s="20"/>
      <c r="AX2557" s="20"/>
      <c r="AY2557" s="20"/>
      <c r="AZ2557" s="20"/>
      <c r="BA2557" s="20"/>
    </row>
    <row r="2558" spans="49:53" x14ac:dyDescent="0.35">
      <c r="AW2558" s="20"/>
      <c r="AX2558" s="20"/>
      <c r="AY2558" s="20"/>
      <c r="AZ2558" s="20"/>
      <c r="BA2558" s="20"/>
    </row>
    <row r="2559" spans="49:53" x14ac:dyDescent="0.35">
      <c r="AW2559" s="20"/>
      <c r="AX2559" s="20"/>
      <c r="AY2559" s="20"/>
      <c r="AZ2559" s="20"/>
      <c r="BA2559" s="20"/>
    </row>
    <row r="2560" spans="49:53" x14ac:dyDescent="0.35">
      <c r="AW2560" s="20"/>
      <c r="AX2560" s="20"/>
      <c r="AY2560" s="20"/>
      <c r="AZ2560" s="20"/>
      <c r="BA2560" s="20"/>
    </row>
    <row r="2561" spans="49:53" x14ac:dyDescent="0.35">
      <c r="AW2561" s="20"/>
      <c r="AX2561" s="20"/>
      <c r="AY2561" s="20"/>
      <c r="AZ2561" s="20"/>
      <c r="BA2561" s="20"/>
    </row>
    <row r="2562" spans="49:53" x14ac:dyDescent="0.35">
      <c r="AW2562" s="20"/>
      <c r="AX2562" s="20"/>
      <c r="AY2562" s="20"/>
      <c r="AZ2562" s="20"/>
      <c r="BA2562" s="20"/>
    </row>
    <row r="2563" spans="49:53" x14ac:dyDescent="0.35">
      <c r="AW2563" s="20"/>
      <c r="AX2563" s="20"/>
      <c r="AY2563" s="20"/>
      <c r="AZ2563" s="20"/>
      <c r="BA2563" s="20"/>
    </row>
    <row r="2564" spans="49:53" x14ac:dyDescent="0.35">
      <c r="AW2564" s="20"/>
      <c r="AX2564" s="20"/>
      <c r="AY2564" s="20"/>
      <c r="AZ2564" s="20"/>
      <c r="BA2564" s="20"/>
    </row>
    <row r="2565" spans="49:53" x14ac:dyDescent="0.35">
      <c r="AW2565" s="20"/>
      <c r="AX2565" s="20"/>
      <c r="AY2565" s="20"/>
      <c r="AZ2565" s="20"/>
      <c r="BA2565" s="20"/>
    </row>
    <row r="2566" spans="49:53" x14ac:dyDescent="0.35">
      <c r="AW2566" s="20"/>
      <c r="AX2566" s="20"/>
      <c r="AY2566" s="20"/>
      <c r="AZ2566" s="20"/>
      <c r="BA2566" s="20"/>
    </row>
    <row r="2567" spans="49:53" x14ac:dyDescent="0.35">
      <c r="AW2567" s="20"/>
      <c r="AX2567" s="20"/>
      <c r="AY2567" s="20"/>
      <c r="AZ2567" s="20"/>
      <c r="BA2567" s="20"/>
    </row>
    <row r="2568" spans="49:53" x14ac:dyDescent="0.35">
      <c r="AW2568" s="20"/>
      <c r="AX2568" s="20"/>
      <c r="AY2568" s="20"/>
      <c r="AZ2568" s="20"/>
      <c r="BA2568" s="20"/>
    </row>
    <row r="2569" spans="49:53" x14ac:dyDescent="0.35">
      <c r="AW2569" s="20"/>
      <c r="AX2569" s="20"/>
      <c r="AY2569" s="20"/>
      <c r="AZ2569" s="20"/>
      <c r="BA2569" s="20"/>
    </row>
    <row r="2570" spans="49:53" x14ac:dyDescent="0.35">
      <c r="AW2570" s="20"/>
      <c r="AX2570" s="20"/>
      <c r="AY2570" s="20"/>
      <c r="AZ2570" s="20"/>
      <c r="BA2570" s="20"/>
    </row>
    <row r="2571" spans="49:53" x14ac:dyDescent="0.35">
      <c r="AW2571" s="20"/>
      <c r="AX2571" s="20"/>
      <c r="AY2571" s="20"/>
      <c r="AZ2571" s="20"/>
      <c r="BA2571" s="20"/>
    </row>
    <row r="2572" spans="49:53" x14ac:dyDescent="0.35">
      <c r="AW2572" s="20"/>
      <c r="AX2572" s="20"/>
      <c r="AY2572" s="20"/>
      <c r="AZ2572" s="20"/>
      <c r="BA2572" s="20"/>
    </row>
    <row r="2573" spans="49:53" x14ac:dyDescent="0.35">
      <c r="AW2573" s="20"/>
      <c r="AX2573" s="20"/>
      <c r="AY2573" s="20"/>
      <c r="AZ2573" s="20"/>
      <c r="BA2573" s="20"/>
    </row>
    <row r="2574" spans="49:53" x14ac:dyDescent="0.35">
      <c r="AW2574" s="20"/>
      <c r="AX2574" s="20"/>
      <c r="AY2574" s="20"/>
      <c r="AZ2574" s="20"/>
      <c r="BA2574" s="20"/>
    </row>
    <row r="2575" spans="49:53" x14ac:dyDescent="0.35">
      <c r="AW2575" s="20"/>
      <c r="AX2575" s="20"/>
      <c r="AY2575" s="20"/>
      <c r="AZ2575" s="20"/>
      <c r="BA2575" s="20"/>
    </row>
    <row r="2576" spans="49:53" x14ac:dyDescent="0.35">
      <c r="AW2576" s="20"/>
      <c r="AX2576" s="20"/>
      <c r="AY2576" s="20"/>
      <c r="AZ2576" s="20"/>
      <c r="BA2576" s="20"/>
    </row>
    <row r="2577" spans="49:53" x14ac:dyDescent="0.35">
      <c r="AW2577" s="20"/>
      <c r="AX2577" s="20"/>
      <c r="AY2577" s="20"/>
      <c r="AZ2577" s="20"/>
      <c r="BA2577" s="20"/>
    </row>
    <row r="2578" spans="49:53" x14ac:dyDescent="0.35">
      <c r="AW2578" s="20"/>
      <c r="AX2578" s="20"/>
      <c r="AY2578" s="20"/>
      <c r="AZ2578" s="20"/>
      <c r="BA2578" s="20"/>
    </row>
    <row r="2579" spans="49:53" x14ac:dyDescent="0.35">
      <c r="AW2579" s="20"/>
      <c r="AX2579" s="20"/>
      <c r="AY2579" s="20"/>
      <c r="AZ2579" s="20"/>
      <c r="BA2579" s="20"/>
    </row>
    <row r="2580" spans="49:53" x14ac:dyDescent="0.35">
      <c r="AW2580" s="20"/>
      <c r="AX2580" s="20"/>
      <c r="AY2580" s="20"/>
      <c r="AZ2580" s="20"/>
      <c r="BA2580" s="20"/>
    </row>
    <row r="2581" spans="49:53" x14ac:dyDescent="0.35">
      <c r="AW2581" s="20"/>
      <c r="AX2581" s="20"/>
      <c r="AY2581" s="20"/>
      <c r="AZ2581" s="20"/>
      <c r="BA2581" s="20"/>
    </row>
    <row r="2582" spans="49:53" x14ac:dyDescent="0.35">
      <c r="AW2582" s="20"/>
      <c r="AX2582" s="20"/>
      <c r="AY2582" s="20"/>
      <c r="AZ2582" s="20"/>
      <c r="BA2582" s="20"/>
    </row>
    <row r="2583" spans="49:53" x14ac:dyDescent="0.35">
      <c r="AW2583" s="20"/>
      <c r="AX2583" s="20"/>
      <c r="AY2583" s="20"/>
      <c r="AZ2583" s="20"/>
      <c r="BA2583" s="20"/>
    </row>
    <row r="2584" spans="49:53" x14ac:dyDescent="0.35">
      <c r="AW2584" s="20"/>
      <c r="AX2584" s="20"/>
      <c r="AY2584" s="20"/>
      <c r="AZ2584" s="20"/>
      <c r="BA2584" s="20"/>
    </row>
    <row r="2585" spans="49:53" x14ac:dyDescent="0.35">
      <c r="AW2585" s="20"/>
      <c r="AX2585" s="20"/>
      <c r="AY2585" s="20"/>
      <c r="AZ2585" s="20"/>
      <c r="BA2585" s="20"/>
    </row>
    <row r="2586" spans="49:53" x14ac:dyDescent="0.35">
      <c r="AW2586" s="20"/>
      <c r="AX2586" s="20"/>
      <c r="AY2586" s="20"/>
      <c r="AZ2586" s="20"/>
      <c r="BA2586" s="20"/>
    </row>
    <row r="2587" spans="49:53" x14ac:dyDescent="0.35">
      <c r="AW2587" s="20"/>
      <c r="AX2587" s="20"/>
      <c r="AY2587" s="20"/>
      <c r="AZ2587" s="20"/>
      <c r="BA2587" s="20"/>
    </row>
    <row r="2588" spans="49:53" x14ac:dyDescent="0.35">
      <c r="AW2588" s="20"/>
      <c r="AX2588" s="20"/>
      <c r="AY2588" s="20"/>
      <c r="AZ2588" s="20"/>
      <c r="BA2588" s="20"/>
    </row>
    <row r="2589" spans="49:53" x14ac:dyDescent="0.35">
      <c r="AW2589" s="20"/>
      <c r="AX2589" s="20"/>
      <c r="AY2589" s="20"/>
      <c r="AZ2589" s="20"/>
      <c r="BA2589" s="20"/>
    </row>
    <row r="2590" spans="49:53" x14ac:dyDescent="0.35">
      <c r="AW2590" s="20"/>
      <c r="AX2590" s="20"/>
      <c r="AY2590" s="20"/>
      <c r="AZ2590" s="20"/>
      <c r="BA2590" s="20"/>
    </row>
    <row r="2591" spans="49:53" x14ac:dyDescent="0.35">
      <c r="AW2591" s="20"/>
      <c r="AX2591" s="20"/>
      <c r="AY2591" s="20"/>
      <c r="AZ2591" s="20"/>
      <c r="BA2591" s="20"/>
    </row>
    <row r="2592" spans="49:53" x14ac:dyDescent="0.35">
      <c r="AW2592" s="20"/>
      <c r="AX2592" s="20"/>
      <c r="AY2592" s="20"/>
      <c r="AZ2592" s="20"/>
      <c r="BA2592" s="20"/>
    </row>
    <row r="2593" spans="49:53" x14ac:dyDescent="0.35">
      <c r="AW2593" s="20"/>
      <c r="AX2593" s="20"/>
      <c r="AY2593" s="20"/>
      <c r="AZ2593" s="20"/>
      <c r="BA2593" s="20"/>
    </row>
    <row r="2594" spans="49:53" x14ac:dyDescent="0.35">
      <c r="AW2594" s="20"/>
      <c r="AX2594" s="20"/>
      <c r="AY2594" s="20"/>
      <c r="AZ2594" s="20"/>
      <c r="BA2594" s="20"/>
    </row>
    <row r="2595" spans="49:53" x14ac:dyDescent="0.35">
      <c r="AW2595" s="20"/>
      <c r="AX2595" s="20"/>
      <c r="AY2595" s="20"/>
      <c r="AZ2595" s="20"/>
      <c r="BA2595" s="20"/>
    </row>
    <row r="2596" spans="49:53" x14ac:dyDescent="0.35">
      <c r="AW2596" s="20"/>
      <c r="AX2596" s="20"/>
      <c r="AY2596" s="20"/>
      <c r="AZ2596" s="20"/>
      <c r="BA2596" s="20"/>
    </row>
    <row r="2597" spans="49:53" x14ac:dyDescent="0.35">
      <c r="AW2597" s="20"/>
      <c r="AX2597" s="20"/>
      <c r="AY2597" s="20"/>
      <c r="AZ2597" s="20"/>
      <c r="BA2597" s="20"/>
    </row>
    <row r="2598" spans="49:53" x14ac:dyDescent="0.35">
      <c r="AW2598" s="20"/>
      <c r="AX2598" s="20"/>
      <c r="AY2598" s="20"/>
      <c r="AZ2598" s="20"/>
      <c r="BA2598" s="20"/>
    </row>
    <row r="2599" spans="49:53" x14ac:dyDescent="0.35">
      <c r="AW2599" s="20"/>
      <c r="AX2599" s="20"/>
      <c r="AY2599" s="20"/>
      <c r="AZ2599" s="20"/>
      <c r="BA2599" s="20"/>
    </row>
    <row r="2600" spans="49:53" x14ac:dyDescent="0.35">
      <c r="AW2600" s="20"/>
      <c r="AX2600" s="20"/>
      <c r="AY2600" s="20"/>
      <c r="AZ2600" s="20"/>
      <c r="BA2600" s="20"/>
    </row>
    <row r="2601" spans="49:53" x14ac:dyDescent="0.35">
      <c r="AW2601" s="20"/>
      <c r="AX2601" s="20"/>
      <c r="AY2601" s="20"/>
      <c r="AZ2601" s="20"/>
      <c r="BA2601" s="20"/>
    </row>
    <row r="2602" spans="49:53" x14ac:dyDescent="0.35">
      <c r="AW2602" s="20"/>
      <c r="AX2602" s="20"/>
      <c r="AY2602" s="20"/>
      <c r="AZ2602" s="20"/>
      <c r="BA2602" s="20"/>
    </row>
    <row r="2603" spans="49:53" x14ac:dyDescent="0.35">
      <c r="AW2603" s="20"/>
      <c r="AX2603" s="20"/>
      <c r="AY2603" s="20"/>
      <c r="AZ2603" s="20"/>
      <c r="BA2603" s="20"/>
    </row>
    <row r="2604" spans="49:53" x14ac:dyDescent="0.35">
      <c r="AW2604" s="20"/>
      <c r="AX2604" s="20"/>
      <c r="AY2604" s="20"/>
      <c r="AZ2604" s="20"/>
      <c r="BA2604" s="20"/>
    </row>
    <row r="2605" spans="49:53" x14ac:dyDescent="0.35">
      <c r="AW2605" s="20"/>
      <c r="AX2605" s="20"/>
      <c r="AY2605" s="20"/>
      <c r="AZ2605" s="20"/>
      <c r="BA2605" s="20"/>
    </row>
    <row r="2606" spans="49:53" x14ac:dyDescent="0.35">
      <c r="AW2606" s="20"/>
      <c r="AX2606" s="20"/>
      <c r="AY2606" s="20"/>
      <c r="AZ2606" s="20"/>
      <c r="BA2606" s="20"/>
    </row>
    <row r="2607" spans="49:53" x14ac:dyDescent="0.35">
      <c r="AW2607" s="20"/>
      <c r="AX2607" s="20"/>
      <c r="AY2607" s="20"/>
      <c r="AZ2607" s="20"/>
      <c r="BA2607" s="20"/>
    </row>
    <row r="2608" spans="49:53" x14ac:dyDescent="0.35">
      <c r="AW2608" s="20"/>
      <c r="AX2608" s="20"/>
      <c r="AY2608" s="20"/>
      <c r="AZ2608" s="20"/>
      <c r="BA2608" s="20"/>
    </row>
    <row r="2609" spans="49:53" x14ac:dyDescent="0.35">
      <c r="AW2609" s="20"/>
      <c r="AX2609" s="20"/>
      <c r="AY2609" s="20"/>
      <c r="AZ2609" s="20"/>
      <c r="BA2609" s="20"/>
    </row>
    <row r="2610" spans="49:53" x14ac:dyDescent="0.35">
      <c r="AW2610" s="20"/>
      <c r="AX2610" s="20"/>
      <c r="AY2610" s="20"/>
      <c r="AZ2610" s="20"/>
      <c r="BA2610" s="20"/>
    </row>
    <row r="2611" spans="49:53" x14ac:dyDescent="0.35">
      <c r="AW2611" s="20"/>
      <c r="AX2611" s="20"/>
      <c r="AY2611" s="20"/>
      <c r="AZ2611" s="20"/>
      <c r="BA2611" s="20"/>
    </row>
    <row r="2612" spans="49:53" x14ac:dyDescent="0.35">
      <c r="AW2612" s="20"/>
      <c r="AX2612" s="20"/>
      <c r="AY2612" s="20"/>
      <c r="AZ2612" s="20"/>
      <c r="BA2612" s="20"/>
    </row>
    <row r="2613" spans="49:53" x14ac:dyDescent="0.35">
      <c r="AW2613" s="20"/>
      <c r="AX2613" s="20"/>
      <c r="AY2613" s="20"/>
      <c r="AZ2613" s="20"/>
      <c r="BA2613" s="20"/>
    </row>
    <row r="2614" spans="49:53" x14ac:dyDescent="0.35">
      <c r="AW2614" s="20"/>
      <c r="AX2614" s="20"/>
      <c r="AY2614" s="20"/>
      <c r="AZ2614" s="20"/>
      <c r="BA2614" s="20"/>
    </row>
    <row r="2615" spans="49:53" x14ac:dyDescent="0.35">
      <c r="AW2615" s="20"/>
      <c r="AX2615" s="20"/>
      <c r="AY2615" s="20"/>
      <c r="AZ2615" s="20"/>
      <c r="BA2615" s="20"/>
    </row>
    <row r="2616" spans="49:53" x14ac:dyDescent="0.35">
      <c r="AW2616" s="20"/>
      <c r="AX2616" s="20"/>
      <c r="AY2616" s="20"/>
      <c r="AZ2616" s="20"/>
      <c r="BA2616" s="20"/>
    </row>
    <row r="2617" spans="49:53" x14ac:dyDescent="0.35">
      <c r="AW2617" s="20"/>
      <c r="AX2617" s="20"/>
      <c r="AY2617" s="20"/>
      <c r="AZ2617" s="20"/>
      <c r="BA2617" s="20"/>
    </row>
    <row r="2618" spans="49:53" x14ac:dyDescent="0.35">
      <c r="AW2618" s="20"/>
      <c r="AX2618" s="20"/>
      <c r="AY2618" s="20"/>
      <c r="AZ2618" s="20"/>
      <c r="BA2618" s="20"/>
    </row>
    <row r="2619" spans="49:53" x14ac:dyDescent="0.35">
      <c r="AW2619" s="20"/>
      <c r="AX2619" s="20"/>
      <c r="AY2619" s="20"/>
      <c r="AZ2619" s="20"/>
      <c r="BA2619" s="20"/>
    </row>
    <row r="2620" spans="49:53" x14ac:dyDescent="0.35">
      <c r="AW2620" s="20"/>
      <c r="AX2620" s="20"/>
      <c r="AY2620" s="20"/>
      <c r="AZ2620" s="20"/>
      <c r="BA2620" s="20"/>
    </row>
    <row r="2621" spans="49:53" x14ac:dyDescent="0.35">
      <c r="AW2621" s="20"/>
      <c r="AX2621" s="20"/>
      <c r="AY2621" s="20"/>
      <c r="AZ2621" s="20"/>
      <c r="BA2621" s="20"/>
    </row>
    <row r="2622" spans="49:53" x14ac:dyDescent="0.35">
      <c r="AW2622" s="20"/>
      <c r="AX2622" s="20"/>
      <c r="AY2622" s="20"/>
      <c r="AZ2622" s="20"/>
      <c r="BA2622" s="20"/>
    </row>
    <row r="2623" spans="49:53" x14ac:dyDescent="0.35">
      <c r="AW2623" s="20"/>
      <c r="AX2623" s="20"/>
      <c r="AY2623" s="20"/>
      <c r="AZ2623" s="20"/>
      <c r="BA2623" s="20"/>
    </row>
    <row r="2624" spans="49:53" x14ac:dyDescent="0.35">
      <c r="AW2624" s="20"/>
      <c r="AX2624" s="20"/>
      <c r="AY2624" s="20"/>
      <c r="AZ2624" s="20"/>
      <c r="BA2624" s="20"/>
    </row>
    <row r="2625" spans="49:53" x14ac:dyDescent="0.35">
      <c r="AW2625" s="20"/>
      <c r="AX2625" s="20"/>
      <c r="AY2625" s="20"/>
      <c r="AZ2625" s="20"/>
      <c r="BA2625" s="20"/>
    </row>
    <row r="2626" spans="49:53" x14ac:dyDescent="0.35">
      <c r="AW2626" s="20"/>
      <c r="AX2626" s="20"/>
      <c r="AY2626" s="20"/>
      <c r="AZ2626" s="20"/>
      <c r="BA2626" s="20"/>
    </row>
    <row r="2627" spans="49:53" x14ac:dyDescent="0.35">
      <c r="AW2627" s="20"/>
      <c r="AX2627" s="20"/>
      <c r="AY2627" s="20"/>
      <c r="AZ2627" s="20"/>
      <c r="BA2627" s="20"/>
    </row>
    <row r="2628" spans="49:53" x14ac:dyDescent="0.35">
      <c r="AW2628" s="20"/>
      <c r="AX2628" s="20"/>
      <c r="AY2628" s="20"/>
      <c r="AZ2628" s="20"/>
      <c r="BA2628" s="20"/>
    </row>
    <row r="2629" spans="49:53" x14ac:dyDescent="0.35">
      <c r="AW2629" s="20"/>
      <c r="AX2629" s="20"/>
      <c r="AY2629" s="20"/>
      <c r="AZ2629" s="20"/>
      <c r="BA2629" s="20"/>
    </row>
    <row r="2630" spans="49:53" x14ac:dyDescent="0.35">
      <c r="AW2630" s="20"/>
      <c r="AX2630" s="20"/>
      <c r="AY2630" s="20"/>
      <c r="AZ2630" s="20"/>
      <c r="BA2630" s="20"/>
    </row>
    <row r="2631" spans="49:53" x14ac:dyDescent="0.35">
      <c r="AW2631" s="20"/>
      <c r="AX2631" s="20"/>
      <c r="AY2631" s="20"/>
      <c r="AZ2631" s="20"/>
      <c r="BA2631" s="20"/>
    </row>
    <row r="2632" spans="49:53" x14ac:dyDescent="0.35">
      <c r="AW2632" s="20"/>
      <c r="AX2632" s="20"/>
      <c r="AY2632" s="20"/>
      <c r="AZ2632" s="20"/>
      <c r="BA2632" s="20"/>
    </row>
    <row r="2633" spans="49:53" x14ac:dyDescent="0.35">
      <c r="AW2633" s="20"/>
      <c r="AX2633" s="20"/>
      <c r="AY2633" s="20"/>
      <c r="AZ2633" s="20"/>
      <c r="BA2633" s="20"/>
    </row>
    <row r="2634" spans="49:53" x14ac:dyDescent="0.35">
      <c r="AW2634" s="20"/>
      <c r="AX2634" s="20"/>
      <c r="AY2634" s="20"/>
      <c r="AZ2634" s="20"/>
      <c r="BA2634" s="20"/>
    </row>
    <row r="2635" spans="49:53" x14ac:dyDescent="0.35">
      <c r="AW2635" s="20"/>
      <c r="AX2635" s="20"/>
      <c r="AY2635" s="20"/>
      <c r="AZ2635" s="20"/>
      <c r="BA2635" s="20"/>
    </row>
    <row r="2636" spans="49:53" x14ac:dyDescent="0.35">
      <c r="AW2636" s="20"/>
      <c r="AX2636" s="20"/>
      <c r="AY2636" s="20"/>
      <c r="AZ2636" s="20"/>
      <c r="BA2636" s="20"/>
    </row>
    <row r="2637" spans="49:53" x14ac:dyDescent="0.35">
      <c r="AW2637" s="20"/>
      <c r="AX2637" s="20"/>
      <c r="AY2637" s="20"/>
      <c r="AZ2637" s="20"/>
      <c r="BA2637" s="20"/>
    </row>
    <row r="2638" spans="49:53" x14ac:dyDescent="0.35">
      <c r="AW2638" s="20"/>
      <c r="AX2638" s="20"/>
      <c r="AY2638" s="20"/>
      <c r="AZ2638" s="20"/>
      <c r="BA2638" s="20"/>
    </row>
    <row r="2639" spans="49:53" x14ac:dyDescent="0.35">
      <c r="AW2639" s="20"/>
      <c r="AX2639" s="20"/>
      <c r="AY2639" s="20"/>
      <c r="AZ2639" s="20"/>
      <c r="BA2639" s="20"/>
    </row>
    <row r="2640" spans="49:53" x14ac:dyDescent="0.35">
      <c r="AW2640" s="20"/>
      <c r="AX2640" s="20"/>
      <c r="AY2640" s="20"/>
      <c r="AZ2640" s="20"/>
      <c r="BA2640" s="20"/>
    </row>
    <row r="2641" spans="49:53" x14ac:dyDescent="0.35">
      <c r="AW2641" s="20"/>
      <c r="AX2641" s="20"/>
      <c r="AY2641" s="20"/>
      <c r="AZ2641" s="20"/>
      <c r="BA2641" s="20"/>
    </row>
    <row r="2642" spans="49:53" x14ac:dyDescent="0.35">
      <c r="AW2642" s="20"/>
      <c r="AX2642" s="20"/>
      <c r="AY2642" s="20"/>
      <c r="AZ2642" s="20"/>
      <c r="BA2642" s="20"/>
    </row>
    <row r="2643" spans="49:53" x14ac:dyDescent="0.35">
      <c r="AW2643" s="20"/>
      <c r="AX2643" s="20"/>
      <c r="AY2643" s="20"/>
      <c r="AZ2643" s="20"/>
      <c r="BA2643" s="20"/>
    </row>
    <row r="2644" spans="49:53" x14ac:dyDescent="0.35">
      <c r="AW2644" s="20"/>
      <c r="AX2644" s="20"/>
      <c r="AY2644" s="20"/>
      <c r="AZ2644" s="20"/>
      <c r="BA2644" s="20"/>
    </row>
    <row r="2645" spans="49:53" x14ac:dyDescent="0.35">
      <c r="AW2645" s="20"/>
      <c r="AX2645" s="20"/>
      <c r="AY2645" s="20"/>
      <c r="AZ2645" s="20"/>
      <c r="BA2645" s="20"/>
    </row>
    <row r="2646" spans="49:53" x14ac:dyDescent="0.35">
      <c r="AW2646" s="20"/>
      <c r="AX2646" s="20"/>
      <c r="AY2646" s="20"/>
      <c r="AZ2646" s="20"/>
      <c r="BA2646" s="20"/>
    </row>
    <row r="2647" spans="49:53" x14ac:dyDescent="0.35">
      <c r="AW2647" s="20"/>
      <c r="AX2647" s="20"/>
      <c r="AY2647" s="20"/>
      <c r="AZ2647" s="20"/>
      <c r="BA2647" s="20"/>
    </row>
    <row r="2648" spans="49:53" x14ac:dyDescent="0.35">
      <c r="AW2648" s="20"/>
      <c r="AX2648" s="20"/>
      <c r="AY2648" s="20"/>
      <c r="AZ2648" s="20"/>
      <c r="BA2648" s="20"/>
    </row>
    <row r="2649" spans="49:53" x14ac:dyDescent="0.35">
      <c r="AW2649" s="20"/>
      <c r="AX2649" s="20"/>
      <c r="AY2649" s="20"/>
      <c r="AZ2649" s="20"/>
      <c r="BA2649" s="20"/>
    </row>
    <row r="2650" spans="49:53" x14ac:dyDescent="0.35">
      <c r="AW2650" s="20"/>
      <c r="AX2650" s="20"/>
      <c r="AY2650" s="20"/>
      <c r="AZ2650" s="20"/>
      <c r="BA2650" s="20"/>
    </row>
    <row r="2651" spans="49:53" x14ac:dyDescent="0.35">
      <c r="AW2651" s="20"/>
      <c r="AX2651" s="20"/>
      <c r="AY2651" s="20"/>
      <c r="AZ2651" s="20"/>
      <c r="BA2651" s="20"/>
    </row>
    <row r="2652" spans="49:53" x14ac:dyDescent="0.35">
      <c r="AW2652" s="20"/>
      <c r="AX2652" s="20"/>
      <c r="AY2652" s="20"/>
      <c r="AZ2652" s="20"/>
      <c r="BA2652" s="20"/>
    </row>
    <row r="2653" spans="49:53" x14ac:dyDescent="0.35">
      <c r="AW2653" s="20"/>
      <c r="AX2653" s="20"/>
      <c r="AY2653" s="20"/>
      <c r="AZ2653" s="20"/>
      <c r="BA2653" s="20"/>
    </row>
    <row r="2654" spans="49:53" x14ac:dyDescent="0.35">
      <c r="AW2654" s="20"/>
      <c r="AX2654" s="20"/>
      <c r="AY2654" s="20"/>
      <c r="AZ2654" s="20"/>
      <c r="BA2654" s="20"/>
    </row>
    <row r="2655" spans="49:53" x14ac:dyDescent="0.35">
      <c r="AW2655" s="20"/>
      <c r="AX2655" s="20"/>
      <c r="AY2655" s="20"/>
      <c r="AZ2655" s="20"/>
      <c r="BA2655" s="20"/>
    </row>
    <row r="2656" spans="49:53" x14ac:dyDescent="0.35">
      <c r="AW2656" s="20"/>
      <c r="AX2656" s="20"/>
      <c r="AY2656" s="20"/>
      <c r="AZ2656" s="20"/>
      <c r="BA2656" s="20"/>
    </row>
    <row r="2657" spans="49:53" x14ac:dyDescent="0.35">
      <c r="AW2657" s="20"/>
      <c r="AX2657" s="20"/>
      <c r="AY2657" s="20"/>
      <c r="AZ2657" s="20"/>
      <c r="BA2657" s="20"/>
    </row>
    <row r="2658" spans="49:53" x14ac:dyDescent="0.35">
      <c r="AW2658" s="20"/>
      <c r="AX2658" s="20"/>
      <c r="AY2658" s="20"/>
      <c r="AZ2658" s="20"/>
      <c r="BA2658" s="20"/>
    </row>
    <row r="2659" spans="49:53" x14ac:dyDescent="0.35">
      <c r="AW2659" s="20"/>
      <c r="AX2659" s="20"/>
      <c r="AY2659" s="20"/>
      <c r="AZ2659" s="20"/>
      <c r="BA2659" s="20"/>
    </row>
    <row r="2660" spans="49:53" x14ac:dyDescent="0.35">
      <c r="AW2660" s="20"/>
      <c r="AX2660" s="20"/>
      <c r="AY2660" s="20"/>
      <c r="AZ2660" s="20"/>
      <c r="BA2660" s="20"/>
    </row>
    <row r="2661" spans="49:53" x14ac:dyDescent="0.35">
      <c r="AW2661" s="20"/>
      <c r="AX2661" s="20"/>
      <c r="AY2661" s="20"/>
      <c r="AZ2661" s="20"/>
      <c r="BA2661" s="20"/>
    </row>
    <row r="2662" spans="49:53" x14ac:dyDescent="0.35">
      <c r="AW2662" s="20"/>
      <c r="AX2662" s="20"/>
      <c r="AY2662" s="20"/>
      <c r="AZ2662" s="20"/>
      <c r="BA2662" s="20"/>
    </row>
    <row r="2663" spans="49:53" x14ac:dyDescent="0.35">
      <c r="AW2663" s="20"/>
      <c r="AX2663" s="20"/>
      <c r="AY2663" s="20"/>
      <c r="AZ2663" s="20"/>
      <c r="BA2663" s="20"/>
    </row>
    <row r="2664" spans="49:53" x14ac:dyDescent="0.35">
      <c r="AW2664" s="20"/>
      <c r="AX2664" s="20"/>
      <c r="AY2664" s="20"/>
      <c r="AZ2664" s="20"/>
      <c r="BA2664" s="20"/>
    </row>
    <row r="2665" spans="49:53" x14ac:dyDescent="0.35">
      <c r="AW2665" s="20"/>
      <c r="AX2665" s="20"/>
      <c r="AY2665" s="20"/>
      <c r="AZ2665" s="20"/>
      <c r="BA2665" s="20"/>
    </row>
    <row r="2666" spans="49:53" x14ac:dyDescent="0.35">
      <c r="AW2666" s="20"/>
      <c r="AX2666" s="20"/>
      <c r="AY2666" s="20"/>
      <c r="AZ2666" s="20"/>
      <c r="BA2666" s="20"/>
    </row>
    <row r="2667" spans="49:53" x14ac:dyDescent="0.35">
      <c r="AW2667" s="20"/>
      <c r="AX2667" s="20"/>
      <c r="AY2667" s="20"/>
      <c r="AZ2667" s="20"/>
      <c r="BA2667" s="20"/>
    </row>
    <row r="2668" spans="49:53" x14ac:dyDescent="0.35">
      <c r="AW2668" s="20"/>
      <c r="AX2668" s="20"/>
      <c r="AY2668" s="20"/>
      <c r="AZ2668" s="20"/>
      <c r="BA2668" s="20"/>
    </row>
    <row r="2669" spans="49:53" x14ac:dyDescent="0.35">
      <c r="AW2669" s="20"/>
      <c r="AX2669" s="20"/>
      <c r="AY2669" s="20"/>
      <c r="AZ2669" s="20"/>
      <c r="BA2669" s="20"/>
    </row>
    <row r="2670" spans="49:53" x14ac:dyDescent="0.35">
      <c r="AW2670" s="20"/>
      <c r="AX2670" s="20"/>
      <c r="AY2670" s="20"/>
      <c r="AZ2670" s="20"/>
      <c r="BA2670" s="20"/>
    </row>
    <row r="2671" spans="49:53" x14ac:dyDescent="0.35">
      <c r="AW2671" s="20"/>
      <c r="AX2671" s="20"/>
      <c r="AY2671" s="20"/>
      <c r="AZ2671" s="20"/>
      <c r="BA2671" s="20"/>
    </row>
    <row r="2672" spans="49:53" x14ac:dyDescent="0.35">
      <c r="AW2672" s="20"/>
      <c r="AX2672" s="20"/>
      <c r="AY2672" s="20"/>
      <c r="AZ2672" s="20"/>
      <c r="BA2672" s="20"/>
    </row>
    <row r="2673" spans="49:53" x14ac:dyDescent="0.35">
      <c r="AW2673" s="20"/>
      <c r="AX2673" s="20"/>
      <c r="AY2673" s="20"/>
      <c r="AZ2673" s="20"/>
      <c r="BA2673" s="20"/>
    </row>
    <row r="2674" spans="49:53" x14ac:dyDescent="0.35">
      <c r="AW2674" s="20"/>
      <c r="AX2674" s="20"/>
      <c r="AY2674" s="20"/>
      <c r="AZ2674" s="20"/>
      <c r="BA2674" s="20"/>
    </row>
    <row r="2675" spans="49:53" x14ac:dyDescent="0.35">
      <c r="AW2675" s="20"/>
      <c r="AX2675" s="20"/>
      <c r="AY2675" s="20"/>
      <c r="AZ2675" s="20"/>
      <c r="BA2675" s="20"/>
    </row>
    <row r="2676" spans="49:53" x14ac:dyDescent="0.35">
      <c r="AW2676" s="20"/>
      <c r="AX2676" s="20"/>
      <c r="AY2676" s="20"/>
      <c r="AZ2676" s="20"/>
      <c r="BA2676" s="20"/>
    </row>
    <row r="2677" spans="49:53" x14ac:dyDescent="0.35">
      <c r="AW2677" s="20"/>
      <c r="AX2677" s="20"/>
      <c r="AY2677" s="20"/>
      <c r="AZ2677" s="20"/>
      <c r="BA2677" s="20"/>
    </row>
    <row r="2678" spans="49:53" x14ac:dyDescent="0.35">
      <c r="AW2678" s="20"/>
      <c r="AX2678" s="20"/>
      <c r="AY2678" s="20"/>
      <c r="AZ2678" s="20"/>
      <c r="BA2678" s="20"/>
    </row>
    <row r="2679" spans="49:53" x14ac:dyDescent="0.35">
      <c r="AW2679" s="20"/>
      <c r="AX2679" s="20"/>
      <c r="AY2679" s="20"/>
      <c r="AZ2679" s="20"/>
      <c r="BA2679" s="20"/>
    </row>
    <row r="2680" spans="49:53" x14ac:dyDescent="0.35">
      <c r="AW2680" s="20"/>
      <c r="AX2680" s="20"/>
      <c r="AY2680" s="20"/>
      <c r="AZ2680" s="20"/>
      <c r="BA2680" s="20"/>
    </row>
    <row r="2681" spans="49:53" x14ac:dyDescent="0.35">
      <c r="AW2681" s="20"/>
      <c r="AX2681" s="20"/>
      <c r="AY2681" s="20"/>
      <c r="AZ2681" s="20"/>
      <c r="BA2681" s="20"/>
    </row>
    <row r="2682" spans="49:53" x14ac:dyDescent="0.35">
      <c r="AW2682" s="20"/>
      <c r="AX2682" s="20"/>
      <c r="AY2682" s="20"/>
      <c r="AZ2682" s="20"/>
      <c r="BA2682" s="20"/>
    </row>
    <row r="2683" spans="49:53" x14ac:dyDescent="0.35">
      <c r="AW2683" s="20"/>
      <c r="AX2683" s="20"/>
      <c r="AY2683" s="20"/>
      <c r="AZ2683" s="20"/>
      <c r="BA2683" s="20"/>
    </row>
    <row r="2684" spans="49:53" x14ac:dyDescent="0.35">
      <c r="AW2684" s="20"/>
      <c r="AX2684" s="20"/>
      <c r="AY2684" s="20"/>
      <c r="AZ2684" s="20"/>
      <c r="BA2684" s="20"/>
    </row>
    <row r="2685" spans="49:53" x14ac:dyDescent="0.35">
      <c r="AW2685" s="20"/>
      <c r="AX2685" s="20"/>
      <c r="AY2685" s="20"/>
      <c r="AZ2685" s="20"/>
      <c r="BA2685" s="20"/>
    </row>
    <row r="2686" spans="49:53" x14ac:dyDescent="0.35">
      <c r="AW2686" s="20"/>
      <c r="AX2686" s="20"/>
      <c r="AY2686" s="20"/>
      <c r="AZ2686" s="20"/>
      <c r="BA2686" s="20"/>
    </row>
    <row r="2687" spans="49:53" x14ac:dyDescent="0.35">
      <c r="AW2687" s="20"/>
      <c r="AX2687" s="20"/>
      <c r="AY2687" s="20"/>
      <c r="AZ2687" s="20"/>
      <c r="BA2687" s="20"/>
    </row>
    <row r="2688" spans="49:53" x14ac:dyDescent="0.35">
      <c r="AW2688" s="20"/>
      <c r="AX2688" s="20"/>
      <c r="AY2688" s="20"/>
      <c r="AZ2688" s="20"/>
      <c r="BA2688" s="20"/>
    </row>
    <row r="2689" spans="49:53" x14ac:dyDescent="0.35">
      <c r="AW2689" s="20"/>
      <c r="AX2689" s="20"/>
      <c r="AY2689" s="20"/>
      <c r="AZ2689" s="20"/>
      <c r="BA2689" s="20"/>
    </row>
    <row r="2690" spans="49:53" x14ac:dyDescent="0.35">
      <c r="AW2690" s="20"/>
      <c r="AX2690" s="20"/>
      <c r="AY2690" s="20"/>
      <c r="AZ2690" s="20"/>
      <c r="BA2690" s="20"/>
    </row>
    <row r="2691" spans="49:53" x14ac:dyDescent="0.35">
      <c r="AW2691" s="20"/>
      <c r="AX2691" s="20"/>
      <c r="AY2691" s="20"/>
      <c r="AZ2691" s="20"/>
      <c r="BA2691" s="20"/>
    </row>
    <row r="2692" spans="49:53" x14ac:dyDescent="0.35">
      <c r="AW2692" s="20"/>
      <c r="AX2692" s="20"/>
      <c r="AY2692" s="20"/>
      <c r="AZ2692" s="20"/>
      <c r="BA2692" s="20"/>
    </row>
    <row r="2693" spans="49:53" x14ac:dyDescent="0.35">
      <c r="AW2693" s="20"/>
      <c r="AX2693" s="20"/>
      <c r="AY2693" s="20"/>
      <c r="AZ2693" s="20"/>
      <c r="BA2693" s="20"/>
    </row>
    <row r="2694" spans="49:53" x14ac:dyDescent="0.35">
      <c r="AW2694" s="20"/>
      <c r="AX2694" s="20"/>
      <c r="AY2694" s="20"/>
      <c r="AZ2694" s="20"/>
      <c r="BA2694" s="20"/>
    </row>
    <row r="2695" spans="49:53" x14ac:dyDescent="0.35">
      <c r="AW2695" s="20"/>
      <c r="AX2695" s="20"/>
      <c r="AY2695" s="20"/>
      <c r="AZ2695" s="20"/>
      <c r="BA2695" s="20"/>
    </row>
    <row r="2696" spans="49:53" x14ac:dyDescent="0.35">
      <c r="AW2696" s="20"/>
      <c r="AX2696" s="20"/>
      <c r="AY2696" s="20"/>
      <c r="AZ2696" s="20"/>
      <c r="BA2696" s="20"/>
    </row>
    <row r="2697" spans="49:53" x14ac:dyDescent="0.35">
      <c r="AW2697" s="20"/>
      <c r="AX2697" s="20"/>
      <c r="AY2697" s="20"/>
      <c r="AZ2697" s="20"/>
      <c r="BA2697" s="20"/>
    </row>
    <row r="2698" spans="49:53" x14ac:dyDescent="0.35">
      <c r="AW2698" s="20"/>
      <c r="AX2698" s="20"/>
      <c r="AY2698" s="20"/>
      <c r="AZ2698" s="20"/>
      <c r="BA2698" s="20"/>
    </row>
    <row r="2699" spans="49:53" x14ac:dyDescent="0.35">
      <c r="AW2699" s="20"/>
      <c r="AX2699" s="20"/>
      <c r="AY2699" s="20"/>
      <c r="AZ2699" s="20"/>
      <c r="BA2699" s="20"/>
    </row>
    <row r="2700" spans="49:53" x14ac:dyDescent="0.35">
      <c r="AW2700" s="20"/>
      <c r="AX2700" s="20"/>
      <c r="AY2700" s="20"/>
      <c r="AZ2700" s="20"/>
      <c r="BA2700" s="20"/>
    </row>
    <row r="2701" spans="49:53" x14ac:dyDescent="0.35">
      <c r="AW2701" s="20"/>
      <c r="AX2701" s="20"/>
      <c r="AY2701" s="20"/>
      <c r="AZ2701" s="20"/>
      <c r="BA2701" s="20"/>
    </row>
    <row r="2702" spans="49:53" x14ac:dyDescent="0.35">
      <c r="AW2702" s="20"/>
      <c r="AX2702" s="20"/>
      <c r="AY2702" s="20"/>
      <c r="AZ2702" s="20"/>
      <c r="BA2702" s="20"/>
    </row>
    <row r="2703" spans="49:53" x14ac:dyDescent="0.35">
      <c r="AW2703" s="20"/>
      <c r="AX2703" s="20"/>
      <c r="AY2703" s="20"/>
      <c r="AZ2703" s="20"/>
      <c r="BA2703" s="20"/>
    </row>
    <row r="2704" spans="49:53" x14ac:dyDescent="0.35">
      <c r="AW2704" s="20"/>
      <c r="AX2704" s="20"/>
      <c r="AY2704" s="20"/>
      <c r="AZ2704" s="20"/>
      <c r="BA2704" s="20"/>
    </row>
    <row r="2705" spans="49:53" x14ac:dyDescent="0.35">
      <c r="AW2705" s="20"/>
      <c r="AX2705" s="20"/>
      <c r="AY2705" s="20"/>
      <c r="AZ2705" s="20"/>
      <c r="BA2705" s="20"/>
    </row>
    <row r="2706" spans="49:53" x14ac:dyDescent="0.35">
      <c r="AW2706" s="20"/>
      <c r="AX2706" s="20"/>
      <c r="AY2706" s="20"/>
      <c r="AZ2706" s="20"/>
      <c r="BA2706" s="20"/>
    </row>
    <row r="2707" spans="49:53" x14ac:dyDescent="0.35">
      <c r="AW2707" s="20"/>
      <c r="AX2707" s="20"/>
      <c r="AY2707" s="20"/>
      <c r="AZ2707" s="20"/>
      <c r="BA2707" s="20"/>
    </row>
    <row r="2708" spans="49:53" x14ac:dyDescent="0.35">
      <c r="AW2708" s="20"/>
      <c r="AX2708" s="20"/>
      <c r="AY2708" s="20"/>
      <c r="AZ2708" s="20"/>
      <c r="BA2708" s="20"/>
    </row>
    <row r="2709" spans="49:53" x14ac:dyDescent="0.35">
      <c r="AW2709" s="20"/>
      <c r="AX2709" s="20"/>
      <c r="AY2709" s="20"/>
      <c r="AZ2709" s="20"/>
      <c r="BA2709" s="20"/>
    </row>
    <row r="2710" spans="49:53" x14ac:dyDescent="0.35">
      <c r="AW2710" s="20"/>
      <c r="AX2710" s="20"/>
      <c r="AY2710" s="20"/>
      <c r="AZ2710" s="20"/>
      <c r="BA2710" s="20"/>
    </row>
    <row r="2711" spans="49:53" x14ac:dyDescent="0.35">
      <c r="AW2711" s="20"/>
      <c r="AX2711" s="20"/>
      <c r="AY2711" s="20"/>
      <c r="AZ2711" s="20"/>
      <c r="BA2711" s="20"/>
    </row>
    <row r="2712" spans="49:53" x14ac:dyDescent="0.35">
      <c r="AW2712" s="20"/>
      <c r="AX2712" s="20"/>
      <c r="AY2712" s="20"/>
      <c r="AZ2712" s="20"/>
      <c r="BA2712" s="20"/>
    </row>
    <row r="2713" spans="49:53" x14ac:dyDescent="0.35">
      <c r="AW2713" s="20"/>
      <c r="AX2713" s="20"/>
      <c r="AY2713" s="20"/>
      <c r="AZ2713" s="20"/>
      <c r="BA2713" s="20"/>
    </row>
    <row r="2714" spans="49:53" x14ac:dyDescent="0.35">
      <c r="AW2714" s="20"/>
      <c r="AX2714" s="20"/>
      <c r="AY2714" s="20"/>
      <c r="AZ2714" s="20"/>
      <c r="BA2714" s="20"/>
    </row>
    <row r="2715" spans="49:53" x14ac:dyDescent="0.35">
      <c r="AW2715" s="20"/>
      <c r="AX2715" s="20"/>
      <c r="AY2715" s="20"/>
      <c r="AZ2715" s="20"/>
      <c r="BA2715" s="20"/>
    </row>
    <row r="2716" spans="49:53" x14ac:dyDescent="0.35">
      <c r="AW2716" s="20"/>
      <c r="AX2716" s="20"/>
      <c r="AY2716" s="20"/>
      <c r="AZ2716" s="20"/>
      <c r="BA2716" s="20"/>
    </row>
    <row r="2717" spans="49:53" x14ac:dyDescent="0.35">
      <c r="AW2717" s="20"/>
      <c r="AX2717" s="20"/>
      <c r="AY2717" s="20"/>
      <c r="AZ2717" s="20"/>
      <c r="BA2717" s="20"/>
    </row>
    <row r="2718" spans="49:53" x14ac:dyDescent="0.35">
      <c r="AW2718" s="20"/>
      <c r="AX2718" s="20"/>
      <c r="AY2718" s="20"/>
      <c r="AZ2718" s="20"/>
      <c r="BA2718" s="20"/>
    </row>
    <row r="2719" spans="49:53" x14ac:dyDescent="0.35">
      <c r="AW2719" s="20"/>
      <c r="AX2719" s="20"/>
      <c r="AY2719" s="20"/>
      <c r="AZ2719" s="20"/>
      <c r="BA2719" s="20"/>
    </row>
    <row r="2720" spans="49:53" x14ac:dyDescent="0.35">
      <c r="AW2720" s="20"/>
      <c r="AX2720" s="20"/>
      <c r="AY2720" s="20"/>
      <c r="AZ2720" s="20"/>
      <c r="BA2720" s="20"/>
    </row>
    <row r="2721" spans="49:53" x14ac:dyDescent="0.35">
      <c r="AW2721" s="20"/>
      <c r="AX2721" s="20"/>
      <c r="AY2721" s="20"/>
      <c r="AZ2721" s="20"/>
      <c r="BA2721" s="20"/>
    </row>
    <row r="2722" spans="49:53" x14ac:dyDescent="0.35">
      <c r="AW2722" s="20"/>
      <c r="AX2722" s="20"/>
      <c r="AY2722" s="20"/>
      <c r="AZ2722" s="20"/>
      <c r="BA2722" s="20"/>
    </row>
    <row r="2723" spans="49:53" x14ac:dyDescent="0.35">
      <c r="AW2723" s="20"/>
      <c r="AX2723" s="20"/>
      <c r="AY2723" s="20"/>
      <c r="AZ2723" s="20"/>
      <c r="BA2723" s="20"/>
    </row>
    <row r="2724" spans="49:53" x14ac:dyDescent="0.35">
      <c r="AW2724" s="20"/>
      <c r="AX2724" s="20"/>
      <c r="AY2724" s="20"/>
      <c r="AZ2724" s="20"/>
      <c r="BA2724" s="20"/>
    </row>
    <row r="2725" spans="49:53" x14ac:dyDescent="0.35">
      <c r="AW2725" s="20"/>
      <c r="AX2725" s="20"/>
      <c r="AY2725" s="20"/>
      <c r="AZ2725" s="20"/>
      <c r="BA2725" s="20"/>
    </row>
    <row r="2726" spans="49:53" x14ac:dyDescent="0.35">
      <c r="AW2726" s="20"/>
      <c r="AX2726" s="20"/>
      <c r="AY2726" s="20"/>
      <c r="AZ2726" s="20"/>
      <c r="BA2726" s="20"/>
    </row>
    <row r="2727" spans="49:53" x14ac:dyDescent="0.35">
      <c r="AW2727" s="20"/>
      <c r="AX2727" s="20"/>
      <c r="AY2727" s="20"/>
      <c r="AZ2727" s="20"/>
      <c r="BA2727" s="20"/>
    </row>
    <row r="2728" spans="49:53" x14ac:dyDescent="0.35">
      <c r="AW2728" s="20"/>
      <c r="AX2728" s="20"/>
      <c r="AY2728" s="20"/>
      <c r="AZ2728" s="20"/>
      <c r="BA2728" s="20"/>
    </row>
    <row r="2729" spans="49:53" x14ac:dyDescent="0.35">
      <c r="AW2729" s="20"/>
      <c r="AX2729" s="20"/>
      <c r="AY2729" s="20"/>
      <c r="AZ2729" s="20"/>
      <c r="BA2729" s="20"/>
    </row>
    <row r="2730" spans="49:53" x14ac:dyDescent="0.35">
      <c r="AW2730" s="20"/>
      <c r="AX2730" s="20"/>
      <c r="AY2730" s="20"/>
      <c r="AZ2730" s="20"/>
      <c r="BA2730" s="20"/>
    </row>
    <row r="2731" spans="49:53" x14ac:dyDescent="0.35">
      <c r="AW2731" s="20"/>
      <c r="AX2731" s="20"/>
      <c r="AY2731" s="20"/>
      <c r="AZ2731" s="20"/>
      <c r="BA2731" s="20"/>
    </row>
    <row r="2732" spans="49:53" x14ac:dyDescent="0.35">
      <c r="AW2732" s="20"/>
      <c r="AX2732" s="20"/>
      <c r="AY2732" s="20"/>
      <c r="AZ2732" s="20"/>
      <c r="BA2732" s="20"/>
    </row>
    <row r="2733" spans="49:53" x14ac:dyDescent="0.35">
      <c r="AW2733" s="20"/>
      <c r="AX2733" s="20"/>
      <c r="AY2733" s="20"/>
      <c r="AZ2733" s="20"/>
      <c r="BA2733" s="20"/>
    </row>
    <row r="2734" spans="49:53" x14ac:dyDescent="0.35">
      <c r="AW2734" s="20"/>
      <c r="AX2734" s="20"/>
      <c r="AY2734" s="20"/>
      <c r="AZ2734" s="20"/>
      <c r="BA2734" s="20"/>
    </row>
    <row r="2735" spans="49:53" x14ac:dyDescent="0.35">
      <c r="AW2735" s="20"/>
      <c r="AX2735" s="20"/>
      <c r="AY2735" s="20"/>
      <c r="AZ2735" s="20"/>
      <c r="BA2735" s="20"/>
    </row>
    <row r="2736" spans="49:53" x14ac:dyDescent="0.35">
      <c r="AW2736" s="20"/>
      <c r="AX2736" s="20"/>
      <c r="AY2736" s="20"/>
      <c r="AZ2736" s="20"/>
      <c r="BA2736" s="20"/>
    </row>
    <row r="2737" spans="49:53" x14ac:dyDescent="0.35">
      <c r="AW2737" s="20"/>
      <c r="AX2737" s="20"/>
      <c r="AY2737" s="20"/>
      <c r="AZ2737" s="20"/>
      <c r="BA2737" s="20"/>
    </row>
    <row r="2738" spans="49:53" x14ac:dyDescent="0.35">
      <c r="AW2738" s="20"/>
      <c r="AX2738" s="20"/>
      <c r="AY2738" s="20"/>
      <c r="AZ2738" s="20"/>
      <c r="BA2738" s="20"/>
    </row>
    <row r="2739" spans="49:53" x14ac:dyDescent="0.35">
      <c r="AW2739" s="20"/>
      <c r="AX2739" s="20"/>
      <c r="AY2739" s="20"/>
      <c r="AZ2739" s="20"/>
      <c r="BA2739" s="20"/>
    </row>
    <row r="2740" spans="49:53" x14ac:dyDescent="0.35">
      <c r="AW2740" s="20"/>
      <c r="AX2740" s="20"/>
      <c r="AY2740" s="20"/>
      <c r="AZ2740" s="20"/>
      <c r="BA2740" s="20"/>
    </row>
    <row r="2741" spans="49:53" x14ac:dyDescent="0.35">
      <c r="AW2741" s="20"/>
      <c r="AX2741" s="20"/>
      <c r="AY2741" s="20"/>
      <c r="AZ2741" s="20"/>
      <c r="BA2741" s="20"/>
    </row>
    <row r="2742" spans="49:53" x14ac:dyDescent="0.35">
      <c r="AW2742" s="20"/>
      <c r="AX2742" s="20"/>
      <c r="AY2742" s="20"/>
      <c r="AZ2742" s="20"/>
      <c r="BA2742" s="20"/>
    </row>
    <row r="2743" spans="49:53" x14ac:dyDescent="0.35">
      <c r="AW2743" s="20"/>
      <c r="AX2743" s="20"/>
      <c r="AY2743" s="20"/>
      <c r="AZ2743" s="20"/>
      <c r="BA2743" s="20"/>
    </row>
    <row r="2744" spans="49:53" x14ac:dyDescent="0.35">
      <c r="AW2744" s="20"/>
      <c r="AX2744" s="20"/>
      <c r="AY2744" s="20"/>
      <c r="AZ2744" s="20"/>
      <c r="BA2744" s="20"/>
    </row>
    <row r="2745" spans="49:53" x14ac:dyDescent="0.35">
      <c r="AW2745" s="20"/>
      <c r="AX2745" s="20"/>
      <c r="AY2745" s="20"/>
      <c r="AZ2745" s="20"/>
      <c r="BA2745" s="20"/>
    </row>
    <row r="2746" spans="49:53" x14ac:dyDescent="0.35">
      <c r="AW2746" s="20"/>
      <c r="AX2746" s="20"/>
      <c r="AY2746" s="20"/>
      <c r="AZ2746" s="20"/>
      <c r="BA2746" s="20"/>
    </row>
    <row r="2747" spans="49:53" x14ac:dyDescent="0.35">
      <c r="AW2747" s="20"/>
      <c r="AX2747" s="20"/>
      <c r="AY2747" s="20"/>
      <c r="AZ2747" s="20"/>
      <c r="BA2747" s="20"/>
    </row>
    <row r="2748" spans="49:53" x14ac:dyDescent="0.35">
      <c r="AW2748" s="20"/>
      <c r="AX2748" s="20"/>
      <c r="AY2748" s="20"/>
      <c r="AZ2748" s="20"/>
      <c r="BA2748" s="20"/>
    </row>
    <row r="2749" spans="49:53" x14ac:dyDescent="0.35">
      <c r="AW2749" s="20"/>
      <c r="AX2749" s="20"/>
      <c r="AY2749" s="20"/>
      <c r="AZ2749" s="20"/>
      <c r="BA2749" s="20"/>
    </row>
    <row r="2750" spans="49:53" x14ac:dyDescent="0.35">
      <c r="AW2750" s="20"/>
      <c r="AX2750" s="20"/>
      <c r="AY2750" s="20"/>
      <c r="AZ2750" s="20"/>
      <c r="BA2750" s="20"/>
    </row>
    <row r="2751" spans="49:53" x14ac:dyDescent="0.35">
      <c r="AW2751" s="20"/>
      <c r="AX2751" s="20"/>
      <c r="AY2751" s="20"/>
      <c r="AZ2751" s="20"/>
      <c r="BA2751" s="20"/>
    </row>
    <row r="2752" spans="49:53" x14ac:dyDescent="0.35">
      <c r="AW2752" s="20"/>
      <c r="AX2752" s="20"/>
      <c r="AY2752" s="20"/>
      <c r="AZ2752" s="20"/>
      <c r="BA2752" s="20"/>
    </row>
    <row r="2753" spans="49:53" x14ac:dyDescent="0.35">
      <c r="AW2753" s="20"/>
      <c r="AX2753" s="20"/>
      <c r="AY2753" s="20"/>
      <c r="AZ2753" s="20"/>
      <c r="BA2753" s="20"/>
    </row>
    <row r="2754" spans="49:53" x14ac:dyDescent="0.35">
      <c r="AW2754" s="20"/>
      <c r="AX2754" s="20"/>
      <c r="AY2754" s="20"/>
      <c r="AZ2754" s="20"/>
      <c r="BA2754" s="20"/>
    </row>
    <row r="2755" spans="49:53" x14ac:dyDescent="0.35">
      <c r="AW2755" s="20"/>
      <c r="AX2755" s="20"/>
      <c r="AY2755" s="20"/>
      <c r="AZ2755" s="20"/>
      <c r="BA2755" s="20"/>
    </row>
    <row r="2756" spans="49:53" x14ac:dyDescent="0.35">
      <c r="AW2756" s="20"/>
      <c r="AX2756" s="20"/>
      <c r="AY2756" s="20"/>
      <c r="AZ2756" s="20"/>
      <c r="BA2756" s="20"/>
    </row>
    <row r="2757" spans="49:53" x14ac:dyDescent="0.35">
      <c r="AW2757" s="20"/>
      <c r="AX2757" s="20"/>
      <c r="AY2757" s="20"/>
      <c r="AZ2757" s="20"/>
      <c r="BA2757" s="20"/>
    </row>
    <row r="2758" spans="49:53" x14ac:dyDescent="0.35">
      <c r="AW2758" s="20"/>
      <c r="AX2758" s="20"/>
      <c r="AY2758" s="20"/>
      <c r="AZ2758" s="20"/>
      <c r="BA2758" s="20"/>
    </row>
    <row r="2759" spans="49:53" x14ac:dyDescent="0.35">
      <c r="AW2759" s="20"/>
      <c r="AX2759" s="20"/>
      <c r="AY2759" s="20"/>
      <c r="AZ2759" s="20"/>
      <c r="BA2759" s="20"/>
    </row>
    <row r="2760" spans="49:53" x14ac:dyDescent="0.35">
      <c r="AW2760" s="20"/>
      <c r="AX2760" s="20"/>
      <c r="AY2760" s="20"/>
      <c r="AZ2760" s="20"/>
      <c r="BA2760" s="20"/>
    </row>
    <row r="2761" spans="49:53" x14ac:dyDescent="0.35">
      <c r="AW2761" s="20"/>
      <c r="AX2761" s="20"/>
      <c r="AY2761" s="20"/>
      <c r="AZ2761" s="20"/>
      <c r="BA2761" s="20"/>
    </row>
    <row r="2762" spans="49:53" x14ac:dyDescent="0.35">
      <c r="AW2762" s="20"/>
      <c r="AX2762" s="20"/>
      <c r="AY2762" s="20"/>
      <c r="AZ2762" s="20"/>
      <c r="BA2762" s="20"/>
    </row>
    <row r="2763" spans="49:53" x14ac:dyDescent="0.35">
      <c r="AW2763" s="20"/>
      <c r="AX2763" s="20"/>
      <c r="AY2763" s="20"/>
      <c r="AZ2763" s="20"/>
      <c r="BA2763" s="20"/>
    </row>
    <row r="2764" spans="49:53" x14ac:dyDescent="0.35">
      <c r="AW2764" s="20"/>
      <c r="AX2764" s="20"/>
      <c r="AY2764" s="20"/>
      <c r="AZ2764" s="20"/>
      <c r="BA2764" s="20"/>
    </row>
    <row r="2765" spans="49:53" x14ac:dyDescent="0.35">
      <c r="AW2765" s="20"/>
      <c r="AX2765" s="20"/>
      <c r="AY2765" s="20"/>
      <c r="AZ2765" s="20"/>
      <c r="BA2765" s="20"/>
    </row>
    <row r="2766" spans="49:53" x14ac:dyDescent="0.35">
      <c r="AW2766" s="20"/>
      <c r="AX2766" s="20"/>
      <c r="AY2766" s="20"/>
      <c r="AZ2766" s="20"/>
      <c r="BA2766" s="20"/>
    </row>
    <row r="2767" spans="49:53" x14ac:dyDescent="0.35">
      <c r="AW2767" s="20"/>
      <c r="AX2767" s="20"/>
      <c r="AY2767" s="20"/>
      <c r="AZ2767" s="20"/>
      <c r="BA2767" s="20"/>
    </row>
    <row r="2768" spans="49:53" x14ac:dyDescent="0.35">
      <c r="AW2768" s="20"/>
      <c r="AX2768" s="20"/>
      <c r="AY2768" s="20"/>
      <c r="AZ2768" s="20"/>
      <c r="BA2768" s="20"/>
    </row>
    <row r="2769" spans="49:53" x14ac:dyDescent="0.35">
      <c r="AW2769" s="20"/>
      <c r="AX2769" s="20"/>
      <c r="AY2769" s="20"/>
      <c r="AZ2769" s="20"/>
      <c r="BA2769" s="20"/>
    </row>
    <row r="2770" spans="49:53" x14ac:dyDescent="0.35">
      <c r="AW2770" s="20"/>
      <c r="AX2770" s="20"/>
      <c r="AY2770" s="20"/>
      <c r="AZ2770" s="20"/>
      <c r="BA2770" s="20"/>
    </row>
    <row r="2771" spans="49:53" x14ac:dyDescent="0.35">
      <c r="AW2771" s="20"/>
      <c r="AX2771" s="20"/>
      <c r="AY2771" s="20"/>
      <c r="AZ2771" s="20"/>
      <c r="BA2771" s="20"/>
    </row>
    <row r="2772" spans="49:53" x14ac:dyDescent="0.35">
      <c r="AW2772" s="20"/>
      <c r="AX2772" s="20"/>
      <c r="AY2772" s="20"/>
      <c r="AZ2772" s="20"/>
      <c r="BA2772" s="20"/>
    </row>
    <row r="2773" spans="49:53" x14ac:dyDescent="0.35">
      <c r="AW2773" s="20"/>
      <c r="AX2773" s="20"/>
      <c r="AY2773" s="20"/>
      <c r="AZ2773" s="20"/>
      <c r="BA2773" s="20"/>
    </row>
    <row r="2774" spans="49:53" x14ac:dyDescent="0.35">
      <c r="AW2774" s="20"/>
      <c r="AX2774" s="20"/>
      <c r="AY2774" s="20"/>
      <c r="AZ2774" s="20"/>
      <c r="BA2774" s="20"/>
    </row>
    <row r="2775" spans="49:53" x14ac:dyDescent="0.35">
      <c r="AW2775" s="20"/>
      <c r="AX2775" s="20"/>
      <c r="AY2775" s="20"/>
      <c r="AZ2775" s="20"/>
      <c r="BA2775" s="20"/>
    </row>
    <row r="2776" spans="49:53" x14ac:dyDescent="0.35">
      <c r="AW2776" s="20"/>
      <c r="AX2776" s="20"/>
      <c r="AY2776" s="20"/>
      <c r="AZ2776" s="20"/>
      <c r="BA2776" s="20"/>
    </row>
    <row r="2777" spans="49:53" x14ac:dyDescent="0.35">
      <c r="AW2777" s="20"/>
      <c r="AX2777" s="20"/>
      <c r="AY2777" s="20"/>
      <c r="AZ2777" s="20"/>
      <c r="BA2777" s="20"/>
    </row>
    <row r="2778" spans="49:53" x14ac:dyDescent="0.35">
      <c r="AW2778" s="20"/>
      <c r="AX2778" s="20"/>
      <c r="AY2778" s="20"/>
      <c r="AZ2778" s="20"/>
      <c r="BA2778" s="20"/>
    </row>
    <row r="2779" spans="49:53" x14ac:dyDescent="0.35">
      <c r="AW2779" s="20"/>
      <c r="AX2779" s="20"/>
      <c r="AY2779" s="20"/>
      <c r="AZ2779" s="20"/>
      <c r="BA2779" s="20"/>
    </row>
    <row r="2780" spans="49:53" x14ac:dyDescent="0.35">
      <c r="AW2780" s="20"/>
      <c r="AX2780" s="20"/>
      <c r="AY2780" s="20"/>
      <c r="AZ2780" s="20"/>
      <c r="BA2780" s="20"/>
    </row>
    <row r="2781" spans="49:53" x14ac:dyDescent="0.35">
      <c r="AW2781" s="20"/>
      <c r="AX2781" s="20"/>
      <c r="AY2781" s="20"/>
      <c r="AZ2781" s="20"/>
      <c r="BA2781" s="20"/>
    </row>
    <row r="2782" spans="49:53" x14ac:dyDescent="0.35">
      <c r="AW2782" s="20"/>
      <c r="AX2782" s="20"/>
      <c r="AY2782" s="20"/>
      <c r="AZ2782" s="20"/>
      <c r="BA2782" s="20"/>
    </row>
    <row r="2783" spans="49:53" x14ac:dyDescent="0.35">
      <c r="AW2783" s="20"/>
      <c r="AX2783" s="20"/>
      <c r="AY2783" s="20"/>
      <c r="AZ2783" s="20"/>
      <c r="BA2783" s="20"/>
    </row>
    <row r="2784" spans="49:53" x14ac:dyDescent="0.35">
      <c r="AW2784" s="20"/>
      <c r="AX2784" s="20"/>
      <c r="AY2784" s="20"/>
      <c r="AZ2784" s="20"/>
      <c r="BA2784" s="20"/>
    </row>
    <row r="2785" spans="49:53" x14ac:dyDescent="0.35">
      <c r="AW2785" s="20"/>
      <c r="AX2785" s="20"/>
      <c r="AY2785" s="20"/>
      <c r="AZ2785" s="20"/>
      <c r="BA2785" s="20"/>
    </row>
    <row r="2786" spans="49:53" x14ac:dyDescent="0.35">
      <c r="AW2786" s="20"/>
      <c r="AX2786" s="20"/>
      <c r="AY2786" s="20"/>
      <c r="AZ2786" s="20"/>
      <c r="BA2786" s="20"/>
    </row>
    <row r="2787" spans="49:53" x14ac:dyDescent="0.35">
      <c r="AW2787" s="20"/>
      <c r="AX2787" s="20"/>
      <c r="AY2787" s="20"/>
      <c r="AZ2787" s="20"/>
      <c r="BA2787" s="20"/>
    </row>
    <row r="2788" spans="49:53" x14ac:dyDescent="0.35">
      <c r="AW2788" s="20"/>
      <c r="AX2788" s="20"/>
      <c r="AY2788" s="20"/>
      <c r="AZ2788" s="20"/>
      <c r="BA2788" s="20"/>
    </row>
    <row r="2789" spans="49:53" x14ac:dyDescent="0.35">
      <c r="AW2789" s="20"/>
      <c r="AX2789" s="20"/>
      <c r="AY2789" s="20"/>
      <c r="AZ2789" s="20"/>
      <c r="BA2789" s="20"/>
    </row>
    <row r="2790" spans="49:53" x14ac:dyDescent="0.35">
      <c r="AW2790" s="20"/>
      <c r="AX2790" s="20"/>
      <c r="AY2790" s="20"/>
      <c r="AZ2790" s="20"/>
      <c r="BA2790" s="20"/>
    </row>
    <row r="2791" spans="49:53" x14ac:dyDescent="0.35">
      <c r="AW2791" s="20"/>
      <c r="AX2791" s="20"/>
      <c r="AY2791" s="20"/>
      <c r="AZ2791" s="20"/>
      <c r="BA2791" s="20"/>
    </row>
    <row r="2792" spans="49:53" x14ac:dyDescent="0.35">
      <c r="AW2792" s="20"/>
      <c r="AX2792" s="20"/>
      <c r="AY2792" s="20"/>
      <c r="AZ2792" s="20"/>
      <c r="BA2792" s="20"/>
    </row>
    <row r="2793" spans="49:53" x14ac:dyDescent="0.35">
      <c r="AW2793" s="20"/>
      <c r="AX2793" s="20"/>
      <c r="AY2793" s="20"/>
      <c r="AZ2793" s="20"/>
      <c r="BA2793" s="20"/>
    </row>
    <row r="2794" spans="49:53" x14ac:dyDescent="0.35">
      <c r="AW2794" s="20"/>
      <c r="AX2794" s="20"/>
      <c r="AY2794" s="20"/>
      <c r="AZ2794" s="20"/>
      <c r="BA2794" s="20"/>
    </row>
    <row r="2795" spans="49:53" x14ac:dyDescent="0.35">
      <c r="AW2795" s="20"/>
      <c r="AX2795" s="20"/>
      <c r="AY2795" s="20"/>
      <c r="AZ2795" s="20"/>
      <c r="BA2795" s="20"/>
    </row>
    <row r="2796" spans="49:53" x14ac:dyDescent="0.35">
      <c r="AW2796" s="20"/>
      <c r="AX2796" s="20"/>
      <c r="AY2796" s="20"/>
      <c r="AZ2796" s="20"/>
      <c r="BA2796" s="20"/>
    </row>
    <row r="2797" spans="49:53" x14ac:dyDescent="0.35">
      <c r="AW2797" s="20"/>
      <c r="AX2797" s="20"/>
      <c r="AY2797" s="20"/>
      <c r="AZ2797" s="20"/>
      <c r="BA2797" s="20"/>
    </row>
    <row r="2798" spans="49:53" x14ac:dyDescent="0.35">
      <c r="AW2798" s="20"/>
      <c r="AX2798" s="20"/>
      <c r="AY2798" s="20"/>
      <c r="AZ2798" s="20"/>
      <c r="BA2798" s="20"/>
    </row>
    <row r="2799" spans="49:53" x14ac:dyDescent="0.35">
      <c r="AW2799" s="20"/>
      <c r="AX2799" s="20"/>
      <c r="AY2799" s="20"/>
      <c r="AZ2799" s="20"/>
      <c r="BA2799" s="20"/>
    </row>
    <row r="2800" spans="49:53" x14ac:dyDescent="0.35">
      <c r="AW2800" s="20"/>
      <c r="AX2800" s="20"/>
      <c r="AY2800" s="20"/>
      <c r="AZ2800" s="20"/>
      <c r="BA2800" s="20"/>
    </row>
    <row r="2801" spans="49:53" x14ac:dyDescent="0.35">
      <c r="AW2801" s="20"/>
      <c r="AX2801" s="20"/>
      <c r="AY2801" s="20"/>
      <c r="AZ2801" s="20"/>
      <c r="BA2801" s="20"/>
    </row>
    <row r="2802" spans="49:53" x14ac:dyDescent="0.35">
      <c r="AW2802" s="20"/>
      <c r="AX2802" s="20"/>
      <c r="AY2802" s="20"/>
      <c r="AZ2802" s="20"/>
      <c r="BA2802" s="20"/>
    </row>
    <row r="2803" spans="49:53" x14ac:dyDescent="0.35">
      <c r="AW2803" s="20"/>
      <c r="AX2803" s="20"/>
      <c r="AY2803" s="20"/>
      <c r="AZ2803" s="20"/>
      <c r="BA2803" s="20"/>
    </row>
    <row r="2804" spans="49:53" x14ac:dyDescent="0.35">
      <c r="AW2804" s="20"/>
      <c r="AX2804" s="20"/>
      <c r="AY2804" s="20"/>
      <c r="AZ2804" s="20"/>
      <c r="BA2804" s="20"/>
    </row>
    <row r="2805" spans="49:53" x14ac:dyDescent="0.35">
      <c r="AW2805" s="20"/>
      <c r="AX2805" s="20"/>
      <c r="AY2805" s="20"/>
      <c r="AZ2805" s="20"/>
      <c r="BA2805" s="20"/>
    </row>
    <row r="2806" spans="49:53" x14ac:dyDescent="0.35">
      <c r="AW2806" s="20"/>
      <c r="AX2806" s="20"/>
      <c r="AY2806" s="20"/>
      <c r="AZ2806" s="20"/>
      <c r="BA2806" s="20"/>
    </row>
    <row r="2807" spans="49:53" x14ac:dyDescent="0.35">
      <c r="AW2807" s="20"/>
      <c r="AX2807" s="20"/>
      <c r="AY2807" s="20"/>
      <c r="AZ2807" s="20"/>
      <c r="BA2807" s="20"/>
    </row>
    <row r="2808" spans="49:53" x14ac:dyDescent="0.35">
      <c r="AW2808" s="20"/>
      <c r="AX2808" s="20"/>
      <c r="AY2808" s="20"/>
      <c r="AZ2808" s="20"/>
      <c r="BA2808" s="20"/>
    </row>
    <row r="2809" spans="49:53" x14ac:dyDescent="0.35">
      <c r="AW2809" s="20"/>
      <c r="AX2809" s="20"/>
      <c r="AY2809" s="20"/>
      <c r="AZ2809" s="20"/>
      <c r="BA2809" s="20"/>
    </row>
    <row r="2810" spans="49:53" x14ac:dyDescent="0.35">
      <c r="AW2810" s="20"/>
      <c r="AX2810" s="20"/>
      <c r="AY2810" s="20"/>
      <c r="AZ2810" s="20"/>
      <c r="BA2810" s="20"/>
    </row>
    <row r="2811" spans="49:53" x14ac:dyDescent="0.35">
      <c r="AW2811" s="20"/>
      <c r="AX2811" s="20"/>
      <c r="AY2811" s="20"/>
      <c r="AZ2811" s="20"/>
      <c r="BA2811" s="20"/>
    </row>
    <row r="2812" spans="49:53" x14ac:dyDescent="0.35">
      <c r="AW2812" s="20"/>
      <c r="AX2812" s="20"/>
      <c r="AY2812" s="20"/>
      <c r="AZ2812" s="20"/>
      <c r="BA2812" s="20"/>
    </row>
    <row r="2813" spans="49:53" x14ac:dyDescent="0.35">
      <c r="AW2813" s="20"/>
      <c r="AX2813" s="20"/>
      <c r="AY2813" s="20"/>
      <c r="AZ2813" s="20"/>
      <c r="BA2813" s="20"/>
    </row>
    <row r="2814" spans="49:53" x14ac:dyDescent="0.35">
      <c r="AW2814" s="20"/>
      <c r="AX2814" s="20"/>
      <c r="AY2814" s="20"/>
      <c r="AZ2814" s="20"/>
      <c r="BA2814" s="20"/>
    </row>
    <row r="2815" spans="49:53" x14ac:dyDescent="0.35">
      <c r="AW2815" s="20"/>
      <c r="AX2815" s="20"/>
      <c r="AY2815" s="20"/>
      <c r="AZ2815" s="20"/>
      <c r="BA2815" s="20"/>
    </row>
    <row r="2816" spans="49:53" x14ac:dyDescent="0.35">
      <c r="AW2816" s="20"/>
      <c r="AX2816" s="20"/>
      <c r="AY2816" s="20"/>
      <c r="AZ2816" s="20"/>
      <c r="BA2816" s="20"/>
    </row>
    <row r="2817" spans="49:53" x14ac:dyDescent="0.35">
      <c r="AW2817" s="20"/>
      <c r="AX2817" s="20"/>
      <c r="AY2817" s="20"/>
      <c r="AZ2817" s="20"/>
      <c r="BA2817" s="20"/>
    </row>
    <row r="2818" spans="49:53" x14ac:dyDescent="0.35">
      <c r="AW2818" s="20"/>
      <c r="AX2818" s="20"/>
      <c r="AY2818" s="20"/>
      <c r="AZ2818" s="20"/>
      <c r="BA2818" s="20"/>
    </row>
    <row r="2819" spans="49:53" x14ac:dyDescent="0.35">
      <c r="AW2819" s="20"/>
      <c r="AX2819" s="20"/>
      <c r="AY2819" s="20"/>
      <c r="AZ2819" s="20"/>
      <c r="BA2819" s="20"/>
    </row>
    <row r="2820" spans="49:53" x14ac:dyDescent="0.35">
      <c r="AW2820" s="20"/>
      <c r="AX2820" s="20"/>
      <c r="AY2820" s="20"/>
      <c r="AZ2820" s="20"/>
      <c r="BA2820" s="20"/>
    </row>
    <row r="2821" spans="49:53" x14ac:dyDescent="0.35">
      <c r="AW2821" s="20"/>
      <c r="AX2821" s="20"/>
      <c r="AY2821" s="20"/>
      <c r="AZ2821" s="20"/>
      <c r="BA2821" s="20"/>
    </row>
    <row r="2822" spans="49:53" x14ac:dyDescent="0.35">
      <c r="AW2822" s="20"/>
      <c r="AX2822" s="20"/>
      <c r="AY2822" s="20"/>
      <c r="AZ2822" s="20"/>
      <c r="BA2822" s="20"/>
    </row>
    <row r="2823" spans="49:53" x14ac:dyDescent="0.35">
      <c r="AW2823" s="20"/>
      <c r="AX2823" s="20"/>
      <c r="AY2823" s="20"/>
      <c r="AZ2823" s="20"/>
      <c r="BA2823" s="20"/>
    </row>
    <row r="2824" spans="49:53" x14ac:dyDescent="0.35">
      <c r="AW2824" s="20"/>
      <c r="AX2824" s="20"/>
      <c r="AY2824" s="20"/>
      <c r="AZ2824" s="20"/>
      <c r="BA2824" s="20"/>
    </row>
    <row r="2825" spans="49:53" x14ac:dyDescent="0.35">
      <c r="AW2825" s="20"/>
      <c r="AX2825" s="20"/>
      <c r="AY2825" s="20"/>
      <c r="AZ2825" s="20"/>
      <c r="BA2825" s="20"/>
    </row>
    <row r="2826" spans="49:53" x14ac:dyDescent="0.35">
      <c r="AW2826" s="20"/>
      <c r="AX2826" s="20"/>
      <c r="AY2826" s="20"/>
      <c r="AZ2826" s="20"/>
      <c r="BA2826" s="20"/>
    </row>
    <row r="2827" spans="49:53" x14ac:dyDescent="0.35">
      <c r="AW2827" s="20"/>
      <c r="AX2827" s="20"/>
      <c r="AY2827" s="20"/>
      <c r="AZ2827" s="20"/>
      <c r="BA2827" s="20"/>
    </row>
    <row r="2828" spans="49:53" x14ac:dyDescent="0.35">
      <c r="AW2828" s="20"/>
      <c r="AX2828" s="20"/>
      <c r="AY2828" s="20"/>
      <c r="AZ2828" s="20"/>
      <c r="BA2828" s="20"/>
    </row>
    <row r="2829" spans="49:53" x14ac:dyDescent="0.35">
      <c r="AW2829" s="20"/>
      <c r="AX2829" s="20"/>
      <c r="AY2829" s="20"/>
      <c r="AZ2829" s="20"/>
      <c r="BA2829" s="20"/>
    </row>
    <row r="2830" spans="49:53" x14ac:dyDescent="0.35">
      <c r="AW2830" s="20"/>
      <c r="AX2830" s="20"/>
      <c r="AY2830" s="20"/>
      <c r="AZ2830" s="20"/>
      <c r="BA2830" s="20"/>
    </row>
    <row r="2831" spans="49:53" x14ac:dyDescent="0.35">
      <c r="AW2831" s="20"/>
      <c r="AX2831" s="20"/>
      <c r="AY2831" s="20"/>
      <c r="AZ2831" s="20"/>
      <c r="BA2831" s="20"/>
    </row>
    <row r="2832" spans="49:53" x14ac:dyDescent="0.35">
      <c r="AW2832" s="20"/>
      <c r="AX2832" s="20"/>
      <c r="AY2832" s="20"/>
      <c r="AZ2832" s="20"/>
      <c r="BA2832" s="20"/>
    </row>
    <row r="2833" spans="49:53" x14ac:dyDescent="0.35">
      <c r="AW2833" s="20"/>
      <c r="AX2833" s="20"/>
      <c r="AY2833" s="20"/>
      <c r="AZ2833" s="20"/>
      <c r="BA2833" s="20"/>
    </row>
    <row r="2834" spans="49:53" x14ac:dyDescent="0.35">
      <c r="AW2834" s="20"/>
      <c r="AX2834" s="20"/>
      <c r="AY2834" s="20"/>
      <c r="AZ2834" s="20"/>
      <c r="BA2834" s="20"/>
    </row>
    <row r="2835" spans="49:53" x14ac:dyDescent="0.35">
      <c r="AW2835" s="20"/>
      <c r="AX2835" s="20"/>
      <c r="AY2835" s="20"/>
      <c r="AZ2835" s="20"/>
      <c r="BA2835" s="20"/>
    </row>
    <row r="2836" spans="49:53" x14ac:dyDescent="0.35">
      <c r="AW2836" s="20"/>
      <c r="AX2836" s="20"/>
      <c r="AY2836" s="20"/>
      <c r="AZ2836" s="20"/>
      <c r="BA2836" s="20"/>
    </row>
    <row r="2837" spans="49:53" x14ac:dyDescent="0.35">
      <c r="AW2837" s="20"/>
      <c r="AX2837" s="20"/>
      <c r="AY2837" s="20"/>
      <c r="AZ2837" s="20"/>
      <c r="BA2837" s="20"/>
    </row>
    <row r="2838" spans="49:53" x14ac:dyDescent="0.35">
      <c r="AW2838" s="20"/>
      <c r="AX2838" s="20"/>
      <c r="AY2838" s="20"/>
      <c r="AZ2838" s="20"/>
      <c r="BA2838" s="20"/>
    </row>
    <row r="2839" spans="49:53" x14ac:dyDescent="0.35">
      <c r="AW2839" s="20"/>
      <c r="AX2839" s="20"/>
      <c r="AY2839" s="20"/>
      <c r="AZ2839" s="20"/>
      <c r="BA2839" s="20"/>
    </row>
    <row r="2840" spans="49:53" x14ac:dyDescent="0.35">
      <c r="AW2840" s="20"/>
      <c r="AX2840" s="20"/>
      <c r="AY2840" s="20"/>
      <c r="AZ2840" s="20"/>
      <c r="BA2840" s="20"/>
    </row>
    <row r="2841" spans="49:53" x14ac:dyDescent="0.35">
      <c r="AW2841" s="20"/>
      <c r="AX2841" s="20"/>
      <c r="AY2841" s="20"/>
      <c r="AZ2841" s="20"/>
      <c r="BA2841" s="20"/>
    </row>
    <row r="2842" spans="49:53" x14ac:dyDescent="0.35">
      <c r="AW2842" s="20"/>
      <c r="AX2842" s="20"/>
      <c r="AY2842" s="20"/>
      <c r="AZ2842" s="20"/>
      <c r="BA2842" s="20"/>
    </row>
    <row r="2843" spans="49:53" x14ac:dyDescent="0.35">
      <c r="AW2843" s="20"/>
      <c r="AX2843" s="20"/>
      <c r="AY2843" s="20"/>
      <c r="AZ2843" s="20"/>
      <c r="BA2843" s="20"/>
    </row>
    <row r="2844" spans="49:53" x14ac:dyDescent="0.35">
      <c r="AW2844" s="20"/>
      <c r="AX2844" s="20"/>
      <c r="AY2844" s="20"/>
      <c r="AZ2844" s="20"/>
      <c r="BA2844" s="20"/>
    </row>
    <row r="2845" spans="49:53" x14ac:dyDescent="0.35">
      <c r="AW2845" s="20"/>
      <c r="AX2845" s="20"/>
      <c r="AY2845" s="20"/>
      <c r="AZ2845" s="20"/>
      <c r="BA2845" s="20"/>
    </row>
    <row r="2846" spans="49:53" x14ac:dyDescent="0.35">
      <c r="AW2846" s="20"/>
      <c r="AX2846" s="20"/>
      <c r="AY2846" s="20"/>
      <c r="AZ2846" s="20"/>
      <c r="BA2846" s="20"/>
    </row>
    <row r="2847" spans="49:53" x14ac:dyDescent="0.35">
      <c r="AW2847" s="20"/>
      <c r="AX2847" s="20"/>
      <c r="AY2847" s="20"/>
      <c r="AZ2847" s="20"/>
      <c r="BA2847" s="20"/>
    </row>
    <row r="2848" spans="49:53" x14ac:dyDescent="0.35">
      <c r="AW2848" s="20"/>
      <c r="AX2848" s="20"/>
      <c r="AY2848" s="20"/>
      <c r="AZ2848" s="20"/>
      <c r="BA2848" s="20"/>
    </row>
    <row r="2849" spans="49:53" x14ac:dyDescent="0.35">
      <c r="AW2849" s="20"/>
      <c r="AX2849" s="20"/>
      <c r="AY2849" s="20"/>
      <c r="AZ2849" s="20"/>
      <c r="BA2849" s="20"/>
    </row>
    <row r="2850" spans="49:53" x14ac:dyDescent="0.35">
      <c r="AW2850" s="20"/>
      <c r="AX2850" s="20"/>
      <c r="AY2850" s="20"/>
      <c r="AZ2850" s="20"/>
      <c r="BA2850" s="20"/>
    </row>
    <row r="2851" spans="49:53" x14ac:dyDescent="0.35">
      <c r="AW2851" s="20"/>
      <c r="AX2851" s="20"/>
      <c r="AY2851" s="20"/>
      <c r="AZ2851" s="20"/>
      <c r="BA2851" s="20"/>
    </row>
    <row r="2852" spans="49:53" x14ac:dyDescent="0.35">
      <c r="AW2852" s="20"/>
      <c r="AX2852" s="20"/>
      <c r="AY2852" s="20"/>
      <c r="AZ2852" s="20"/>
      <c r="BA2852" s="20"/>
    </row>
    <row r="2853" spans="49:53" x14ac:dyDescent="0.35">
      <c r="AW2853" s="20"/>
      <c r="AX2853" s="20"/>
      <c r="AY2853" s="20"/>
      <c r="AZ2853" s="20"/>
      <c r="BA2853" s="20"/>
    </row>
    <row r="2854" spans="49:53" x14ac:dyDescent="0.35">
      <c r="AW2854" s="20"/>
      <c r="AX2854" s="20"/>
      <c r="AY2854" s="20"/>
      <c r="AZ2854" s="20"/>
      <c r="BA2854" s="20"/>
    </row>
    <row r="2855" spans="49:53" x14ac:dyDescent="0.35">
      <c r="AW2855" s="20"/>
      <c r="AX2855" s="20"/>
      <c r="AY2855" s="20"/>
      <c r="AZ2855" s="20"/>
      <c r="BA2855" s="20"/>
    </row>
    <row r="2856" spans="49:53" x14ac:dyDescent="0.35">
      <c r="AW2856" s="20"/>
      <c r="AX2856" s="20"/>
      <c r="AY2856" s="20"/>
      <c r="AZ2856" s="20"/>
      <c r="BA2856" s="20"/>
    </row>
    <row r="2857" spans="49:53" x14ac:dyDescent="0.35">
      <c r="AW2857" s="20"/>
      <c r="AX2857" s="20"/>
      <c r="AY2857" s="20"/>
      <c r="AZ2857" s="20"/>
      <c r="BA2857" s="20"/>
    </row>
    <row r="2858" spans="49:53" x14ac:dyDescent="0.35">
      <c r="AW2858" s="20"/>
      <c r="AX2858" s="20"/>
      <c r="AY2858" s="20"/>
      <c r="AZ2858" s="20"/>
      <c r="BA2858" s="20"/>
    </row>
    <row r="2859" spans="49:53" x14ac:dyDescent="0.35">
      <c r="AW2859" s="20"/>
      <c r="AX2859" s="20"/>
      <c r="AY2859" s="20"/>
      <c r="AZ2859" s="20"/>
      <c r="BA2859" s="20"/>
    </row>
    <row r="2860" spans="49:53" x14ac:dyDescent="0.35">
      <c r="AW2860" s="20"/>
      <c r="AX2860" s="20"/>
      <c r="AY2860" s="20"/>
      <c r="AZ2860" s="20"/>
      <c r="BA2860" s="20"/>
    </row>
    <row r="2861" spans="49:53" x14ac:dyDescent="0.35">
      <c r="AW2861" s="20"/>
      <c r="AX2861" s="20"/>
      <c r="AY2861" s="20"/>
      <c r="AZ2861" s="20"/>
      <c r="BA2861" s="20"/>
    </row>
    <row r="2862" spans="49:53" x14ac:dyDescent="0.35">
      <c r="AW2862" s="20"/>
      <c r="AX2862" s="20"/>
      <c r="AY2862" s="20"/>
      <c r="AZ2862" s="20"/>
      <c r="BA2862" s="20"/>
    </row>
    <row r="2863" spans="49:53" x14ac:dyDescent="0.35">
      <c r="AW2863" s="20"/>
      <c r="AX2863" s="20"/>
      <c r="AY2863" s="20"/>
      <c r="AZ2863" s="20"/>
      <c r="BA2863" s="20"/>
    </row>
    <row r="2864" spans="49:53" x14ac:dyDescent="0.35">
      <c r="AW2864" s="20"/>
      <c r="AX2864" s="20"/>
      <c r="AY2864" s="20"/>
      <c r="AZ2864" s="20"/>
      <c r="BA2864" s="20"/>
    </row>
    <row r="2865" spans="49:53" x14ac:dyDescent="0.35">
      <c r="AW2865" s="20"/>
      <c r="AX2865" s="20"/>
      <c r="AY2865" s="20"/>
      <c r="AZ2865" s="20"/>
      <c r="BA2865" s="20"/>
    </row>
    <row r="2866" spans="49:53" x14ac:dyDescent="0.35">
      <c r="AW2866" s="20"/>
      <c r="AX2866" s="20"/>
      <c r="AY2866" s="20"/>
      <c r="AZ2866" s="20"/>
      <c r="BA2866" s="20"/>
    </row>
    <row r="2867" spans="49:53" x14ac:dyDescent="0.35">
      <c r="AW2867" s="20"/>
      <c r="AX2867" s="20"/>
      <c r="AY2867" s="20"/>
      <c r="AZ2867" s="20"/>
      <c r="BA2867" s="20"/>
    </row>
    <row r="2868" spans="49:53" x14ac:dyDescent="0.35">
      <c r="AW2868" s="20"/>
      <c r="AX2868" s="20"/>
      <c r="AY2868" s="20"/>
      <c r="AZ2868" s="20"/>
      <c r="BA2868" s="20"/>
    </row>
    <row r="2869" spans="49:53" x14ac:dyDescent="0.35">
      <c r="AW2869" s="20"/>
      <c r="AX2869" s="20"/>
      <c r="AY2869" s="20"/>
      <c r="AZ2869" s="20"/>
      <c r="BA2869" s="20"/>
    </row>
    <row r="2870" spans="49:53" x14ac:dyDescent="0.35">
      <c r="AW2870" s="20"/>
      <c r="AX2870" s="20"/>
      <c r="AY2870" s="20"/>
      <c r="AZ2870" s="20"/>
      <c r="BA2870" s="20"/>
    </row>
    <row r="2871" spans="49:53" x14ac:dyDescent="0.35">
      <c r="AW2871" s="20"/>
      <c r="AX2871" s="20"/>
      <c r="AY2871" s="20"/>
      <c r="AZ2871" s="20"/>
      <c r="BA2871" s="20"/>
    </row>
    <row r="2872" spans="49:53" x14ac:dyDescent="0.35">
      <c r="AW2872" s="20"/>
      <c r="AX2872" s="20"/>
      <c r="AY2872" s="20"/>
      <c r="AZ2872" s="20"/>
      <c r="BA2872" s="20"/>
    </row>
    <row r="2873" spans="49:53" x14ac:dyDescent="0.35">
      <c r="AW2873" s="20"/>
      <c r="AX2873" s="20"/>
      <c r="AY2873" s="20"/>
      <c r="AZ2873" s="20"/>
      <c r="BA2873" s="20"/>
    </row>
    <row r="2874" spans="49:53" x14ac:dyDescent="0.35">
      <c r="AW2874" s="20"/>
      <c r="AX2874" s="20"/>
      <c r="AY2874" s="20"/>
      <c r="AZ2874" s="20"/>
      <c r="BA2874" s="20"/>
    </row>
    <row r="2875" spans="49:53" x14ac:dyDescent="0.35">
      <c r="AW2875" s="20"/>
      <c r="AX2875" s="20"/>
      <c r="AY2875" s="20"/>
      <c r="AZ2875" s="20"/>
      <c r="BA2875" s="20"/>
    </row>
    <row r="2876" spans="49:53" x14ac:dyDescent="0.35">
      <c r="AW2876" s="20"/>
      <c r="AX2876" s="20"/>
      <c r="AY2876" s="20"/>
      <c r="AZ2876" s="20"/>
      <c r="BA2876" s="20"/>
    </row>
    <row r="2877" spans="49:53" x14ac:dyDescent="0.35">
      <c r="AW2877" s="20"/>
      <c r="AX2877" s="20"/>
      <c r="AY2877" s="20"/>
      <c r="AZ2877" s="20"/>
      <c r="BA2877" s="20"/>
    </row>
    <row r="2878" spans="49:53" x14ac:dyDescent="0.35">
      <c r="AW2878" s="20"/>
      <c r="AX2878" s="20"/>
      <c r="AY2878" s="20"/>
      <c r="AZ2878" s="20"/>
      <c r="BA2878" s="20"/>
    </row>
    <row r="2879" spans="49:53" x14ac:dyDescent="0.35">
      <c r="AW2879" s="20"/>
      <c r="AX2879" s="20"/>
      <c r="AY2879" s="20"/>
      <c r="AZ2879" s="20"/>
      <c r="BA2879" s="20"/>
    </row>
    <row r="2880" spans="49:53" x14ac:dyDescent="0.35">
      <c r="AW2880" s="20"/>
      <c r="AX2880" s="20"/>
      <c r="AY2880" s="20"/>
      <c r="AZ2880" s="20"/>
      <c r="BA2880" s="20"/>
    </row>
    <row r="2881" spans="49:53" x14ac:dyDescent="0.35">
      <c r="AW2881" s="20"/>
      <c r="AX2881" s="20"/>
      <c r="AY2881" s="20"/>
      <c r="AZ2881" s="20"/>
      <c r="BA2881" s="20"/>
    </row>
    <row r="2882" spans="49:53" x14ac:dyDescent="0.35">
      <c r="AW2882" s="20"/>
      <c r="AX2882" s="20"/>
      <c r="AY2882" s="20"/>
      <c r="AZ2882" s="20"/>
      <c r="BA2882" s="20"/>
    </row>
    <row r="2883" spans="49:53" x14ac:dyDescent="0.35">
      <c r="AW2883" s="20"/>
      <c r="AX2883" s="20"/>
      <c r="AY2883" s="20"/>
      <c r="AZ2883" s="20"/>
      <c r="BA2883" s="20"/>
    </row>
    <row r="2884" spans="49:53" x14ac:dyDescent="0.35">
      <c r="AW2884" s="20"/>
      <c r="AX2884" s="20"/>
      <c r="AY2884" s="20"/>
      <c r="AZ2884" s="20"/>
      <c r="BA2884" s="20"/>
    </row>
    <row r="2885" spans="49:53" x14ac:dyDescent="0.35">
      <c r="AW2885" s="20"/>
      <c r="AX2885" s="20"/>
      <c r="AY2885" s="20"/>
      <c r="AZ2885" s="20"/>
      <c r="BA2885" s="20"/>
    </row>
    <row r="2886" spans="49:53" x14ac:dyDescent="0.35">
      <c r="AW2886" s="20"/>
      <c r="AX2886" s="20"/>
      <c r="AY2886" s="20"/>
      <c r="AZ2886" s="20"/>
      <c r="BA2886" s="20"/>
    </row>
    <row r="2887" spans="49:53" x14ac:dyDescent="0.35">
      <c r="AW2887" s="20"/>
      <c r="AX2887" s="20"/>
      <c r="AY2887" s="20"/>
      <c r="AZ2887" s="20"/>
      <c r="BA2887" s="20"/>
    </row>
    <row r="2888" spans="49:53" x14ac:dyDescent="0.35">
      <c r="AW2888" s="20"/>
      <c r="AX2888" s="20"/>
      <c r="AY2888" s="20"/>
      <c r="AZ2888" s="20"/>
      <c r="BA2888" s="20"/>
    </row>
    <row r="2889" spans="49:53" x14ac:dyDescent="0.35">
      <c r="AW2889" s="20"/>
      <c r="AX2889" s="20"/>
      <c r="AY2889" s="20"/>
      <c r="AZ2889" s="20"/>
      <c r="BA2889" s="20"/>
    </row>
    <row r="2890" spans="49:53" x14ac:dyDescent="0.35">
      <c r="AW2890" s="20"/>
      <c r="AX2890" s="20"/>
      <c r="AY2890" s="20"/>
      <c r="AZ2890" s="20"/>
      <c r="BA2890" s="20"/>
    </row>
    <row r="2891" spans="49:53" x14ac:dyDescent="0.35">
      <c r="AW2891" s="20"/>
      <c r="AX2891" s="20"/>
      <c r="AY2891" s="20"/>
      <c r="AZ2891" s="20"/>
      <c r="BA2891" s="20"/>
    </row>
    <row r="2892" spans="49:53" x14ac:dyDescent="0.35">
      <c r="AW2892" s="20"/>
      <c r="AX2892" s="20"/>
      <c r="AY2892" s="20"/>
      <c r="AZ2892" s="20"/>
      <c r="BA2892" s="20"/>
    </row>
    <row r="2893" spans="49:53" x14ac:dyDescent="0.35">
      <c r="AW2893" s="20"/>
      <c r="AX2893" s="20"/>
      <c r="AY2893" s="20"/>
      <c r="AZ2893" s="20"/>
      <c r="BA2893" s="20"/>
    </row>
    <row r="2894" spans="49:53" x14ac:dyDescent="0.35">
      <c r="AW2894" s="20"/>
      <c r="AX2894" s="20"/>
      <c r="AY2894" s="20"/>
      <c r="AZ2894" s="20"/>
      <c r="BA2894" s="20"/>
    </row>
    <row r="2895" spans="49:53" x14ac:dyDescent="0.35">
      <c r="AW2895" s="20"/>
      <c r="AX2895" s="20"/>
      <c r="AY2895" s="20"/>
      <c r="AZ2895" s="20"/>
      <c r="BA2895" s="20"/>
    </row>
    <row r="2896" spans="49:53" x14ac:dyDescent="0.35">
      <c r="AW2896" s="20"/>
      <c r="AX2896" s="20"/>
      <c r="AY2896" s="20"/>
      <c r="AZ2896" s="20"/>
      <c r="BA2896" s="20"/>
    </row>
    <row r="2897" spans="49:53" x14ac:dyDescent="0.35">
      <c r="AW2897" s="20"/>
      <c r="AX2897" s="20"/>
      <c r="AY2897" s="20"/>
      <c r="AZ2897" s="20"/>
      <c r="BA2897" s="20"/>
    </row>
    <row r="2898" spans="49:53" x14ac:dyDescent="0.35">
      <c r="AW2898" s="20"/>
      <c r="AX2898" s="20"/>
      <c r="AY2898" s="20"/>
      <c r="AZ2898" s="20"/>
      <c r="BA2898" s="20"/>
    </row>
    <row r="2899" spans="49:53" x14ac:dyDescent="0.35">
      <c r="AW2899" s="20"/>
      <c r="AX2899" s="20"/>
      <c r="AY2899" s="20"/>
      <c r="AZ2899" s="20"/>
      <c r="BA2899" s="20"/>
    </row>
    <row r="2900" spans="49:53" x14ac:dyDescent="0.35">
      <c r="AW2900" s="20"/>
      <c r="AX2900" s="20"/>
      <c r="AY2900" s="20"/>
      <c r="AZ2900" s="20"/>
      <c r="BA2900" s="20"/>
    </row>
    <row r="2901" spans="49:53" x14ac:dyDescent="0.35">
      <c r="AW2901" s="20"/>
      <c r="AX2901" s="20"/>
      <c r="AY2901" s="20"/>
      <c r="AZ2901" s="20"/>
      <c r="BA2901" s="20"/>
    </row>
    <row r="2902" spans="49:53" x14ac:dyDescent="0.35">
      <c r="AW2902" s="20"/>
      <c r="AX2902" s="20"/>
      <c r="AY2902" s="20"/>
      <c r="AZ2902" s="20"/>
      <c r="BA2902" s="20"/>
    </row>
    <row r="2903" spans="49:53" x14ac:dyDescent="0.35">
      <c r="AW2903" s="20"/>
      <c r="AX2903" s="20"/>
      <c r="AY2903" s="20"/>
      <c r="AZ2903" s="20"/>
      <c r="BA2903" s="20"/>
    </row>
    <row r="2904" spans="49:53" x14ac:dyDescent="0.35">
      <c r="AW2904" s="20"/>
      <c r="AX2904" s="20"/>
      <c r="AY2904" s="20"/>
      <c r="AZ2904" s="20"/>
      <c r="BA2904" s="20"/>
    </row>
    <row r="2905" spans="49:53" x14ac:dyDescent="0.35">
      <c r="AW2905" s="20"/>
      <c r="AX2905" s="20"/>
      <c r="AY2905" s="20"/>
      <c r="AZ2905" s="20"/>
      <c r="BA2905" s="20"/>
    </row>
    <row r="2906" spans="49:53" x14ac:dyDescent="0.35">
      <c r="AW2906" s="20"/>
      <c r="AX2906" s="20"/>
      <c r="AY2906" s="20"/>
      <c r="AZ2906" s="20"/>
      <c r="BA2906" s="20"/>
    </row>
    <row r="2907" spans="49:53" x14ac:dyDescent="0.35">
      <c r="AW2907" s="20"/>
      <c r="AX2907" s="20"/>
      <c r="AY2907" s="20"/>
      <c r="AZ2907" s="20"/>
      <c r="BA2907" s="20"/>
    </row>
    <row r="2908" spans="49:53" x14ac:dyDescent="0.35">
      <c r="AW2908" s="20"/>
      <c r="AX2908" s="20"/>
      <c r="AY2908" s="20"/>
      <c r="AZ2908" s="20"/>
      <c r="BA2908" s="20"/>
    </row>
    <row r="2909" spans="49:53" x14ac:dyDescent="0.35">
      <c r="AW2909" s="20"/>
      <c r="AX2909" s="20"/>
      <c r="AY2909" s="20"/>
      <c r="AZ2909" s="20"/>
      <c r="BA2909" s="20"/>
    </row>
    <row r="2910" spans="49:53" x14ac:dyDescent="0.35">
      <c r="AW2910" s="20"/>
      <c r="AX2910" s="20"/>
      <c r="AY2910" s="20"/>
      <c r="AZ2910" s="20"/>
      <c r="BA2910" s="20"/>
    </row>
    <row r="2911" spans="49:53" x14ac:dyDescent="0.35">
      <c r="AW2911" s="20"/>
      <c r="AX2911" s="20"/>
      <c r="AY2911" s="20"/>
      <c r="AZ2911" s="20"/>
      <c r="BA2911" s="20"/>
    </row>
    <row r="2912" spans="49:53" x14ac:dyDescent="0.35">
      <c r="AW2912" s="20"/>
      <c r="AX2912" s="20"/>
      <c r="AY2912" s="20"/>
      <c r="AZ2912" s="20"/>
      <c r="BA2912" s="20"/>
    </row>
    <row r="2913" spans="49:53" x14ac:dyDescent="0.35">
      <c r="AW2913" s="20"/>
      <c r="AX2913" s="20"/>
      <c r="AY2913" s="20"/>
      <c r="AZ2913" s="20"/>
      <c r="BA2913" s="20"/>
    </row>
    <row r="2914" spans="49:53" x14ac:dyDescent="0.35">
      <c r="AW2914" s="20"/>
      <c r="AX2914" s="20"/>
      <c r="AY2914" s="20"/>
      <c r="AZ2914" s="20"/>
      <c r="BA2914" s="20"/>
    </row>
    <row r="2915" spans="49:53" x14ac:dyDescent="0.35">
      <c r="AW2915" s="20"/>
      <c r="AX2915" s="20"/>
      <c r="AY2915" s="20"/>
      <c r="AZ2915" s="20"/>
      <c r="BA2915" s="20"/>
    </row>
    <row r="2916" spans="49:53" x14ac:dyDescent="0.35">
      <c r="AW2916" s="20"/>
      <c r="AX2916" s="20"/>
      <c r="AY2916" s="20"/>
      <c r="AZ2916" s="20"/>
      <c r="BA2916" s="20"/>
    </row>
    <row r="2917" spans="49:53" x14ac:dyDescent="0.35">
      <c r="AW2917" s="20"/>
      <c r="AX2917" s="20"/>
      <c r="AY2917" s="20"/>
      <c r="AZ2917" s="20"/>
      <c r="BA2917" s="20"/>
    </row>
    <row r="2918" spans="49:53" x14ac:dyDescent="0.35">
      <c r="AW2918" s="20"/>
      <c r="AX2918" s="20"/>
      <c r="AY2918" s="20"/>
      <c r="AZ2918" s="20"/>
      <c r="BA2918" s="20"/>
    </row>
    <row r="2919" spans="49:53" x14ac:dyDescent="0.35">
      <c r="AW2919" s="20"/>
      <c r="AX2919" s="20"/>
      <c r="AY2919" s="20"/>
      <c r="AZ2919" s="20"/>
      <c r="BA2919" s="20"/>
    </row>
    <row r="2920" spans="49:53" x14ac:dyDescent="0.35">
      <c r="AW2920" s="20"/>
      <c r="AX2920" s="20"/>
      <c r="AY2920" s="20"/>
      <c r="AZ2920" s="20"/>
      <c r="BA2920" s="20"/>
    </row>
    <row r="2921" spans="49:53" x14ac:dyDescent="0.35">
      <c r="AW2921" s="20"/>
      <c r="AX2921" s="20"/>
      <c r="AY2921" s="20"/>
      <c r="AZ2921" s="20"/>
      <c r="BA2921" s="20"/>
    </row>
    <row r="2922" spans="49:53" x14ac:dyDescent="0.35">
      <c r="AW2922" s="20"/>
      <c r="AX2922" s="20"/>
      <c r="AY2922" s="20"/>
      <c r="AZ2922" s="20"/>
      <c r="BA2922" s="20"/>
    </row>
    <row r="2923" spans="49:53" x14ac:dyDescent="0.35">
      <c r="AW2923" s="20"/>
      <c r="AX2923" s="20"/>
      <c r="AY2923" s="20"/>
      <c r="AZ2923" s="20"/>
      <c r="BA2923" s="20"/>
    </row>
    <row r="2924" spans="49:53" x14ac:dyDescent="0.35">
      <c r="AW2924" s="20"/>
      <c r="AX2924" s="20"/>
      <c r="AY2924" s="20"/>
      <c r="AZ2924" s="20"/>
      <c r="BA2924" s="20"/>
    </row>
    <row r="2925" spans="49:53" x14ac:dyDescent="0.35">
      <c r="AW2925" s="20"/>
      <c r="AX2925" s="20"/>
      <c r="AY2925" s="20"/>
      <c r="AZ2925" s="20"/>
      <c r="BA2925" s="20"/>
    </row>
    <row r="2926" spans="49:53" x14ac:dyDescent="0.35">
      <c r="AW2926" s="20"/>
      <c r="AX2926" s="20"/>
      <c r="AY2926" s="20"/>
      <c r="AZ2926" s="20"/>
      <c r="BA2926" s="20"/>
    </row>
    <row r="2927" spans="49:53" x14ac:dyDescent="0.35">
      <c r="AW2927" s="20"/>
      <c r="AX2927" s="20"/>
      <c r="AY2927" s="20"/>
      <c r="AZ2927" s="20"/>
      <c r="BA2927" s="20"/>
    </row>
    <row r="2928" spans="49:53" x14ac:dyDescent="0.35">
      <c r="AW2928" s="20"/>
      <c r="AX2928" s="20"/>
      <c r="AY2928" s="20"/>
      <c r="AZ2928" s="20"/>
      <c r="BA2928" s="20"/>
    </row>
    <row r="2929" spans="49:53" x14ac:dyDescent="0.35">
      <c r="AW2929" s="20"/>
      <c r="AX2929" s="20"/>
      <c r="AY2929" s="20"/>
      <c r="AZ2929" s="20"/>
      <c r="BA2929" s="20"/>
    </row>
    <row r="2930" spans="49:53" x14ac:dyDescent="0.35">
      <c r="AW2930" s="20"/>
      <c r="AX2930" s="20"/>
      <c r="AY2930" s="20"/>
      <c r="AZ2930" s="20"/>
      <c r="BA2930" s="20"/>
    </row>
    <row r="2931" spans="49:53" x14ac:dyDescent="0.35">
      <c r="AW2931" s="20"/>
      <c r="AX2931" s="20"/>
      <c r="AY2931" s="20"/>
      <c r="AZ2931" s="20"/>
      <c r="BA2931" s="20"/>
    </row>
    <row r="2932" spans="49:53" x14ac:dyDescent="0.35">
      <c r="AW2932" s="20"/>
      <c r="AX2932" s="20"/>
      <c r="AY2932" s="20"/>
      <c r="AZ2932" s="20"/>
      <c r="BA2932" s="20"/>
    </row>
    <row r="2933" spans="49:53" x14ac:dyDescent="0.35">
      <c r="AW2933" s="20"/>
      <c r="AX2933" s="20"/>
      <c r="AY2933" s="20"/>
      <c r="AZ2933" s="20"/>
      <c r="BA2933" s="20"/>
    </row>
    <row r="2934" spans="49:53" x14ac:dyDescent="0.35">
      <c r="AW2934" s="20"/>
      <c r="AX2934" s="20"/>
      <c r="AY2934" s="20"/>
      <c r="AZ2934" s="20"/>
      <c r="BA2934" s="20"/>
    </row>
    <row r="2935" spans="49:53" x14ac:dyDescent="0.35">
      <c r="AW2935" s="20"/>
      <c r="AX2935" s="20"/>
      <c r="AY2935" s="20"/>
      <c r="AZ2935" s="20"/>
      <c r="BA2935" s="20"/>
    </row>
    <row r="2936" spans="49:53" x14ac:dyDescent="0.35">
      <c r="AW2936" s="20"/>
      <c r="AX2936" s="20"/>
      <c r="AY2936" s="20"/>
      <c r="AZ2936" s="20"/>
      <c r="BA2936" s="20"/>
    </row>
    <row r="2937" spans="49:53" x14ac:dyDescent="0.35">
      <c r="AW2937" s="20"/>
      <c r="AX2937" s="20"/>
      <c r="AY2937" s="20"/>
      <c r="AZ2937" s="20"/>
      <c r="BA2937" s="20"/>
    </row>
    <row r="2938" spans="49:53" x14ac:dyDescent="0.35">
      <c r="AW2938" s="20"/>
      <c r="AX2938" s="20"/>
      <c r="AY2938" s="20"/>
      <c r="AZ2938" s="20"/>
      <c r="BA2938" s="20"/>
    </row>
    <row r="2939" spans="49:53" x14ac:dyDescent="0.35">
      <c r="AW2939" s="20"/>
      <c r="AX2939" s="20"/>
      <c r="AY2939" s="20"/>
      <c r="AZ2939" s="20"/>
      <c r="BA2939" s="20"/>
    </row>
    <row r="2940" spans="49:53" x14ac:dyDescent="0.35">
      <c r="AW2940" s="20"/>
      <c r="AX2940" s="20"/>
      <c r="AY2940" s="20"/>
      <c r="AZ2940" s="20"/>
      <c r="BA2940" s="20"/>
    </row>
    <row r="2941" spans="49:53" x14ac:dyDescent="0.35">
      <c r="AW2941" s="20"/>
      <c r="AX2941" s="20"/>
      <c r="AY2941" s="20"/>
      <c r="AZ2941" s="20"/>
      <c r="BA2941" s="20"/>
    </row>
    <row r="2942" spans="49:53" x14ac:dyDescent="0.35">
      <c r="AW2942" s="20"/>
      <c r="AX2942" s="20"/>
      <c r="AY2942" s="20"/>
      <c r="AZ2942" s="20"/>
      <c r="BA2942" s="20"/>
    </row>
    <row r="2943" spans="49:53" x14ac:dyDescent="0.35">
      <c r="AW2943" s="20"/>
      <c r="AX2943" s="20"/>
      <c r="AY2943" s="20"/>
      <c r="AZ2943" s="20"/>
      <c r="BA2943" s="20"/>
    </row>
    <row r="2944" spans="49:53" x14ac:dyDescent="0.35">
      <c r="AW2944" s="20"/>
      <c r="AX2944" s="20"/>
      <c r="AY2944" s="20"/>
      <c r="AZ2944" s="20"/>
      <c r="BA2944" s="20"/>
    </row>
    <row r="2945" spans="49:53" x14ac:dyDescent="0.35">
      <c r="AW2945" s="20"/>
      <c r="AX2945" s="20"/>
      <c r="AY2945" s="20"/>
      <c r="AZ2945" s="20"/>
      <c r="BA2945" s="20"/>
    </row>
    <row r="2946" spans="49:53" x14ac:dyDescent="0.35">
      <c r="AW2946" s="20"/>
      <c r="AX2946" s="20"/>
      <c r="AY2946" s="20"/>
      <c r="AZ2946" s="20"/>
      <c r="BA2946" s="20"/>
    </row>
    <row r="2947" spans="49:53" x14ac:dyDescent="0.35">
      <c r="AW2947" s="20"/>
      <c r="AX2947" s="20"/>
      <c r="AY2947" s="20"/>
      <c r="AZ2947" s="20"/>
      <c r="BA2947" s="20"/>
    </row>
    <row r="2948" spans="49:53" x14ac:dyDescent="0.35">
      <c r="AW2948" s="20"/>
      <c r="AX2948" s="20"/>
      <c r="AY2948" s="20"/>
      <c r="AZ2948" s="20"/>
      <c r="BA2948" s="20"/>
    </row>
    <row r="2949" spans="49:53" x14ac:dyDescent="0.35">
      <c r="AW2949" s="20"/>
      <c r="AX2949" s="20"/>
      <c r="AY2949" s="20"/>
      <c r="AZ2949" s="20"/>
      <c r="BA2949" s="20"/>
    </row>
    <row r="2950" spans="49:53" x14ac:dyDescent="0.35">
      <c r="AW2950" s="20"/>
      <c r="AX2950" s="20"/>
      <c r="AY2950" s="20"/>
      <c r="AZ2950" s="20"/>
      <c r="BA2950" s="20"/>
    </row>
    <row r="2951" spans="49:53" x14ac:dyDescent="0.35">
      <c r="AW2951" s="20"/>
      <c r="AX2951" s="20"/>
      <c r="AY2951" s="20"/>
      <c r="AZ2951" s="20"/>
      <c r="BA2951" s="20"/>
    </row>
    <row r="2952" spans="49:53" x14ac:dyDescent="0.35">
      <c r="AW2952" s="20"/>
      <c r="AX2952" s="20"/>
      <c r="AY2952" s="20"/>
      <c r="AZ2952" s="20"/>
      <c r="BA2952" s="20"/>
    </row>
    <row r="2953" spans="49:53" x14ac:dyDescent="0.35">
      <c r="AW2953" s="20"/>
      <c r="AX2953" s="20"/>
      <c r="AY2953" s="20"/>
      <c r="AZ2953" s="20"/>
      <c r="BA2953" s="20"/>
    </row>
    <row r="2954" spans="49:53" x14ac:dyDescent="0.35">
      <c r="AW2954" s="20"/>
      <c r="AX2954" s="20"/>
      <c r="AY2954" s="20"/>
      <c r="AZ2954" s="20"/>
      <c r="BA2954" s="20"/>
    </row>
    <row r="2955" spans="49:53" x14ac:dyDescent="0.35">
      <c r="AW2955" s="20"/>
      <c r="AX2955" s="20"/>
      <c r="AY2955" s="20"/>
      <c r="AZ2955" s="20"/>
      <c r="BA2955" s="20"/>
    </row>
    <row r="2956" spans="49:53" x14ac:dyDescent="0.35">
      <c r="AW2956" s="20"/>
      <c r="AX2956" s="20"/>
      <c r="AY2956" s="20"/>
      <c r="AZ2956" s="20"/>
      <c r="BA2956" s="20"/>
    </row>
    <row r="2957" spans="49:53" x14ac:dyDescent="0.35">
      <c r="AW2957" s="20"/>
      <c r="AX2957" s="20"/>
      <c r="AY2957" s="20"/>
      <c r="AZ2957" s="20"/>
      <c r="BA2957" s="20"/>
    </row>
    <row r="2958" spans="49:53" x14ac:dyDescent="0.35">
      <c r="AW2958" s="20"/>
      <c r="AX2958" s="20"/>
      <c r="AY2958" s="20"/>
      <c r="AZ2958" s="20"/>
      <c r="BA2958" s="20"/>
    </row>
    <row r="2959" spans="49:53" x14ac:dyDescent="0.35">
      <c r="AW2959" s="20"/>
      <c r="AX2959" s="20"/>
      <c r="AY2959" s="20"/>
      <c r="AZ2959" s="20"/>
      <c r="BA2959" s="20"/>
    </row>
    <row r="2960" spans="49:53" x14ac:dyDescent="0.35">
      <c r="AW2960" s="20"/>
      <c r="AX2960" s="20"/>
      <c r="AY2960" s="20"/>
      <c r="AZ2960" s="20"/>
      <c r="BA2960" s="20"/>
    </row>
    <row r="2961" spans="49:53" x14ac:dyDescent="0.35">
      <c r="AW2961" s="20"/>
      <c r="AX2961" s="20"/>
      <c r="AY2961" s="20"/>
      <c r="AZ2961" s="20"/>
      <c r="BA2961" s="20"/>
    </row>
    <row r="2962" spans="49:53" x14ac:dyDescent="0.35">
      <c r="AW2962" s="20"/>
      <c r="AX2962" s="20"/>
      <c r="AY2962" s="20"/>
      <c r="AZ2962" s="20"/>
      <c r="BA2962" s="20"/>
    </row>
    <row r="2963" spans="49:53" x14ac:dyDescent="0.35">
      <c r="AW2963" s="20"/>
      <c r="AX2963" s="20"/>
      <c r="AY2963" s="20"/>
      <c r="AZ2963" s="20"/>
      <c r="BA2963" s="20"/>
    </row>
    <row r="2964" spans="49:53" x14ac:dyDescent="0.35">
      <c r="AW2964" s="20"/>
      <c r="AX2964" s="20"/>
      <c r="AY2964" s="20"/>
      <c r="AZ2964" s="20"/>
      <c r="BA2964" s="20"/>
    </row>
    <row r="2965" spans="49:53" x14ac:dyDescent="0.35">
      <c r="AW2965" s="20"/>
      <c r="AX2965" s="20"/>
      <c r="AY2965" s="20"/>
      <c r="AZ2965" s="20"/>
      <c r="BA2965" s="20"/>
    </row>
    <row r="2966" spans="49:53" x14ac:dyDescent="0.35">
      <c r="AW2966" s="20"/>
      <c r="AX2966" s="20"/>
      <c r="AY2966" s="20"/>
      <c r="AZ2966" s="20"/>
      <c r="BA2966" s="20"/>
    </row>
    <row r="2967" spans="49:53" x14ac:dyDescent="0.35">
      <c r="AW2967" s="20"/>
      <c r="AX2967" s="20"/>
      <c r="AY2967" s="20"/>
      <c r="AZ2967" s="20"/>
      <c r="BA2967" s="20"/>
    </row>
    <row r="2968" spans="49:53" x14ac:dyDescent="0.35">
      <c r="AW2968" s="20"/>
      <c r="AX2968" s="20"/>
      <c r="AY2968" s="20"/>
      <c r="AZ2968" s="20"/>
      <c r="BA2968" s="20"/>
    </row>
    <row r="2969" spans="49:53" x14ac:dyDescent="0.35">
      <c r="AW2969" s="20"/>
      <c r="AX2969" s="20"/>
      <c r="AY2969" s="20"/>
      <c r="AZ2969" s="20"/>
      <c r="BA2969" s="20"/>
    </row>
    <row r="2970" spans="49:53" x14ac:dyDescent="0.35">
      <c r="AW2970" s="20"/>
      <c r="AX2970" s="20"/>
      <c r="AY2970" s="20"/>
      <c r="AZ2970" s="20"/>
      <c r="BA2970" s="20"/>
    </row>
    <row r="2971" spans="49:53" x14ac:dyDescent="0.35">
      <c r="AW2971" s="20"/>
      <c r="AX2971" s="20"/>
      <c r="AY2971" s="20"/>
      <c r="AZ2971" s="20"/>
      <c r="BA2971" s="20"/>
    </row>
    <row r="2972" spans="49:53" x14ac:dyDescent="0.35">
      <c r="AW2972" s="20"/>
      <c r="AX2972" s="20"/>
      <c r="AY2972" s="20"/>
      <c r="AZ2972" s="20"/>
      <c r="BA2972" s="20"/>
    </row>
    <row r="2973" spans="49:53" x14ac:dyDescent="0.35">
      <c r="AW2973" s="20"/>
      <c r="AX2973" s="20"/>
      <c r="AY2973" s="20"/>
      <c r="AZ2973" s="20"/>
      <c r="BA2973" s="20"/>
    </row>
    <row r="2974" spans="49:53" x14ac:dyDescent="0.35">
      <c r="AW2974" s="20"/>
      <c r="AX2974" s="20"/>
      <c r="AY2974" s="20"/>
      <c r="AZ2974" s="20"/>
      <c r="BA2974" s="20"/>
    </row>
    <row r="2975" spans="49:53" x14ac:dyDescent="0.35">
      <c r="AW2975" s="20"/>
      <c r="AX2975" s="20"/>
      <c r="AY2975" s="20"/>
      <c r="AZ2975" s="20"/>
      <c r="BA2975" s="20"/>
    </row>
    <row r="2976" spans="49:53" x14ac:dyDescent="0.35">
      <c r="AW2976" s="20"/>
      <c r="AX2976" s="20"/>
      <c r="AY2976" s="20"/>
      <c r="AZ2976" s="20"/>
      <c r="BA2976" s="20"/>
    </row>
    <row r="2977" spans="49:53" x14ac:dyDescent="0.35">
      <c r="AW2977" s="20"/>
      <c r="AX2977" s="20"/>
      <c r="AY2977" s="20"/>
      <c r="AZ2977" s="20"/>
      <c r="BA2977" s="20"/>
    </row>
    <row r="2978" spans="49:53" x14ac:dyDescent="0.35">
      <c r="AW2978" s="20"/>
      <c r="AX2978" s="20"/>
      <c r="AY2978" s="20"/>
      <c r="AZ2978" s="20"/>
      <c r="BA2978" s="20"/>
    </row>
    <row r="2979" spans="49:53" x14ac:dyDescent="0.35">
      <c r="AW2979" s="20"/>
      <c r="AX2979" s="20"/>
      <c r="AY2979" s="20"/>
      <c r="AZ2979" s="20"/>
      <c r="BA2979" s="20"/>
    </row>
    <row r="2980" spans="49:53" x14ac:dyDescent="0.35">
      <c r="AW2980" s="20"/>
      <c r="AX2980" s="20"/>
      <c r="AY2980" s="20"/>
      <c r="AZ2980" s="20"/>
      <c r="BA2980" s="20"/>
    </row>
    <row r="2981" spans="49:53" x14ac:dyDescent="0.35">
      <c r="AW2981" s="20"/>
      <c r="AX2981" s="20"/>
      <c r="AY2981" s="20"/>
      <c r="AZ2981" s="20"/>
      <c r="BA2981" s="20"/>
    </row>
    <row r="2982" spans="49:53" x14ac:dyDescent="0.35">
      <c r="AW2982" s="20"/>
      <c r="AX2982" s="20"/>
      <c r="AY2982" s="20"/>
      <c r="AZ2982" s="20"/>
      <c r="BA2982" s="20"/>
    </row>
    <row r="2983" spans="49:53" x14ac:dyDescent="0.35">
      <c r="AW2983" s="20"/>
      <c r="AX2983" s="20"/>
      <c r="AY2983" s="20"/>
      <c r="AZ2983" s="20"/>
      <c r="BA2983" s="20"/>
    </row>
    <row r="2984" spans="49:53" x14ac:dyDescent="0.35">
      <c r="AW2984" s="20"/>
      <c r="AX2984" s="20"/>
      <c r="AY2984" s="20"/>
      <c r="AZ2984" s="20"/>
      <c r="BA2984" s="20"/>
    </row>
    <row r="2985" spans="49:53" x14ac:dyDescent="0.35">
      <c r="AW2985" s="20"/>
      <c r="AX2985" s="20"/>
      <c r="AY2985" s="20"/>
      <c r="AZ2985" s="20"/>
      <c r="BA2985" s="20"/>
    </row>
    <row r="2986" spans="49:53" x14ac:dyDescent="0.35">
      <c r="AW2986" s="20"/>
      <c r="AX2986" s="20"/>
      <c r="AY2986" s="20"/>
      <c r="AZ2986" s="20"/>
      <c r="BA2986" s="20"/>
    </row>
    <row r="2987" spans="49:53" x14ac:dyDescent="0.35">
      <c r="AW2987" s="20"/>
      <c r="AX2987" s="20"/>
      <c r="AY2987" s="20"/>
      <c r="AZ2987" s="20"/>
      <c r="BA2987" s="20"/>
    </row>
    <row r="2988" spans="49:53" x14ac:dyDescent="0.35">
      <c r="AW2988" s="20"/>
      <c r="AX2988" s="20"/>
      <c r="AY2988" s="20"/>
      <c r="AZ2988" s="20"/>
      <c r="BA2988" s="20"/>
    </row>
    <row r="2989" spans="49:53" x14ac:dyDescent="0.35">
      <c r="AW2989" s="20"/>
      <c r="AX2989" s="20"/>
      <c r="AY2989" s="20"/>
      <c r="AZ2989" s="20"/>
      <c r="BA2989" s="20"/>
    </row>
    <row r="2990" spans="49:53" x14ac:dyDescent="0.35">
      <c r="AW2990" s="20"/>
      <c r="AX2990" s="20"/>
      <c r="AY2990" s="20"/>
      <c r="AZ2990" s="20"/>
      <c r="BA2990" s="20"/>
    </row>
    <row r="2991" spans="49:53" x14ac:dyDescent="0.35">
      <c r="AW2991" s="20"/>
      <c r="AX2991" s="20"/>
      <c r="AY2991" s="20"/>
      <c r="AZ2991" s="20"/>
      <c r="BA2991" s="20"/>
    </row>
    <row r="2992" spans="49:53" x14ac:dyDescent="0.35">
      <c r="AW2992" s="20"/>
      <c r="AX2992" s="20"/>
      <c r="AY2992" s="20"/>
      <c r="AZ2992" s="20"/>
      <c r="BA2992" s="20"/>
    </row>
    <row r="2993" spans="49:53" x14ac:dyDescent="0.35">
      <c r="AW2993" s="20"/>
      <c r="AX2993" s="20"/>
      <c r="AY2993" s="20"/>
      <c r="AZ2993" s="20"/>
      <c r="BA2993" s="20"/>
    </row>
    <row r="2994" spans="49:53" x14ac:dyDescent="0.35">
      <c r="AW2994" s="20"/>
      <c r="AX2994" s="20"/>
      <c r="AY2994" s="20"/>
      <c r="AZ2994" s="20"/>
      <c r="BA2994" s="20"/>
    </row>
    <row r="2995" spans="49:53" x14ac:dyDescent="0.35">
      <c r="AW2995" s="20"/>
      <c r="AX2995" s="20"/>
      <c r="AY2995" s="20"/>
      <c r="AZ2995" s="20"/>
      <c r="BA2995" s="20"/>
    </row>
    <row r="2996" spans="49:53" x14ac:dyDescent="0.35">
      <c r="AW2996" s="20"/>
      <c r="AX2996" s="20"/>
      <c r="AY2996" s="20"/>
      <c r="AZ2996" s="20"/>
      <c r="BA2996" s="20"/>
    </row>
    <row r="2997" spans="49:53" x14ac:dyDescent="0.35">
      <c r="AW2997" s="20"/>
      <c r="AX2997" s="20"/>
      <c r="AY2997" s="20"/>
      <c r="AZ2997" s="20"/>
      <c r="BA2997" s="20"/>
    </row>
    <row r="2998" spans="49:53" x14ac:dyDescent="0.35">
      <c r="AW2998" s="20"/>
      <c r="AX2998" s="20"/>
      <c r="AY2998" s="20"/>
      <c r="AZ2998" s="20"/>
      <c r="BA2998" s="20"/>
    </row>
    <row r="2999" spans="49:53" x14ac:dyDescent="0.35">
      <c r="AW2999" s="20"/>
      <c r="AX2999" s="20"/>
      <c r="AY2999" s="20"/>
      <c r="AZ2999" s="20"/>
      <c r="BA2999" s="20"/>
    </row>
    <row r="3000" spans="49:53" x14ac:dyDescent="0.35">
      <c r="AW3000" s="20"/>
      <c r="AX3000" s="20"/>
      <c r="AY3000" s="20"/>
      <c r="AZ3000" s="20"/>
      <c r="BA3000" s="20"/>
    </row>
    <row r="3001" spans="49:53" x14ac:dyDescent="0.35">
      <c r="AW3001" s="20"/>
      <c r="AX3001" s="20"/>
      <c r="AY3001" s="20"/>
      <c r="AZ3001" s="20"/>
      <c r="BA3001" s="20"/>
    </row>
    <row r="3002" spans="49:53" x14ac:dyDescent="0.35">
      <c r="AW3002" s="20"/>
      <c r="AX3002" s="20"/>
      <c r="AY3002" s="20"/>
      <c r="AZ3002" s="20"/>
      <c r="BA3002" s="20"/>
    </row>
    <row r="3003" spans="49:53" x14ac:dyDescent="0.35">
      <c r="AW3003" s="20"/>
      <c r="AX3003" s="20"/>
      <c r="AY3003" s="20"/>
      <c r="AZ3003" s="20"/>
      <c r="BA3003" s="20"/>
    </row>
    <row r="3004" spans="49:53" x14ac:dyDescent="0.35">
      <c r="AW3004" s="20"/>
      <c r="AX3004" s="20"/>
      <c r="AY3004" s="20"/>
      <c r="AZ3004" s="20"/>
      <c r="BA3004" s="20"/>
    </row>
    <row r="3005" spans="49:53" x14ac:dyDescent="0.35">
      <c r="AW3005" s="20"/>
      <c r="AX3005" s="20"/>
      <c r="AY3005" s="20"/>
      <c r="AZ3005" s="20"/>
      <c r="BA3005" s="20"/>
    </row>
    <row r="3006" spans="49:53" x14ac:dyDescent="0.35">
      <c r="AW3006" s="20"/>
      <c r="AX3006" s="20"/>
      <c r="AY3006" s="20"/>
      <c r="AZ3006" s="20"/>
      <c r="BA3006" s="20"/>
    </row>
    <row r="3007" spans="49:53" x14ac:dyDescent="0.35">
      <c r="AW3007" s="20"/>
      <c r="AX3007" s="20"/>
      <c r="AY3007" s="20"/>
      <c r="AZ3007" s="20"/>
      <c r="BA3007" s="20"/>
    </row>
    <row r="3008" spans="49:53" x14ac:dyDescent="0.35">
      <c r="AW3008" s="20"/>
      <c r="AX3008" s="20"/>
      <c r="AY3008" s="20"/>
      <c r="AZ3008" s="20"/>
      <c r="BA3008" s="20"/>
    </row>
    <row r="3009" spans="49:53" x14ac:dyDescent="0.35">
      <c r="AW3009" s="20"/>
      <c r="AX3009" s="20"/>
      <c r="AY3009" s="20"/>
      <c r="AZ3009" s="20"/>
      <c r="BA3009" s="20"/>
    </row>
    <row r="3010" spans="49:53" x14ac:dyDescent="0.35">
      <c r="AW3010" s="20"/>
      <c r="AX3010" s="20"/>
      <c r="AY3010" s="20"/>
      <c r="AZ3010" s="20"/>
      <c r="BA3010" s="20"/>
    </row>
    <row r="3011" spans="49:53" x14ac:dyDescent="0.35">
      <c r="AW3011" s="20"/>
      <c r="AX3011" s="20"/>
      <c r="AY3011" s="20"/>
      <c r="AZ3011" s="20"/>
      <c r="BA3011" s="20"/>
    </row>
    <row r="3012" spans="49:53" x14ac:dyDescent="0.35">
      <c r="AW3012" s="20"/>
      <c r="AX3012" s="20"/>
      <c r="AY3012" s="20"/>
      <c r="AZ3012" s="20"/>
      <c r="BA3012" s="20"/>
    </row>
    <row r="3013" spans="49:53" x14ac:dyDescent="0.35">
      <c r="AW3013" s="20"/>
      <c r="AX3013" s="20"/>
      <c r="AY3013" s="20"/>
      <c r="AZ3013" s="20"/>
      <c r="BA3013" s="20"/>
    </row>
    <row r="3014" spans="49:53" x14ac:dyDescent="0.35">
      <c r="AW3014" s="20"/>
      <c r="AX3014" s="20"/>
      <c r="AY3014" s="20"/>
      <c r="AZ3014" s="20"/>
      <c r="BA3014" s="20"/>
    </row>
    <row r="3015" spans="49:53" x14ac:dyDescent="0.35">
      <c r="AW3015" s="20"/>
      <c r="AX3015" s="20"/>
      <c r="AY3015" s="20"/>
      <c r="AZ3015" s="20"/>
      <c r="BA3015" s="20"/>
    </row>
    <row r="3016" spans="49:53" x14ac:dyDescent="0.35">
      <c r="AW3016" s="20"/>
      <c r="AX3016" s="20"/>
      <c r="AY3016" s="20"/>
      <c r="AZ3016" s="20"/>
      <c r="BA3016" s="20"/>
    </row>
    <row r="3017" spans="49:53" x14ac:dyDescent="0.35">
      <c r="AW3017" s="20"/>
      <c r="AX3017" s="20"/>
      <c r="AY3017" s="20"/>
      <c r="AZ3017" s="20"/>
      <c r="BA3017" s="20"/>
    </row>
    <row r="3018" spans="49:53" x14ac:dyDescent="0.35">
      <c r="AW3018" s="20"/>
      <c r="AX3018" s="20"/>
      <c r="AY3018" s="20"/>
      <c r="AZ3018" s="20"/>
      <c r="BA3018" s="20"/>
    </row>
    <row r="3019" spans="49:53" x14ac:dyDescent="0.35">
      <c r="AW3019" s="20"/>
      <c r="AX3019" s="20"/>
      <c r="AY3019" s="20"/>
      <c r="AZ3019" s="20"/>
      <c r="BA3019" s="20"/>
    </row>
    <row r="3020" spans="49:53" x14ac:dyDescent="0.35">
      <c r="AW3020" s="20"/>
      <c r="AX3020" s="20"/>
      <c r="AY3020" s="20"/>
      <c r="AZ3020" s="20"/>
      <c r="BA3020" s="20"/>
    </row>
    <row r="3021" spans="49:53" x14ac:dyDescent="0.35">
      <c r="AW3021" s="20"/>
      <c r="AX3021" s="20"/>
      <c r="AY3021" s="20"/>
      <c r="AZ3021" s="20"/>
      <c r="BA3021" s="20"/>
    </row>
    <row r="3022" spans="49:53" x14ac:dyDescent="0.35">
      <c r="AW3022" s="20"/>
      <c r="AX3022" s="20"/>
      <c r="AY3022" s="20"/>
      <c r="AZ3022" s="20"/>
      <c r="BA3022" s="20"/>
    </row>
    <row r="3023" spans="49:53" x14ac:dyDescent="0.35">
      <c r="AW3023" s="20"/>
      <c r="AX3023" s="20"/>
      <c r="AY3023" s="20"/>
      <c r="AZ3023" s="20"/>
      <c r="BA3023" s="20"/>
    </row>
    <row r="3024" spans="49:53" x14ac:dyDescent="0.35">
      <c r="AW3024" s="20"/>
      <c r="AX3024" s="20"/>
      <c r="AY3024" s="20"/>
      <c r="AZ3024" s="20"/>
      <c r="BA3024" s="20"/>
    </row>
    <row r="3025" spans="49:53" x14ac:dyDescent="0.35">
      <c r="AW3025" s="20"/>
      <c r="AX3025" s="20"/>
      <c r="AY3025" s="20"/>
      <c r="AZ3025" s="20"/>
      <c r="BA3025" s="20"/>
    </row>
    <row r="3026" spans="49:53" x14ac:dyDescent="0.35">
      <c r="AW3026" s="20"/>
      <c r="AX3026" s="20"/>
      <c r="AY3026" s="20"/>
      <c r="AZ3026" s="20"/>
      <c r="BA3026" s="20"/>
    </row>
    <row r="3027" spans="49:53" x14ac:dyDescent="0.35">
      <c r="AW3027" s="20"/>
      <c r="AX3027" s="20"/>
      <c r="AY3027" s="20"/>
      <c r="AZ3027" s="20"/>
      <c r="BA3027" s="20"/>
    </row>
    <row r="3028" spans="49:53" x14ac:dyDescent="0.35">
      <c r="AW3028" s="20"/>
      <c r="AX3028" s="20"/>
      <c r="AY3028" s="20"/>
      <c r="AZ3028" s="20"/>
      <c r="BA3028" s="20"/>
    </row>
    <row r="3029" spans="49:53" x14ac:dyDescent="0.35">
      <c r="AW3029" s="20"/>
      <c r="AX3029" s="20"/>
      <c r="AY3029" s="20"/>
      <c r="AZ3029" s="20"/>
      <c r="BA3029" s="20"/>
    </row>
    <row r="3030" spans="49:53" x14ac:dyDescent="0.35">
      <c r="AW3030" s="20"/>
      <c r="AX3030" s="20"/>
      <c r="AY3030" s="20"/>
      <c r="AZ3030" s="20"/>
      <c r="BA3030" s="20"/>
    </row>
    <row r="3031" spans="49:53" x14ac:dyDescent="0.35">
      <c r="AW3031" s="20"/>
      <c r="AX3031" s="20"/>
      <c r="AY3031" s="20"/>
      <c r="AZ3031" s="20"/>
      <c r="BA3031" s="20"/>
    </row>
    <row r="3032" spans="49:53" x14ac:dyDescent="0.35">
      <c r="AW3032" s="20"/>
      <c r="AX3032" s="20"/>
      <c r="AY3032" s="20"/>
      <c r="AZ3032" s="20"/>
      <c r="BA3032" s="20"/>
    </row>
    <row r="3033" spans="49:53" x14ac:dyDescent="0.35">
      <c r="AW3033" s="20"/>
      <c r="AX3033" s="20"/>
      <c r="AY3033" s="20"/>
      <c r="AZ3033" s="20"/>
      <c r="BA3033" s="20"/>
    </row>
    <row r="3034" spans="49:53" x14ac:dyDescent="0.35">
      <c r="AW3034" s="20"/>
      <c r="AX3034" s="20"/>
      <c r="AY3034" s="20"/>
      <c r="AZ3034" s="20"/>
      <c r="BA3034" s="20"/>
    </row>
    <row r="3035" spans="49:53" x14ac:dyDescent="0.35">
      <c r="AW3035" s="20"/>
      <c r="AX3035" s="20"/>
      <c r="AY3035" s="20"/>
      <c r="AZ3035" s="20"/>
      <c r="BA3035" s="20"/>
    </row>
    <row r="3036" spans="49:53" x14ac:dyDescent="0.35">
      <c r="AW3036" s="20"/>
      <c r="AX3036" s="20"/>
      <c r="AY3036" s="20"/>
      <c r="AZ3036" s="20"/>
      <c r="BA3036" s="20"/>
    </row>
    <row r="3037" spans="49:53" x14ac:dyDescent="0.35">
      <c r="AW3037" s="20"/>
      <c r="AX3037" s="20"/>
      <c r="AY3037" s="20"/>
      <c r="AZ3037" s="20"/>
      <c r="BA3037" s="20"/>
    </row>
    <row r="3038" spans="49:53" x14ac:dyDescent="0.35">
      <c r="AW3038" s="20"/>
      <c r="AX3038" s="20"/>
      <c r="AY3038" s="20"/>
      <c r="AZ3038" s="20"/>
      <c r="BA3038" s="20"/>
    </row>
    <row r="3039" spans="49:53" x14ac:dyDescent="0.35">
      <c r="AW3039" s="20"/>
      <c r="AX3039" s="20"/>
      <c r="AY3039" s="20"/>
      <c r="AZ3039" s="20"/>
      <c r="BA3039" s="20"/>
    </row>
    <row r="3040" spans="49:53" x14ac:dyDescent="0.35">
      <c r="AW3040" s="20"/>
      <c r="AX3040" s="20"/>
      <c r="AY3040" s="20"/>
      <c r="AZ3040" s="20"/>
      <c r="BA3040" s="20"/>
    </row>
    <row r="3041" spans="49:53" x14ac:dyDescent="0.35">
      <c r="AW3041" s="20"/>
      <c r="AX3041" s="20"/>
      <c r="AY3041" s="20"/>
      <c r="AZ3041" s="20"/>
      <c r="BA3041" s="20"/>
    </row>
    <row r="3042" spans="49:53" x14ac:dyDescent="0.35">
      <c r="AW3042" s="20"/>
      <c r="AX3042" s="20"/>
      <c r="AY3042" s="20"/>
      <c r="AZ3042" s="20"/>
      <c r="BA3042" s="20"/>
    </row>
    <row r="3043" spans="49:53" x14ac:dyDescent="0.35">
      <c r="AW3043" s="20"/>
      <c r="AX3043" s="20"/>
      <c r="AY3043" s="20"/>
      <c r="AZ3043" s="20"/>
      <c r="BA3043" s="20"/>
    </row>
    <row r="3044" spans="49:53" x14ac:dyDescent="0.35">
      <c r="AW3044" s="20"/>
      <c r="AX3044" s="20"/>
      <c r="AY3044" s="20"/>
      <c r="AZ3044" s="20"/>
      <c r="BA3044" s="20"/>
    </row>
    <row r="3045" spans="49:53" x14ac:dyDescent="0.35">
      <c r="AW3045" s="20"/>
      <c r="AX3045" s="20"/>
      <c r="AY3045" s="20"/>
      <c r="AZ3045" s="20"/>
      <c r="BA3045" s="20"/>
    </row>
    <row r="3046" spans="49:53" x14ac:dyDescent="0.35">
      <c r="AW3046" s="20"/>
      <c r="AX3046" s="20"/>
      <c r="AY3046" s="20"/>
      <c r="AZ3046" s="20"/>
      <c r="BA3046" s="20"/>
    </row>
    <row r="3047" spans="49:53" x14ac:dyDescent="0.35">
      <c r="AW3047" s="20"/>
      <c r="AX3047" s="20"/>
      <c r="AY3047" s="20"/>
      <c r="AZ3047" s="20"/>
      <c r="BA3047" s="20"/>
    </row>
    <row r="3048" spans="49:53" x14ac:dyDescent="0.35">
      <c r="AW3048" s="20"/>
      <c r="AX3048" s="20"/>
      <c r="AY3048" s="20"/>
      <c r="AZ3048" s="20"/>
      <c r="BA3048" s="20"/>
    </row>
    <row r="3049" spans="49:53" x14ac:dyDescent="0.35">
      <c r="AW3049" s="20"/>
      <c r="AX3049" s="20"/>
      <c r="AY3049" s="20"/>
      <c r="AZ3049" s="20"/>
      <c r="BA3049" s="20"/>
    </row>
    <row r="3050" spans="49:53" x14ac:dyDescent="0.35">
      <c r="AW3050" s="20"/>
      <c r="AX3050" s="20"/>
      <c r="AY3050" s="20"/>
      <c r="AZ3050" s="20"/>
      <c r="BA3050" s="20"/>
    </row>
    <row r="3051" spans="49:53" x14ac:dyDescent="0.35">
      <c r="AW3051" s="20"/>
      <c r="AX3051" s="20"/>
      <c r="AY3051" s="20"/>
      <c r="AZ3051" s="20"/>
      <c r="BA3051" s="20"/>
    </row>
    <row r="3052" spans="49:53" x14ac:dyDescent="0.35">
      <c r="AW3052" s="20"/>
      <c r="AX3052" s="20"/>
      <c r="AY3052" s="20"/>
      <c r="AZ3052" s="20"/>
      <c r="BA3052" s="20"/>
    </row>
    <row r="3053" spans="49:53" x14ac:dyDescent="0.35">
      <c r="AW3053" s="20"/>
      <c r="AX3053" s="20"/>
      <c r="AY3053" s="20"/>
      <c r="AZ3053" s="20"/>
      <c r="BA3053" s="20"/>
    </row>
    <row r="3054" spans="49:53" x14ac:dyDescent="0.35">
      <c r="AW3054" s="20"/>
      <c r="AX3054" s="20"/>
      <c r="AY3054" s="20"/>
      <c r="AZ3054" s="20"/>
      <c r="BA3054" s="20"/>
    </row>
    <row r="3055" spans="49:53" x14ac:dyDescent="0.35">
      <c r="AW3055" s="20"/>
      <c r="AX3055" s="20"/>
      <c r="AY3055" s="20"/>
      <c r="AZ3055" s="20"/>
      <c r="BA3055" s="20"/>
    </row>
    <row r="3056" spans="49:53" x14ac:dyDescent="0.35">
      <c r="AW3056" s="20"/>
      <c r="AX3056" s="20"/>
      <c r="AY3056" s="20"/>
      <c r="AZ3056" s="20"/>
      <c r="BA3056" s="20"/>
    </row>
    <row r="3057" spans="49:53" x14ac:dyDescent="0.35">
      <c r="AW3057" s="20"/>
      <c r="AX3057" s="20"/>
      <c r="AY3057" s="20"/>
      <c r="AZ3057" s="20"/>
      <c r="BA3057" s="20"/>
    </row>
    <row r="3058" spans="49:53" x14ac:dyDescent="0.35">
      <c r="AW3058" s="20"/>
      <c r="AX3058" s="20"/>
      <c r="AY3058" s="20"/>
      <c r="AZ3058" s="20"/>
      <c r="BA3058" s="20"/>
    </row>
    <row r="3059" spans="49:53" x14ac:dyDescent="0.35">
      <c r="AW3059" s="20"/>
      <c r="AX3059" s="20"/>
      <c r="AY3059" s="20"/>
      <c r="AZ3059" s="20"/>
      <c r="BA3059" s="20"/>
    </row>
    <row r="3060" spans="49:53" x14ac:dyDescent="0.35">
      <c r="AW3060" s="20"/>
      <c r="AX3060" s="20"/>
      <c r="AY3060" s="20"/>
      <c r="AZ3060" s="20"/>
      <c r="BA3060" s="20"/>
    </row>
    <row r="3061" spans="49:53" x14ac:dyDescent="0.35">
      <c r="AW3061" s="20"/>
      <c r="AX3061" s="20"/>
      <c r="AY3061" s="20"/>
      <c r="AZ3061" s="20"/>
      <c r="BA3061" s="20"/>
    </row>
    <row r="3062" spans="49:53" x14ac:dyDescent="0.35">
      <c r="AW3062" s="20"/>
      <c r="AX3062" s="20"/>
      <c r="AY3062" s="20"/>
      <c r="AZ3062" s="20"/>
      <c r="BA3062" s="20"/>
    </row>
    <row r="3063" spans="49:53" x14ac:dyDescent="0.35">
      <c r="AW3063" s="20"/>
      <c r="AX3063" s="20"/>
      <c r="AY3063" s="20"/>
      <c r="AZ3063" s="20"/>
      <c r="BA3063" s="20"/>
    </row>
    <row r="3064" spans="49:53" x14ac:dyDescent="0.35">
      <c r="AW3064" s="20"/>
      <c r="AX3064" s="20"/>
      <c r="AY3064" s="20"/>
      <c r="AZ3064" s="20"/>
      <c r="BA3064" s="20"/>
    </row>
    <row r="3065" spans="49:53" x14ac:dyDescent="0.35">
      <c r="AW3065" s="20"/>
      <c r="AX3065" s="20"/>
      <c r="AY3065" s="20"/>
      <c r="AZ3065" s="20"/>
      <c r="BA3065" s="20"/>
    </row>
    <row r="3066" spans="49:53" x14ac:dyDescent="0.35">
      <c r="AW3066" s="20"/>
      <c r="AX3066" s="20"/>
      <c r="AY3066" s="20"/>
      <c r="AZ3066" s="20"/>
      <c r="BA3066" s="20"/>
    </row>
    <row r="3067" spans="49:53" x14ac:dyDescent="0.35">
      <c r="AW3067" s="20"/>
      <c r="AX3067" s="20"/>
      <c r="AY3067" s="20"/>
      <c r="AZ3067" s="20"/>
      <c r="BA3067" s="20"/>
    </row>
    <row r="3068" spans="49:53" x14ac:dyDescent="0.35">
      <c r="AW3068" s="20"/>
      <c r="AX3068" s="20"/>
      <c r="AY3068" s="20"/>
      <c r="AZ3068" s="20"/>
      <c r="BA3068" s="20"/>
    </row>
    <row r="3069" spans="49:53" x14ac:dyDescent="0.35">
      <c r="AW3069" s="20"/>
      <c r="AX3069" s="20"/>
      <c r="AY3069" s="20"/>
      <c r="AZ3069" s="20"/>
      <c r="BA3069" s="20"/>
    </row>
    <row r="3070" spans="49:53" x14ac:dyDescent="0.35">
      <c r="AW3070" s="20"/>
      <c r="AX3070" s="20"/>
      <c r="AY3070" s="20"/>
      <c r="AZ3070" s="20"/>
      <c r="BA3070" s="20"/>
    </row>
    <row r="3071" spans="49:53" x14ac:dyDescent="0.35">
      <c r="AW3071" s="20"/>
      <c r="AX3071" s="20"/>
      <c r="AY3071" s="20"/>
      <c r="AZ3071" s="20"/>
      <c r="BA3071" s="20"/>
    </row>
    <row r="3072" spans="49:53" x14ac:dyDescent="0.35">
      <c r="AW3072" s="20"/>
      <c r="AX3072" s="20"/>
      <c r="AY3072" s="20"/>
      <c r="AZ3072" s="20"/>
      <c r="BA3072" s="20"/>
    </row>
    <row r="3073" spans="49:53" x14ac:dyDescent="0.35">
      <c r="AW3073" s="20"/>
      <c r="AX3073" s="20"/>
      <c r="AY3073" s="20"/>
      <c r="AZ3073" s="20"/>
      <c r="BA3073" s="20"/>
    </row>
    <row r="3074" spans="49:53" x14ac:dyDescent="0.35">
      <c r="AW3074" s="20"/>
      <c r="AX3074" s="20"/>
      <c r="AY3074" s="20"/>
      <c r="AZ3074" s="20"/>
      <c r="BA3074" s="20"/>
    </row>
    <row r="3075" spans="49:53" x14ac:dyDescent="0.35">
      <c r="AW3075" s="20"/>
      <c r="AX3075" s="20"/>
      <c r="AY3075" s="20"/>
      <c r="AZ3075" s="20"/>
      <c r="BA3075" s="20"/>
    </row>
    <row r="3076" spans="49:53" x14ac:dyDescent="0.35">
      <c r="AW3076" s="20"/>
      <c r="AX3076" s="20"/>
      <c r="AY3076" s="20"/>
      <c r="AZ3076" s="20"/>
      <c r="BA3076" s="20"/>
    </row>
    <row r="3077" spans="49:53" x14ac:dyDescent="0.35">
      <c r="AW3077" s="20"/>
      <c r="AX3077" s="20"/>
      <c r="AY3077" s="20"/>
      <c r="AZ3077" s="20"/>
      <c r="BA3077" s="20"/>
    </row>
    <row r="3078" spans="49:53" x14ac:dyDescent="0.35">
      <c r="AW3078" s="20"/>
      <c r="AX3078" s="20"/>
      <c r="AY3078" s="20"/>
      <c r="AZ3078" s="20"/>
      <c r="BA3078" s="20"/>
    </row>
    <row r="3079" spans="49:53" x14ac:dyDescent="0.35">
      <c r="AW3079" s="20"/>
      <c r="AX3079" s="20"/>
      <c r="AY3079" s="20"/>
      <c r="AZ3079" s="20"/>
      <c r="BA3079" s="20"/>
    </row>
    <row r="3080" spans="49:53" x14ac:dyDescent="0.35">
      <c r="AW3080" s="20"/>
      <c r="AX3080" s="20"/>
      <c r="AY3080" s="20"/>
      <c r="AZ3080" s="20"/>
      <c r="BA3080" s="20"/>
    </row>
    <row r="3081" spans="49:53" x14ac:dyDescent="0.35">
      <c r="AW3081" s="20"/>
      <c r="AX3081" s="20"/>
      <c r="AY3081" s="20"/>
      <c r="AZ3081" s="20"/>
      <c r="BA3081" s="20"/>
    </row>
    <row r="3082" spans="49:53" x14ac:dyDescent="0.35">
      <c r="AW3082" s="20"/>
      <c r="AX3082" s="20"/>
      <c r="AY3082" s="20"/>
      <c r="AZ3082" s="20"/>
      <c r="BA3082" s="20"/>
    </row>
    <row r="3083" spans="49:53" x14ac:dyDescent="0.35">
      <c r="AW3083" s="20"/>
      <c r="AX3083" s="20"/>
      <c r="AY3083" s="20"/>
      <c r="AZ3083" s="20"/>
      <c r="BA3083" s="20"/>
    </row>
    <row r="3084" spans="49:53" x14ac:dyDescent="0.35">
      <c r="AW3084" s="20"/>
      <c r="AX3084" s="20"/>
      <c r="AY3084" s="20"/>
      <c r="AZ3084" s="20"/>
      <c r="BA3084" s="20"/>
    </row>
    <row r="3085" spans="49:53" x14ac:dyDescent="0.35">
      <c r="AW3085" s="20"/>
      <c r="AX3085" s="20"/>
      <c r="AY3085" s="20"/>
      <c r="AZ3085" s="20"/>
      <c r="BA3085" s="20"/>
    </row>
    <row r="3086" spans="49:53" x14ac:dyDescent="0.35">
      <c r="AW3086" s="20"/>
      <c r="AX3086" s="20"/>
      <c r="AY3086" s="20"/>
      <c r="AZ3086" s="20"/>
      <c r="BA3086" s="20"/>
    </row>
    <row r="3087" spans="49:53" x14ac:dyDescent="0.35">
      <c r="AW3087" s="20"/>
      <c r="AX3087" s="20"/>
      <c r="AY3087" s="20"/>
      <c r="AZ3087" s="20"/>
      <c r="BA3087" s="20"/>
    </row>
    <row r="3088" spans="49:53" x14ac:dyDescent="0.35">
      <c r="AW3088" s="20"/>
      <c r="AX3088" s="20"/>
      <c r="AY3088" s="20"/>
      <c r="AZ3088" s="20"/>
      <c r="BA3088" s="20"/>
    </row>
    <row r="3089" spans="49:53" x14ac:dyDescent="0.35">
      <c r="AW3089" s="20"/>
      <c r="AX3089" s="20"/>
      <c r="AY3089" s="20"/>
      <c r="AZ3089" s="20"/>
      <c r="BA3089" s="20"/>
    </row>
    <row r="3090" spans="49:53" x14ac:dyDescent="0.35">
      <c r="AW3090" s="20"/>
      <c r="AX3090" s="20"/>
      <c r="AY3090" s="20"/>
      <c r="AZ3090" s="20"/>
      <c r="BA3090" s="20"/>
    </row>
    <row r="3091" spans="49:53" x14ac:dyDescent="0.35">
      <c r="AW3091" s="20"/>
      <c r="AX3091" s="20"/>
      <c r="AY3091" s="20"/>
      <c r="AZ3091" s="20"/>
      <c r="BA3091" s="20"/>
    </row>
    <row r="3092" spans="49:53" x14ac:dyDescent="0.35">
      <c r="AW3092" s="20"/>
      <c r="AX3092" s="20"/>
      <c r="AY3092" s="20"/>
      <c r="AZ3092" s="20"/>
      <c r="BA3092" s="20"/>
    </row>
    <row r="3093" spans="49:53" x14ac:dyDescent="0.35">
      <c r="AW3093" s="20"/>
      <c r="AX3093" s="20"/>
      <c r="AY3093" s="20"/>
      <c r="AZ3093" s="20"/>
      <c r="BA3093" s="20"/>
    </row>
    <row r="3094" spans="49:53" x14ac:dyDescent="0.35">
      <c r="AW3094" s="20"/>
      <c r="AX3094" s="20"/>
      <c r="AY3094" s="20"/>
      <c r="AZ3094" s="20"/>
      <c r="BA3094" s="20"/>
    </row>
    <row r="3095" spans="49:53" x14ac:dyDescent="0.35">
      <c r="AW3095" s="20"/>
      <c r="AX3095" s="20"/>
      <c r="AY3095" s="20"/>
      <c r="AZ3095" s="20"/>
      <c r="BA3095" s="20"/>
    </row>
    <row r="3096" spans="49:53" x14ac:dyDescent="0.35">
      <c r="AW3096" s="20"/>
      <c r="AX3096" s="20"/>
      <c r="AY3096" s="20"/>
      <c r="AZ3096" s="20"/>
      <c r="BA3096" s="20"/>
    </row>
    <row r="3097" spans="49:53" x14ac:dyDescent="0.35">
      <c r="AW3097" s="20"/>
      <c r="AX3097" s="20"/>
      <c r="AY3097" s="20"/>
      <c r="AZ3097" s="20"/>
      <c r="BA3097" s="20"/>
    </row>
    <row r="3098" spans="49:53" x14ac:dyDescent="0.35">
      <c r="AW3098" s="20"/>
      <c r="AX3098" s="20"/>
      <c r="AY3098" s="20"/>
      <c r="AZ3098" s="20"/>
      <c r="BA3098" s="20"/>
    </row>
    <row r="3099" spans="49:53" x14ac:dyDescent="0.35">
      <c r="AW3099" s="20"/>
      <c r="AX3099" s="20"/>
      <c r="AY3099" s="20"/>
      <c r="AZ3099" s="20"/>
      <c r="BA3099" s="20"/>
    </row>
    <row r="3100" spans="49:53" x14ac:dyDescent="0.35">
      <c r="AW3100" s="20"/>
      <c r="AX3100" s="20"/>
      <c r="AY3100" s="20"/>
      <c r="AZ3100" s="20"/>
      <c r="BA3100" s="20"/>
    </row>
    <row r="3101" spans="49:53" x14ac:dyDescent="0.35">
      <c r="AW3101" s="20"/>
      <c r="AX3101" s="20"/>
      <c r="AY3101" s="20"/>
      <c r="AZ3101" s="20"/>
      <c r="BA3101" s="20"/>
    </row>
    <row r="3102" spans="49:53" x14ac:dyDescent="0.35">
      <c r="AW3102" s="20"/>
      <c r="AX3102" s="20"/>
      <c r="AY3102" s="20"/>
      <c r="AZ3102" s="20"/>
      <c r="BA3102" s="20"/>
    </row>
    <row r="3103" spans="49:53" x14ac:dyDescent="0.35">
      <c r="AW3103" s="20"/>
      <c r="AX3103" s="20"/>
      <c r="AY3103" s="20"/>
      <c r="AZ3103" s="20"/>
      <c r="BA3103" s="20"/>
    </row>
    <row r="3104" spans="49:53" x14ac:dyDescent="0.35">
      <c r="AW3104" s="20"/>
      <c r="AX3104" s="20"/>
      <c r="AY3104" s="20"/>
      <c r="AZ3104" s="20"/>
      <c r="BA3104" s="20"/>
    </row>
    <row r="3105" spans="49:53" x14ac:dyDescent="0.35">
      <c r="AW3105" s="20"/>
      <c r="AX3105" s="20"/>
      <c r="AY3105" s="20"/>
      <c r="AZ3105" s="20"/>
      <c r="BA3105" s="20"/>
    </row>
    <row r="3106" spans="49:53" x14ac:dyDescent="0.35">
      <c r="AW3106" s="20"/>
      <c r="AX3106" s="20"/>
      <c r="AY3106" s="20"/>
      <c r="AZ3106" s="20"/>
      <c r="BA3106" s="20"/>
    </row>
    <row r="3107" spans="49:53" x14ac:dyDescent="0.35">
      <c r="AW3107" s="20"/>
      <c r="AX3107" s="20"/>
      <c r="AY3107" s="20"/>
      <c r="AZ3107" s="20"/>
      <c r="BA3107" s="20"/>
    </row>
    <row r="3108" spans="49:53" x14ac:dyDescent="0.35">
      <c r="AW3108" s="20"/>
      <c r="AX3108" s="20"/>
      <c r="AY3108" s="20"/>
      <c r="AZ3108" s="20"/>
      <c r="BA3108" s="20"/>
    </row>
    <row r="3109" spans="49:53" x14ac:dyDescent="0.35">
      <c r="AW3109" s="20"/>
      <c r="AX3109" s="20"/>
      <c r="AY3109" s="20"/>
      <c r="AZ3109" s="20"/>
      <c r="BA3109" s="20"/>
    </row>
    <row r="3110" spans="49:53" x14ac:dyDescent="0.35">
      <c r="AW3110" s="20"/>
      <c r="AX3110" s="20"/>
      <c r="AY3110" s="20"/>
      <c r="AZ3110" s="20"/>
      <c r="BA3110" s="20"/>
    </row>
    <row r="3111" spans="49:53" x14ac:dyDescent="0.35">
      <c r="AW3111" s="20"/>
      <c r="AX3111" s="20"/>
      <c r="AY3111" s="20"/>
      <c r="AZ3111" s="20"/>
      <c r="BA3111" s="20"/>
    </row>
    <row r="3112" spans="49:53" x14ac:dyDescent="0.35">
      <c r="AW3112" s="20"/>
      <c r="AX3112" s="20"/>
      <c r="AY3112" s="20"/>
      <c r="AZ3112" s="20"/>
      <c r="BA3112" s="20"/>
    </row>
    <row r="3113" spans="49:53" x14ac:dyDescent="0.35">
      <c r="AW3113" s="20"/>
      <c r="AX3113" s="20"/>
      <c r="AY3113" s="20"/>
      <c r="AZ3113" s="20"/>
      <c r="BA3113" s="20"/>
    </row>
    <row r="3114" spans="49:53" x14ac:dyDescent="0.35">
      <c r="AW3114" s="20"/>
      <c r="AX3114" s="20"/>
      <c r="AY3114" s="20"/>
      <c r="AZ3114" s="20"/>
      <c r="BA3114" s="20"/>
    </row>
    <row r="3115" spans="49:53" x14ac:dyDescent="0.35">
      <c r="AW3115" s="20"/>
      <c r="AX3115" s="20"/>
      <c r="AY3115" s="20"/>
      <c r="AZ3115" s="20"/>
      <c r="BA3115" s="20"/>
    </row>
    <row r="3116" spans="49:53" x14ac:dyDescent="0.35">
      <c r="AW3116" s="20"/>
      <c r="AX3116" s="20"/>
      <c r="AY3116" s="20"/>
      <c r="AZ3116" s="20"/>
      <c r="BA3116" s="20"/>
    </row>
    <row r="3117" spans="49:53" x14ac:dyDescent="0.35">
      <c r="AW3117" s="20"/>
      <c r="AX3117" s="20"/>
      <c r="AY3117" s="20"/>
      <c r="AZ3117" s="20"/>
      <c r="BA3117" s="20"/>
    </row>
    <row r="3118" spans="49:53" x14ac:dyDescent="0.35">
      <c r="AW3118" s="20"/>
      <c r="AX3118" s="20"/>
      <c r="AY3118" s="20"/>
      <c r="AZ3118" s="20"/>
      <c r="BA3118" s="20"/>
    </row>
    <row r="3119" spans="49:53" x14ac:dyDescent="0.35">
      <c r="AW3119" s="20"/>
      <c r="AX3119" s="20"/>
      <c r="AY3119" s="20"/>
      <c r="AZ3119" s="20"/>
      <c r="BA3119" s="20"/>
    </row>
    <row r="3120" spans="49:53" x14ac:dyDescent="0.35">
      <c r="AW3120" s="20"/>
      <c r="AX3120" s="20"/>
      <c r="AY3120" s="20"/>
      <c r="AZ3120" s="20"/>
      <c r="BA3120" s="20"/>
    </row>
    <row r="3121" spans="49:53" x14ac:dyDescent="0.35">
      <c r="AW3121" s="20"/>
      <c r="AX3121" s="20"/>
      <c r="AY3121" s="20"/>
      <c r="AZ3121" s="20"/>
      <c r="BA3121" s="20"/>
    </row>
    <row r="3122" spans="49:53" x14ac:dyDescent="0.35">
      <c r="AW3122" s="20"/>
      <c r="AX3122" s="20"/>
      <c r="AY3122" s="20"/>
      <c r="AZ3122" s="20"/>
      <c r="BA3122" s="20"/>
    </row>
    <row r="3123" spans="49:53" x14ac:dyDescent="0.35">
      <c r="AW3123" s="20"/>
      <c r="AX3123" s="20"/>
      <c r="AY3123" s="20"/>
      <c r="AZ3123" s="20"/>
      <c r="BA3123" s="20"/>
    </row>
    <row r="3124" spans="49:53" x14ac:dyDescent="0.35">
      <c r="AW3124" s="20"/>
      <c r="AX3124" s="20"/>
      <c r="AY3124" s="20"/>
      <c r="AZ3124" s="20"/>
      <c r="BA3124" s="20"/>
    </row>
    <row r="3125" spans="49:53" x14ac:dyDescent="0.35">
      <c r="AW3125" s="20"/>
      <c r="AX3125" s="20"/>
      <c r="AY3125" s="20"/>
      <c r="AZ3125" s="20"/>
      <c r="BA3125" s="20"/>
    </row>
    <row r="3126" spans="49:53" x14ac:dyDescent="0.35">
      <c r="AW3126" s="20"/>
      <c r="AX3126" s="20"/>
      <c r="AY3126" s="20"/>
      <c r="AZ3126" s="20"/>
      <c r="BA3126" s="20"/>
    </row>
    <row r="3127" spans="49:53" x14ac:dyDescent="0.35">
      <c r="AW3127" s="20"/>
      <c r="AX3127" s="20"/>
      <c r="AY3127" s="20"/>
      <c r="AZ3127" s="20"/>
      <c r="BA3127" s="20"/>
    </row>
    <row r="3128" spans="49:53" x14ac:dyDescent="0.35">
      <c r="AW3128" s="20"/>
      <c r="AX3128" s="20"/>
      <c r="AY3128" s="20"/>
      <c r="AZ3128" s="20"/>
      <c r="BA3128" s="20"/>
    </row>
    <row r="3129" spans="49:53" x14ac:dyDescent="0.35">
      <c r="AW3129" s="20"/>
      <c r="AX3129" s="20"/>
      <c r="AY3129" s="20"/>
      <c r="AZ3129" s="20"/>
      <c r="BA3129" s="20"/>
    </row>
    <row r="3130" spans="49:53" x14ac:dyDescent="0.35">
      <c r="AW3130" s="20"/>
      <c r="AX3130" s="20"/>
      <c r="AY3130" s="20"/>
      <c r="AZ3130" s="20"/>
      <c r="BA3130" s="20"/>
    </row>
    <row r="3131" spans="49:53" x14ac:dyDescent="0.35">
      <c r="AW3131" s="20"/>
      <c r="AX3131" s="20"/>
      <c r="AY3131" s="20"/>
      <c r="AZ3131" s="20"/>
      <c r="BA3131" s="20"/>
    </row>
    <row r="3132" spans="49:53" x14ac:dyDescent="0.35">
      <c r="AW3132" s="20"/>
      <c r="AX3132" s="20"/>
      <c r="AY3132" s="20"/>
      <c r="AZ3132" s="20"/>
      <c r="BA3132" s="20"/>
    </row>
    <row r="3133" spans="49:53" x14ac:dyDescent="0.35">
      <c r="AW3133" s="20"/>
      <c r="AX3133" s="20"/>
      <c r="AY3133" s="20"/>
      <c r="AZ3133" s="20"/>
      <c r="BA3133" s="20"/>
    </row>
    <row r="3134" spans="49:53" x14ac:dyDescent="0.35">
      <c r="AW3134" s="20"/>
      <c r="AX3134" s="20"/>
      <c r="AY3134" s="20"/>
      <c r="AZ3134" s="20"/>
      <c r="BA3134" s="20"/>
    </row>
    <row r="3135" spans="49:53" x14ac:dyDescent="0.35">
      <c r="AW3135" s="20"/>
      <c r="AX3135" s="20"/>
      <c r="AY3135" s="20"/>
      <c r="AZ3135" s="20"/>
      <c r="BA3135" s="20"/>
    </row>
    <row r="3136" spans="49:53" x14ac:dyDescent="0.35">
      <c r="AW3136" s="20"/>
      <c r="AX3136" s="20"/>
      <c r="AY3136" s="20"/>
      <c r="AZ3136" s="20"/>
      <c r="BA3136" s="20"/>
    </row>
    <row r="3137" spans="49:53" x14ac:dyDescent="0.35">
      <c r="AW3137" s="20"/>
      <c r="AX3137" s="20"/>
      <c r="AY3137" s="20"/>
      <c r="AZ3137" s="20"/>
      <c r="BA3137" s="20"/>
    </row>
    <row r="3138" spans="49:53" x14ac:dyDescent="0.35">
      <c r="AW3138" s="20"/>
      <c r="AX3138" s="20"/>
      <c r="AY3138" s="20"/>
      <c r="AZ3138" s="20"/>
      <c r="BA3138" s="20"/>
    </row>
    <row r="3139" spans="49:53" x14ac:dyDescent="0.35">
      <c r="AW3139" s="20"/>
      <c r="AX3139" s="20"/>
      <c r="AY3139" s="20"/>
      <c r="AZ3139" s="20"/>
      <c r="BA3139" s="20"/>
    </row>
    <row r="3140" spans="49:53" x14ac:dyDescent="0.35">
      <c r="AW3140" s="20"/>
      <c r="AX3140" s="20"/>
      <c r="AY3140" s="20"/>
      <c r="AZ3140" s="20"/>
      <c r="BA3140" s="20"/>
    </row>
    <row r="3141" spans="49:53" x14ac:dyDescent="0.35">
      <c r="AW3141" s="20"/>
      <c r="AX3141" s="20"/>
      <c r="AY3141" s="20"/>
      <c r="AZ3141" s="20"/>
      <c r="BA3141" s="20"/>
    </row>
    <row r="3142" spans="49:53" x14ac:dyDescent="0.35">
      <c r="AW3142" s="20"/>
      <c r="AX3142" s="20"/>
      <c r="AY3142" s="20"/>
      <c r="AZ3142" s="20"/>
      <c r="BA3142" s="20"/>
    </row>
    <row r="3143" spans="49:53" x14ac:dyDescent="0.35">
      <c r="AW3143" s="20"/>
      <c r="AX3143" s="20"/>
      <c r="AY3143" s="20"/>
      <c r="AZ3143" s="20"/>
      <c r="BA3143" s="20"/>
    </row>
    <row r="3144" spans="49:53" x14ac:dyDescent="0.35">
      <c r="AW3144" s="20"/>
      <c r="AX3144" s="20"/>
      <c r="AY3144" s="20"/>
      <c r="AZ3144" s="20"/>
      <c r="BA3144" s="20"/>
    </row>
    <row r="3145" spans="49:53" x14ac:dyDescent="0.35">
      <c r="AW3145" s="20"/>
      <c r="AX3145" s="20"/>
      <c r="AY3145" s="20"/>
      <c r="AZ3145" s="20"/>
      <c r="BA3145" s="20"/>
    </row>
    <row r="3146" spans="49:53" x14ac:dyDescent="0.35">
      <c r="AW3146" s="20"/>
      <c r="AX3146" s="20"/>
      <c r="AY3146" s="20"/>
      <c r="AZ3146" s="20"/>
      <c r="BA3146" s="20"/>
    </row>
    <row r="3147" spans="49:53" x14ac:dyDescent="0.35">
      <c r="AW3147" s="20"/>
      <c r="AX3147" s="20"/>
      <c r="AY3147" s="20"/>
      <c r="AZ3147" s="20"/>
      <c r="BA3147" s="20"/>
    </row>
    <row r="3148" spans="49:53" x14ac:dyDescent="0.35">
      <c r="AW3148" s="20"/>
      <c r="AX3148" s="20"/>
      <c r="AY3148" s="20"/>
      <c r="AZ3148" s="20"/>
      <c r="BA3148" s="20"/>
    </row>
    <row r="3149" spans="49:53" x14ac:dyDescent="0.35">
      <c r="AW3149" s="20"/>
      <c r="AX3149" s="20"/>
      <c r="AY3149" s="20"/>
      <c r="AZ3149" s="20"/>
      <c r="BA3149" s="20"/>
    </row>
    <row r="3150" spans="49:53" x14ac:dyDescent="0.35">
      <c r="AW3150" s="20"/>
      <c r="AX3150" s="20"/>
      <c r="AY3150" s="20"/>
      <c r="AZ3150" s="20"/>
      <c r="BA3150" s="20"/>
    </row>
    <row r="3151" spans="49:53" x14ac:dyDescent="0.35">
      <c r="AW3151" s="20"/>
      <c r="AX3151" s="20"/>
      <c r="AY3151" s="20"/>
      <c r="AZ3151" s="20"/>
      <c r="BA3151" s="20"/>
    </row>
    <row r="3152" spans="49:53" x14ac:dyDescent="0.35">
      <c r="AW3152" s="20"/>
      <c r="AX3152" s="20"/>
      <c r="AY3152" s="20"/>
      <c r="AZ3152" s="20"/>
      <c r="BA3152" s="20"/>
    </row>
    <row r="3153" spans="49:53" x14ac:dyDescent="0.35">
      <c r="AW3153" s="20"/>
      <c r="AX3153" s="20"/>
      <c r="AY3153" s="20"/>
      <c r="AZ3153" s="20"/>
      <c r="BA3153" s="20"/>
    </row>
    <row r="3154" spans="49:53" x14ac:dyDescent="0.35">
      <c r="AW3154" s="20"/>
      <c r="AX3154" s="20"/>
      <c r="AY3154" s="20"/>
      <c r="AZ3154" s="20"/>
      <c r="BA3154" s="20"/>
    </row>
    <row r="3155" spans="49:53" x14ac:dyDescent="0.35">
      <c r="AW3155" s="20"/>
      <c r="AX3155" s="20"/>
      <c r="AY3155" s="20"/>
      <c r="AZ3155" s="20"/>
      <c r="BA3155" s="20"/>
    </row>
    <row r="3156" spans="49:53" x14ac:dyDescent="0.35">
      <c r="AW3156" s="20"/>
      <c r="AX3156" s="20"/>
      <c r="AY3156" s="20"/>
      <c r="AZ3156" s="20"/>
      <c r="BA3156" s="20"/>
    </row>
    <row r="3157" spans="49:53" x14ac:dyDescent="0.35">
      <c r="AW3157" s="20"/>
      <c r="AX3157" s="20"/>
      <c r="AY3157" s="20"/>
      <c r="AZ3157" s="20"/>
      <c r="BA3157" s="20"/>
    </row>
    <row r="3158" spans="49:53" x14ac:dyDescent="0.35">
      <c r="AW3158" s="20"/>
      <c r="AX3158" s="20"/>
      <c r="AY3158" s="20"/>
      <c r="AZ3158" s="20"/>
      <c r="BA3158" s="20"/>
    </row>
    <row r="3159" spans="49:53" x14ac:dyDescent="0.35">
      <c r="AW3159" s="20"/>
      <c r="AX3159" s="20"/>
      <c r="AY3159" s="20"/>
      <c r="AZ3159" s="20"/>
      <c r="BA3159" s="20"/>
    </row>
    <row r="3160" spans="49:53" x14ac:dyDescent="0.35">
      <c r="AW3160" s="20"/>
      <c r="AX3160" s="20"/>
      <c r="AY3160" s="20"/>
      <c r="AZ3160" s="20"/>
      <c r="BA3160" s="20"/>
    </row>
    <row r="3161" spans="49:53" x14ac:dyDescent="0.35">
      <c r="AW3161" s="20"/>
      <c r="AX3161" s="20"/>
      <c r="AY3161" s="20"/>
      <c r="AZ3161" s="20"/>
      <c r="BA3161" s="20"/>
    </row>
    <row r="3162" spans="49:53" x14ac:dyDescent="0.35">
      <c r="AW3162" s="20"/>
      <c r="AX3162" s="20"/>
      <c r="AY3162" s="20"/>
      <c r="AZ3162" s="20"/>
      <c r="BA3162" s="20"/>
    </row>
    <row r="3163" spans="49:53" x14ac:dyDescent="0.35">
      <c r="AW3163" s="20"/>
      <c r="AX3163" s="20"/>
      <c r="AY3163" s="20"/>
      <c r="AZ3163" s="20"/>
      <c r="BA3163" s="20"/>
    </row>
    <row r="3164" spans="49:53" x14ac:dyDescent="0.35">
      <c r="AW3164" s="20"/>
      <c r="AX3164" s="20"/>
      <c r="AY3164" s="20"/>
      <c r="AZ3164" s="20"/>
      <c r="BA3164" s="20"/>
    </row>
    <row r="3165" spans="49:53" x14ac:dyDescent="0.35">
      <c r="AW3165" s="20"/>
      <c r="AX3165" s="20"/>
      <c r="AY3165" s="20"/>
      <c r="AZ3165" s="20"/>
      <c r="BA3165" s="20"/>
    </row>
    <row r="3166" spans="49:53" x14ac:dyDescent="0.35">
      <c r="AW3166" s="20"/>
      <c r="AX3166" s="20"/>
      <c r="AY3166" s="20"/>
      <c r="AZ3166" s="20"/>
      <c r="BA3166" s="20"/>
    </row>
    <row r="3167" spans="49:53" x14ac:dyDescent="0.35">
      <c r="AW3167" s="20"/>
      <c r="AX3167" s="20"/>
      <c r="AY3167" s="20"/>
      <c r="AZ3167" s="20"/>
      <c r="BA3167" s="20"/>
    </row>
    <row r="3168" spans="49:53" x14ac:dyDescent="0.35">
      <c r="AW3168" s="20"/>
      <c r="AX3168" s="20"/>
      <c r="AY3168" s="20"/>
      <c r="AZ3168" s="20"/>
      <c r="BA3168" s="20"/>
    </row>
    <row r="3169" spans="49:53" x14ac:dyDescent="0.35">
      <c r="AW3169" s="20"/>
      <c r="AX3169" s="20"/>
      <c r="AY3169" s="20"/>
      <c r="AZ3169" s="20"/>
      <c r="BA3169" s="20"/>
    </row>
    <row r="3170" spans="49:53" x14ac:dyDescent="0.35">
      <c r="AW3170" s="20"/>
      <c r="AX3170" s="20"/>
      <c r="AY3170" s="20"/>
      <c r="AZ3170" s="20"/>
      <c r="BA3170" s="20"/>
    </row>
    <row r="3171" spans="49:53" x14ac:dyDescent="0.35">
      <c r="AW3171" s="20"/>
      <c r="AX3171" s="20"/>
      <c r="AY3171" s="20"/>
      <c r="AZ3171" s="20"/>
      <c r="BA3171" s="20"/>
    </row>
    <row r="3172" spans="49:53" x14ac:dyDescent="0.35">
      <c r="AW3172" s="20"/>
      <c r="AX3172" s="20"/>
      <c r="AY3172" s="20"/>
      <c r="AZ3172" s="20"/>
      <c r="BA3172" s="20"/>
    </row>
    <row r="3173" spans="49:53" x14ac:dyDescent="0.35">
      <c r="AW3173" s="20"/>
      <c r="AX3173" s="20"/>
      <c r="AY3173" s="20"/>
      <c r="AZ3173" s="20"/>
      <c r="BA3173" s="20"/>
    </row>
    <row r="3174" spans="49:53" x14ac:dyDescent="0.35">
      <c r="AW3174" s="20"/>
      <c r="AX3174" s="20"/>
      <c r="AY3174" s="20"/>
      <c r="AZ3174" s="20"/>
      <c r="BA3174" s="20"/>
    </row>
    <row r="3175" spans="49:53" x14ac:dyDescent="0.35">
      <c r="AW3175" s="20"/>
      <c r="AX3175" s="20"/>
      <c r="AY3175" s="20"/>
      <c r="AZ3175" s="20"/>
      <c r="BA3175" s="20"/>
    </row>
    <row r="3176" spans="49:53" x14ac:dyDescent="0.35">
      <c r="AW3176" s="20"/>
      <c r="AX3176" s="20"/>
      <c r="AY3176" s="20"/>
      <c r="AZ3176" s="20"/>
      <c r="BA3176" s="20"/>
    </row>
    <row r="3177" spans="49:53" x14ac:dyDescent="0.35">
      <c r="AW3177" s="20"/>
      <c r="AX3177" s="20"/>
      <c r="AY3177" s="20"/>
      <c r="AZ3177" s="20"/>
      <c r="BA3177" s="20"/>
    </row>
    <row r="3178" spans="49:53" x14ac:dyDescent="0.35">
      <c r="AW3178" s="20"/>
      <c r="AX3178" s="20"/>
      <c r="AY3178" s="20"/>
      <c r="AZ3178" s="20"/>
      <c r="BA3178" s="20"/>
    </row>
    <row r="3179" spans="49:53" x14ac:dyDescent="0.35">
      <c r="AW3179" s="20"/>
      <c r="AX3179" s="20"/>
      <c r="AY3179" s="20"/>
      <c r="AZ3179" s="20"/>
      <c r="BA3179" s="20"/>
    </row>
    <row r="3180" spans="49:53" x14ac:dyDescent="0.35">
      <c r="AW3180" s="20"/>
      <c r="AX3180" s="20"/>
      <c r="AY3180" s="20"/>
      <c r="AZ3180" s="20"/>
      <c r="BA3180" s="20"/>
    </row>
    <row r="3181" spans="49:53" x14ac:dyDescent="0.35">
      <c r="AW3181" s="20"/>
      <c r="AX3181" s="20"/>
      <c r="AY3181" s="20"/>
      <c r="AZ3181" s="20"/>
      <c r="BA3181" s="20"/>
    </row>
    <row r="3182" spans="49:53" x14ac:dyDescent="0.35">
      <c r="AW3182" s="20"/>
      <c r="AX3182" s="20"/>
      <c r="AY3182" s="20"/>
      <c r="AZ3182" s="20"/>
      <c r="BA3182" s="20"/>
    </row>
    <row r="3183" spans="49:53" x14ac:dyDescent="0.35">
      <c r="AW3183" s="20"/>
      <c r="AX3183" s="20"/>
      <c r="AY3183" s="20"/>
      <c r="AZ3183" s="20"/>
      <c r="BA3183" s="20"/>
    </row>
    <row r="3184" spans="49:53" x14ac:dyDescent="0.35">
      <c r="AW3184" s="20"/>
      <c r="AX3184" s="20"/>
      <c r="AY3184" s="20"/>
      <c r="AZ3184" s="20"/>
      <c r="BA3184" s="20"/>
    </row>
    <row r="3185" spans="49:53" x14ac:dyDescent="0.35">
      <c r="AW3185" s="20"/>
      <c r="AX3185" s="20"/>
      <c r="AY3185" s="20"/>
      <c r="AZ3185" s="20"/>
      <c r="BA3185" s="20"/>
    </row>
    <row r="3186" spans="49:53" x14ac:dyDescent="0.35">
      <c r="AW3186" s="20"/>
      <c r="AX3186" s="20"/>
      <c r="AY3186" s="20"/>
      <c r="AZ3186" s="20"/>
      <c r="BA3186" s="20"/>
    </row>
    <row r="3187" spans="49:53" x14ac:dyDescent="0.35">
      <c r="AW3187" s="20"/>
      <c r="AX3187" s="20"/>
      <c r="AY3187" s="20"/>
      <c r="AZ3187" s="20"/>
      <c r="BA3187" s="20"/>
    </row>
    <row r="3188" spans="49:53" x14ac:dyDescent="0.35">
      <c r="AW3188" s="20"/>
      <c r="AX3188" s="20"/>
      <c r="AY3188" s="20"/>
      <c r="AZ3188" s="20"/>
      <c r="BA3188" s="20"/>
    </row>
    <row r="3189" spans="49:53" x14ac:dyDescent="0.35">
      <c r="AW3189" s="20"/>
      <c r="AX3189" s="20"/>
      <c r="AY3189" s="20"/>
      <c r="AZ3189" s="20"/>
      <c r="BA3189" s="20"/>
    </row>
    <row r="3190" spans="49:53" x14ac:dyDescent="0.35">
      <c r="AW3190" s="20"/>
      <c r="AX3190" s="20"/>
      <c r="AY3190" s="20"/>
      <c r="AZ3190" s="20"/>
      <c r="BA3190" s="20"/>
    </row>
    <row r="3191" spans="49:53" x14ac:dyDescent="0.35">
      <c r="AW3191" s="20"/>
      <c r="AX3191" s="20"/>
      <c r="AY3191" s="20"/>
      <c r="AZ3191" s="20"/>
      <c r="BA3191" s="20"/>
    </row>
    <row r="3192" spans="49:53" x14ac:dyDescent="0.35">
      <c r="AW3192" s="20"/>
      <c r="AX3192" s="20"/>
      <c r="AY3192" s="20"/>
      <c r="AZ3192" s="20"/>
      <c r="BA3192" s="20"/>
    </row>
    <row r="3193" spans="49:53" x14ac:dyDescent="0.35">
      <c r="AW3193" s="20"/>
      <c r="AX3193" s="20"/>
      <c r="AY3193" s="20"/>
      <c r="AZ3193" s="20"/>
      <c r="BA3193" s="20"/>
    </row>
    <row r="3194" spans="49:53" x14ac:dyDescent="0.35">
      <c r="AW3194" s="20"/>
      <c r="AX3194" s="20"/>
      <c r="AY3194" s="20"/>
      <c r="AZ3194" s="20"/>
      <c r="BA3194" s="20"/>
    </row>
    <row r="3195" spans="49:53" x14ac:dyDescent="0.35">
      <c r="AW3195" s="20"/>
      <c r="AX3195" s="20"/>
      <c r="AY3195" s="20"/>
      <c r="AZ3195" s="20"/>
      <c r="BA3195" s="20"/>
    </row>
    <row r="3196" spans="49:53" x14ac:dyDescent="0.35">
      <c r="AW3196" s="20"/>
      <c r="AX3196" s="20"/>
      <c r="AY3196" s="20"/>
      <c r="AZ3196" s="20"/>
      <c r="BA3196" s="20"/>
    </row>
    <row r="3197" spans="49:53" x14ac:dyDescent="0.35">
      <c r="AW3197" s="20"/>
      <c r="AX3197" s="20"/>
      <c r="AY3197" s="20"/>
      <c r="AZ3197" s="20"/>
      <c r="BA3197" s="20"/>
    </row>
    <row r="3198" spans="49:53" x14ac:dyDescent="0.35">
      <c r="AW3198" s="20"/>
      <c r="AX3198" s="20"/>
      <c r="AY3198" s="20"/>
      <c r="AZ3198" s="20"/>
      <c r="BA3198" s="20"/>
    </row>
    <row r="3199" spans="49:53" x14ac:dyDescent="0.35">
      <c r="AW3199" s="20"/>
      <c r="AX3199" s="20"/>
      <c r="AY3199" s="20"/>
      <c r="AZ3199" s="20"/>
      <c r="BA3199" s="20"/>
    </row>
    <row r="3200" spans="49:53" x14ac:dyDescent="0.35">
      <c r="AW3200" s="20"/>
      <c r="AX3200" s="20"/>
      <c r="AY3200" s="20"/>
      <c r="AZ3200" s="20"/>
      <c r="BA3200" s="20"/>
    </row>
    <row r="3201" spans="49:53" x14ac:dyDescent="0.35">
      <c r="AW3201" s="20"/>
      <c r="AX3201" s="20"/>
      <c r="AY3201" s="20"/>
      <c r="AZ3201" s="20"/>
      <c r="BA3201" s="20"/>
    </row>
    <row r="3202" spans="49:53" x14ac:dyDescent="0.35">
      <c r="AW3202" s="20"/>
      <c r="AX3202" s="20"/>
      <c r="AY3202" s="20"/>
      <c r="AZ3202" s="20"/>
      <c r="BA3202" s="20"/>
    </row>
    <row r="3203" spans="49:53" x14ac:dyDescent="0.35">
      <c r="AW3203" s="20"/>
      <c r="AX3203" s="20"/>
      <c r="AY3203" s="20"/>
      <c r="AZ3203" s="20"/>
      <c r="BA3203" s="20"/>
    </row>
    <row r="3204" spans="49:53" x14ac:dyDescent="0.35">
      <c r="AW3204" s="20"/>
      <c r="AX3204" s="20"/>
      <c r="AY3204" s="20"/>
      <c r="AZ3204" s="20"/>
      <c r="BA3204" s="20"/>
    </row>
    <row r="3205" spans="49:53" x14ac:dyDescent="0.35">
      <c r="AW3205" s="20"/>
      <c r="AX3205" s="20"/>
      <c r="AY3205" s="20"/>
      <c r="AZ3205" s="20"/>
      <c r="BA3205" s="20"/>
    </row>
    <row r="3206" spans="49:53" x14ac:dyDescent="0.35">
      <c r="AW3206" s="20"/>
      <c r="AX3206" s="20"/>
      <c r="AY3206" s="20"/>
      <c r="AZ3206" s="20"/>
      <c r="BA3206" s="20"/>
    </row>
    <row r="3207" spans="49:53" x14ac:dyDescent="0.35">
      <c r="AW3207" s="20"/>
      <c r="AX3207" s="20"/>
      <c r="AY3207" s="20"/>
      <c r="AZ3207" s="20"/>
      <c r="BA3207" s="20"/>
    </row>
    <row r="3208" spans="49:53" x14ac:dyDescent="0.35">
      <c r="AW3208" s="20"/>
      <c r="AX3208" s="20"/>
      <c r="AY3208" s="20"/>
      <c r="AZ3208" s="20"/>
      <c r="BA3208" s="20"/>
    </row>
    <row r="3209" spans="49:53" x14ac:dyDescent="0.35">
      <c r="AW3209" s="20"/>
      <c r="AX3209" s="20"/>
      <c r="AY3209" s="20"/>
      <c r="AZ3209" s="20"/>
      <c r="BA3209" s="20"/>
    </row>
    <row r="3210" spans="49:53" x14ac:dyDescent="0.35">
      <c r="AW3210" s="20"/>
      <c r="AX3210" s="20"/>
      <c r="AY3210" s="20"/>
      <c r="AZ3210" s="20"/>
      <c r="BA3210" s="20"/>
    </row>
    <row r="3211" spans="49:53" x14ac:dyDescent="0.35">
      <c r="AW3211" s="20"/>
      <c r="AX3211" s="20"/>
      <c r="AY3211" s="20"/>
      <c r="AZ3211" s="20"/>
      <c r="BA3211" s="20"/>
    </row>
    <row r="3212" spans="49:53" x14ac:dyDescent="0.35">
      <c r="AW3212" s="20"/>
      <c r="AX3212" s="20"/>
      <c r="AY3212" s="20"/>
      <c r="AZ3212" s="20"/>
      <c r="BA3212" s="20"/>
    </row>
    <row r="3213" spans="49:53" x14ac:dyDescent="0.35">
      <c r="AW3213" s="20"/>
      <c r="AX3213" s="20"/>
      <c r="AY3213" s="20"/>
      <c r="AZ3213" s="20"/>
      <c r="BA3213" s="20"/>
    </row>
    <row r="3214" spans="49:53" x14ac:dyDescent="0.35">
      <c r="AW3214" s="20"/>
      <c r="AX3214" s="20"/>
      <c r="AY3214" s="20"/>
      <c r="AZ3214" s="20"/>
      <c r="BA3214" s="20"/>
    </row>
    <row r="3215" spans="49:53" x14ac:dyDescent="0.35">
      <c r="AW3215" s="20"/>
      <c r="AX3215" s="20"/>
      <c r="AY3215" s="20"/>
      <c r="AZ3215" s="20"/>
      <c r="BA3215" s="20"/>
    </row>
    <row r="3216" spans="49:53" x14ac:dyDescent="0.35">
      <c r="AW3216" s="20"/>
      <c r="AX3216" s="20"/>
      <c r="AY3216" s="20"/>
      <c r="AZ3216" s="20"/>
      <c r="BA3216" s="20"/>
    </row>
    <row r="3217" spans="49:53" x14ac:dyDescent="0.35">
      <c r="AW3217" s="20"/>
      <c r="AX3217" s="20"/>
      <c r="AY3217" s="20"/>
      <c r="AZ3217" s="20"/>
      <c r="BA3217" s="20"/>
    </row>
    <row r="3218" spans="49:53" x14ac:dyDescent="0.35">
      <c r="AW3218" s="20"/>
      <c r="AX3218" s="20"/>
      <c r="AY3218" s="20"/>
      <c r="AZ3218" s="20"/>
      <c r="BA3218" s="20"/>
    </row>
    <row r="3219" spans="49:53" x14ac:dyDescent="0.35">
      <c r="AW3219" s="20"/>
      <c r="AX3219" s="20"/>
      <c r="AY3219" s="20"/>
      <c r="AZ3219" s="20"/>
      <c r="BA3219" s="20"/>
    </row>
    <row r="3220" spans="49:53" x14ac:dyDescent="0.35">
      <c r="AW3220" s="20"/>
      <c r="AX3220" s="20"/>
      <c r="AY3220" s="20"/>
      <c r="AZ3220" s="20"/>
      <c r="BA3220" s="20"/>
    </row>
    <row r="3221" spans="49:53" x14ac:dyDescent="0.35">
      <c r="AW3221" s="20"/>
      <c r="AX3221" s="20"/>
      <c r="AY3221" s="20"/>
      <c r="AZ3221" s="20"/>
      <c r="BA3221" s="20"/>
    </row>
    <row r="3222" spans="49:53" x14ac:dyDescent="0.35">
      <c r="AW3222" s="20"/>
      <c r="AX3222" s="20"/>
      <c r="AY3222" s="20"/>
      <c r="AZ3222" s="20"/>
      <c r="BA3222" s="20"/>
    </row>
    <row r="3223" spans="49:53" x14ac:dyDescent="0.35">
      <c r="AW3223" s="20"/>
      <c r="AX3223" s="20"/>
      <c r="AY3223" s="20"/>
      <c r="AZ3223" s="20"/>
      <c r="BA3223" s="20"/>
    </row>
    <row r="3224" spans="49:53" x14ac:dyDescent="0.35">
      <c r="AW3224" s="20"/>
      <c r="AX3224" s="20"/>
      <c r="AY3224" s="20"/>
      <c r="AZ3224" s="20"/>
      <c r="BA3224" s="20"/>
    </row>
    <row r="3225" spans="49:53" x14ac:dyDescent="0.35">
      <c r="AW3225" s="20"/>
      <c r="AX3225" s="20"/>
      <c r="AY3225" s="20"/>
      <c r="AZ3225" s="20"/>
      <c r="BA3225" s="20"/>
    </row>
    <row r="3226" spans="49:53" x14ac:dyDescent="0.35">
      <c r="AW3226" s="20"/>
      <c r="AX3226" s="20"/>
      <c r="AY3226" s="20"/>
      <c r="AZ3226" s="20"/>
      <c r="BA3226" s="20"/>
    </row>
    <row r="3227" spans="49:53" x14ac:dyDescent="0.35">
      <c r="AW3227" s="20"/>
      <c r="AX3227" s="20"/>
      <c r="AY3227" s="20"/>
      <c r="AZ3227" s="20"/>
      <c r="BA3227" s="20"/>
    </row>
    <row r="3228" spans="49:53" x14ac:dyDescent="0.35">
      <c r="AW3228" s="20"/>
      <c r="AX3228" s="20"/>
      <c r="AY3228" s="20"/>
      <c r="AZ3228" s="20"/>
      <c r="BA3228" s="20"/>
    </row>
    <row r="3229" spans="49:53" x14ac:dyDescent="0.35">
      <c r="AW3229" s="20"/>
      <c r="AX3229" s="20"/>
      <c r="AY3229" s="20"/>
      <c r="AZ3229" s="20"/>
      <c r="BA3229" s="20"/>
    </row>
    <row r="3230" spans="49:53" x14ac:dyDescent="0.35">
      <c r="AW3230" s="20"/>
      <c r="AX3230" s="20"/>
      <c r="AY3230" s="20"/>
      <c r="AZ3230" s="20"/>
      <c r="BA3230" s="20"/>
    </row>
    <row r="3231" spans="49:53" x14ac:dyDescent="0.35">
      <c r="AW3231" s="20"/>
      <c r="AX3231" s="20"/>
      <c r="AY3231" s="20"/>
      <c r="AZ3231" s="20"/>
      <c r="BA3231" s="20"/>
    </row>
    <row r="3232" spans="49:53" x14ac:dyDescent="0.35">
      <c r="AW3232" s="20"/>
      <c r="AX3232" s="20"/>
      <c r="AY3232" s="20"/>
      <c r="AZ3232" s="20"/>
      <c r="BA3232" s="20"/>
    </row>
    <row r="3233" spans="49:53" x14ac:dyDescent="0.35">
      <c r="AW3233" s="20"/>
      <c r="AX3233" s="20"/>
      <c r="AY3233" s="20"/>
      <c r="AZ3233" s="20"/>
      <c r="BA3233" s="20"/>
    </row>
    <row r="3234" spans="49:53" x14ac:dyDescent="0.35">
      <c r="AW3234" s="20"/>
      <c r="AX3234" s="20"/>
      <c r="AY3234" s="20"/>
      <c r="AZ3234" s="20"/>
      <c r="BA3234" s="20"/>
    </row>
    <row r="3235" spans="49:53" x14ac:dyDescent="0.35">
      <c r="AW3235" s="20"/>
      <c r="AX3235" s="20"/>
      <c r="AY3235" s="20"/>
      <c r="AZ3235" s="20"/>
      <c r="BA3235" s="20"/>
    </row>
    <row r="3236" spans="49:53" x14ac:dyDescent="0.35">
      <c r="AW3236" s="20"/>
      <c r="AX3236" s="20"/>
      <c r="AY3236" s="20"/>
      <c r="AZ3236" s="20"/>
      <c r="BA3236" s="20"/>
    </row>
    <row r="3237" spans="49:53" x14ac:dyDescent="0.35">
      <c r="AW3237" s="20"/>
      <c r="AX3237" s="20"/>
      <c r="AY3237" s="20"/>
      <c r="AZ3237" s="20"/>
      <c r="BA3237" s="20"/>
    </row>
    <row r="3238" spans="49:53" x14ac:dyDescent="0.35">
      <c r="AW3238" s="20"/>
      <c r="AX3238" s="20"/>
      <c r="AY3238" s="20"/>
      <c r="AZ3238" s="20"/>
      <c r="BA3238" s="20"/>
    </row>
    <row r="3239" spans="49:53" x14ac:dyDescent="0.35">
      <c r="AW3239" s="20"/>
      <c r="AX3239" s="20"/>
      <c r="AY3239" s="20"/>
      <c r="AZ3239" s="20"/>
      <c r="BA3239" s="20"/>
    </row>
    <row r="3240" spans="49:53" x14ac:dyDescent="0.35">
      <c r="AW3240" s="20"/>
      <c r="AX3240" s="20"/>
      <c r="AY3240" s="20"/>
      <c r="AZ3240" s="20"/>
      <c r="BA3240" s="20"/>
    </row>
    <row r="3241" spans="49:53" x14ac:dyDescent="0.35">
      <c r="AW3241" s="20"/>
      <c r="AX3241" s="20"/>
      <c r="AY3241" s="20"/>
      <c r="AZ3241" s="20"/>
      <c r="BA3241" s="20"/>
    </row>
    <row r="3242" spans="49:53" x14ac:dyDescent="0.35">
      <c r="AW3242" s="20"/>
      <c r="AX3242" s="20"/>
      <c r="AY3242" s="20"/>
      <c r="AZ3242" s="20"/>
      <c r="BA3242" s="20"/>
    </row>
    <row r="3243" spans="49:53" x14ac:dyDescent="0.35">
      <c r="AW3243" s="20"/>
      <c r="AX3243" s="20"/>
      <c r="AY3243" s="20"/>
      <c r="AZ3243" s="20"/>
      <c r="BA3243" s="20"/>
    </row>
    <row r="3244" spans="49:53" x14ac:dyDescent="0.35">
      <c r="AW3244" s="20"/>
      <c r="AX3244" s="20"/>
      <c r="AY3244" s="20"/>
      <c r="AZ3244" s="20"/>
      <c r="BA3244" s="20"/>
    </row>
    <row r="3245" spans="49:53" x14ac:dyDescent="0.35">
      <c r="AW3245" s="20"/>
      <c r="AX3245" s="20"/>
      <c r="AY3245" s="20"/>
      <c r="AZ3245" s="20"/>
      <c r="BA3245" s="20"/>
    </row>
    <row r="3246" spans="49:53" x14ac:dyDescent="0.35">
      <c r="AW3246" s="20"/>
      <c r="AX3246" s="20"/>
      <c r="AY3246" s="20"/>
      <c r="AZ3246" s="20"/>
      <c r="BA3246" s="20"/>
    </row>
    <row r="3247" spans="49:53" x14ac:dyDescent="0.35">
      <c r="AW3247" s="20"/>
      <c r="AX3247" s="20"/>
      <c r="AY3247" s="20"/>
      <c r="AZ3247" s="20"/>
      <c r="BA3247" s="20"/>
    </row>
    <row r="3248" spans="49:53" x14ac:dyDescent="0.35">
      <c r="AW3248" s="20"/>
      <c r="AX3248" s="20"/>
      <c r="AY3248" s="20"/>
      <c r="AZ3248" s="20"/>
      <c r="BA3248" s="20"/>
    </row>
    <row r="3249" spans="49:53" x14ac:dyDescent="0.35">
      <c r="AW3249" s="20"/>
      <c r="AX3249" s="20"/>
      <c r="AY3249" s="20"/>
      <c r="AZ3249" s="20"/>
      <c r="BA3249" s="20"/>
    </row>
    <row r="3250" spans="49:53" x14ac:dyDescent="0.35">
      <c r="AW3250" s="20"/>
      <c r="AX3250" s="20"/>
      <c r="AY3250" s="20"/>
      <c r="AZ3250" s="20"/>
      <c r="BA3250" s="20"/>
    </row>
    <row r="3251" spans="49:53" x14ac:dyDescent="0.35">
      <c r="AW3251" s="20"/>
      <c r="AX3251" s="20"/>
      <c r="AY3251" s="20"/>
      <c r="AZ3251" s="20"/>
      <c r="BA3251" s="20"/>
    </row>
    <row r="3252" spans="49:53" x14ac:dyDescent="0.35">
      <c r="AW3252" s="20"/>
      <c r="AX3252" s="20"/>
      <c r="AY3252" s="20"/>
      <c r="AZ3252" s="20"/>
      <c r="BA3252" s="20"/>
    </row>
    <row r="3253" spans="49:53" x14ac:dyDescent="0.35">
      <c r="AW3253" s="20"/>
      <c r="AX3253" s="20"/>
      <c r="AY3253" s="20"/>
      <c r="AZ3253" s="20"/>
      <c r="BA3253" s="20"/>
    </row>
    <row r="3254" spans="49:53" x14ac:dyDescent="0.35">
      <c r="AW3254" s="20"/>
      <c r="AX3254" s="20"/>
      <c r="AY3254" s="20"/>
      <c r="AZ3254" s="20"/>
      <c r="BA3254" s="20"/>
    </row>
    <row r="3255" spans="49:53" x14ac:dyDescent="0.35">
      <c r="AW3255" s="20"/>
      <c r="AX3255" s="20"/>
      <c r="AY3255" s="20"/>
      <c r="AZ3255" s="20"/>
      <c r="BA3255" s="20"/>
    </row>
    <row r="3256" spans="49:53" x14ac:dyDescent="0.35">
      <c r="AW3256" s="20"/>
      <c r="AX3256" s="20"/>
      <c r="AY3256" s="20"/>
      <c r="AZ3256" s="20"/>
      <c r="BA3256" s="20"/>
    </row>
    <row r="3257" spans="49:53" x14ac:dyDescent="0.35">
      <c r="AW3257" s="20"/>
      <c r="AX3257" s="20"/>
      <c r="AY3257" s="20"/>
      <c r="AZ3257" s="20"/>
      <c r="BA3257" s="20"/>
    </row>
    <row r="3258" spans="49:53" x14ac:dyDescent="0.35">
      <c r="AW3258" s="20"/>
      <c r="AX3258" s="20"/>
      <c r="AY3258" s="20"/>
      <c r="AZ3258" s="20"/>
      <c r="BA3258" s="20"/>
    </row>
    <row r="3259" spans="49:53" x14ac:dyDescent="0.35">
      <c r="AW3259" s="20"/>
      <c r="AX3259" s="20"/>
      <c r="AY3259" s="20"/>
      <c r="AZ3259" s="20"/>
      <c r="BA3259" s="20"/>
    </row>
    <row r="3260" spans="49:53" x14ac:dyDescent="0.35">
      <c r="AW3260" s="20"/>
      <c r="AX3260" s="20"/>
      <c r="AY3260" s="20"/>
      <c r="AZ3260" s="20"/>
      <c r="BA3260" s="20"/>
    </row>
    <row r="3261" spans="49:53" x14ac:dyDescent="0.35">
      <c r="AW3261" s="20"/>
      <c r="AX3261" s="20"/>
      <c r="AY3261" s="20"/>
      <c r="AZ3261" s="20"/>
      <c r="BA3261" s="20"/>
    </row>
    <row r="3262" spans="49:53" x14ac:dyDescent="0.35">
      <c r="AW3262" s="20"/>
      <c r="AX3262" s="20"/>
      <c r="AY3262" s="20"/>
      <c r="AZ3262" s="20"/>
      <c r="BA3262" s="20"/>
    </row>
    <row r="3263" spans="49:53" x14ac:dyDescent="0.35">
      <c r="AW3263" s="20"/>
      <c r="AX3263" s="20"/>
      <c r="AY3263" s="20"/>
      <c r="AZ3263" s="20"/>
      <c r="BA3263" s="20"/>
    </row>
    <row r="3264" spans="49:53" x14ac:dyDescent="0.35">
      <c r="AW3264" s="20"/>
      <c r="AX3264" s="20"/>
      <c r="AY3264" s="20"/>
      <c r="AZ3264" s="20"/>
      <c r="BA3264" s="20"/>
    </row>
    <row r="3265" spans="49:53" x14ac:dyDescent="0.35">
      <c r="AW3265" s="20"/>
      <c r="AX3265" s="20"/>
      <c r="AY3265" s="20"/>
      <c r="AZ3265" s="20"/>
      <c r="BA3265" s="20"/>
    </row>
    <row r="3266" spans="49:53" x14ac:dyDescent="0.35">
      <c r="AW3266" s="20"/>
      <c r="AX3266" s="20"/>
      <c r="AY3266" s="20"/>
      <c r="AZ3266" s="20"/>
      <c r="BA3266" s="20"/>
    </row>
    <row r="3267" spans="49:53" x14ac:dyDescent="0.35">
      <c r="AW3267" s="20"/>
      <c r="AX3267" s="20"/>
      <c r="AY3267" s="20"/>
      <c r="AZ3267" s="20"/>
      <c r="BA3267" s="20"/>
    </row>
    <row r="3268" spans="49:53" x14ac:dyDescent="0.35">
      <c r="AW3268" s="20"/>
      <c r="AX3268" s="20"/>
      <c r="AY3268" s="20"/>
      <c r="AZ3268" s="20"/>
      <c r="BA3268" s="20"/>
    </row>
    <row r="3269" spans="49:53" x14ac:dyDescent="0.35">
      <c r="AW3269" s="20"/>
      <c r="AX3269" s="20"/>
      <c r="AY3269" s="20"/>
      <c r="AZ3269" s="20"/>
      <c r="BA3269" s="20"/>
    </row>
    <row r="3270" spans="49:53" x14ac:dyDescent="0.35">
      <c r="AW3270" s="20"/>
      <c r="AX3270" s="20"/>
      <c r="AY3270" s="20"/>
      <c r="AZ3270" s="20"/>
      <c r="BA3270" s="20"/>
    </row>
    <row r="3271" spans="49:53" x14ac:dyDescent="0.35">
      <c r="AW3271" s="20"/>
      <c r="AX3271" s="20"/>
      <c r="AY3271" s="20"/>
      <c r="AZ3271" s="20"/>
      <c r="BA3271" s="20"/>
    </row>
    <row r="3272" spans="49:53" x14ac:dyDescent="0.35">
      <c r="AW3272" s="20"/>
      <c r="AX3272" s="20"/>
      <c r="AY3272" s="20"/>
      <c r="AZ3272" s="20"/>
      <c r="BA3272" s="20"/>
    </row>
    <row r="3273" spans="49:53" x14ac:dyDescent="0.35">
      <c r="AW3273" s="20"/>
      <c r="AX3273" s="20"/>
      <c r="AY3273" s="20"/>
      <c r="AZ3273" s="20"/>
      <c r="BA3273" s="20"/>
    </row>
    <row r="3274" spans="49:53" x14ac:dyDescent="0.35">
      <c r="AW3274" s="20"/>
      <c r="AX3274" s="20"/>
      <c r="AY3274" s="20"/>
      <c r="AZ3274" s="20"/>
      <c r="BA3274" s="20"/>
    </row>
    <row r="3275" spans="49:53" x14ac:dyDescent="0.35">
      <c r="AW3275" s="20"/>
      <c r="AX3275" s="20"/>
      <c r="AY3275" s="20"/>
      <c r="AZ3275" s="20"/>
      <c r="BA3275" s="20"/>
    </row>
    <row r="3276" spans="49:53" x14ac:dyDescent="0.35">
      <c r="AW3276" s="20"/>
      <c r="AX3276" s="20"/>
      <c r="AY3276" s="20"/>
      <c r="AZ3276" s="20"/>
      <c r="BA3276" s="20"/>
    </row>
    <row r="3277" spans="49:53" x14ac:dyDescent="0.35">
      <c r="AW3277" s="20"/>
      <c r="AX3277" s="20"/>
      <c r="AY3277" s="20"/>
      <c r="AZ3277" s="20"/>
      <c r="BA3277" s="20"/>
    </row>
    <row r="3278" spans="49:53" x14ac:dyDescent="0.35">
      <c r="AW3278" s="20"/>
      <c r="AX3278" s="20"/>
      <c r="AY3278" s="20"/>
      <c r="AZ3278" s="20"/>
      <c r="BA3278" s="20"/>
    </row>
    <row r="3279" spans="49:53" x14ac:dyDescent="0.35">
      <c r="AW3279" s="20"/>
      <c r="AX3279" s="20"/>
      <c r="AY3279" s="20"/>
      <c r="AZ3279" s="20"/>
      <c r="BA3279" s="20"/>
    </row>
    <row r="3280" spans="49:53" x14ac:dyDescent="0.35">
      <c r="AW3280" s="20"/>
      <c r="AX3280" s="20"/>
      <c r="AY3280" s="20"/>
      <c r="AZ3280" s="20"/>
      <c r="BA3280" s="20"/>
    </row>
    <row r="3281" spans="49:53" x14ac:dyDescent="0.35">
      <c r="AW3281" s="20"/>
      <c r="AX3281" s="20"/>
      <c r="AY3281" s="20"/>
      <c r="AZ3281" s="20"/>
      <c r="BA3281" s="20"/>
    </row>
    <row r="3282" spans="49:53" x14ac:dyDescent="0.35">
      <c r="AW3282" s="20"/>
      <c r="AX3282" s="20"/>
      <c r="AY3282" s="20"/>
      <c r="AZ3282" s="20"/>
      <c r="BA3282" s="20"/>
    </row>
    <row r="3283" spans="49:53" x14ac:dyDescent="0.35">
      <c r="AW3283" s="20"/>
      <c r="AX3283" s="20"/>
      <c r="AY3283" s="20"/>
      <c r="AZ3283" s="20"/>
      <c r="BA3283" s="20"/>
    </row>
    <row r="3284" spans="49:53" x14ac:dyDescent="0.35">
      <c r="AW3284" s="20"/>
      <c r="AX3284" s="20"/>
      <c r="AY3284" s="20"/>
      <c r="AZ3284" s="20"/>
      <c r="BA3284" s="20"/>
    </row>
    <row r="3285" spans="49:53" x14ac:dyDescent="0.35">
      <c r="AW3285" s="20"/>
      <c r="AX3285" s="20"/>
      <c r="AY3285" s="20"/>
      <c r="AZ3285" s="20"/>
      <c r="BA3285" s="20"/>
    </row>
    <row r="3286" spans="49:53" x14ac:dyDescent="0.35">
      <c r="AW3286" s="20"/>
      <c r="AX3286" s="20"/>
      <c r="AY3286" s="20"/>
      <c r="AZ3286" s="20"/>
      <c r="BA3286" s="20"/>
    </row>
    <row r="3287" spans="49:53" x14ac:dyDescent="0.35">
      <c r="AW3287" s="20"/>
      <c r="AX3287" s="20"/>
      <c r="AY3287" s="20"/>
      <c r="AZ3287" s="20"/>
      <c r="BA3287" s="20"/>
    </row>
    <row r="3288" spans="49:53" x14ac:dyDescent="0.35">
      <c r="AW3288" s="20"/>
      <c r="AX3288" s="20"/>
      <c r="AY3288" s="20"/>
      <c r="AZ3288" s="20"/>
      <c r="BA3288" s="20"/>
    </row>
    <row r="3289" spans="49:53" x14ac:dyDescent="0.35">
      <c r="AW3289" s="20"/>
      <c r="AX3289" s="20"/>
      <c r="AY3289" s="20"/>
      <c r="AZ3289" s="20"/>
      <c r="BA3289" s="20"/>
    </row>
    <row r="3290" spans="49:53" x14ac:dyDescent="0.35">
      <c r="AW3290" s="20"/>
      <c r="AX3290" s="20"/>
      <c r="AY3290" s="20"/>
      <c r="AZ3290" s="20"/>
      <c r="BA3290" s="20"/>
    </row>
    <row r="3291" spans="49:53" x14ac:dyDescent="0.35">
      <c r="AW3291" s="20"/>
      <c r="AX3291" s="20"/>
      <c r="AY3291" s="20"/>
      <c r="AZ3291" s="20"/>
      <c r="BA3291" s="20"/>
    </row>
    <row r="3292" spans="49:53" x14ac:dyDescent="0.35">
      <c r="AW3292" s="20"/>
      <c r="AX3292" s="20"/>
      <c r="AY3292" s="20"/>
      <c r="AZ3292" s="20"/>
      <c r="BA3292" s="20"/>
    </row>
    <row r="3293" spans="49:53" x14ac:dyDescent="0.35">
      <c r="AW3293" s="20"/>
      <c r="AX3293" s="20"/>
      <c r="AY3293" s="20"/>
      <c r="AZ3293" s="20"/>
      <c r="BA3293" s="20"/>
    </row>
    <row r="3294" spans="49:53" x14ac:dyDescent="0.35">
      <c r="AW3294" s="20"/>
      <c r="AX3294" s="20"/>
      <c r="AY3294" s="20"/>
      <c r="AZ3294" s="20"/>
      <c r="BA3294" s="20"/>
    </row>
    <row r="3295" spans="49:53" x14ac:dyDescent="0.35">
      <c r="AW3295" s="20"/>
      <c r="AX3295" s="20"/>
      <c r="AY3295" s="20"/>
      <c r="AZ3295" s="20"/>
      <c r="BA3295" s="20"/>
    </row>
    <row r="3296" spans="49:53" x14ac:dyDescent="0.35">
      <c r="AW3296" s="20"/>
      <c r="AX3296" s="20"/>
      <c r="AY3296" s="20"/>
      <c r="AZ3296" s="20"/>
      <c r="BA3296" s="20"/>
    </row>
    <row r="3297" spans="49:53" x14ac:dyDescent="0.35">
      <c r="AW3297" s="20"/>
      <c r="AX3297" s="20"/>
      <c r="AY3297" s="20"/>
      <c r="AZ3297" s="20"/>
      <c r="BA3297" s="20"/>
    </row>
    <row r="3298" spans="49:53" x14ac:dyDescent="0.35">
      <c r="AW3298" s="20"/>
      <c r="AX3298" s="20"/>
      <c r="AY3298" s="20"/>
      <c r="AZ3298" s="20"/>
      <c r="BA3298" s="20"/>
    </row>
    <row r="3299" spans="49:53" x14ac:dyDescent="0.35">
      <c r="AW3299" s="20"/>
      <c r="AX3299" s="20"/>
      <c r="AY3299" s="20"/>
      <c r="AZ3299" s="20"/>
      <c r="BA3299" s="20"/>
    </row>
    <row r="3300" spans="49:53" x14ac:dyDescent="0.35">
      <c r="AW3300" s="20"/>
      <c r="AX3300" s="20"/>
      <c r="AY3300" s="20"/>
      <c r="AZ3300" s="20"/>
      <c r="BA3300" s="20"/>
    </row>
    <row r="3301" spans="49:53" x14ac:dyDescent="0.35">
      <c r="AW3301" s="20"/>
      <c r="AX3301" s="20"/>
      <c r="AY3301" s="20"/>
      <c r="AZ3301" s="20"/>
      <c r="BA3301" s="20"/>
    </row>
    <row r="3302" spans="49:53" x14ac:dyDescent="0.35">
      <c r="AW3302" s="20"/>
      <c r="AX3302" s="20"/>
      <c r="AY3302" s="20"/>
      <c r="AZ3302" s="20"/>
      <c r="BA3302" s="20"/>
    </row>
    <row r="3303" spans="49:53" x14ac:dyDescent="0.35">
      <c r="AW3303" s="20"/>
      <c r="AX3303" s="20"/>
      <c r="AY3303" s="20"/>
      <c r="AZ3303" s="20"/>
      <c r="BA3303" s="20"/>
    </row>
    <row r="3304" spans="49:53" x14ac:dyDescent="0.35">
      <c r="AW3304" s="20"/>
      <c r="AX3304" s="20"/>
      <c r="AY3304" s="20"/>
      <c r="AZ3304" s="20"/>
      <c r="BA3304" s="20"/>
    </row>
    <row r="3305" spans="49:53" x14ac:dyDescent="0.35">
      <c r="AW3305" s="20"/>
      <c r="AX3305" s="20"/>
      <c r="AY3305" s="20"/>
      <c r="AZ3305" s="20"/>
      <c r="BA3305" s="20"/>
    </row>
    <row r="3306" spans="49:53" x14ac:dyDescent="0.35">
      <c r="AW3306" s="20"/>
      <c r="AX3306" s="20"/>
      <c r="AY3306" s="20"/>
      <c r="AZ3306" s="20"/>
      <c r="BA3306" s="20"/>
    </row>
    <row r="3307" spans="49:53" x14ac:dyDescent="0.35">
      <c r="AW3307" s="20"/>
      <c r="AX3307" s="20"/>
      <c r="AY3307" s="20"/>
      <c r="AZ3307" s="20"/>
      <c r="BA3307" s="20"/>
    </row>
    <row r="3308" spans="49:53" x14ac:dyDescent="0.35">
      <c r="AW3308" s="20"/>
      <c r="AX3308" s="20"/>
      <c r="AY3308" s="20"/>
      <c r="AZ3308" s="20"/>
      <c r="BA3308" s="20"/>
    </row>
    <row r="3309" spans="49:53" x14ac:dyDescent="0.35">
      <c r="AW3309" s="20"/>
      <c r="AX3309" s="20"/>
      <c r="AY3309" s="20"/>
      <c r="AZ3309" s="20"/>
      <c r="BA3309" s="20"/>
    </row>
    <row r="3310" spans="49:53" x14ac:dyDescent="0.35">
      <c r="AW3310" s="20"/>
      <c r="AX3310" s="20"/>
      <c r="AY3310" s="20"/>
      <c r="AZ3310" s="20"/>
      <c r="BA3310" s="20"/>
    </row>
    <row r="3311" spans="49:53" x14ac:dyDescent="0.35">
      <c r="AW3311" s="20"/>
      <c r="AX3311" s="20"/>
      <c r="AY3311" s="20"/>
      <c r="AZ3311" s="20"/>
      <c r="BA3311" s="20"/>
    </row>
    <row r="3312" spans="49:53" x14ac:dyDescent="0.35">
      <c r="AW3312" s="20"/>
      <c r="AX3312" s="20"/>
      <c r="AY3312" s="20"/>
      <c r="AZ3312" s="20"/>
      <c r="BA3312" s="20"/>
    </row>
    <row r="3313" spans="49:53" x14ac:dyDescent="0.35">
      <c r="AW3313" s="20"/>
      <c r="AX3313" s="20"/>
      <c r="AY3313" s="20"/>
      <c r="AZ3313" s="20"/>
      <c r="BA3313" s="20"/>
    </row>
    <row r="3314" spans="49:53" x14ac:dyDescent="0.35">
      <c r="AW3314" s="20"/>
      <c r="AX3314" s="20"/>
      <c r="AY3314" s="20"/>
      <c r="AZ3314" s="20"/>
      <c r="BA3314" s="20"/>
    </row>
    <row r="3315" spans="49:53" x14ac:dyDescent="0.35">
      <c r="AW3315" s="20"/>
      <c r="AX3315" s="20"/>
      <c r="AY3315" s="20"/>
      <c r="AZ3315" s="20"/>
      <c r="BA3315" s="20"/>
    </row>
    <row r="3316" spans="49:53" x14ac:dyDescent="0.35">
      <c r="AW3316" s="20"/>
      <c r="AX3316" s="20"/>
      <c r="AY3316" s="20"/>
      <c r="AZ3316" s="20"/>
      <c r="BA3316" s="20"/>
    </row>
    <row r="3317" spans="49:53" x14ac:dyDescent="0.35">
      <c r="AW3317" s="20"/>
      <c r="AX3317" s="20"/>
      <c r="AY3317" s="20"/>
      <c r="AZ3317" s="20"/>
      <c r="BA3317" s="20"/>
    </row>
    <row r="3318" spans="49:53" x14ac:dyDescent="0.35">
      <c r="AW3318" s="20"/>
      <c r="AX3318" s="20"/>
      <c r="AY3318" s="20"/>
      <c r="AZ3318" s="20"/>
      <c r="BA3318" s="20"/>
    </row>
    <row r="3319" spans="49:53" x14ac:dyDescent="0.35">
      <c r="AW3319" s="20"/>
      <c r="AX3319" s="20"/>
      <c r="AY3319" s="20"/>
      <c r="AZ3319" s="20"/>
      <c r="BA3319" s="20"/>
    </row>
    <row r="3320" spans="49:53" x14ac:dyDescent="0.35">
      <c r="AW3320" s="20"/>
      <c r="AX3320" s="20"/>
      <c r="AY3320" s="20"/>
      <c r="AZ3320" s="20"/>
      <c r="BA3320" s="20"/>
    </row>
    <row r="3321" spans="49:53" x14ac:dyDescent="0.35">
      <c r="AW3321" s="20"/>
      <c r="AX3321" s="20"/>
      <c r="AY3321" s="20"/>
      <c r="AZ3321" s="20"/>
      <c r="BA3321" s="20"/>
    </row>
    <row r="3322" spans="49:53" x14ac:dyDescent="0.35">
      <c r="AW3322" s="20"/>
      <c r="AX3322" s="20"/>
      <c r="AY3322" s="20"/>
      <c r="AZ3322" s="20"/>
      <c r="BA3322" s="20"/>
    </row>
    <row r="3323" spans="49:53" x14ac:dyDescent="0.35">
      <c r="AW3323" s="20"/>
      <c r="AX3323" s="20"/>
      <c r="AY3323" s="20"/>
      <c r="AZ3323" s="20"/>
      <c r="BA3323" s="20"/>
    </row>
    <row r="3324" spans="49:53" x14ac:dyDescent="0.35">
      <c r="AW3324" s="20"/>
      <c r="AX3324" s="20"/>
      <c r="AY3324" s="20"/>
      <c r="AZ3324" s="20"/>
      <c r="BA3324" s="20"/>
    </row>
    <row r="3325" spans="49:53" x14ac:dyDescent="0.35">
      <c r="AW3325" s="20"/>
      <c r="AX3325" s="20"/>
      <c r="AY3325" s="20"/>
      <c r="AZ3325" s="20"/>
      <c r="BA3325" s="20"/>
    </row>
    <row r="3326" spans="49:53" x14ac:dyDescent="0.35">
      <c r="AW3326" s="20"/>
      <c r="AX3326" s="20"/>
      <c r="AY3326" s="20"/>
      <c r="AZ3326" s="20"/>
      <c r="BA3326" s="20"/>
    </row>
    <row r="3327" spans="49:53" x14ac:dyDescent="0.35">
      <c r="AW3327" s="20"/>
      <c r="AX3327" s="20"/>
      <c r="AY3327" s="20"/>
      <c r="AZ3327" s="20"/>
      <c r="BA3327" s="20"/>
    </row>
    <row r="3328" spans="49:53" x14ac:dyDescent="0.35">
      <c r="AW3328" s="20"/>
      <c r="AX3328" s="20"/>
      <c r="AY3328" s="20"/>
      <c r="AZ3328" s="20"/>
      <c r="BA3328" s="20"/>
    </row>
    <row r="3329" spans="49:53" x14ac:dyDescent="0.35">
      <c r="AW3329" s="20"/>
      <c r="AX3329" s="20"/>
      <c r="AY3329" s="20"/>
      <c r="AZ3329" s="20"/>
      <c r="BA3329" s="20"/>
    </row>
    <row r="3330" spans="49:53" x14ac:dyDescent="0.35">
      <c r="AW3330" s="20"/>
      <c r="AX3330" s="20"/>
      <c r="AY3330" s="20"/>
      <c r="AZ3330" s="20"/>
      <c r="BA3330" s="20"/>
    </row>
    <row r="3331" spans="49:53" x14ac:dyDescent="0.35">
      <c r="AW3331" s="20"/>
      <c r="AX3331" s="20"/>
      <c r="AY3331" s="20"/>
      <c r="AZ3331" s="20"/>
      <c r="BA3331" s="20"/>
    </row>
    <row r="3332" spans="49:53" x14ac:dyDescent="0.35">
      <c r="AW3332" s="20"/>
      <c r="AX3332" s="20"/>
      <c r="AY3332" s="20"/>
      <c r="AZ3332" s="20"/>
      <c r="BA3332" s="20"/>
    </row>
    <row r="3333" spans="49:53" x14ac:dyDescent="0.35">
      <c r="AW3333" s="20"/>
      <c r="AX3333" s="20"/>
      <c r="AY3333" s="20"/>
      <c r="AZ3333" s="20"/>
      <c r="BA3333" s="20"/>
    </row>
    <row r="3334" spans="49:53" x14ac:dyDescent="0.35">
      <c r="AW3334" s="20"/>
      <c r="AX3334" s="20"/>
      <c r="AY3334" s="20"/>
      <c r="AZ3334" s="20"/>
      <c r="BA3334" s="20"/>
    </row>
    <row r="3335" spans="49:53" x14ac:dyDescent="0.35">
      <c r="AW3335" s="20"/>
      <c r="AX3335" s="20"/>
      <c r="AY3335" s="20"/>
      <c r="AZ3335" s="20"/>
      <c r="BA3335" s="20"/>
    </row>
    <row r="3336" spans="49:53" x14ac:dyDescent="0.35">
      <c r="AW3336" s="20"/>
      <c r="AX3336" s="20"/>
      <c r="AY3336" s="20"/>
      <c r="AZ3336" s="20"/>
      <c r="BA3336" s="20"/>
    </row>
    <row r="3337" spans="49:53" x14ac:dyDescent="0.35">
      <c r="AW3337" s="20"/>
      <c r="AX3337" s="20"/>
      <c r="AY3337" s="20"/>
      <c r="AZ3337" s="20"/>
      <c r="BA3337" s="20"/>
    </row>
    <row r="3338" spans="49:53" x14ac:dyDescent="0.35">
      <c r="AW3338" s="20"/>
      <c r="AX3338" s="20"/>
      <c r="AY3338" s="20"/>
      <c r="AZ3338" s="20"/>
      <c r="BA3338" s="20"/>
    </row>
    <row r="3339" spans="49:53" x14ac:dyDescent="0.35">
      <c r="AW3339" s="20"/>
      <c r="AX3339" s="20"/>
      <c r="AY3339" s="20"/>
      <c r="AZ3339" s="20"/>
      <c r="BA3339" s="20"/>
    </row>
    <row r="3340" spans="49:53" x14ac:dyDescent="0.35">
      <c r="AW3340" s="20"/>
      <c r="AX3340" s="20"/>
      <c r="AY3340" s="20"/>
      <c r="AZ3340" s="20"/>
      <c r="BA3340" s="20"/>
    </row>
    <row r="3341" spans="49:53" x14ac:dyDescent="0.35">
      <c r="AW3341" s="20"/>
      <c r="AX3341" s="20"/>
      <c r="AY3341" s="20"/>
      <c r="AZ3341" s="20"/>
      <c r="BA3341" s="20"/>
    </row>
    <row r="3342" spans="49:53" x14ac:dyDescent="0.35">
      <c r="AW3342" s="20"/>
      <c r="AX3342" s="20"/>
      <c r="AY3342" s="20"/>
      <c r="AZ3342" s="20"/>
      <c r="BA3342" s="20"/>
    </row>
    <row r="3343" spans="49:53" x14ac:dyDescent="0.35">
      <c r="AW3343" s="20"/>
      <c r="AX3343" s="20"/>
      <c r="AY3343" s="20"/>
      <c r="AZ3343" s="20"/>
      <c r="BA3343" s="20"/>
    </row>
    <row r="3344" spans="49:53" x14ac:dyDescent="0.35">
      <c r="AW3344" s="20"/>
      <c r="AX3344" s="20"/>
      <c r="AY3344" s="20"/>
      <c r="AZ3344" s="20"/>
      <c r="BA3344" s="20"/>
    </row>
    <row r="3345" spans="49:53" x14ac:dyDescent="0.35">
      <c r="AW3345" s="20"/>
      <c r="AX3345" s="20"/>
      <c r="AY3345" s="20"/>
      <c r="AZ3345" s="20"/>
      <c r="BA3345" s="20"/>
    </row>
    <row r="3346" spans="49:53" x14ac:dyDescent="0.35">
      <c r="AW3346" s="20"/>
      <c r="AX3346" s="20"/>
      <c r="AY3346" s="20"/>
      <c r="AZ3346" s="20"/>
      <c r="BA3346" s="20"/>
    </row>
    <row r="3347" spans="49:53" x14ac:dyDescent="0.35">
      <c r="AW3347" s="20"/>
      <c r="AX3347" s="20"/>
      <c r="AY3347" s="20"/>
      <c r="AZ3347" s="20"/>
      <c r="BA3347" s="20"/>
    </row>
    <row r="3348" spans="49:53" x14ac:dyDescent="0.35">
      <c r="AW3348" s="20"/>
      <c r="AX3348" s="20"/>
      <c r="AY3348" s="20"/>
      <c r="AZ3348" s="20"/>
      <c r="BA3348" s="20"/>
    </row>
    <row r="3349" spans="49:53" x14ac:dyDescent="0.35">
      <c r="AW3349" s="20"/>
      <c r="AX3349" s="20"/>
      <c r="AY3349" s="20"/>
      <c r="AZ3349" s="20"/>
      <c r="BA3349" s="20"/>
    </row>
    <row r="3350" spans="49:53" x14ac:dyDescent="0.35">
      <c r="AW3350" s="20"/>
      <c r="AX3350" s="20"/>
      <c r="AY3350" s="20"/>
      <c r="AZ3350" s="20"/>
      <c r="BA3350" s="20"/>
    </row>
    <row r="3351" spans="49:53" x14ac:dyDescent="0.35">
      <c r="AW3351" s="20"/>
      <c r="AX3351" s="20"/>
      <c r="AY3351" s="20"/>
      <c r="AZ3351" s="20"/>
      <c r="BA3351" s="20"/>
    </row>
    <row r="3352" spans="49:53" x14ac:dyDescent="0.35">
      <c r="AW3352" s="20"/>
      <c r="AX3352" s="20"/>
      <c r="AY3352" s="20"/>
      <c r="AZ3352" s="20"/>
      <c r="BA3352" s="20"/>
    </row>
    <row r="3353" spans="49:53" x14ac:dyDescent="0.35">
      <c r="AW3353" s="20"/>
      <c r="AX3353" s="20"/>
      <c r="AY3353" s="20"/>
      <c r="AZ3353" s="20"/>
      <c r="BA3353" s="20"/>
    </row>
    <row r="3354" spans="49:53" x14ac:dyDescent="0.35">
      <c r="AW3354" s="20"/>
      <c r="AX3354" s="20"/>
      <c r="AY3354" s="20"/>
      <c r="AZ3354" s="20"/>
      <c r="BA3354" s="20"/>
    </row>
    <row r="3355" spans="49:53" x14ac:dyDescent="0.35">
      <c r="AW3355" s="20"/>
      <c r="AX3355" s="20"/>
      <c r="AY3355" s="20"/>
      <c r="AZ3355" s="20"/>
      <c r="BA3355" s="20"/>
    </row>
    <row r="3356" spans="49:53" x14ac:dyDescent="0.35">
      <c r="AW3356" s="20"/>
      <c r="AX3356" s="20"/>
      <c r="AY3356" s="20"/>
      <c r="AZ3356" s="20"/>
      <c r="BA3356" s="20"/>
    </row>
    <row r="3357" spans="49:53" x14ac:dyDescent="0.35">
      <c r="AW3357" s="20"/>
      <c r="AX3357" s="20"/>
      <c r="AY3357" s="20"/>
      <c r="AZ3357" s="20"/>
      <c r="BA3357" s="20"/>
    </row>
    <row r="3358" spans="49:53" x14ac:dyDescent="0.35">
      <c r="AW3358" s="20"/>
      <c r="AX3358" s="20"/>
      <c r="AY3358" s="20"/>
      <c r="AZ3358" s="20"/>
      <c r="BA3358" s="20"/>
    </row>
    <row r="3359" spans="49:53" x14ac:dyDescent="0.35">
      <c r="AW3359" s="20"/>
      <c r="AX3359" s="20"/>
      <c r="AY3359" s="20"/>
      <c r="AZ3359" s="20"/>
      <c r="BA3359" s="20"/>
    </row>
    <row r="3360" spans="49:53" x14ac:dyDescent="0.35">
      <c r="AW3360" s="20"/>
      <c r="AX3360" s="20"/>
      <c r="AY3360" s="20"/>
      <c r="AZ3360" s="20"/>
      <c r="BA3360" s="20"/>
    </row>
    <row r="3361" spans="49:53" x14ac:dyDescent="0.35">
      <c r="AW3361" s="20"/>
      <c r="AX3361" s="20"/>
      <c r="AY3361" s="20"/>
      <c r="AZ3361" s="20"/>
      <c r="BA3361" s="20"/>
    </row>
    <row r="3362" spans="49:53" x14ac:dyDescent="0.35">
      <c r="AW3362" s="20"/>
      <c r="AX3362" s="20"/>
      <c r="AY3362" s="20"/>
      <c r="AZ3362" s="20"/>
      <c r="BA3362" s="20"/>
    </row>
    <row r="3363" spans="49:53" x14ac:dyDescent="0.35">
      <c r="AW3363" s="20"/>
      <c r="AX3363" s="20"/>
      <c r="AY3363" s="20"/>
      <c r="AZ3363" s="20"/>
      <c r="BA3363" s="20"/>
    </row>
    <row r="3364" spans="49:53" x14ac:dyDescent="0.35">
      <c r="AW3364" s="20"/>
      <c r="AX3364" s="20"/>
      <c r="AY3364" s="20"/>
      <c r="AZ3364" s="20"/>
      <c r="BA3364" s="20"/>
    </row>
    <row r="3365" spans="49:53" x14ac:dyDescent="0.35">
      <c r="AW3365" s="20"/>
      <c r="AX3365" s="20"/>
      <c r="AY3365" s="20"/>
      <c r="AZ3365" s="20"/>
      <c r="BA3365" s="20"/>
    </row>
    <row r="3366" spans="49:53" x14ac:dyDescent="0.35">
      <c r="AW3366" s="20"/>
      <c r="AX3366" s="20"/>
      <c r="AY3366" s="20"/>
      <c r="AZ3366" s="20"/>
      <c r="BA3366" s="20"/>
    </row>
    <row r="3367" spans="49:53" x14ac:dyDescent="0.35">
      <c r="AW3367" s="20"/>
      <c r="AX3367" s="20"/>
      <c r="AY3367" s="20"/>
      <c r="AZ3367" s="20"/>
      <c r="BA3367" s="20"/>
    </row>
    <row r="3368" spans="49:53" x14ac:dyDescent="0.35">
      <c r="AW3368" s="20"/>
      <c r="AX3368" s="20"/>
      <c r="AY3368" s="20"/>
      <c r="AZ3368" s="20"/>
      <c r="BA3368" s="20"/>
    </row>
    <row r="3369" spans="49:53" x14ac:dyDescent="0.35">
      <c r="AW3369" s="20"/>
      <c r="AX3369" s="20"/>
      <c r="AY3369" s="20"/>
      <c r="AZ3369" s="20"/>
      <c r="BA3369" s="20"/>
    </row>
    <row r="3370" spans="49:53" x14ac:dyDescent="0.35">
      <c r="AW3370" s="20"/>
      <c r="AX3370" s="20"/>
      <c r="AY3370" s="20"/>
      <c r="AZ3370" s="20"/>
      <c r="BA3370" s="20"/>
    </row>
    <row r="3371" spans="49:53" x14ac:dyDescent="0.35">
      <c r="AW3371" s="20"/>
      <c r="AX3371" s="20"/>
      <c r="AY3371" s="20"/>
      <c r="AZ3371" s="20"/>
      <c r="BA3371" s="20"/>
    </row>
    <row r="3372" spans="49:53" x14ac:dyDescent="0.35">
      <c r="AW3372" s="20"/>
      <c r="AX3372" s="20"/>
      <c r="AY3372" s="20"/>
      <c r="AZ3372" s="20"/>
      <c r="BA3372" s="20"/>
    </row>
    <row r="3373" spans="49:53" x14ac:dyDescent="0.35">
      <c r="AW3373" s="20"/>
      <c r="AX3373" s="20"/>
      <c r="AY3373" s="20"/>
      <c r="AZ3373" s="20"/>
      <c r="BA3373" s="20"/>
    </row>
    <row r="3374" spans="49:53" x14ac:dyDescent="0.35">
      <c r="AW3374" s="20"/>
      <c r="AX3374" s="20"/>
      <c r="AY3374" s="20"/>
      <c r="AZ3374" s="20"/>
      <c r="BA3374" s="20"/>
    </row>
    <row r="3375" spans="49:53" x14ac:dyDescent="0.35">
      <c r="AW3375" s="20"/>
      <c r="AX3375" s="20"/>
      <c r="AY3375" s="20"/>
      <c r="AZ3375" s="20"/>
      <c r="BA3375" s="20"/>
    </row>
    <row r="3376" spans="49:53" x14ac:dyDescent="0.35">
      <c r="AW3376" s="20"/>
      <c r="AX3376" s="20"/>
      <c r="AY3376" s="20"/>
      <c r="AZ3376" s="20"/>
      <c r="BA3376" s="20"/>
    </row>
    <row r="3377" spans="49:53" x14ac:dyDescent="0.35">
      <c r="AW3377" s="20"/>
      <c r="AX3377" s="20"/>
      <c r="AY3377" s="20"/>
      <c r="AZ3377" s="20"/>
      <c r="BA3377" s="20"/>
    </row>
    <row r="3378" spans="49:53" x14ac:dyDescent="0.35">
      <c r="AW3378" s="20"/>
      <c r="AX3378" s="20"/>
      <c r="AY3378" s="20"/>
      <c r="AZ3378" s="20"/>
      <c r="BA3378" s="20"/>
    </row>
    <row r="3379" spans="49:53" x14ac:dyDescent="0.35">
      <c r="AW3379" s="20"/>
      <c r="AX3379" s="20"/>
      <c r="AY3379" s="20"/>
      <c r="AZ3379" s="20"/>
      <c r="BA3379" s="20"/>
    </row>
    <row r="3380" spans="49:53" x14ac:dyDescent="0.35">
      <c r="AW3380" s="20"/>
      <c r="AX3380" s="20"/>
      <c r="AY3380" s="20"/>
      <c r="AZ3380" s="20"/>
      <c r="BA3380" s="20"/>
    </row>
    <row r="3381" spans="49:53" x14ac:dyDescent="0.35">
      <c r="AW3381" s="20"/>
      <c r="AX3381" s="20"/>
      <c r="AY3381" s="20"/>
      <c r="AZ3381" s="20"/>
      <c r="BA3381" s="20"/>
    </row>
    <row r="3382" spans="49:53" x14ac:dyDescent="0.35">
      <c r="AW3382" s="20"/>
      <c r="AX3382" s="20"/>
      <c r="AY3382" s="20"/>
      <c r="AZ3382" s="20"/>
      <c r="BA3382" s="20"/>
    </row>
    <row r="3383" spans="49:53" x14ac:dyDescent="0.35">
      <c r="AW3383" s="20"/>
      <c r="AX3383" s="20"/>
      <c r="AY3383" s="20"/>
      <c r="AZ3383" s="20"/>
      <c r="BA3383" s="20"/>
    </row>
    <row r="3384" spans="49:53" x14ac:dyDescent="0.35">
      <c r="AW3384" s="20"/>
      <c r="AX3384" s="20"/>
      <c r="AY3384" s="20"/>
      <c r="AZ3384" s="20"/>
      <c r="BA3384" s="20"/>
    </row>
    <row r="3385" spans="49:53" x14ac:dyDescent="0.35">
      <c r="AW3385" s="20"/>
      <c r="AX3385" s="20"/>
      <c r="AY3385" s="20"/>
      <c r="AZ3385" s="20"/>
      <c r="BA3385" s="20"/>
    </row>
    <row r="3386" spans="49:53" x14ac:dyDescent="0.35">
      <c r="AW3386" s="20"/>
      <c r="AX3386" s="20"/>
      <c r="AY3386" s="20"/>
      <c r="AZ3386" s="20"/>
      <c r="BA3386" s="20"/>
    </row>
    <row r="3387" spans="49:53" x14ac:dyDescent="0.35">
      <c r="AW3387" s="20"/>
      <c r="AX3387" s="20"/>
      <c r="AY3387" s="20"/>
      <c r="AZ3387" s="20"/>
      <c r="BA3387" s="20"/>
    </row>
    <row r="3388" spans="49:53" x14ac:dyDescent="0.35">
      <c r="AW3388" s="20"/>
      <c r="AX3388" s="20"/>
      <c r="AY3388" s="20"/>
      <c r="AZ3388" s="20"/>
      <c r="BA3388" s="20"/>
    </row>
    <row r="3389" spans="49:53" x14ac:dyDescent="0.35">
      <c r="AW3389" s="20"/>
      <c r="AX3389" s="20"/>
      <c r="AY3389" s="20"/>
      <c r="AZ3389" s="20"/>
      <c r="BA3389" s="20"/>
    </row>
    <row r="3390" spans="49:53" x14ac:dyDescent="0.35">
      <c r="AW3390" s="20"/>
      <c r="AX3390" s="20"/>
      <c r="AY3390" s="20"/>
      <c r="AZ3390" s="20"/>
      <c r="BA3390" s="20"/>
    </row>
    <row r="3391" spans="49:53" x14ac:dyDescent="0.35">
      <c r="AW3391" s="20"/>
      <c r="AX3391" s="20"/>
      <c r="AY3391" s="20"/>
      <c r="AZ3391" s="20"/>
      <c r="BA3391" s="20"/>
    </row>
    <row r="3392" spans="49:53" x14ac:dyDescent="0.35">
      <c r="AW3392" s="20"/>
      <c r="AX3392" s="20"/>
      <c r="AY3392" s="20"/>
      <c r="AZ3392" s="20"/>
      <c r="BA3392" s="20"/>
    </row>
    <row r="3393" spans="49:53" x14ac:dyDescent="0.35">
      <c r="AW3393" s="20"/>
      <c r="AX3393" s="20"/>
      <c r="AY3393" s="20"/>
      <c r="AZ3393" s="20"/>
      <c r="BA3393" s="20"/>
    </row>
    <row r="3394" spans="49:53" x14ac:dyDescent="0.35">
      <c r="AW3394" s="20"/>
      <c r="AX3394" s="20"/>
      <c r="AY3394" s="20"/>
      <c r="AZ3394" s="20"/>
      <c r="BA3394" s="20"/>
    </row>
    <row r="3395" spans="49:53" x14ac:dyDescent="0.35">
      <c r="AW3395" s="20"/>
      <c r="AX3395" s="20"/>
      <c r="AY3395" s="20"/>
      <c r="AZ3395" s="20"/>
      <c r="BA3395" s="20"/>
    </row>
    <row r="3396" spans="49:53" x14ac:dyDescent="0.35">
      <c r="AW3396" s="20"/>
      <c r="AX3396" s="20"/>
      <c r="AY3396" s="20"/>
      <c r="AZ3396" s="20"/>
      <c r="BA3396" s="20"/>
    </row>
    <row r="3397" spans="49:53" x14ac:dyDescent="0.35">
      <c r="AW3397" s="20"/>
      <c r="AX3397" s="20"/>
      <c r="AY3397" s="20"/>
      <c r="AZ3397" s="20"/>
      <c r="BA3397" s="20"/>
    </row>
    <row r="3398" spans="49:53" x14ac:dyDescent="0.35">
      <c r="AW3398" s="20"/>
      <c r="AX3398" s="20"/>
      <c r="AY3398" s="20"/>
      <c r="AZ3398" s="20"/>
      <c r="BA3398" s="20"/>
    </row>
    <row r="3399" spans="49:53" x14ac:dyDescent="0.35">
      <c r="AW3399" s="20"/>
      <c r="AX3399" s="20"/>
      <c r="AY3399" s="20"/>
      <c r="AZ3399" s="20"/>
      <c r="BA3399" s="20"/>
    </row>
    <row r="3400" spans="49:53" x14ac:dyDescent="0.35">
      <c r="AW3400" s="20"/>
      <c r="AX3400" s="20"/>
      <c r="AY3400" s="20"/>
      <c r="AZ3400" s="20"/>
      <c r="BA3400" s="20"/>
    </row>
    <row r="3401" spans="49:53" x14ac:dyDescent="0.35">
      <c r="AW3401" s="20"/>
      <c r="AX3401" s="20"/>
      <c r="AY3401" s="20"/>
      <c r="AZ3401" s="20"/>
      <c r="BA3401" s="20"/>
    </row>
    <row r="3402" spans="49:53" x14ac:dyDescent="0.35">
      <c r="AW3402" s="20"/>
      <c r="AX3402" s="20"/>
      <c r="AY3402" s="20"/>
      <c r="AZ3402" s="20"/>
      <c r="BA3402" s="20"/>
    </row>
    <row r="3403" spans="49:53" x14ac:dyDescent="0.35">
      <c r="AW3403" s="20"/>
      <c r="AX3403" s="20"/>
      <c r="AY3403" s="20"/>
      <c r="AZ3403" s="20"/>
      <c r="BA3403" s="20"/>
    </row>
    <row r="3404" spans="49:53" x14ac:dyDescent="0.35">
      <c r="AW3404" s="20"/>
      <c r="AX3404" s="20"/>
      <c r="AY3404" s="20"/>
      <c r="AZ3404" s="20"/>
      <c r="BA3404" s="20"/>
    </row>
    <row r="3405" spans="49:53" x14ac:dyDescent="0.35">
      <c r="AW3405" s="20"/>
      <c r="AX3405" s="20"/>
      <c r="AY3405" s="20"/>
      <c r="AZ3405" s="20"/>
      <c r="BA3405" s="20"/>
    </row>
    <row r="3406" spans="49:53" x14ac:dyDescent="0.35">
      <c r="AW3406" s="20"/>
      <c r="AX3406" s="20"/>
      <c r="AY3406" s="20"/>
      <c r="AZ3406" s="20"/>
      <c r="BA3406" s="20"/>
    </row>
    <row r="3407" spans="49:53" x14ac:dyDescent="0.35">
      <c r="AW3407" s="20"/>
      <c r="AX3407" s="20"/>
      <c r="AY3407" s="20"/>
      <c r="AZ3407" s="20"/>
      <c r="BA3407" s="20"/>
    </row>
    <row r="3408" spans="49:53" x14ac:dyDescent="0.35">
      <c r="AW3408" s="20"/>
      <c r="AX3408" s="20"/>
      <c r="AY3408" s="20"/>
      <c r="AZ3408" s="20"/>
      <c r="BA3408" s="20"/>
    </row>
    <row r="3409" spans="49:53" x14ac:dyDescent="0.35">
      <c r="AW3409" s="20"/>
      <c r="AX3409" s="20"/>
      <c r="AY3409" s="20"/>
      <c r="AZ3409" s="20"/>
      <c r="BA3409" s="20"/>
    </row>
    <row r="3410" spans="49:53" x14ac:dyDescent="0.35">
      <c r="AW3410" s="20"/>
      <c r="AX3410" s="20"/>
      <c r="AY3410" s="20"/>
      <c r="AZ3410" s="20"/>
      <c r="BA3410" s="20"/>
    </row>
    <row r="3411" spans="49:53" x14ac:dyDescent="0.35">
      <c r="AW3411" s="20"/>
      <c r="AX3411" s="20"/>
      <c r="AY3411" s="20"/>
      <c r="AZ3411" s="20"/>
      <c r="BA3411" s="20"/>
    </row>
    <row r="3412" spans="49:53" x14ac:dyDescent="0.35">
      <c r="AW3412" s="20"/>
      <c r="AX3412" s="20"/>
      <c r="AY3412" s="20"/>
      <c r="AZ3412" s="20"/>
      <c r="BA3412" s="20"/>
    </row>
    <row r="3413" spans="49:53" x14ac:dyDescent="0.35">
      <c r="AW3413" s="20"/>
      <c r="AX3413" s="20"/>
      <c r="AY3413" s="20"/>
      <c r="AZ3413" s="20"/>
      <c r="BA3413" s="20"/>
    </row>
    <row r="3414" spans="49:53" x14ac:dyDescent="0.35">
      <c r="AW3414" s="20"/>
      <c r="AX3414" s="20"/>
      <c r="AY3414" s="20"/>
      <c r="AZ3414" s="20"/>
      <c r="BA3414" s="20"/>
    </row>
    <row r="3415" spans="49:53" x14ac:dyDescent="0.35">
      <c r="AW3415" s="20"/>
      <c r="AX3415" s="20"/>
      <c r="AY3415" s="20"/>
      <c r="AZ3415" s="20"/>
      <c r="BA3415" s="20"/>
    </row>
    <row r="3416" spans="49:53" x14ac:dyDescent="0.35">
      <c r="AW3416" s="20"/>
      <c r="AX3416" s="20"/>
      <c r="AY3416" s="20"/>
      <c r="AZ3416" s="20"/>
      <c r="BA3416" s="20"/>
    </row>
    <row r="3417" spans="49:53" x14ac:dyDescent="0.35">
      <c r="AW3417" s="20"/>
      <c r="AX3417" s="20"/>
      <c r="AY3417" s="20"/>
      <c r="AZ3417" s="20"/>
      <c r="BA3417" s="20"/>
    </row>
    <row r="3418" spans="49:53" x14ac:dyDescent="0.35">
      <c r="AW3418" s="20"/>
      <c r="AX3418" s="20"/>
      <c r="AY3418" s="20"/>
      <c r="AZ3418" s="20"/>
      <c r="BA3418" s="20"/>
    </row>
    <row r="3419" spans="49:53" x14ac:dyDescent="0.35">
      <c r="AW3419" s="20"/>
      <c r="AX3419" s="20"/>
      <c r="AY3419" s="20"/>
      <c r="AZ3419" s="20"/>
      <c r="BA3419" s="20"/>
    </row>
    <row r="3420" spans="49:53" x14ac:dyDescent="0.35">
      <c r="AW3420" s="20"/>
      <c r="AX3420" s="20"/>
      <c r="AY3420" s="20"/>
      <c r="AZ3420" s="20"/>
      <c r="BA3420" s="20"/>
    </row>
    <row r="3421" spans="49:53" x14ac:dyDescent="0.35">
      <c r="AW3421" s="20"/>
      <c r="AX3421" s="20"/>
      <c r="AY3421" s="20"/>
      <c r="AZ3421" s="20"/>
      <c r="BA3421" s="20"/>
    </row>
    <row r="3422" spans="49:53" x14ac:dyDescent="0.35">
      <c r="AW3422" s="20"/>
      <c r="AX3422" s="20"/>
      <c r="AY3422" s="20"/>
      <c r="AZ3422" s="20"/>
      <c r="BA3422" s="20"/>
    </row>
    <row r="3423" spans="49:53" x14ac:dyDescent="0.35">
      <c r="AW3423" s="20"/>
      <c r="AX3423" s="20"/>
      <c r="AY3423" s="20"/>
      <c r="AZ3423" s="20"/>
      <c r="BA3423" s="20"/>
    </row>
    <row r="3424" spans="49:53" x14ac:dyDescent="0.35">
      <c r="AW3424" s="20"/>
      <c r="AX3424" s="20"/>
      <c r="AY3424" s="20"/>
      <c r="AZ3424" s="20"/>
      <c r="BA3424" s="20"/>
    </row>
    <row r="3425" spans="49:53" x14ac:dyDescent="0.35">
      <c r="AW3425" s="20"/>
      <c r="AX3425" s="20"/>
      <c r="AY3425" s="20"/>
      <c r="AZ3425" s="20"/>
      <c r="BA3425" s="20"/>
    </row>
    <row r="3426" spans="49:53" x14ac:dyDescent="0.35">
      <c r="AW3426" s="20"/>
      <c r="AX3426" s="20"/>
      <c r="AY3426" s="20"/>
      <c r="AZ3426" s="20"/>
      <c r="BA3426" s="20"/>
    </row>
    <row r="3427" spans="49:53" x14ac:dyDescent="0.35">
      <c r="AW3427" s="20"/>
      <c r="AX3427" s="20"/>
      <c r="AY3427" s="20"/>
      <c r="AZ3427" s="20"/>
      <c r="BA3427" s="20"/>
    </row>
    <row r="3428" spans="49:53" x14ac:dyDescent="0.35">
      <c r="AW3428" s="20"/>
      <c r="AX3428" s="20"/>
      <c r="AY3428" s="20"/>
      <c r="AZ3428" s="20"/>
      <c r="BA3428" s="20"/>
    </row>
    <row r="3429" spans="49:53" x14ac:dyDescent="0.35">
      <c r="AW3429" s="20"/>
      <c r="AX3429" s="20"/>
      <c r="AY3429" s="20"/>
      <c r="AZ3429" s="20"/>
      <c r="BA3429" s="20"/>
    </row>
    <row r="3430" spans="49:53" x14ac:dyDescent="0.35">
      <c r="AW3430" s="20"/>
      <c r="AX3430" s="20"/>
      <c r="AY3430" s="20"/>
      <c r="AZ3430" s="20"/>
      <c r="BA3430" s="20"/>
    </row>
    <row r="3431" spans="49:53" x14ac:dyDescent="0.35">
      <c r="AW3431" s="20"/>
      <c r="AX3431" s="20"/>
      <c r="AY3431" s="20"/>
      <c r="AZ3431" s="20"/>
      <c r="BA3431" s="20"/>
    </row>
    <row r="3432" spans="49:53" x14ac:dyDescent="0.35">
      <c r="AW3432" s="20"/>
      <c r="AX3432" s="20"/>
      <c r="AY3432" s="20"/>
      <c r="AZ3432" s="20"/>
      <c r="BA3432" s="20"/>
    </row>
    <row r="3433" spans="49:53" x14ac:dyDescent="0.35">
      <c r="AW3433" s="20"/>
      <c r="AX3433" s="20"/>
      <c r="AY3433" s="20"/>
      <c r="AZ3433" s="20"/>
      <c r="BA3433" s="20"/>
    </row>
    <row r="3434" spans="49:53" x14ac:dyDescent="0.35">
      <c r="AW3434" s="20"/>
      <c r="AX3434" s="20"/>
      <c r="AY3434" s="20"/>
      <c r="AZ3434" s="20"/>
      <c r="BA3434" s="20"/>
    </row>
    <row r="3435" spans="49:53" x14ac:dyDescent="0.35">
      <c r="AW3435" s="20"/>
      <c r="AX3435" s="20"/>
      <c r="AY3435" s="20"/>
      <c r="AZ3435" s="20"/>
      <c r="BA3435" s="20"/>
    </row>
    <row r="3436" spans="49:53" x14ac:dyDescent="0.35">
      <c r="AW3436" s="20"/>
      <c r="AX3436" s="20"/>
      <c r="AY3436" s="20"/>
      <c r="AZ3436" s="20"/>
      <c r="BA3436" s="20"/>
    </row>
    <row r="3437" spans="49:53" x14ac:dyDescent="0.35">
      <c r="AW3437" s="20"/>
      <c r="AX3437" s="20"/>
      <c r="AY3437" s="20"/>
      <c r="AZ3437" s="20"/>
      <c r="BA3437" s="20"/>
    </row>
    <row r="3438" spans="49:53" x14ac:dyDescent="0.35">
      <c r="AW3438" s="20"/>
      <c r="AX3438" s="20"/>
      <c r="AY3438" s="20"/>
      <c r="AZ3438" s="20"/>
      <c r="BA3438" s="20"/>
    </row>
    <row r="3439" spans="49:53" x14ac:dyDescent="0.35">
      <c r="AW3439" s="20"/>
      <c r="AX3439" s="20"/>
      <c r="AY3439" s="20"/>
      <c r="AZ3439" s="20"/>
      <c r="BA3439" s="20"/>
    </row>
    <row r="3440" spans="49:53" x14ac:dyDescent="0.35">
      <c r="AW3440" s="20"/>
      <c r="AX3440" s="20"/>
      <c r="AY3440" s="20"/>
      <c r="AZ3440" s="20"/>
      <c r="BA3440" s="20"/>
    </row>
    <row r="3441" spans="49:53" x14ac:dyDescent="0.35">
      <c r="AW3441" s="20"/>
      <c r="AX3441" s="20"/>
      <c r="AY3441" s="20"/>
      <c r="AZ3441" s="20"/>
      <c r="BA3441" s="20"/>
    </row>
    <row r="3442" spans="49:53" x14ac:dyDescent="0.35">
      <c r="AW3442" s="20"/>
      <c r="AX3442" s="20"/>
      <c r="AY3442" s="20"/>
      <c r="AZ3442" s="20"/>
      <c r="BA3442" s="20"/>
    </row>
    <row r="3443" spans="49:53" x14ac:dyDescent="0.35">
      <c r="AW3443" s="20"/>
      <c r="AX3443" s="20"/>
      <c r="AY3443" s="20"/>
      <c r="AZ3443" s="20"/>
      <c r="BA3443" s="20"/>
    </row>
    <row r="3444" spans="49:53" x14ac:dyDescent="0.35">
      <c r="AW3444" s="20"/>
      <c r="AX3444" s="20"/>
      <c r="AY3444" s="20"/>
      <c r="AZ3444" s="20"/>
      <c r="BA3444" s="20"/>
    </row>
    <row r="3445" spans="49:53" x14ac:dyDescent="0.35">
      <c r="AW3445" s="20"/>
      <c r="AX3445" s="20"/>
      <c r="AY3445" s="20"/>
      <c r="AZ3445" s="20"/>
      <c r="BA3445" s="20"/>
    </row>
    <row r="3446" spans="49:53" x14ac:dyDescent="0.35">
      <c r="AW3446" s="20"/>
      <c r="AX3446" s="20"/>
      <c r="AY3446" s="20"/>
      <c r="AZ3446" s="20"/>
      <c r="BA3446" s="20"/>
    </row>
    <row r="3447" spans="49:53" x14ac:dyDescent="0.35">
      <c r="AW3447" s="20"/>
      <c r="AX3447" s="20"/>
      <c r="AY3447" s="20"/>
      <c r="AZ3447" s="20"/>
      <c r="BA3447" s="20"/>
    </row>
    <row r="3448" spans="49:53" x14ac:dyDescent="0.35">
      <c r="AW3448" s="20"/>
      <c r="AX3448" s="20"/>
      <c r="AY3448" s="20"/>
      <c r="AZ3448" s="20"/>
      <c r="BA3448" s="20"/>
    </row>
    <row r="3449" spans="49:53" x14ac:dyDescent="0.35">
      <c r="AW3449" s="20"/>
      <c r="AX3449" s="20"/>
      <c r="AY3449" s="20"/>
      <c r="AZ3449" s="20"/>
      <c r="BA3449" s="20"/>
    </row>
    <row r="3450" spans="49:53" x14ac:dyDescent="0.35">
      <c r="AW3450" s="20"/>
      <c r="AX3450" s="20"/>
      <c r="AY3450" s="20"/>
      <c r="AZ3450" s="20"/>
      <c r="BA3450" s="20"/>
    </row>
    <row r="3451" spans="49:53" x14ac:dyDescent="0.35">
      <c r="AW3451" s="20"/>
      <c r="AX3451" s="20"/>
      <c r="AY3451" s="20"/>
      <c r="AZ3451" s="20"/>
      <c r="BA3451" s="20"/>
    </row>
    <row r="3452" spans="49:53" x14ac:dyDescent="0.35">
      <c r="AW3452" s="20"/>
      <c r="AX3452" s="20"/>
      <c r="AY3452" s="20"/>
      <c r="AZ3452" s="20"/>
      <c r="BA3452" s="20"/>
    </row>
    <row r="3453" spans="49:53" x14ac:dyDescent="0.35">
      <c r="AW3453" s="20"/>
      <c r="AX3453" s="20"/>
      <c r="AY3453" s="20"/>
      <c r="AZ3453" s="20"/>
      <c r="BA3453" s="20"/>
    </row>
    <row r="3454" spans="49:53" x14ac:dyDescent="0.35">
      <c r="AW3454" s="20"/>
      <c r="AX3454" s="20"/>
      <c r="AY3454" s="20"/>
      <c r="AZ3454" s="20"/>
      <c r="BA3454" s="20"/>
    </row>
    <row r="3455" spans="49:53" x14ac:dyDescent="0.35">
      <c r="AW3455" s="20"/>
      <c r="AX3455" s="20"/>
      <c r="AY3455" s="20"/>
      <c r="AZ3455" s="20"/>
      <c r="BA3455" s="20"/>
    </row>
    <row r="3456" spans="49:53" x14ac:dyDescent="0.35">
      <c r="AW3456" s="20"/>
      <c r="AX3456" s="20"/>
      <c r="AY3456" s="20"/>
      <c r="AZ3456" s="20"/>
      <c r="BA3456" s="20"/>
    </row>
    <row r="3457" spans="49:53" x14ac:dyDescent="0.35">
      <c r="AW3457" s="20"/>
      <c r="AX3457" s="20"/>
      <c r="AY3457" s="20"/>
      <c r="AZ3457" s="20"/>
      <c r="BA3457" s="20"/>
    </row>
    <row r="3458" spans="49:53" x14ac:dyDescent="0.35">
      <c r="AW3458" s="20"/>
      <c r="AX3458" s="20"/>
      <c r="AY3458" s="20"/>
      <c r="AZ3458" s="20"/>
      <c r="BA3458" s="20"/>
    </row>
    <row r="3459" spans="49:53" x14ac:dyDescent="0.35">
      <c r="AW3459" s="20"/>
      <c r="AX3459" s="20"/>
      <c r="AY3459" s="20"/>
      <c r="AZ3459" s="20"/>
      <c r="BA3459" s="20"/>
    </row>
    <row r="3460" spans="49:53" x14ac:dyDescent="0.35">
      <c r="AW3460" s="20"/>
      <c r="AX3460" s="20"/>
      <c r="AY3460" s="20"/>
      <c r="AZ3460" s="20"/>
      <c r="BA3460" s="20"/>
    </row>
    <row r="3461" spans="49:53" x14ac:dyDescent="0.35">
      <c r="AW3461" s="20"/>
      <c r="AX3461" s="20"/>
      <c r="AY3461" s="20"/>
      <c r="AZ3461" s="20"/>
      <c r="BA3461" s="20"/>
    </row>
    <row r="3462" spans="49:53" x14ac:dyDescent="0.35">
      <c r="AW3462" s="20"/>
      <c r="AX3462" s="20"/>
      <c r="AY3462" s="20"/>
      <c r="AZ3462" s="20"/>
      <c r="BA3462" s="20"/>
    </row>
    <row r="3463" spans="49:53" x14ac:dyDescent="0.35">
      <c r="AW3463" s="20"/>
      <c r="AX3463" s="20"/>
      <c r="AY3463" s="20"/>
      <c r="AZ3463" s="20"/>
      <c r="BA3463" s="20"/>
    </row>
    <row r="3464" spans="49:53" x14ac:dyDescent="0.35">
      <c r="AW3464" s="20"/>
      <c r="AX3464" s="20"/>
      <c r="AY3464" s="20"/>
      <c r="AZ3464" s="20"/>
      <c r="BA3464" s="20"/>
    </row>
    <row r="3465" spans="49:53" x14ac:dyDescent="0.35">
      <c r="AW3465" s="20"/>
      <c r="AX3465" s="20"/>
      <c r="AY3465" s="20"/>
      <c r="AZ3465" s="20"/>
      <c r="BA3465" s="20"/>
    </row>
    <row r="3466" spans="49:53" x14ac:dyDescent="0.35">
      <c r="AW3466" s="20"/>
      <c r="AX3466" s="20"/>
      <c r="AY3466" s="20"/>
      <c r="AZ3466" s="20"/>
      <c r="BA3466" s="20"/>
    </row>
    <row r="3467" spans="49:53" x14ac:dyDescent="0.35">
      <c r="AW3467" s="20"/>
      <c r="AX3467" s="20"/>
      <c r="AY3467" s="20"/>
      <c r="AZ3467" s="20"/>
      <c r="BA3467" s="20"/>
    </row>
    <row r="3468" spans="49:53" x14ac:dyDescent="0.35">
      <c r="AW3468" s="20"/>
      <c r="AX3468" s="20"/>
      <c r="AY3468" s="20"/>
      <c r="AZ3468" s="20"/>
      <c r="BA3468" s="20"/>
    </row>
    <row r="3469" spans="49:53" x14ac:dyDescent="0.35">
      <c r="AW3469" s="20"/>
      <c r="AX3469" s="20"/>
      <c r="AY3469" s="20"/>
      <c r="AZ3469" s="20"/>
      <c r="BA3469" s="20"/>
    </row>
    <row r="3470" spans="49:53" x14ac:dyDescent="0.35">
      <c r="AW3470" s="20"/>
      <c r="AX3470" s="20"/>
      <c r="AY3470" s="20"/>
      <c r="AZ3470" s="20"/>
      <c r="BA3470" s="20"/>
    </row>
    <row r="3471" spans="49:53" x14ac:dyDescent="0.35">
      <c r="AW3471" s="20"/>
      <c r="AX3471" s="20"/>
      <c r="AY3471" s="20"/>
      <c r="AZ3471" s="20"/>
      <c r="BA3471" s="20"/>
    </row>
    <row r="3472" spans="49:53" x14ac:dyDescent="0.35">
      <c r="AW3472" s="20"/>
      <c r="AX3472" s="20"/>
      <c r="AY3472" s="20"/>
      <c r="AZ3472" s="20"/>
      <c r="BA3472" s="20"/>
    </row>
    <row r="3473" spans="49:53" x14ac:dyDescent="0.35">
      <c r="AW3473" s="20"/>
      <c r="AX3473" s="20"/>
      <c r="AY3473" s="20"/>
      <c r="AZ3473" s="20"/>
      <c r="BA3473" s="20"/>
    </row>
    <row r="3474" spans="49:53" x14ac:dyDescent="0.35">
      <c r="AW3474" s="20"/>
      <c r="AX3474" s="20"/>
      <c r="AY3474" s="20"/>
      <c r="AZ3474" s="20"/>
      <c r="BA3474" s="20"/>
    </row>
    <row r="3475" spans="49:53" x14ac:dyDescent="0.35">
      <c r="AW3475" s="20"/>
      <c r="AX3475" s="20"/>
      <c r="AY3475" s="20"/>
      <c r="AZ3475" s="20"/>
      <c r="BA3475" s="20"/>
    </row>
    <row r="3476" spans="49:53" x14ac:dyDescent="0.35">
      <c r="AW3476" s="20"/>
      <c r="AX3476" s="20"/>
      <c r="AY3476" s="20"/>
      <c r="AZ3476" s="20"/>
      <c r="BA3476" s="20"/>
    </row>
    <row r="3477" spans="49:53" x14ac:dyDescent="0.35">
      <c r="AW3477" s="20"/>
      <c r="AX3477" s="20"/>
      <c r="AY3477" s="20"/>
      <c r="AZ3477" s="20"/>
      <c r="BA3477" s="20"/>
    </row>
    <row r="3478" spans="49:53" x14ac:dyDescent="0.35">
      <c r="AW3478" s="20"/>
      <c r="AX3478" s="20"/>
      <c r="AY3478" s="20"/>
      <c r="AZ3478" s="20"/>
      <c r="BA3478" s="20"/>
    </row>
    <row r="3479" spans="49:53" x14ac:dyDescent="0.35">
      <c r="AW3479" s="20"/>
      <c r="AX3479" s="20"/>
      <c r="AY3479" s="20"/>
      <c r="AZ3479" s="20"/>
      <c r="BA3479" s="20"/>
    </row>
    <row r="3480" spans="49:53" x14ac:dyDescent="0.35">
      <c r="AW3480" s="20"/>
      <c r="AX3480" s="20"/>
      <c r="AY3480" s="20"/>
      <c r="AZ3480" s="20"/>
      <c r="BA3480" s="20"/>
    </row>
    <row r="3481" spans="49:53" x14ac:dyDescent="0.35">
      <c r="AW3481" s="20"/>
      <c r="AX3481" s="20"/>
      <c r="AY3481" s="20"/>
      <c r="AZ3481" s="20"/>
      <c r="BA3481" s="20"/>
    </row>
    <row r="3482" spans="49:53" x14ac:dyDescent="0.35">
      <c r="AW3482" s="20"/>
      <c r="AX3482" s="20"/>
      <c r="AY3482" s="20"/>
      <c r="AZ3482" s="20"/>
      <c r="BA3482" s="20"/>
    </row>
    <row r="3483" spans="49:53" x14ac:dyDescent="0.35">
      <c r="AW3483" s="20"/>
      <c r="AX3483" s="20"/>
      <c r="AY3483" s="20"/>
      <c r="AZ3483" s="20"/>
      <c r="BA3483" s="20"/>
    </row>
    <row r="3484" spans="49:53" x14ac:dyDescent="0.35">
      <c r="AW3484" s="20"/>
      <c r="AX3484" s="20"/>
      <c r="AY3484" s="20"/>
      <c r="AZ3484" s="20"/>
      <c r="BA3484" s="20"/>
    </row>
    <row r="3485" spans="49:53" x14ac:dyDescent="0.35">
      <c r="AW3485" s="20"/>
      <c r="AX3485" s="20"/>
      <c r="AY3485" s="20"/>
      <c r="AZ3485" s="20"/>
      <c r="BA3485" s="20"/>
    </row>
    <row r="3486" spans="49:53" x14ac:dyDescent="0.35">
      <c r="AW3486" s="20"/>
      <c r="AX3486" s="20"/>
      <c r="AY3486" s="20"/>
      <c r="AZ3486" s="20"/>
      <c r="BA3486" s="20"/>
    </row>
    <row r="3487" spans="49:53" x14ac:dyDescent="0.35">
      <c r="AW3487" s="20"/>
      <c r="AX3487" s="20"/>
      <c r="AY3487" s="20"/>
      <c r="AZ3487" s="20"/>
      <c r="BA3487" s="20"/>
    </row>
    <row r="3488" spans="49:53" x14ac:dyDescent="0.35">
      <c r="AW3488" s="20"/>
      <c r="AX3488" s="20"/>
      <c r="AY3488" s="20"/>
      <c r="AZ3488" s="20"/>
      <c r="BA3488" s="20"/>
    </row>
    <row r="3489" spans="49:53" x14ac:dyDescent="0.35">
      <c r="AW3489" s="20"/>
      <c r="AX3489" s="20"/>
      <c r="AY3489" s="20"/>
      <c r="AZ3489" s="20"/>
      <c r="BA3489" s="20"/>
    </row>
    <row r="3490" spans="49:53" x14ac:dyDescent="0.35">
      <c r="AW3490" s="20"/>
      <c r="AX3490" s="20"/>
      <c r="AY3490" s="20"/>
      <c r="AZ3490" s="20"/>
      <c r="BA3490" s="20"/>
    </row>
    <row r="3491" spans="49:53" x14ac:dyDescent="0.35">
      <c r="AW3491" s="20"/>
      <c r="AX3491" s="20"/>
      <c r="AY3491" s="20"/>
      <c r="AZ3491" s="20"/>
      <c r="BA3491" s="20"/>
    </row>
    <row r="3492" spans="49:53" x14ac:dyDescent="0.35">
      <c r="AW3492" s="20"/>
      <c r="AX3492" s="20"/>
      <c r="AY3492" s="20"/>
      <c r="AZ3492" s="20"/>
      <c r="BA3492" s="20"/>
    </row>
    <row r="3493" spans="49:53" x14ac:dyDescent="0.35">
      <c r="AW3493" s="20"/>
      <c r="AX3493" s="20"/>
      <c r="AY3493" s="20"/>
      <c r="AZ3493" s="20"/>
      <c r="BA3493" s="20"/>
    </row>
    <row r="3494" spans="49:53" x14ac:dyDescent="0.35">
      <c r="AW3494" s="20"/>
      <c r="AX3494" s="20"/>
      <c r="AY3494" s="20"/>
      <c r="AZ3494" s="20"/>
      <c r="BA3494" s="20"/>
    </row>
    <row r="3495" spans="49:53" x14ac:dyDescent="0.35">
      <c r="AW3495" s="20"/>
      <c r="AX3495" s="20"/>
      <c r="AY3495" s="20"/>
      <c r="AZ3495" s="20"/>
      <c r="BA3495" s="20"/>
    </row>
    <row r="3496" spans="49:53" x14ac:dyDescent="0.35">
      <c r="AW3496" s="20"/>
      <c r="AX3496" s="20"/>
      <c r="AY3496" s="20"/>
      <c r="AZ3496" s="20"/>
      <c r="BA3496" s="20"/>
    </row>
    <row r="3497" spans="49:53" x14ac:dyDescent="0.35">
      <c r="AW3497" s="20"/>
      <c r="AX3497" s="20"/>
      <c r="AY3497" s="20"/>
      <c r="AZ3497" s="20"/>
      <c r="BA3497" s="20"/>
    </row>
    <row r="3498" spans="49:53" x14ac:dyDescent="0.35">
      <c r="AW3498" s="20"/>
      <c r="AX3498" s="20"/>
      <c r="AY3498" s="20"/>
      <c r="AZ3498" s="20"/>
      <c r="BA3498" s="20"/>
    </row>
    <row r="3499" spans="49:53" x14ac:dyDescent="0.35">
      <c r="AW3499" s="20"/>
      <c r="AX3499" s="20"/>
      <c r="AY3499" s="20"/>
      <c r="AZ3499" s="20"/>
      <c r="BA3499" s="20"/>
    </row>
    <row r="3500" spans="49:53" x14ac:dyDescent="0.35">
      <c r="AW3500" s="20"/>
      <c r="AX3500" s="20"/>
      <c r="AY3500" s="20"/>
      <c r="AZ3500" s="20"/>
      <c r="BA3500" s="20"/>
    </row>
    <row r="3501" spans="49:53" x14ac:dyDescent="0.35">
      <c r="AW3501" s="20"/>
      <c r="AX3501" s="20"/>
      <c r="AY3501" s="20"/>
      <c r="AZ3501" s="20"/>
      <c r="BA3501" s="20"/>
    </row>
    <row r="3502" spans="49:53" x14ac:dyDescent="0.35">
      <c r="AW3502" s="20"/>
      <c r="AX3502" s="20"/>
      <c r="AY3502" s="20"/>
      <c r="AZ3502" s="20"/>
      <c r="BA3502" s="20"/>
    </row>
    <row r="3503" spans="49:53" x14ac:dyDescent="0.35">
      <c r="AW3503" s="20"/>
      <c r="AX3503" s="20"/>
      <c r="AY3503" s="20"/>
      <c r="AZ3503" s="20"/>
      <c r="BA3503" s="20"/>
    </row>
    <row r="3504" spans="49:53" x14ac:dyDescent="0.35">
      <c r="AW3504" s="20"/>
      <c r="AX3504" s="20"/>
      <c r="AY3504" s="20"/>
      <c r="AZ3504" s="20"/>
      <c r="BA3504" s="20"/>
    </row>
    <row r="3505" spans="49:53" x14ac:dyDescent="0.35">
      <c r="AW3505" s="20"/>
      <c r="AX3505" s="20"/>
      <c r="AY3505" s="20"/>
      <c r="AZ3505" s="20"/>
      <c r="BA3505" s="20"/>
    </row>
    <row r="3506" spans="49:53" x14ac:dyDescent="0.35">
      <c r="AW3506" s="20"/>
      <c r="AX3506" s="20"/>
      <c r="AY3506" s="20"/>
      <c r="AZ3506" s="20"/>
      <c r="BA3506" s="20"/>
    </row>
    <row r="3507" spans="49:53" x14ac:dyDescent="0.35">
      <c r="AW3507" s="20"/>
      <c r="AX3507" s="20"/>
      <c r="AY3507" s="20"/>
      <c r="AZ3507" s="20"/>
      <c r="BA3507" s="20"/>
    </row>
    <row r="3508" spans="49:53" x14ac:dyDescent="0.35">
      <c r="AW3508" s="20"/>
      <c r="AX3508" s="20"/>
      <c r="AY3508" s="20"/>
      <c r="AZ3508" s="20"/>
      <c r="BA3508" s="20"/>
    </row>
    <row r="3509" spans="49:53" x14ac:dyDescent="0.35">
      <c r="AW3509" s="20"/>
      <c r="AX3509" s="20"/>
      <c r="AY3509" s="20"/>
      <c r="AZ3509" s="20"/>
      <c r="BA3509" s="20"/>
    </row>
    <row r="3510" spans="49:53" x14ac:dyDescent="0.35">
      <c r="AW3510" s="20"/>
      <c r="AX3510" s="20"/>
      <c r="AY3510" s="20"/>
      <c r="AZ3510" s="20"/>
      <c r="BA3510" s="20"/>
    </row>
    <row r="3511" spans="49:53" x14ac:dyDescent="0.35">
      <c r="AW3511" s="20"/>
      <c r="AX3511" s="20"/>
      <c r="AY3511" s="20"/>
      <c r="AZ3511" s="20"/>
      <c r="BA3511" s="20"/>
    </row>
    <row r="3512" spans="49:53" x14ac:dyDescent="0.35">
      <c r="AW3512" s="20"/>
      <c r="AX3512" s="20"/>
      <c r="AY3512" s="20"/>
      <c r="AZ3512" s="20"/>
      <c r="BA3512" s="20"/>
    </row>
    <row r="3513" spans="49:53" x14ac:dyDescent="0.35">
      <c r="AW3513" s="20"/>
      <c r="AX3513" s="20"/>
      <c r="AY3513" s="20"/>
      <c r="AZ3513" s="20"/>
      <c r="BA3513" s="20"/>
    </row>
    <row r="3514" spans="49:53" x14ac:dyDescent="0.35">
      <c r="AW3514" s="20"/>
      <c r="AX3514" s="20"/>
      <c r="AY3514" s="20"/>
      <c r="AZ3514" s="20"/>
      <c r="BA3514" s="20"/>
    </row>
    <row r="3515" spans="49:53" x14ac:dyDescent="0.35">
      <c r="AW3515" s="20"/>
      <c r="AX3515" s="20"/>
      <c r="AY3515" s="20"/>
      <c r="AZ3515" s="20"/>
      <c r="BA3515" s="20"/>
    </row>
    <row r="3516" spans="49:53" x14ac:dyDescent="0.35">
      <c r="AW3516" s="20"/>
      <c r="AX3516" s="20"/>
      <c r="AY3516" s="20"/>
      <c r="AZ3516" s="20"/>
      <c r="BA3516" s="20"/>
    </row>
    <row r="3517" spans="49:53" x14ac:dyDescent="0.35">
      <c r="AW3517" s="20"/>
      <c r="AX3517" s="20"/>
      <c r="AY3517" s="20"/>
      <c r="AZ3517" s="20"/>
      <c r="BA3517" s="20"/>
    </row>
    <row r="3518" spans="49:53" x14ac:dyDescent="0.35">
      <c r="AW3518" s="20"/>
      <c r="AX3518" s="20"/>
      <c r="AY3518" s="20"/>
      <c r="AZ3518" s="20"/>
      <c r="BA3518" s="20"/>
    </row>
    <row r="3519" spans="49:53" x14ac:dyDescent="0.35">
      <c r="AW3519" s="20"/>
      <c r="AX3519" s="20"/>
      <c r="AY3519" s="20"/>
      <c r="AZ3519" s="20"/>
      <c r="BA3519" s="20"/>
    </row>
    <row r="3520" spans="49:53" x14ac:dyDescent="0.35">
      <c r="AW3520" s="20"/>
      <c r="AX3520" s="20"/>
      <c r="AY3520" s="20"/>
      <c r="AZ3520" s="20"/>
      <c r="BA3520" s="20"/>
    </row>
    <row r="3521" spans="49:53" x14ac:dyDescent="0.35">
      <c r="AW3521" s="20"/>
      <c r="AX3521" s="20"/>
      <c r="AY3521" s="20"/>
      <c r="AZ3521" s="20"/>
      <c r="BA3521" s="20"/>
    </row>
    <row r="3522" spans="49:53" x14ac:dyDescent="0.35">
      <c r="AW3522" s="20"/>
      <c r="AX3522" s="20"/>
      <c r="AY3522" s="20"/>
      <c r="AZ3522" s="20"/>
      <c r="BA3522" s="20"/>
    </row>
    <row r="3523" spans="49:53" x14ac:dyDescent="0.35">
      <c r="AW3523" s="20"/>
      <c r="AX3523" s="20"/>
      <c r="AY3523" s="20"/>
      <c r="AZ3523" s="20"/>
      <c r="BA3523" s="20"/>
    </row>
    <row r="3524" spans="49:53" x14ac:dyDescent="0.35">
      <c r="AW3524" s="20"/>
      <c r="AX3524" s="20"/>
      <c r="AY3524" s="20"/>
      <c r="AZ3524" s="20"/>
      <c r="BA3524" s="20"/>
    </row>
    <row r="3525" spans="49:53" x14ac:dyDescent="0.35">
      <c r="AW3525" s="20"/>
      <c r="AX3525" s="20"/>
      <c r="AY3525" s="20"/>
      <c r="AZ3525" s="20"/>
      <c r="BA3525" s="20"/>
    </row>
    <row r="3526" spans="49:53" x14ac:dyDescent="0.35">
      <c r="AW3526" s="20"/>
      <c r="AX3526" s="20"/>
      <c r="AY3526" s="20"/>
      <c r="AZ3526" s="20"/>
      <c r="BA3526" s="20"/>
    </row>
    <row r="3527" spans="49:53" x14ac:dyDescent="0.35">
      <c r="AW3527" s="20"/>
      <c r="AX3527" s="20"/>
      <c r="AY3527" s="20"/>
      <c r="AZ3527" s="20"/>
      <c r="BA3527" s="20"/>
    </row>
    <row r="3528" spans="49:53" x14ac:dyDescent="0.35">
      <c r="AW3528" s="20"/>
      <c r="AX3528" s="20"/>
      <c r="AY3528" s="20"/>
      <c r="AZ3528" s="20"/>
      <c r="BA3528" s="20"/>
    </row>
    <row r="3529" spans="49:53" x14ac:dyDescent="0.35">
      <c r="AW3529" s="20"/>
      <c r="AX3529" s="20"/>
      <c r="AY3529" s="20"/>
      <c r="AZ3529" s="20"/>
      <c r="BA3529" s="20"/>
    </row>
    <row r="3530" spans="49:53" x14ac:dyDescent="0.35">
      <c r="AW3530" s="20"/>
      <c r="AX3530" s="20"/>
      <c r="AY3530" s="20"/>
      <c r="AZ3530" s="20"/>
      <c r="BA3530" s="20"/>
    </row>
    <row r="3531" spans="49:53" x14ac:dyDescent="0.35">
      <c r="AW3531" s="20"/>
      <c r="AX3531" s="20"/>
      <c r="AY3531" s="20"/>
      <c r="AZ3531" s="20"/>
      <c r="BA3531" s="20"/>
    </row>
    <row r="3532" spans="49:53" x14ac:dyDescent="0.35">
      <c r="AW3532" s="20"/>
      <c r="AX3532" s="20"/>
      <c r="AY3532" s="20"/>
      <c r="AZ3532" s="20"/>
      <c r="BA3532" s="20"/>
    </row>
    <row r="3533" spans="49:53" x14ac:dyDescent="0.35">
      <c r="AW3533" s="20"/>
      <c r="AX3533" s="20"/>
      <c r="AY3533" s="20"/>
      <c r="AZ3533" s="20"/>
      <c r="BA3533" s="20"/>
    </row>
    <row r="3534" spans="49:53" x14ac:dyDescent="0.35">
      <c r="AW3534" s="20"/>
      <c r="AX3534" s="20"/>
      <c r="AY3534" s="20"/>
      <c r="AZ3534" s="20"/>
      <c r="BA3534" s="20"/>
    </row>
    <row r="3535" spans="49:53" x14ac:dyDescent="0.35">
      <c r="AW3535" s="20"/>
      <c r="AX3535" s="20"/>
      <c r="AY3535" s="20"/>
      <c r="AZ3535" s="20"/>
      <c r="BA3535" s="20"/>
    </row>
    <row r="3536" spans="49:53" x14ac:dyDescent="0.35">
      <c r="AW3536" s="20"/>
      <c r="AX3536" s="20"/>
      <c r="AY3536" s="20"/>
      <c r="AZ3536" s="20"/>
      <c r="BA3536" s="20"/>
    </row>
    <row r="3537" spans="49:53" x14ac:dyDescent="0.35">
      <c r="AW3537" s="20"/>
      <c r="AX3537" s="20"/>
      <c r="AY3537" s="20"/>
      <c r="AZ3537" s="20"/>
      <c r="BA3537" s="20"/>
    </row>
    <row r="3538" spans="49:53" x14ac:dyDescent="0.35">
      <c r="AW3538" s="20"/>
      <c r="AX3538" s="20"/>
      <c r="AY3538" s="20"/>
      <c r="AZ3538" s="20"/>
      <c r="BA3538" s="20"/>
    </row>
    <row r="3539" spans="49:53" x14ac:dyDescent="0.35">
      <c r="AW3539" s="20"/>
      <c r="AX3539" s="20"/>
      <c r="AY3539" s="20"/>
      <c r="AZ3539" s="20"/>
      <c r="BA3539" s="20"/>
    </row>
    <row r="3540" spans="49:53" x14ac:dyDescent="0.35">
      <c r="AW3540" s="20"/>
      <c r="AX3540" s="20"/>
      <c r="AY3540" s="20"/>
      <c r="AZ3540" s="20"/>
      <c r="BA3540" s="20"/>
    </row>
    <row r="3541" spans="49:53" x14ac:dyDescent="0.35">
      <c r="AW3541" s="20"/>
      <c r="AX3541" s="20"/>
      <c r="AY3541" s="20"/>
      <c r="AZ3541" s="20"/>
      <c r="BA3541" s="20"/>
    </row>
    <row r="3542" spans="49:53" x14ac:dyDescent="0.35">
      <c r="AW3542" s="20"/>
      <c r="AX3542" s="20"/>
      <c r="AY3542" s="20"/>
      <c r="AZ3542" s="20"/>
      <c r="BA3542" s="20"/>
    </row>
    <row r="3543" spans="49:53" x14ac:dyDescent="0.35">
      <c r="AW3543" s="20"/>
      <c r="AX3543" s="20"/>
      <c r="AY3543" s="20"/>
      <c r="AZ3543" s="20"/>
      <c r="BA3543" s="20"/>
    </row>
    <row r="3544" spans="49:53" x14ac:dyDescent="0.35">
      <c r="AW3544" s="20"/>
      <c r="AX3544" s="20"/>
      <c r="AY3544" s="20"/>
      <c r="AZ3544" s="20"/>
      <c r="BA3544" s="20"/>
    </row>
    <row r="3545" spans="49:53" x14ac:dyDescent="0.35">
      <c r="AW3545" s="20"/>
      <c r="AX3545" s="20"/>
      <c r="AY3545" s="20"/>
      <c r="AZ3545" s="20"/>
      <c r="BA3545" s="20"/>
    </row>
    <row r="3546" spans="49:53" x14ac:dyDescent="0.35">
      <c r="AW3546" s="20"/>
      <c r="AX3546" s="20"/>
      <c r="AY3546" s="20"/>
      <c r="AZ3546" s="20"/>
      <c r="BA3546" s="20"/>
    </row>
    <row r="3547" spans="49:53" x14ac:dyDescent="0.35">
      <c r="AW3547" s="20"/>
      <c r="AX3547" s="20"/>
      <c r="AY3547" s="20"/>
      <c r="AZ3547" s="20"/>
      <c r="BA3547" s="20"/>
    </row>
    <row r="3548" spans="49:53" x14ac:dyDescent="0.35">
      <c r="AW3548" s="20"/>
      <c r="AX3548" s="20"/>
      <c r="AY3548" s="20"/>
      <c r="AZ3548" s="20"/>
      <c r="BA3548" s="20"/>
    </row>
    <row r="3549" spans="49:53" x14ac:dyDescent="0.35">
      <c r="AW3549" s="20"/>
      <c r="AX3549" s="20"/>
      <c r="AY3549" s="20"/>
      <c r="AZ3549" s="20"/>
      <c r="BA3549" s="20"/>
    </row>
    <row r="3550" spans="49:53" x14ac:dyDescent="0.35">
      <c r="AW3550" s="20"/>
      <c r="AX3550" s="20"/>
      <c r="AY3550" s="20"/>
      <c r="AZ3550" s="20"/>
      <c r="BA3550" s="20"/>
    </row>
    <row r="3551" spans="49:53" x14ac:dyDescent="0.35">
      <c r="AW3551" s="20"/>
      <c r="AX3551" s="20"/>
      <c r="AY3551" s="20"/>
      <c r="AZ3551" s="20"/>
      <c r="BA3551" s="20"/>
    </row>
    <row r="3552" spans="49:53" x14ac:dyDescent="0.35">
      <c r="AW3552" s="20"/>
      <c r="AX3552" s="20"/>
      <c r="AY3552" s="20"/>
      <c r="AZ3552" s="20"/>
      <c r="BA3552" s="20"/>
    </row>
    <row r="3553" spans="49:53" x14ac:dyDescent="0.35">
      <c r="AW3553" s="20"/>
      <c r="AX3553" s="20"/>
      <c r="AY3553" s="20"/>
      <c r="AZ3553" s="20"/>
      <c r="BA3553" s="20"/>
    </row>
    <row r="3554" spans="49:53" x14ac:dyDescent="0.35">
      <c r="AW3554" s="20"/>
      <c r="AX3554" s="20"/>
      <c r="AY3554" s="20"/>
      <c r="AZ3554" s="20"/>
      <c r="BA3554" s="20"/>
    </row>
    <row r="3555" spans="49:53" x14ac:dyDescent="0.35">
      <c r="AW3555" s="20"/>
      <c r="AX3555" s="20"/>
      <c r="AY3555" s="20"/>
      <c r="AZ3555" s="20"/>
      <c r="BA3555" s="20"/>
    </row>
    <row r="3556" spans="49:53" x14ac:dyDescent="0.35">
      <c r="AW3556" s="20"/>
      <c r="AX3556" s="20"/>
      <c r="AY3556" s="20"/>
      <c r="AZ3556" s="20"/>
      <c r="BA3556" s="20"/>
    </row>
    <row r="3557" spans="49:53" x14ac:dyDescent="0.35">
      <c r="AW3557" s="20"/>
      <c r="AX3557" s="20"/>
      <c r="AY3557" s="20"/>
      <c r="AZ3557" s="20"/>
      <c r="BA3557" s="20"/>
    </row>
    <row r="3558" spans="49:53" x14ac:dyDescent="0.35">
      <c r="AW3558" s="20"/>
      <c r="AX3558" s="20"/>
      <c r="AY3558" s="20"/>
      <c r="AZ3558" s="20"/>
      <c r="BA3558" s="20"/>
    </row>
    <row r="3559" spans="49:53" x14ac:dyDescent="0.35">
      <c r="AW3559" s="20"/>
      <c r="AX3559" s="20"/>
      <c r="AY3559" s="20"/>
      <c r="AZ3559" s="20"/>
      <c r="BA3559" s="20"/>
    </row>
    <row r="3560" spans="49:53" x14ac:dyDescent="0.35">
      <c r="AW3560" s="20"/>
      <c r="AX3560" s="20"/>
      <c r="AY3560" s="20"/>
      <c r="AZ3560" s="20"/>
      <c r="BA3560" s="20"/>
    </row>
    <row r="3561" spans="49:53" x14ac:dyDescent="0.35">
      <c r="AW3561" s="20"/>
      <c r="AX3561" s="20"/>
      <c r="AY3561" s="20"/>
      <c r="AZ3561" s="20"/>
      <c r="BA3561" s="20"/>
    </row>
    <row r="3562" spans="49:53" x14ac:dyDescent="0.35">
      <c r="AW3562" s="20"/>
      <c r="AX3562" s="20"/>
      <c r="AY3562" s="20"/>
      <c r="AZ3562" s="20"/>
      <c r="BA3562" s="20"/>
    </row>
    <row r="3563" spans="49:53" x14ac:dyDescent="0.35">
      <c r="AW3563" s="20"/>
      <c r="AX3563" s="20"/>
      <c r="AY3563" s="20"/>
      <c r="AZ3563" s="20"/>
      <c r="BA3563" s="20"/>
    </row>
    <row r="3564" spans="49:53" x14ac:dyDescent="0.35">
      <c r="AW3564" s="20"/>
      <c r="AX3564" s="20"/>
      <c r="AY3564" s="20"/>
      <c r="AZ3564" s="20"/>
      <c r="BA3564" s="20"/>
    </row>
    <row r="3565" spans="49:53" x14ac:dyDescent="0.35">
      <c r="AW3565" s="20"/>
      <c r="AX3565" s="20"/>
      <c r="AY3565" s="20"/>
      <c r="AZ3565" s="20"/>
      <c r="BA3565" s="20"/>
    </row>
    <row r="3566" spans="49:53" x14ac:dyDescent="0.35">
      <c r="AW3566" s="20"/>
      <c r="AX3566" s="20"/>
      <c r="AY3566" s="20"/>
      <c r="AZ3566" s="20"/>
      <c r="BA3566" s="20"/>
    </row>
    <row r="3567" spans="49:53" x14ac:dyDescent="0.35">
      <c r="AW3567" s="20"/>
      <c r="AX3567" s="20"/>
      <c r="AY3567" s="20"/>
      <c r="AZ3567" s="20"/>
      <c r="BA3567" s="20"/>
    </row>
    <row r="3568" spans="49:53" x14ac:dyDescent="0.35">
      <c r="AW3568" s="20"/>
      <c r="AX3568" s="20"/>
      <c r="AY3568" s="20"/>
      <c r="AZ3568" s="20"/>
      <c r="BA3568" s="20"/>
    </row>
    <row r="3569" spans="49:53" x14ac:dyDescent="0.35">
      <c r="AW3569" s="20"/>
      <c r="AX3569" s="20"/>
      <c r="AY3569" s="20"/>
      <c r="AZ3569" s="20"/>
      <c r="BA3569" s="20"/>
    </row>
    <row r="3570" spans="49:53" x14ac:dyDescent="0.35">
      <c r="AW3570" s="20"/>
      <c r="AX3570" s="20"/>
      <c r="AY3570" s="20"/>
      <c r="AZ3570" s="20"/>
      <c r="BA3570" s="20"/>
    </row>
    <row r="3571" spans="49:53" x14ac:dyDescent="0.35">
      <c r="AW3571" s="20"/>
      <c r="AX3571" s="20"/>
      <c r="AY3571" s="20"/>
      <c r="AZ3571" s="20"/>
      <c r="BA3571" s="20"/>
    </row>
    <row r="3572" spans="49:53" x14ac:dyDescent="0.35">
      <c r="AW3572" s="20"/>
      <c r="AX3572" s="20"/>
      <c r="AY3572" s="20"/>
      <c r="AZ3572" s="20"/>
      <c r="BA3572" s="20"/>
    </row>
    <row r="3573" spans="49:53" x14ac:dyDescent="0.35">
      <c r="AW3573" s="20"/>
      <c r="AX3573" s="20"/>
      <c r="AY3573" s="20"/>
      <c r="AZ3573" s="20"/>
      <c r="BA3573" s="20"/>
    </row>
    <row r="3574" spans="49:53" x14ac:dyDescent="0.35">
      <c r="AW3574" s="20"/>
      <c r="AX3574" s="20"/>
      <c r="AY3574" s="20"/>
      <c r="AZ3574" s="20"/>
      <c r="BA3574" s="20"/>
    </row>
    <row r="3575" spans="49:53" x14ac:dyDescent="0.35">
      <c r="AW3575" s="20"/>
      <c r="AX3575" s="20"/>
      <c r="AY3575" s="20"/>
      <c r="AZ3575" s="20"/>
      <c r="BA3575" s="20"/>
    </row>
    <row r="3576" spans="49:53" x14ac:dyDescent="0.35">
      <c r="AW3576" s="20"/>
      <c r="AX3576" s="20"/>
      <c r="AY3576" s="20"/>
      <c r="AZ3576" s="20"/>
      <c r="BA3576" s="20"/>
    </row>
    <row r="3577" spans="49:53" x14ac:dyDescent="0.35">
      <c r="AW3577" s="20"/>
      <c r="AX3577" s="20"/>
      <c r="AY3577" s="20"/>
      <c r="AZ3577" s="20"/>
      <c r="BA3577" s="20"/>
    </row>
    <row r="3578" spans="49:53" x14ac:dyDescent="0.35">
      <c r="AW3578" s="20"/>
      <c r="AX3578" s="20"/>
      <c r="AY3578" s="20"/>
      <c r="AZ3578" s="20"/>
      <c r="BA3578" s="20"/>
    </row>
    <row r="3579" spans="49:53" x14ac:dyDescent="0.35">
      <c r="AW3579" s="20"/>
      <c r="AX3579" s="20"/>
      <c r="AY3579" s="20"/>
      <c r="AZ3579" s="20"/>
      <c r="BA3579" s="20"/>
    </row>
    <row r="3580" spans="49:53" x14ac:dyDescent="0.35">
      <c r="AW3580" s="20"/>
      <c r="AX3580" s="20"/>
      <c r="AY3580" s="20"/>
      <c r="AZ3580" s="20"/>
      <c r="BA3580" s="20"/>
    </row>
    <row r="3581" spans="49:53" x14ac:dyDescent="0.35">
      <c r="AW3581" s="20"/>
      <c r="AX3581" s="20"/>
      <c r="AY3581" s="20"/>
      <c r="AZ3581" s="20"/>
      <c r="BA3581" s="20"/>
    </row>
    <row r="3582" spans="49:53" x14ac:dyDescent="0.35">
      <c r="AW3582" s="20"/>
      <c r="AX3582" s="20"/>
      <c r="AY3582" s="20"/>
      <c r="AZ3582" s="20"/>
      <c r="BA3582" s="20"/>
    </row>
    <row r="3583" spans="49:53" x14ac:dyDescent="0.35">
      <c r="AW3583" s="20"/>
      <c r="AX3583" s="20"/>
      <c r="AY3583" s="20"/>
      <c r="AZ3583" s="20"/>
      <c r="BA3583" s="20"/>
    </row>
    <row r="3584" spans="49:53" x14ac:dyDescent="0.35">
      <c r="AW3584" s="20"/>
      <c r="AX3584" s="20"/>
      <c r="AY3584" s="20"/>
      <c r="AZ3584" s="20"/>
      <c r="BA3584" s="20"/>
    </row>
    <row r="3585" spans="49:53" x14ac:dyDescent="0.35">
      <c r="AW3585" s="20"/>
      <c r="AX3585" s="20"/>
      <c r="AY3585" s="20"/>
      <c r="AZ3585" s="20"/>
      <c r="BA3585" s="20"/>
    </row>
    <row r="3586" spans="49:53" x14ac:dyDescent="0.35">
      <c r="AW3586" s="20"/>
      <c r="AX3586" s="20"/>
      <c r="AY3586" s="20"/>
      <c r="AZ3586" s="20"/>
      <c r="BA3586" s="20"/>
    </row>
    <row r="3587" spans="49:53" x14ac:dyDescent="0.35">
      <c r="AW3587" s="20"/>
      <c r="AX3587" s="20"/>
      <c r="AY3587" s="20"/>
      <c r="AZ3587" s="20"/>
      <c r="BA3587" s="20"/>
    </row>
    <row r="3588" spans="49:53" x14ac:dyDescent="0.35">
      <c r="AW3588" s="20"/>
      <c r="AX3588" s="20"/>
      <c r="AY3588" s="20"/>
      <c r="AZ3588" s="20"/>
      <c r="BA3588" s="20"/>
    </row>
    <row r="3589" spans="49:53" x14ac:dyDescent="0.35">
      <c r="AW3589" s="20"/>
      <c r="AX3589" s="20"/>
      <c r="AY3589" s="20"/>
      <c r="AZ3589" s="20"/>
      <c r="BA3589" s="20"/>
    </row>
    <row r="3590" spans="49:53" x14ac:dyDescent="0.35">
      <c r="AW3590" s="20"/>
      <c r="AX3590" s="20"/>
      <c r="AY3590" s="20"/>
      <c r="AZ3590" s="20"/>
      <c r="BA3590" s="20"/>
    </row>
    <row r="3591" spans="49:53" x14ac:dyDescent="0.35">
      <c r="AW3591" s="20"/>
      <c r="AX3591" s="20"/>
      <c r="AY3591" s="20"/>
      <c r="AZ3591" s="20"/>
      <c r="BA3591" s="20"/>
    </row>
    <row r="3592" spans="49:53" x14ac:dyDescent="0.35">
      <c r="AW3592" s="20"/>
      <c r="AX3592" s="20"/>
      <c r="AY3592" s="20"/>
      <c r="AZ3592" s="20"/>
      <c r="BA3592" s="20"/>
    </row>
    <row r="3593" spans="49:53" x14ac:dyDescent="0.35">
      <c r="AW3593" s="20"/>
      <c r="AX3593" s="20"/>
      <c r="AY3593" s="20"/>
      <c r="AZ3593" s="20"/>
      <c r="BA3593" s="20"/>
    </row>
    <row r="3594" spans="49:53" x14ac:dyDescent="0.35">
      <c r="AW3594" s="20"/>
      <c r="AX3594" s="20"/>
      <c r="AY3594" s="20"/>
      <c r="AZ3594" s="20"/>
      <c r="BA3594" s="20"/>
    </row>
    <row r="3595" spans="49:53" x14ac:dyDescent="0.35">
      <c r="AW3595" s="20"/>
      <c r="AX3595" s="20"/>
      <c r="AY3595" s="20"/>
      <c r="AZ3595" s="20"/>
      <c r="BA3595" s="20"/>
    </row>
    <row r="3596" spans="49:53" x14ac:dyDescent="0.35">
      <c r="AW3596" s="20"/>
      <c r="AX3596" s="20"/>
      <c r="AY3596" s="20"/>
      <c r="AZ3596" s="20"/>
      <c r="BA3596" s="20"/>
    </row>
    <row r="3597" spans="49:53" x14ac:dyDescent="0.35">
      <c r="AW3597" s="20"/>
      <c r="AX3597" s="20"/>
      <c r="AY3597" s="20"/>
      <c r="AZ3597" s="20"/>
      <c r="BA3597" s="20"/>
    </row>
    <row r="3598" spans="49:53" x14ac:dyDescent="0.35">
      <c r="AW3598" s="20"/>
      <c r="AX3598" s="20"/>
      <c r="AY3598" s="20"/>
      <c r="AZ3598" s="20"/>
      <c r="BA3598" s="20"/>
    </row>
    <row r="3599" spans="49:53" x14ac:dyDescent="0.35">
      <c r="AW3599" s="20"/>
      <c r="AX3599" s="20"/>
      <c r="AY3599" s="20"/>
      <c r="AZ3599" s="20"/>
      <c r="BA3599" s="20"/>
    </row>
    <row r="3600" spans="49:53" x14ac:dyDescent="0.35">
      <c r="AW3600" s="20"/>
      <c r="AX3600" s="20"/>
      <c r="AY3600" s="20"/>
      <c r="AZ3600" s="20"/>
      <c r="BA3600" s="20"/>
    </row>
    <row r="3601" spans="49:53" x14ac:dyDescent="0.35">
      <c r="AW3601" s="20"/>
      <c r="AX3601" s="20"/>
      <c r="AY3601" s="20"/>
      <c r="AZ3601" s="20"/>
      <c r="BA3601" s="20"/>
    </row>
    <row r="3602" spans="49:53" x14ac:dyDescent="0.35">
      <c r="AW3602" s="20"/>
      <c r="AX3602" s="20"/>
      <c r="AY3602" s="20"/>
      <c r="AZ3602" s="20"/>
      <c r="BA3602" s="20"/>
    </row>
    <row r="3603" spans="49:53" x14ac:dyDescent="0.35">
      <c r="AW3603" s="20"/>
      <c r="AX3603" s="20"/>
      <c r="AY3603" s="20"/>
      <c r="AZ3603" s="20"/>
      <c r="BA3603" s="20"/>
    </row>
    <row r="3604" spans="49:53" x14ac:dyDescent="0.35">
      <c r="AW3604" s="20"/>
      <c r="AX3604" s="20"/>
      <c r="AY3604" s="20"/>
      <c r="AZ3604" s="20"/>
      <c r="BA3604" s="20"/>
    </row>
    <row r="3605" spans="49:53" x14ac:dyDescent="0.35">
      <c r="AW3605" s="20"/>
      <c r="AX3605" s="20"/>
      <c r="AY3605" s="20"/>
      <c r="AZ3605" s="20"/>
      <c r="BA3605" s="20"/>
    </row>
    <row r="3606" spans="49:53" x14ac:dyDescent="0.35">
      <c r="AW3606" s="20"/>
      <c r="AX3606" s="20"/>
      <c r="AY3606" s="20"/>
      <c r="AZ3606" s="20"/>
      <c r="BA3606" s="20"/>
    </row>
    <row r="3607" spans="49:53" x14ac:dyDescent="0.35">
      <c r="AW3607" s="20"/>
      <c r="AX3607" s="20"/>
      <c r="AY3607" s="20"/>
      <c r="AZ3607" s="20"/>
      <c r="BA3607" s="20"/>
    </row>
    <row r="3608" spans="49:53" x14ac:dyDescent="0.35">
      <c r="AW3608" s="20"/>
      <c r="AX3608" s="20"/>
      <c r="AY3608" s="20"/>
      <c r="AZ3608" s="20"/>
      <c r="BA3608" s="20"/>
    </row>
    <row r="3609" spans="49:53" x14ac:dyDescent="0.35">
      <c r="AW3609" s="20"/>
      <c r="AX3609" s="20"/>
      <c r="AY3609" s="20"/>
      <c r="AZ3609" s="20"/>
      <c r="BA3609" s="20"/>
    </row>
    <row r="3610" spans="49:53" x14ac:dyDescent="0.35">
      <c r="AW3610" s="20"/>
      <c r="AX3610" s="20"/>
      <c r="AY3610" s="20"/>
      <c r="AZ3610" s="20"/>
      <c r="BA3610" s="20"/>
    </row>
    <row r="3611" spans="49:53" x14ac:dyDescent="0.35">
      <c r="AW3611" s="20"/>
      <c r="AX3611" s="20"/>
      <c r="AY3611" s="20"/>
      <c r="AZ3611" s="20"/>
      <c r="BA3611" s="20"/>
    </row>
    <row r="3612" spans="49:53" x14ac:dyDescent="0.35">
      <c r="AW3612" s="20"/>
      <c r="AX3612" s="20"/>
      <c r="AY3612" s="20"/>
      <c r="AZ3612" s="20"/>
      <c r="BA3612" s="20"/>
    </row>
    <row r="3613" spans="49:53" x14ac:dyDescent="0.35">
      <c r="AW3613" s="20"/>
      <c r="AX3613" s="20"/>
      <c r="AY3613" s="20"/>
      <c r="AZ3613" s="20"/>
      <c r="BA3613" s="20"/>
    </row>
    <row r="3614" spans="49:53" x14ac:dyDescent="0.35">
      <c r="AW3614" s="20"/>
      <c r="AX3614" s="20"/>
      <c r="AY3614" s="20"/>
      <c r="AZ3614" s="20"/>
      <c r="BA3614" s="20"/>
    </row>
    <row r="3615" spans="49:53" x14ac:dyDescent="0.35">
      <c r="AW3615" s="20"/>
      <c r="AX3615" s="20"/>
      <c r="AY3615" s="20"/>
      <c r="AZ3615" s="20"/>
      <c r="BA3615" s="20"/>
    </row>
    <row r="3616" spans="49:53" x14ac:dyDescent="0.35">
      <c r="AW3616" s="20"/>
      <c r="AX3616" s="20"/>
      <c r="AY3616" s="20"/>
      <c r="AZ3616" s="20"/>
      <c r="BA3616" s="20"/>
    </row>
    <row r="3617" spans="49:53" x14ac:dyDescent="0.35">
      <c r="AW3617" s="20"/>
      <c r="AX3617" s="20"/>
      <c r="AY3617" s="20"/>
      <c r="AZ3617" s="20"/>
      <c r="BA3617" s="20"/>
    </row>
    <row r="3618" spans="49:53" x14ac:dyDescent="0.35">
      <c r="AW3618" s="20"/>
      <c r="AX3618" s="20"/>
      <c r="AY3618" s="20"/>
      <c r="AZ3618" s="20"/>
      <c r="BA3618" s="20"/>
    </row>
    <row r="3619" spans="49:53" x14ac:dyDescent="0.35">
      <c r="AW3619" s="20"/>
      <c r="AX3619" s="20"/>
      <c r="AY3619" s="20"/>
      <c r="AZ3619" s="20"/>
      <c r="BA3619" s="20"/>
    </row>
    <row r="3620" spans="49:53" x14ac:dyDescent="0.35">
      <c r="AW3620" s="20"/>
      <c r="AX3620" s="20"/>
      <c r="AY3620" s="20"/>
      <c r="AZ3620" s="20"/>
      <c r="BA3620" s="20"/>
    </row>
    <row r="3621" spans="49:53" x14ac:dyDescent="0.35">
      <c r="AW3621" s="20"/>
      <c r="AX3621" s="20"/>
      <c r="AY3621" s="20"/>
      <c r="AZ3621" s="20"/>
      <c r="BA3621" s="20"/>
    </row>
    <row r="3622" spans="49:53" x14ac:dyDescent="0.35">
      <c r="AW3622" s="20"/>
      <c r="AX3622" s="20"/>
      <c r="AY3622" s="20"/>
      <c r="AZ3622" s="20"/>
      <c r="BA3622" s="20"/>
    </row>
    <row r="3623" spans="49:53" x14ac:dyDescent="0.35">
      <c r="AW3623" s="20"/>
      <c r="AX3623" s="20"/>
      <c r="AY3623" s="20"/>
      <c r="AZ3623" s="20"/>
      <c r="BA3623" s="20"/>
    </row>
    <row r="3624" spans="49:53" x14ac:dyDescent="0.35">
      <c r="AW3624" s="20"/>
      <c r="AX3624" s="20"/>
      <c r="AY3624" s="20"/>
      <c r="AZ3624" s="20"/>
      <c r="BA3624" s="20"/>
    </row>
    <row r="3625" spans="49:53" x14ac:dyDescent="0.35">
      <c r="AW3625" s="20"/>
      <c r="AX3625" s="20"/>
      <c r="AY3625" s="20"/>
      <c r="AZ3625" s="20"/>
      <c r="BA3625" s="20"/>
    </row>
    <row r="3626" spans="49:53" x14ac:dyDescent="0.35">
      <c r="AW3626" s="20"/>
      <c r="AX3626" s="20"/>
      <c r="AY3626" s="20"/>
      <c r="AZ3626" s="20"/>
      <c r="BA3626" s="20"/>
    </row>
    <row r="3627" spans="49:53" x14ac:dyDescent="0.35">
      <c r="AW3627" s="20"/>
      <c r="AX3627" s="20"/>
      <c r="AY3627" s="20"/>
      <c r="AZ3627" s="20"/>
      <c r="BA3627" s="20"/>
    </row>
    <row r="3628" spans="49:53" x14ac:dyDescent="0.35">
      <c r="AW3628" s="20"/>
      <c r="AX3628" s="20"/>
      <c r="AY3628" s="20"/>
      <c r="AZ3628" s="20"/>
      <c r="BA3628" s="20"/>
    </row>
    <row r="3629" spans="49:53" x14ac:dyDescent="0.35">
      <c r="AW3629" s="20"/>
      <c r="AX3629" s="20"/>
      <c r="AY3629" s="20"/>
      <c r="AZ3629" s="20"/>
      <c r="BA3629" s="20"/>
    </row>
    <row r="3630" spans="49:53" x14ac:dyDescent="0.35">
      <c r="AW3630" s="20"/>
      <c r="AX3630" s="20"/>
      <c r="AY3630" s="20"/>
      <c r="AZ3630" s="20"/>
      <c r="BA3630" s="20"/>
    </row>
    <row r="3631" spans="49:53" x14ac:dyDescent="0.35">
      <c r="AW3631" s="20"/>
      <c r="AX3631" s="20"/>
      <c r="AY3631" s="20"/>
      <c r="AZ3631" s="20"/>
      <c r="BA3631" s="20"/>
    </row>
    <row r="3632" spans="49:53" x14ac:dyDescent="0.35">
      <c r="AW3632" s="20"/>
      <c r="AX3632" s="20"/>
      <c r="AY3632" s="20"/>
      <c r="AZ3632" s="20"/>
      <c r="BA3632" s="20"/>
    </row>
    <row r="3633" spans="49:53" x14ac:dyDescent="0.35">
      <c r="AW3633" s="20"/>
      <c r="AX3633" s="20"/>
      <c r="AY3633" s="20"/>
      <c r="AZ3633" s="20"/>
      <c r="BA3633" s="20"/>
    </row>
    <row r="3634" spans="49:53" x14ac:dyDescent="0.35">
      <c r="AW3634" s="20"/>
      <c r="AX3634" s="20"/>
      <c r="AY3634" s="20"/>
      <c r="AZ3634" s="20"/>
      <c r="BA3634" s="20"/>
    </row>
    <row r="3635" spans="49:53" x14ac:dyDescent="0.35">
      <c r="AW3635" s="20"/>
      <c r="AX3635" s="20"/>
      <c r="AY3635" s="20"/>
      <c r="AZ3635" s="20"/>
      <c r="BA3635" s="20"/>
    </row>
    <row r="3636" spans="49:53" x14ac:dyDescent="0.35">
      <c r="AW3636" s="20"/>
      <c r="AX3636" s="20"/>
      <c r="AY3636" s="20"/>
      <c r="AZ3636" s="20"/>
      <c r="BA3636" s="20"/>
    </row>
    <row r="3637" spans="49:53" x14ac:dyDescent="0.35">
      <c r="AW3637" s="20"/>
      <c r="AX3637" s="20"/>
      <c r="AY3637" s="20"/>
      <c r="AZ3637" s="20"/>
      <c r="BA3637" s="20"/>
    </row>
    <row r="3638" spans="49:53" x14ac:dyDescent="0.35">
      <c r="AW3638" s="20"/>
      <c r="AX3638" s="20"/>
      <c r="AY3638" s="20"/>
      <c r="AZ3638" s="20"/>
      <c r="BA3638" s="20"/>
    </row>
    <row r="3639" spans="49:53" x14ac:dyDescent="0.35">
      <c r="AW3639" s="20"/>
      <c r="AX3639" s="20"/>
      <c r="AY3639" s="20"/>
      <c r="AZ3639" s="20"/>
      <c r="BA3639" s="20"/>
    </row>
    <row r="3640" spans="49:53" x14ac:dyDescent="0.35">
      <c r="AW3640" s="20"/>
      <c r="AX3640" s="20"/>
      <c r="AY3640" s="20"/>
      <c r="AZ3640" s="20"/>
      <c r="BA3640" s="20"/>
    </row>
    <row r="3641" spans="49:53" x14ac:dyDescent="0.35">
      <c r="AW3641" s="20"/>
      <c r="AX3641" s="20"/>
      <c r="AY3641" s="20"/>
      <c r="AZ3641" s="20"/>
      <c r="BA3641" s="20"/>
    </row>
    <row r="3642" spans="49:53" x14ac:dyDescent="0.35">
      <c r="AW3642" s="20"/>
      <c r="AX3642" s="20"/>
      <c r="AY3642" s="20"/>
      <c r="AZ3642" s="20"/>
      <c r="BA3642" s="20"/>
    </row>
    <row r="3643" spans="49:53" x14ac:dyDescent="0.35">
      <c r="AW3643" s="20"/>
      <c r="AX3643" s="20"/>
      <c r="AY3643" s="20"/>
      <c r="AZ3643" s="20"/>
      <c r="BA3643" s="20"/>
    </row>
    <row r="3644" spans="49:53" x14ac:dyDescent="0.35">
      <c r="AW3644" s="20"/>
      <c r="AX3644" s="20"/>
      <c r="AY3644" s="20"/>
      <c r="AZ3644" s="20"/>
      <c r="BA3644" s="20"/>
    </row>
    <row r="3645" spans="49:53" x14ac:dyDescent="0.35">
      <c r="AW3645" s="20"/>
      <c r="AX3645" s="20"/>
      <c r="AY3645" s="20"/>
      <c r="AZ3645" s="20"/>
      <c r="BA3645" s="20"/>
    </row>
    <row r="3646" spans="49:53" x14ac:dyDescent="0.35">
      <c r="AW3646" s="20"/>
      <c r="AX3646" s="20"/>
      <c r="AY3646" s="20"/>
      <c r="AZ3646" s="20"/>
      <c r="BA3646" s="20"/>
    </row>
    <row r="3647" spans="49:53" x14ac:dyDescent="0.35">
      <c r="AW3647" s="20"/>
      <c r="AX3647" s="20"/>
      <c r="AY3647" s="20"/>
      <c r="AZ3647" s="20"/>
      <c r="BA3647" s="20"/>
    </row>
    <row r="3648" spans="49:53" x14ac:dyDescent="0.35">
      <c r="AW3648" s="20"/>
      <c r="AX3648" s="20"/>
      <c r="AY3648" s="20"/>
      <c r="AZ3648" s="20"/>
      <c r="BA3648" s="20"/>
    </row>
    <row r="3649" spans="49:53" x14ac:dyDescent="0.35">
      <c r="AW3649" s="20"/>
      <c r="AX3649" s="20"/>
      <c r="AY3649" s="20"/>
      <c r="AZ3649" s="20"/>
      <c r="BA3649" s="20"/>
    </row>
    <row r="3650" spans="49:53" x14ac:dyDescent="0.35">
      <c r="AW3650" s="20"/>
      <c r="AX3650" s="20"/>
      <c r="AY3650" s="20"/>
      <c r="AZ3650" s="20"/>
      <c r="BA3650" s="20"/>
    </row>
    <row r="3651" spans="49:53" x14ac:dyDescent="0.35">
      <c r="AW3651" s="20"/>
      <c r="AX3651" s="20"/>
      <c r="AY3651" s="20"/>
      <c r="AZ3651" s="20"/>
      <c r="BA3651" s="20"/>
    </row>
    <row r="3652" spans="49:53" x14ac:dyDescent="0.35">
      <c r="AW3652" s="20"/>
      <c r="AX3652" s="20"/>
      <c r="AY3652" s="20"/>
      <c r="AZ3652" s="20"/>
      <c r="BA3652" s="20"/>
    </row>
    <row r="3653" spans="49:53" x14ac:dyDescent="0.35">
      <c r="AW3653" s="20"/>
      <c r="AX3653" s="20"/>
      <c r="AY3653" s="20"/>
      <c r="AZ3653" s="20"/>
      <c r="BA3653" s="20"/>
    </row>
    <row r="3654" spans="49:53" x14ac:dyDescent="0.35">
      <c r="AW3654" s="20"/>
      <c r="AX3654" s="20"/>
      <c r="AY3654" s="20"/>
      <c r="AZ3654" s="20"/>
      <c r="BA3654" s="20"/>
    </row>
    <row r="3655" spans="49:53" x14ac:dyDescent="0.35">
      <c r="AW3655" s="20"/>
      <c r="AX3655" s="20"/>
      <c r="AY3655" s="20"/>
      <c r="AZ3655" s="20"/>
      <c r="BA3655" s="20"/>
    </row>
    <row r="3656" spans="49:53" x14ac:dyDescent="0.35">
      <c r="AW3656" s="20"/>
      <c r="AX3656" s="20"/>
      <c r="AY3656" s="20"/>
      <c r="AZ3656" s="20"/>
      <c r="BA3656" s="20"/>
    </row>
    <row r="3657" spans="49:53" x14ac:dyDescent="0.35">
      <c r="AW3657" s="20"/>
      <c r="AX3657" s="20"/>
      <c r="AY3657" s="20"/>
      <c r="AZ3657" s="20"/>
      <c r="BA3657" s="20"/>
    </row>
    <row r="3658" spans="49:53" x14ac:dyDescent="0.35">
      <c r="AW3658" s="20"/>
      <c r="AX3658" s="20"/>
      <c r="AY3658" s="20"/>
      <c r="AZ3658" s="20"/>
      <c r="BA3658" s="20"/>
    </row>
    <row r="3659" spans="49:53" x14ac:dyDescent="0.35">
      <c r="AW3659" s="20"/>
      <c r="AX3659" s="20"/>
      <c r="AY3659" s="20"/>
      <c r="AZ3659" s="20"/>
      <c r="BA3659" s="20"/>
    </row>
    <row r="3660" spans="49:53" x14ac:dyDescent="0.35">
      <c r="AW3660" s="20"/>
      <c r="AX3660" s="20"/>
      <c r="AY3660" s="20"/>
      <c r="AZ3660" s="20"/>
      <c r="BA3660" s="20"/>
    </row>
    <row r="3661" spans="49:53" x14ac:dyDescent="0.35">
      <c r="AW3661" s="20"/>
      <c r="AX3661" s="20"/>
      <c r="AY3661" s="20"/>
      <c r="AZ3661" s="20"/>
      <c r="BA3661" s="20"/>
    </row>
    <row r="3662" spans="49:53" x14ac:dyDescent="0.35">
      <c r="AW3662" s="20"/>
      <c r="AX3662" s="20"/>
      <c r="AY3662" s="20"/>
      <c r="AZ3662" s="20"/>
      <c r="BA3662" s="20"/>
    </row>
    <row r="3663" spans="49:53" x14ac:dyDescent="0.35">
      <c r="AW3663" s="20"/>
      <c r="AX3663" s="20"/>
      <c r="AY3663" s="20"/>
      <c r="AZ3663" s="20"/>
      <c r="BA3663" s="20"/>
    </row>
    <row r="3664" spans="49:53" x14ac:dyDescent="0.35">
      <c r="AW3664" s="20"/>
      <c r="AX3664" s="20"/>
      <c r="AY3664" s="20"/>
      <c r="AZ3664" s="20"/>
      <c r="BA3664" s="20"/>
    </row>
    <row r="3665" spans="49:53" x14ac:dyDescent="0.35">
      <c r="AW3665" s="20"/>
      <c r="AX3665" s="20"/>
      <c r="AY3665" s="20"/>
      <c r="AZ3665" s="20"/>
      <c r="BA3665" s="20"/>
    </row>
    <row r="3666" spans="49:53" x14ac:dyDescent="0.35">
      <c r="AW3666" s="20"/>
      <c r="AX3666" s="20"/>
      <c r="AY3666" s="20"/>
      <c r="AZ3666" s="20"/>
      <c r="BA3666" s="20"/>
    </row>
    <row r="3667" spans="49:53" x14ac:dyDescent="0.35">
      <c r="AW3667" s="20"/>
      <c r="AX3667" s="20"/>
      <c r="AY3667" s="20"/>
      <c r="AZ3667" s="20"/>
      <c r="BA3667" s="20"/>
    </row>
    <row r="3668" spans="49:53" x14ac:dyDescent="0.35">
      <c r="AW3668" s="20"/>
      <c r="AX3668" s="20"/>
      <c r="AY3668" s="20"/>
      <c r="AZ3668" s="20"/>
      <c r="BA3668" s="20"/>
    </row>
    <row r="3669" spans="49:53" x14ac:dyDescent="0.35">
      <c r="AW3669" s="20"/>
      <c r="AX3669" s="20"/>
      <c r="AY3669" s="20"/>
      <c r="AZ3669" s="20"/>
      <c r="BA3669" s="20"/>
    </row>
    <row r="3670" spans="49:53" x14ac:dyDescent="0.35">
      <c r="AW3670" s="20"/>
      <c r="AX3670" s="20"/>
      <c r="AY3670" s="20"/>
      <c r="AZ3670" s="20"/>
      <c r="BA3670" s="20"/>
    </row>
    <row r="3671" spans="49:53" x14ac:dyDescent="0.35">
      <c r="AW3671" s="20"/>
      <c r="AX3671" s="20"/>
      <c r="AY3671" s="20"/>
      <c r="AZ3671" s="20"/>
      <c r="BA3671" s="20"/>
    </row>
    <row r="3672" spans="49:53" x14ac:dyDescent="0.35">
      <c r="AW3672" s="20"/>
      <c r="AX3672" s="20"/>
      <c r="AY3672" s="20"/>
      <c r="AZ3672" s="20"/>
      <c r="BA3672" s="20"/>
    </row>
    <row r="3673" spans="49:53" x14ac:dyDescent="0.35">
      <c r="AW3673" s="20"/>
      <c r="AX3673" s="20"/>
      <c r="AY3673" s="20"/>
      <c r="AZ3673" s="20"/>
      <c r="BA3673" s="20"/>
    </row>
    <row r="3674" spans="49:53" x14ac:dyDescent="0.35">
      <c r="AW3674" s="20"/>
      <c r="AX3674" s="20"/>
      <c r="AY3674" s="20"/>
      <c r="AZ3674" s="20"/>
      <c r="BA3674" s="20"/>
    </row>
    <row r="3675" spans="49:53" x14ac:dyDescent="0.35">
      <c r="AW3675" s="20"/>
      <c r="AX3675" s="20"/>
      <c r="AY3675" s="20"/>
      <c r="AZ3675" s="20"/>
      <c r="BA3675" s="20"/>
    </row>
    <row r="3676" spans="49:53" x14ac:dyDescent="0.35">
      <c r="AW3676" s="20"/>
      <c r="AX3676" s="20"/>
      <c r="AY3676" s="20"/>
      <c r="AZ3676" s="20"/>
      <c r="BA3676" s="20"/>
    </row>
    <row r="3677" spans="49:53" x14ac:dyDescent="0.35">
      <c r="AW3677" s="20"/>
      <c r="AX3677" s="20"/>
      <c r="AY3677" s="20"/>
      <c r="AZ3677" s="20"/>
      <c r="BA3677" s="20"/>
    </row>
    <row r="3678" spans="49:53" x14ac:dyDescent="0.35">
      <c r="AW3678" s="20"/>
      <c r="AX3678" s="20"/>
      <c r="AY3678" s="20"/>
      <c r="AZ3678" s="20"/>
      <c r="BA3678" s="20"/>
    </row>
    <row r="3679" spans="49:53" x14ac:dyDescent="0.35">
      <c r="AW3679" s="20"/>
      <c r="AX3679" s="20"/>
      <c r="AY3679" s="20"/>
      <c r="AZ3679" s="20"/>
      <c r="BA3679" s="20"/>
    </row>
    <row r="3680" spans="49:53" x14ac:dyDescent="0.35">
      <c r="AW3680" s="20"/>
      <c r="AX3680" s="20"/>
      <c r="AY3680" s="20"/>
      <c r="AZ3680" s="20"/>
      <c r="BA3680" s="20"/>
    </row>
    <row r="3681" spans="49:53" x14ac:dyDescent="0.35">
      <c r="AW3681" s="20"/>
      <c r="AX3681" s="20"/>
      <c r="AY3681" s="20"/>
      <c r="AZ3681" s="20"/>
      <c r="BA3681" s="20"/>
    </row>
    <row r="3682" spans="49:53" x14ac:dyDescent="0.35">
      <c r="AW3682" s="20"/>
      <c r="AX3682" s="20"/>
      <c r="AY3682" s="20"/>
      <c r="AZ3682" s="20"/>
      <c r="BA3682" s="20"/>
    </row>
    <row r="3683" spans="49:53" x14ac:dyDescent="0.35">
      <c r="AW3683" s="20"/>
      <c r="AX3683" s="20"/>
      <c r="AY3683" s="20"/>
      <c r="AZ3683" s="20"/>
      <c r="BA3683" s="20"/>
    </row>
    <row r="3684" spans="49:53" x14ac:dyDescent="0.35">
      <c r="AW3684" s="20"/>
      <c r="AX3684" s="20"/>
      <c r="AY3684" s="20"/>
      <c r="AZ3684" s="20"/>
      <c r="BA3684" s="20"/>
    </row>
    <row r="3685" spans="49:53" x14ac:dyDescent="0.35">
      <c r="AW3685" s="20"/>
      <c r="AX3685" s="20"/>
      <c r="AY3685" s="20"/>
      <c r="AZ3685" s="20"/>
      <c r="BA3685" s="20"/>
    </row>
    <row r="3686" spans="49:53" x14ac:dyDescent="0.35">
      <c r="AW3686" s="20"/>
      <c r="AX3686" s="20"/>
      <c r="AY3686" s="20"/>
      <c r="AZ3686" s="20"/>
      <c r="BA3686" s="20"/>
    </row>
    <row r="3687" spans="49:53" x14ac:dyDescent="0.35">
      <c r="AW3687" s="20"/>
      <c r="AX3687" s="20"/>
      <c r="AY3687" s="20"/>
      <c r="AZ3687" s="20"/>
      <c r="BA3687" s="20"/>
    </row>
    <row r="3688" spans="49:53" x14ac:dyDescent="0.35">
      <c r="AW3688" s="20"/>
      <c r="AX3688" s="20"/>
      <c r="AY3688" s="20"/>
      <c r="AZ3688" s="20"/>
      <c r="BA3688" s="20"/>
    </row>
    <row r="3689" spans="49:53" x14ac:dyDescent="0.35">
      <c r="AW3689" s="20"/>
      <c r="AX3689" s="20"/>
      <c r="AY3689" s="20"/>
      <c r="AZ3689" s="20"/>
      <c r="BA3689" s="20"/>
    </row>
    <row r="3690" spans="49:53" x14ac:dyDescent="0.35">
      <c r="AW3690" s="20"/>
      <c r="AX3690" s="20"/>
      <c r="AY3690" s="20"/>
      <c r="AZ3690" s="20"/>
      <c r="BA3690" s="20"/>
    </row>
    <row r="3691" spans="49:53" x14ac:dyDescent="0.35">
      <c r="AW3691" s="20"/>
      <c r="AX3691" s="20"/>
      <c r="AY3691" s="20"/>
      <c r="AZ3691" s="20"/>
      <c r="BA3691" s="20"/>
    </row>
    <row r="3692" spans="49:53" x14ac:dyDescent="0.35">
      <c r="AW3692" s="20"/>
      <c r="AX3692" s="20"/>
      <c r="AY3692" s="20"/>
      <c r="AZ3692" s="20"/>
      <c r="BA3692" s="20"/>
    </row>
    <row r="3693" spans="49:53" x14ac:dyDescent="0.35">
      <c r="AW3693" s="20"/>
      <c r="AX3693" s="20"/>
      <c r="AY3693" s="20"/>
      <c r="AZ3693" s="20"/>
      <c r="BA3693" s="20"/>
    </row>
    <row r="3694" spans="49:53" x14ac:dyDescent="0.35">
      <c r="AW3694" s="20"/>
      <c r="AX3694" s="20"/>
      <c r="AY3694" s="20"/>
      <c r="AZ3694" s="20"/>
      <c r="BA3694" s="20"/>
    </row>
    <row r="3695" spans="49:53" x14ac:dyDescent="0.35">
      <c r="AW3695" s="20"/>
      <c r="AX3695" s="20"/>
      <c r="AY3695" s="20"/>
      <c r="AZ3695" s="20"/>
      <c r="BA3695" s="20"/>
    </row>
    <row r="3696" spans="49:53" x14ac:dyDescent="0.35">
      <c r="AW3696" s="20"/>
      <c r="AX3696" s="20"/>
      <c r="AY3696" s="20"/>
      <c r="AZ3696" s="20"/>
      <c r="BA3696" s="20"/>
    </row>
    <row r="3697" spans="49:53" x14ac:dyDescent="0.35">
      <c r="AW3697" s="20"/>
      <c r="AX3697" s="20"/>
      <c r="AY3697" s="20"/>
      <c r="AZ3697" s="20"/>
      <c r="BA3697" s="20"/>
    </row>
    <row r="3698" spans="49:53" x14ac:dyDescent="0.35">
      <c r="AW3698" s="20"/>
      <c r="AX3698" s="20"/>
      <c r="AY3698" s="20"/>
      <c r="AZ3698" s="20"/>
      <c r="BA3698" s="20"/>
    </row>
    <row r="3699" spans="49:53" x14ac:dyDescent="0.35">
      <c r="AW3699" s="20"/>
      <c r="AX3699" s="20"/>
      <c r="AY3699" s="20"/>
      <c r="AZ3699" s="20"/>
      <c r="BA3699" s="20"/>
    </row>
    <row r="3700" spans="49:53" x14ac:dyDescent="0.35">
      <c r="AW3700" s="20"/>
      <c r="AX3700" s="20"/>
      <c r="AY3700" s="20"/>
      <c r="AZ3700" s="20"/>
      <c r="BA3700" s="20"/>
    </row>
    <row r="3701" spans="49:53" x14ac:dyDescent="0.35">
      <c r="AW3701" s="20"/>
      <c r="AX3701" s="20"/>
      <c r="AY3701" s="20"/>
      <c r="AZ3701" s="20"/>
      <c r="BA3701" s="20"/>
    </row>
    <row r="3702" spans="49:53" x14ac:dyDescent="0.35">
      <c r="AW3702" s="20"/>
      <c r="AX3702" s="20"/>
      <c r="AY3702" s="20"/>
      <c r="AZ3702" s="20"/>
      <c r="BA3702" s="20"/>
    </row>
    <row r="3703" spans="49:53" x14ac:dyDescent="0.35">
      <c r="AW3703" s="20"/>
      <c r="AX3703" s="20"/>
      <c r="AY3703" s="20"/>
      <c r="AZ3703" s="20"/>
      <c r="BA3703" s="20"/>
    </row>
    <row r="3704" spans="49:53" x14ac:dyDescent="0.35">
      <c r="AW3704" s="20"/>
      <c r="AX3704" s="20"/>
      <c r="AY3704" s="20"/>
      <c r="AZ3704" s="20"/>
      <c r="BA3704" s="20"/>
    </row>
    <row r="3705" spans="49:53" x14ac:dyDescent="0.35">
      <c r="AW3705" s="20"/>
      <c r="AX3705" s="20"/>
      <c r="AY3705" s="20"/>
      <c r="AZ3705" s="20"/>
      <c r="BA3705" s="20"/>
    </row>
    <row r="3706" spans="49:53" x14ac:dyDescent="0.35">
      <c r="AW3706" s="20"/>
      <c r="AX3706" s="20"/>
      <c r="AY3706" s="20"/>
      <c r="AZ3706" s="20"/>
      <c r="BA3706" s="20"/>
    </row>
    <row r="3707" spans="49:53" x14ac:dyDescent="0.35">
      <c r="AW3707" s="20"/>
      <c r="AX3707" s="20"/>
      <c r="AY3707" s="20"/>
      <c r="AZ3707" s="20"/>
      <c r="BA3707" s="20"/>
    </row>
    <row r="3708" spans="49:53" x14ac:dyDescent="0.35">
      <c r="AW3708" s="20"/>
      <c r="AX3708" s="20"/>
      <c r="AY3708" s="20"/>
      <c r="AZ3708" s="20"/>
      <c r="BA3708" s="20"/>
    </row>
    <row r="3709" spans="49:53" x14ac:dyDescent="0.35">
      <c r="AW3709" s="20"/>
      <c r="AX3709" s="20"/>
      <c r="AY3709" s="20"/>
      <c r="AZ3709" s="20"/>
      <c r="BA3709" s="20"/>
    </row>
    <row r="3710" spans="49:53" x14ac:dyDescent="0.35">
      <c r="AW3710" s="20"/>
      <c r="AX3710" s="20"/>
      <c r="AY3710" s="20"/>
      <c r="AZ3710" s="20"/>
      <c r="BA3710" s="20"/>
    </row>
    <row r="3711" spans="49:53" x14ac:dyDescent="0.35">
      <c r="AW3711" s="20"/>
      <c r="AX3711" s="20"/>
      <c r="AY3711" s="20"/>
      <c r="AZ3711" s="20"/>
      <c r="BA3711" s="20"/>
    </row>
    <row r="3712" spans="49:53" x14ac:dyDescent="0.35">
      <c r="AW3712" s="20"/>
      <c r="AX3712" s="20"/>
      <c r="AY3712" s="20"/>
      <c r="AZ3712" s="20"/>
      <c r="BA3712" s="20"/>
    </row>
    <row r="3713" spans="49:53" x14ac:dyDescent="0.35">
      <c r="AW3713" s="20"/>
      <c r="AX3713" s="20"/>
      <c r="AY3713" s="20"/>
      <c r="AZ3713" s="20"/>
      <c r="BA3713" s="20"/>
    </row>
    <row r="3714" spans="49:53" x14ac:dyDescent="0.35">
      <c r="AW3714" s="20"/>
      <c r="AX3714" s="20"/>
      <c r="AY3714" s="20"/>
      <c r="AZ3714" s="20"/>
      <c r="BA3714" s="20"/>
    </row>
    <row r="3715" spans="49:53" x14ac:dyDescent="0.35">
      <c r="AW3715" s="20"/>
      <c r="AX3715" s="20"/>
      <c r="AY3715" s="20"/>
      <c r="AZ3715" s="20"/>
      <c r="BA3715" s="20"/>
    </row>
    <row r="3716" spans="49:53" x14ac:dyDescent="0.35">
      <c r="AW3716" s="20"/>
      <c r="AX3716" s="20"/>
      <c r="AY3716" s="20"/>
      <c r="AZ3716" s="20"/>
      <c r="BA3716" s="20"/>
    </row>
    <row r="3717" spans="49:53" x14ac:dyDescent="0.35">
      <c r="AW3717" s="20"/>
      <c r="AX3717" s="20"/>
      <c r="AY3717" s="20"/>
      <c r="AZ3717" s="20"/>
      <c r="BA3717" s="20"/>
    </row>
    <row r="3718" spans="49:53" x14ac:dyDescent="0.35">
      <c r="AW3718" s="20"/>
      <c r="AX3718" s="20"/>
      <c r="AY3718" s="20"/>
      <c r="AZ3718" s="20"/>
      <c r="BA3718" s="20"/>
    </row>
    <row r="3719" spans="49:53" x14ac:dyDescent="0.35">
      <c r="AW3719" s="20"/>
      <c r="AX3719" s="20"/>
      <c r="AY3719" s="20"/>
      <c r="AZ3719" s="20"/>
      <c r="BA3719" s="20"/>
    </row>
    <row r="3720" spans="49:53" x14ac:dyDescent="0.35">
      <c r="AW3720" s="20"/>
      <c r="AX3720" s="20"/>
      <c r="AY3720" s="20"/>
      <c r="AZ3720" s="20"/>
      <c r="BA3720" s="20"/>
    </row>
    <row r="3721" spans="49:53" x14ac:dyDescent="0.35">
      <c r="AW3721" s="20"/>
      <c r="AX3721" s="20"/>
      <c r="AY3721" s="20"/>
      <c r="AZ3721" s="20"/>
      <c r="BA3721" s="20"/>
    </row>
    <row r="3722" spans="49:53" x14ac:dyDescent="0.35">
      <c r="AW3722" s="20"/>
      <c r="AX3722" s="20"/>
      <c r="AY3722" s="20"/>
      <c r="AZ3722" s="20"/>
      <c r="BA3722" s="20"/>
    </row>
    <row r="3723" spans="49:53" x14ac:dyDescent="0.35">
      <c r="AW3723" s="20"/>
      <c r="AX3723" s="20"/>
      <c r="AY3723" s="20"/>
      <c r="AZ3723" s="20"/>
      <c r="BA3723" s="20"/>
    </row>
    <row r="3724" spans="49:53" x14ac:dyDescent="0.35">
      <c r="AW3724" s="20"/>
      <c r="AX3724" s="20"/>
      <c r="AY3724" s="20"/>
      <c r="AZ3724" s="20"/>
      <c r="BA3724" s="20"/>
    </row>
    <row r="3725" spans="49:53" x14ac:dyDescent="0.35">
      <c r="AW3725" s="20"/>
      <c r="AX3725" s="20"/>
      <c r="AY3725" s="20"/>
      <c r="AZ3725" s="20"/>
      <c r="BA3725" s="20"/>
    </row>
    <row r="3726" spans="49:53" x14ac:dyDescent="0.35">
      <c r="AW3726" s="20"/>
      <c r="AX3726" s="20"/>
      <c r="AY3726" s="20"/>
      <c r="AZ3726" s="20"/>
      <c r="BA3726" s="20"/>
    </row>
    <row r="3727" spans="49:53" x14ac:dyDescent="0.35">
      <c r="AW3727" s="20"/>
      <c r="AX3727" s="20"/>
      <c r="AY3727" s="20"/>
      <c r="AZ3727" s="20"/>
      <c r="BA3727" s="20"/>
    </row>
    <row r="3728" spans="49:53" x14ac:dyDescent="0.35">
      <c r="AW3728" s="20"/>
      <c r="AX3728" s="20"/>
      <c r="AY3728" s="20"/>
      <c r="AZ3728" s="20"/>
      <c r="BA3728" s="20"/>
    </row>
    <row r="3729" spans="49:53" x14ac:dyDescent="0.35">
      <c r="AW3729" s="20"/>
      <c r="AX3729" s="20"/>
      <c r="AY3729" s="20"/>
      <c r="AZ3729" s="20"/>
      <c r="BA3729" s="20"/>
    </row>
    <row r="3730" spans="49:53" x14ac:dyDescent="0.35">
      <c r="AW3730" s="20"/>
      <c r="AX3730" s="20"/>
      <c r="AY3730" s="20"/>
      <c r="AZ3730" s="20"/>
      <c r="BA3730" s="20"/>
    </row>
    <row r="3731" spans="49:53" x14ac:dyDescent="0.35">
      <c r="AW3731" s="20"/>
      <c r="AX3731" s="20"/>
      <c r="AY3731" s="20"/>
      <c r="AZ3731" s="20"/>
      <c r="BA3731" s="20"/>
    </row>
    <row r="3732" spans="49:53" x14ac:dyDescent="0.35">
      <c r="AW3732" s="20"/>
      <c r="AX3732" s="20"/>
      <c r="AY3732" s="20"/>
      <c r="AZ3732" s="20"/>
      <c r="BA3732" s="20"/>
    </row>
    <row r="3733" spans="49:53" x14ac:dyDescent="0.35">
      <c r="AW3733" s="20"/>
      <c r="AX3733" s="20"/>
      <c r="AY3733" s="20"/>
      <c r="AZ3733" s="20"/>
      <c r="BA3733" s="20"/>
    </row>
    <row r="3734" spans="49:53" x14ac:dyDescent="0.35">
      <c r="AW3734" s="20"/>
      <c r="AX3734" s="20"/>
      <c r="AY3734" s="20"/>
      <c r="AZ3734" s="20"/>
      <c r="BA3734" s="20"/>
    </row>
    <row r="3735" spans="49:53" x14ac:dyDescent="0.35">
      <c r="AW3735" s="20"/>
      <c r="AX3735" s="20"/>
      <c r="AY3735" s="20"/>
      <c r="AZ3735" s="20"/>
      <c r="BA3735" s="20"/>
    </row>
    <row r="3736" spans="49:53" x14ac:dyDescent="0.35">
      <c r="AW3736" s="20"/>
      <c r="AX3736" s="20"/>
      <c r="AY3736" s="20"/>
      <c r="AZ3736" s="20"/>
      <c r="BA3736" s="20"/>
    </row>
    <row r="3737" spans="49:53" x14ac:dyDescent="0.35">
      <c r="AW3737" s="20"/>
      <c r="AX3737" s="20"/>
      <c r="AY3737" s="20"/>
      <c r="AZ3737" s="20"/>
      <c r="BA3737" s="20"/>
    </row>
    <row r="3738" spans="49:53" x14ac:dyDescent="0.35">
      <c r="AW3738" s="20"/>
      <c r="AX3738" s="20"/>
      <c r="AY3738" s="20"/>
      <c r="AZ3738" s="20"/>
      <c r="BA3738" s="20"/>
    </row>
    <row r="3739" spans="49:53" x14ac:dyDescent="0.35">
      <c r="AW3739" s="20"/>
      <c r="AX3739" s="20"/>
      <c r="AY3739" s="20"/>
      <c r="AZ3739" s="20"/>
      <c r="BA3739" s="20"/>
    </row>
    <row r="3740" spans="49:53" x14ac:dyDescent="0.35">
      <c r="AW3740" s="20"/>
      <c r="AX3740" s="20"/>
      <c r="AY3740" s="20"/>
      <c r="AZ3740" s="20"/>
      <c r="BA3740" s="20"/>
    </row>
    <row r="3741" spans="49:53" x14ac:dyDescent="0.35">
      <c r="AW3741" s="20"/>
      <c r="AX3741" s="20"/>
      <c r="AY3741" s="20"/>
      <c r="AZ3741" s="20"/>
      <c r="BA3741" s="20"/>
    </row>
    <row r="3742" spans="49:53" x14ac:dyDescent="0.35">
      <c r="AW3742" s="20"/>
      <c r="AX3742" s="20"/>
      <c r="AY3742" s="20"/>
      <c r="AZ3742" s="20"/>
      <c r="BA3742" s="20"/>
    </row>
    <row r="3743" spans="49:53" x14ac:dyDescent="0.35">
      <c r="AW3743" s="20"/>
      <c r="AX3743" s="20"/>
      <c r="AY3743" s="20"/>
      <c r="AZ3743" s="20"/>
      <c r="BA3743" s="20"/>
    </row>
    <row r="3744" spans="49:53" x14ac:dyDescent="0.35">
      <c r="AW3744" s="20"/>
      <c r="AX3744" s="20"/>
      <c r="AY3744" s="20"/>
      <c r="AZ3744" s="20"/>
      <c r="BA3744" s="20"/>
    </row>
    <row r="3745" spans="49:53" x14ac:dyDescent="0.35">
      <c r="AW3745" s="20"/>
      <c r="AX3745" s="20"/>
      <c r="AY3745" s="20"/>
      <c r="AZ3745" s="20"/>
      <c r="BA3745" s="20"/>
    </row>
    <row r="3746" spans="49:53" x14ac:dyDescent="0.35">
      <c r="AW3746" s="20"/>
      <c r="AX3746" s="20"/>
      <c r="AY3746" s="20"/>
      <c r="AZ3746" s="20"/>
      <c r="BA3746" s="20"/>
    </row>
    <row r="3747" spans="49:53" x14ac:dyDescent="0.35">
      <c r="AW3747" s="20"/>
      <c r="AX3747" s="20"/>
      <c r="AY3747" s="20"/>
      <c r="AZ3747" s="20"/>
      <c r="BA3747" s="20"/>
    </row>
    <row r="3748" spans="49:53" x14ac:dyDescent="0.35">
      <c r="AW3748" s="20"/>
      <c r="AX3748" s="20"/>
      <c r="AY3748" s="20"/>
      <c r="AZ3748" s="20"/>
      <c r="BA3748" s="20"/>
    </row>
    <row r="3749" spans="49:53" x14ac:dyDescent="0.35">
      <c r="AW3749" s="20"/>
      <c r="AX3749" s="20"/>
      <c r="AY3749" s="20"/>
      <c r="AZ3749" s="20"/>
      <c r="BA3749" s="20"/>
    </row>
    <row r="3750" spans="49:53" x14ac:dyDescent="0.35">
      <c r="AW3750" s="20"/>
      <c r="AX3750" s="20"/>
      <c r="AY3750" s="20"/>
      <c r="AZ3750" s="20"/>
      <c r="BA3750" s="20"/>
    </row>
    <row r="3751" spans="49:53" x14ac:dyDescent="0.35">
      <c r="AW3751" s="20"/>
      <c r="AX3751" s="20"/>
      <c r="AY3751" s="20"/>
      <c r="AZ3751" s="20"/>
      <c r="BA3751" s="20"/>
    </row>
    <row r="3752" spans="49:53" x14ac:dyDescent="0.35">
      <c r="AW3752" s="20"/>
      <c r="AX3752" s="20"/>
      <c r="AY3752" s="20"/>
      <c r="AZ3752" s="20"/>
      <c r="BA3752" s="20"/>
    </row>
    <row r="3753" spans="49:53" x14ac:dyDescent="0.35">
      <c r="AW3753" s="20"/>
      <c r="AX3753" s="20"/>
      <c r="AY3753" s="20"/>
      <c r="AZ3753" s="20"/>
      <c r="BA3753" s="20"/>
    </row>
    <row r="3754" spans="49:53" x14ac:dyDescent="0.35">
      <c r="AW3754" s="20"/>
      <c r="AX3754" s="20"/>
      <c r="AY3754" s="20"/>
      <c r="AZ3754" s="20"/>
      <c r="BA3754" s="20"/>
    </row>
    <row r="3755" spans="49:53" x14ac:dyDescent="0.35">
      <c r="AW3755" s="20"/>
      <c r="AX3755" s="20"/>
      <c r="AY3755" s="20"/>
      <c r="AZ3755" s="20"/>
      <c r="BA3755" s="20"/>
    </row>
    <row r="3756" spans="49:53" x14ac:dyDescent="0.35">
      <c r="AW3756" s="20"/>
      <c r="AX3756" s="20"/>
      <c r="AY3756" s="20"/>
      <c r="AZ3756" s="20"/>
      <c r="BA3756" s="20"/>
    </row>
    <row r="3757" spans="49:53" x14ac:dyDescent="0.35">
      <c r="AW3757" s="20"/>
      <c r="AX3757" s="20"/>
      <c r="AY3757" s="20"/>
      <c r="AZ3757" s="20"/>
      <c r="BA3757" s="20"/>
    </row>
    <row r="3758" spans="49:53" x14ac:dyDescent="0.35">
      <c r="AW3758" s="20"/>
      <c r="AX3758" s="20"/>
      <c r="AY3758" s="20"/>
      <c r="AZ3758" s="20"/>
      <c r="BA3758" s="20"/>
    </row>
    <row r="3759" spans="49:53" x14ac:dyDescent="0.35">
      <c r="AW3759" s="20"/>
      <c r="AX3759" s="20"/>
      <c r="AY3759" s="20"/>
      <c r="AZ3759" s="20"/>
      <c r="BA3759" s="20"/>
    </row>
    <row r="3760" spans="49:53" x14ac:dyDescent="0.35">
      <c r="AW3760" s="20"/>
      <c r="AX3760" s="20"/>
      <c r="AY3760" s="20"/>
      <c r="AZ3760" s="20"/>
      <c r="BA3760" s="20"/>
    </row>
    <row r="3761" spans="49:53" x14ac:dyDescent="0.35">
      <c r="AW3761" s="20"/>
      <c r="AX3761" s="20"/>
      <c r="AY3761" s="20"/>
      <c r="AZ3761" s="20"/>
      <c r="BA3761" s="20"/>
    </row>
    <row r="3762" spans="49:53" x14ac:dyDescent="0.35">
      <c r="AW3762" s="20"/>
      <c r="AX3762" s="20"/>
      <c r="AY3762" s="20"/>
      <c r="AZ3762" s="20"/>
      <c r="BA3762" s="20"/>
    </row>
    <row r="3763" spans="49:53" x14ac:dyDescent="0.35">
      <c r="AW3763" s="20"/>
      <c r="AX3763" s="20"/>
      <c r="AY3763" s="20"/>
      <c r="AZ3763" s="20"/>
      <c r="BA3763" s="20"/>
    </row>
    <row r="3764" spans="49:53" x14ac:dyDescent="0.35">
      <c r="AW3764" s="20"/>
      <c r="AX3764" s="20"/>
      <c r="AY3764" s="20"/>
      <c r="AZ3764" s="20"/>
      <c r="BA3764" s="20"/>
    </row>
    <row r="3765" spans="49:53" x14ac:dyDescent="0.35">
      <c r="AW3765" s="20"/>
      <c r="AX3765" s="20"/>
      <c r="AY3765" s="20"/>
      <c r="AZ3765" s="20"/>
      <c r="BA3765" s="20"/>
    </row>
    <row r="3766" spans="49:53" x14ac:dyDescent="0.35">
      <c r="AW3766" s="20"/>
      <c r="AX3766" s="20"/>
      <c r="AY3766" s="20"/>
      <c r="AZ3766" s="20"/>
      <c r="BA3766" s="20"/>
    </row>
    <row r="3767" spans="49:53" x14ac:dyDescent="0.35">
      <c r="AW3767" s="20"/>
      <c r="AX3767" s="20"/>
      <c r="AY3767" s="20"/>
      <c r="AZ3767" s="20"/>
      <c r="BA3767" s="20"/>
    </row>
    <row r="3768" spans="49:53" x14ac:dyDescent="0.35">
      <c r="AW3768" s="20"/>
      <c r="AX3768" s="20"/>
      <c r="AY3768" s="20"/>
      <c r="AZ3768" s="20"/>
      <c r="BA3768" s="20"/>
    </row>
    <row r="3769" spans="49:53" x14ac:dyDescent="0.35">
      <c r="AW3769" s="20"/>
      <c r="AX3769" s="20"/>
      <c r="AY3769" s="20"/>
      <c r="AZ3769" s="20"/>
      <c r="BA3769" s="20"/>
    </row>
    <row r="3770" spans="49:53" x14ac:dyDescent="0.35">
      <c r="AW3770" s="20"/>
      <c r="AX3770" s="20"/>
      <c r="AY3770" s="20"/>
      <c r="AZ3770" s="20"/>
      <c r="BA3770" s="20"/>
    </row>
    <row r="3771" spans="49:53" x14ac:dyDescent="0.35">
      <c r="AW3771" s="20"/>
      <c r="AX3771" s="20"/>
      <c r="AY3771" s="20"/>
      <c r="AZ3771" s="20"/>
      <c r="BA3771" s="20"/>
    </row>
    <row r="3772" spans="49:53" x14ac:dyDescent="0.35">
      <c r="AW3772" s="20"/>
      <c r="AX3772" s="20"/>
      <c r="AY3772" s="20"/>
      <c r="AZ3772" s="20"/>
      <c r="BA3772" s="20"/>
    </row>
    <row r="3773" spans="49:53" x14ac:dyDescent="0.35">
      <c r="AW3773" s="20"/>
      <c r="AX3773" s="20"/>
      <c r="AY3773" s="20"/>
      <c r="AZ3773" s="20"/>
      <c r="BA3773" s="20"/>
    </row>
    <row r="3774" spans="49:53" x14ac:dyDescent="0.35">
      <c r="AW3774" s="20"/>
      <c r="AX3774" s="20"/>
      <c r="AY3774" s="20"/>
      <c r="AZ3774" s="20"/>
      <c r="BA3774" s="20"/>
    </row>
    <row r="3775" spans="49:53" x14ac:dyDescent="0.35">
      <c r="AW3775" s="20"/>
      <c r="AX3775" s="20"/>
      <c r="AY3775" s="20"/>
      <c r="AZ3775" s="20"/>
      <c r="BA3775" s="20"/>
    </row>
    <row r="3776" spans="49:53" x14ac:dyDescent="0.35">
      <c r="AW3776" s="20"/>
      <c r="AX3776" s="20"/>
      <c r="AY3776" s="20"/>
      <c r="AZ3776" s="20"/>
      <c r="BA3776" s="20"/>
    </row>
    <row r="3777" spans="49:53" x14ac:dyDescent="0.35">
      <c r="AW3777" s="20"/>
      <c r="AX3777" s="20"/>
      <c r="AY3777" s="20"/>
      <c r="AZ3777" s="20"/>
      <c r="BA3777" s="20"/>
    </row>
    <row r="3778" spans="49:53" x14ac:dyDescent="0.35">
      <c r="AW3778" s="20"/>
      <c r="AX3778" s="20"/>
      <c r="AY3778" s="20"/>
      <c r="AZ3778" s="20"/>
      <c r="BA3778" s="20"/>
    </row>
    <row r="3779" spans="49:53" x14ac:dyDescent="0.35">
      <c r="AW3779" s="20"/>
      <c r="AX3779" s="20"/>
      <c r="AY3779" s="20"/>
      <c r="AZ3779" s="20"/>
      <c r="BA3779" s="20"/>
    </row>
    <row r="3780" spans="49:53" x14ac:dyDescent="0.35">
      <c r="AW3780" s="20"/>
      <c r="AX3780" s="20"/>
      <c r="AY3780" s="20"/>
      <c r="AZ3780" s="20"/>
      <c r="BA3780" s="20"/>
    </row>
    <row r="3781" spans="49:53" x14ac:dyDescent="0.35">
      <c r="AW3781" s="20"/>
      <c r="AX3781" s="20"/>
      <c r="AY3781" s="20"/>
      <c r="AZ3781" s="20"/>
      <c r="BA3781" s="20"/>
    </row>
    <row r="3782" spans="49:53" x14ac:dyDescent="0.35">
      <c r="AW3782" s="20"/>
      <c r="AX3782" s="20"/>
      <c r="AY3782" s="20"/>
      <c r="AZ3782" s="20"/>
      <c r="BA3782" s="20"/>
    </row>
    <row r="3783" spans="49:53" x14ac:dyDescent="0.35">
      <c r="AW3783" s="20"/>
      <c r="AX3783" s="20"/>
      <c r="AY3783" s="20"/>
      <c r="AZ3783" s="20"/>
      <c r="BA3783" s="20"/>
    </row>
    <row r="3784" spans="49:53" x14ac:dyDescent="0.35">
      <c r="AW3784" s="20"/>
      <c r="AX3784" s="20"/>
      <c r="AY3784" s="20"/>
      <c r="AZ3784" s="20"/>
      <c r="BA3784" s="20"/>
    </row>
    <row r="3785" spans="49:53" x14ac:dyDescent="0.35">
      <c r="AW3785" s="20"/>
      <c r="AX3785" s="20"/>
      <c r="AY3785" s="20"/>
      <c r="AZ3785" s="20"/>
      <c r="BA3785" s="20"/>
    </row>
    <row r="3786" spans="49:53" x14ac:dyDescent="0.35">
      <c r="AW3786" s="20"/>
      <c r="AX3786" s="20"/>
      <c r="AY3786" s="20"/>
      <c r="AZ3786" s="20"/>
      <c r="BA3786" s="20"/>
    </row>
    <row r="3787" spans="49:53" x14ac:dyDescent="0.35">
      <c r="AW3787" s="20"/>
      <c r="AX3787" s="20"/>
      <c r="AY3787" s="20"/>
      <c r="AZ3787" s="20"/>
      <c r="BA3787" s="20"/>
    </row>
    <row r="3788" spans="49:53" x14ac:dyDescent="0.35">
      <c r="AW3788" s="20"/>
      <c r="AX3788" s="20"/>
      <c r="AY3788" s="20"/>
      <c r="AZ3788" s="20"/>
      <c r="BA3788" s="20"/>
    </row>
    <row r="3789" spans="49:53" x14ac:dyDescent="0.35">
      <c r="AW3789" s="20"/>
      <c r="AX3789" s="20"/>
      <c r="AY3789" s="20"/>
      <c r="AZ3789" s="20"/>
      <c r="BA3789" s="20"/>
    </row>
    <row r="3790" spans="49:53" x14ac:dyDescent="0.35">
      <c r="AW3790" s="20"/>
      <c r="AX3790" s="20"/>
      <c r="AY3790" s="20"/>
      <c r="AZ3790" s="20"/>
      <c r="BA3790" s="20"/>
    </row>
    <row r="3791" spans="49:53" x14ac:dyDescent="0.35">
      <c r="AW3791" s="20"/>
      <c r="AX3791" s="20"/>
      <c r="AY3791" s="20"/>
      <c r="AZ3791" s="20"/>
      <c r="BA3791" s="20"/>
    </row>
    <row r="3792" spans="49:53" x14ac:dyDescent="0.35">
      <c r="AW3792" s="20"/>
      <c r="AX3792" s="20"/>
      <c r="AY3792" s="20"/>
      <c r="AZ3792" s="20"/>
      <c r="BA3792" s="20"/>
    </row>
    <row r="3793" spans="49:53" x14ac:dyDescent="0.35">
      <c r="AW3793" s="20"/>
      <c r="AX3793" s="20"/>
      <c r="AY3793" s="20"/>
      <c r="AZ3793" s="20"/>
      <c r="BA3793" s="20"/>
    </row>
    <row r="3794" spans="49:53" x14ac:dyDescent="0.35">
      <c r="AW3794" s="20"/>
      <c r="AX3794" s="20"/>
      <c r="AY3794" s="20"/>
      <c r="AZ3794" s="20"/>
      <c r="BA3794" s="20"/>
    </row>
    <row r="3795" spans="49:53" x14ac:dyDescent="0.35">
      <c r="AW3795" s="20"/>
      <c r="AX3795" s="20"/>
      <c r="AY3795" s="20"/>
      <c r="AZ3795" s="20"/>
      <c r="BA3795" s="20"/>
    </row>
    <row r="3796" spans="49:53" x14ac:dyDescent="0.35">
      <c r="AW3796" s="20"/>
      <c r="AX3796" s="20"/>
      <c r="AY3796" s="20"/>
      <c r="AZ3796" s="20"/>
      <c r="BA3796" s="20"/>
    </row>
    <row r="3797" spans="49:53" x14ac:dyDescent="0.35">
      <c r="AW3797" s="20"/>
      <c r="AX3797" s="20"/>
      <c r="AY3797" s="20"/>
      <c r="AZ3797" s="20"/>
      <c r="BA3797" s="20"/>
    </row>
    <row r="3798" spans="49:53" x14ac:dyDescent="0.35">
      <c r="AW3798" s="20"/>
      <c r="AX3798" s="20"/>
      <c r="AY3798" s="20"/>
      <c r="AZ3798" s="20"/>
      <c r="BA3798" s="20"/>
    </row>
    <row r="3799" spans="49:53" x14ac:dyDescent="0.35">
      <c r="AW3799" s="20"/>
      <c r="AX3799" s="20"/>
      <c r="AY3799" s="20"/>
      <c r="AZ3799" s="20"/>
      <c r="BA3799" s="20"/>
    </row>
    <row r="3800" spans="49:53" x14ac:dyDescent="0.35">
      <c r="AW3800" s="20"/>
      <c r="AX3800" s="20"/>
      <c r="AY3800" s="20"/>
      <c r="AZ3800" s="20"/>
      <c r="BA3800" s="20"/>
    </row>
    <row r="3801" spans="49:53" x14ac:dyDescent="0.35">
      <c r="AW3801" s="20"/>
      <c r="AX3801" s="20"/>
      <c r="AY3801" s="20"/>
      <c r="AZ3801" s="20"/>
      <c r="BA3801" s="20"/>
    </row>
    <row r="3802" spans="49:53" x14ac:dyDescent="0.35">
      <c r="AW3802" s="20"/>
      <c r="AX3802" s="20"/>
      <c r="AY3802" s="20"/>
      <c r="AZ3802" s="20"/>
      <c r="BA3802" s="20"/>
    </row>
    <row r="3803" spans="49:53" x14ac:dyDescent="0.35">
      <c r="AW3803" s="20"/>
      <c r="AX3803" s="20"/>
      <c r="AY3803" s="20"/>
      <c r="AZ3803" s="20"/>
      <c r="BA3803" s="20"/>
    </row>
    <row r="3804" spans="49:53" x14ac:dyDescent="0.35">
      <c r="AW3804" s="20"/>
      <c r="AX3804" s="20"/>
      <c r="AY3804" s="20"/>
      <c r="AZ3804" s="20"/>
      <c r="BA3804" s="20"/>
    </row>
    <row r="3805" spans="49:53" x14ac:dyDescent="0.35">
      <c r="AW3805" s="20"/>
      <c r="AX3805" s="20"/>
      <c r="AY3805" s="20"/>
      <c r="AZ3805" s="20"/>
      <c r="BA3805" s="20"/>
    </row>
    <row r="3806" spans="49:53" x14ac:dyDescent="0.35">
      <c r="AW3806" s="20"/>
      <c r="AX3806" s="20"/>
      <c r="AY3806" s="20"/>
      <c r="AZ3806" s="20"/>
      <c r="BA3806" s="20"/>
    </row>
    <row r="3807" spans="49:53" x14ac:dyDescent="0.35">
      <c r="AW3807" s="20"/>
      <c r="AX3807" s="20"/>
      <c r="AY3807" s="20"/>
      <c r="AZ3807" s="20"/>
      <c r="BA3807" s="20"/>
    </row>
    <row r="3808" spans="49:53" x14ac:dyDescent="0.35">
      <c r="AW3808" s="20"/>
      <c r="AX3808" s="20"/>
      <c r="AY3808" s="20"/>
      <c r="AZ3808" s="20"/>
      <c r="BA3808" s="20"/>
    </row>
    <row r="3809" spans="49:53" x14ac:dyDescent="0.35">
      <c r="AW3809" s="20"/>
      <c r="AX3809" s="20"/>
      <c r="AY3809" s="20"/>
      <c r="AZ3809" s="20"/>
      <c r="BA3809" s="20"/>
    </row>
    <row r="3810" spans="49:53" x14ac:dyDescent="0.35">
      <c r="AW3810" s="20"/>
      <c r="AX3810" s="20"/>
      <c r="AY3810" s="20"/>
      <c r="AZ3810" s="20"/>
      <c r="BA3810" s="20"/>
    </row>
    <row r="3811" spans="49:53" x14ac:dyDescent="0.35">
      <c r="AW3811" s="20"/>
      <c r="AX3811" s="20"/>
      <c r="AY3811" s="20"/>
      <c r="AZ3811" s="20"/>
      <c r="BA3811" s="20"/>
    </row>
    <row r="3812" spans="49:53" x14ac:dyDescent="0.35">
      <c r="AW3812" s="20"/>
      <c r="AX3812" s="20"/>
      <c r="AY3812" s="20"/>
      <c r="AZ3812" s="20"/>
      <c r="BA3812" s="20"/>
    </row>
    <row r="3813" spans="49:53" x14ac:dyDescent="0.35">
      <c r="AW3813" s="20"/>
      <c r="AX3813" s="20"/>
      <c r="AY3813" s="20"/>
      <c r="AZ3813" s="20"/>
      <c r="BA3813" s="20"/>
    </row>
    <row r="3814" spans="49:53" x14ac:dyDescent="0.35">
      <c r="AW3814" s="20"/>
      <c r="AX3814" s="20"/>
      <c r="AY3814" s="20"/>
      <c r="AZ3814" s="20"/>
      <c r="BA3814" s="20"/>
    </row>
    <row r="3815" spans="49:53" x14ac:dyDescent="0.35">
      <c r="AW3815" s="20"/>
      <c r="AX3815" s="20"/>
      <c r="AY3815" s="20"/>
      <c r="AZ3815" s="20"/>
      <c r="BA3815" s="20"/>
    </row>
    <row r="3816" spans="49:53" x14ac:dyDescent="0.35">
      <c r="AW3816" s="20"/>
      <c r="AX3816" s="20"/>
      <c r="AY3816" s="20"/>
      <c r="AZ3816" s="20"/>
      <c r="BA3816" s="20"/>
    </row>
    <row r="3817" spans="49:53" x14ac:dyDescent="0.35">
      <c r="AW3817" s="20"/>
      <c r="AX3817" s="20"/>
      <c r="AY3817" s="20"/>
      <c r="AZ3817" s="20"/>
      <c r="BA3817" s="20"/>
    </row>
    <row r="3818" spans="49:53" x14ac:dyDescent="0.35">
      <c r="AW3818" s="20"/>
      <c r="AX3818" s="20"/>
      <c r="AY3818" s="20"/>
      <c r="AZ3818" s="20"/>
      <c r="BA3818" s="20"/>
    </row>
    <row r="3819" spans="49:53" x14ac:dyDescent="0.35">
      <c r="AW3819" s="20"/>
      <c r="AX3819" s="20"/>
      <c r="AY3819" s="20"/>
      <c r="AZ3819" s="20"/>
      <c r="BA3819" s="20"/>
    </row>
    <row r="3820" spans="49:53" x14ac:dyDescent="0.35">
      <c r="AW3820" s="20"/>
      <c r="AX3820" s="20"/>
      <c r="AY3820" s="20"/>
      <c r="AZ3820" s="20"/>
      <c r="BA3820" s="20"/>
    </row>
    <row r="3821" spans="49:53" x14ac:dyDescent="0.35">
      <c r="AW3821" s="20"/>
      <c r="AX3821" s="20"/>
      <c r="AY3821" s="20"/>
      <c r="AZ3821" s="20"/>
      <c r="BA3821" s="20"/>
    </row>
    <row r="3822" spans="49:53" x14ac:dyDescent="0.35">
      <c r="AW3822" s="20"/>
      <c r="AX3822" s="20"/>
      <c r="AY3822" s="20"/>
      <c r="AZ3822" s="20"/>
      <c r="BA3822" s="20"/>
    </row>
    <row r="3823" spans="49:53" x14ac:dyDescent="0.35">
      <c r="AW3823" s="20"/>
      <c r="AX3823" s="20"/>
      <c r="AY3823" s="20"/>
      <c r="AZ3823" s="20"/>
      <c r="BA3823" s="20"/>
    </row>
    <row r="3824" spans="49:53" x14ac:dyDescent="0.35">
      <c r="AW3824" s="20"/>
      <c r="AX3824" s="20"/>
      <c r="AY3824" s="20"/>
      <c r="AZ3824" s="20"/>
      <c r="BA3824" s="20"/>
    </row>
    <row r="3825" spans="49:53" x14ac:dyDescent="0.35">
      <c r="AW3825" s="20"/>
      <c r="AX3825" s="20"/>
      <c r="AY3825" s="20"/>
      <c r="AZ3825" s="20"/>
      <c r="BA3825" s="20"/>
    </row>
    <row r="3826" spans="49:53" x14ac:dyDescent="0.35">
      <c r="AW3826" s="20"/>
      <c r="AX3826" s="20"/>
      <c r="AY3826" s="20"/>
      <c r="AZ3826" s="20"/>
      <c r="BA3826" s="20"/>
    </row>
    <row r="3827" spans="49:53" x14ac:dyDescent="0.35">
      <c r="AW3827" s="20"/>
      <c r="AX3827" s="20"/>
      <c r="AY3827" s="20"/>
      <c r="AZ3827" s="20"/>
      <c r="BA3827" s="20"/>
    </row>
    <row r="3828" spans="49:53" x14ac:dyDescent="0.35">
      <c r="AW3828" s="20"/>
      <c r="AX3828" s="20"/>
      <c r="AY3828" s="20"/>
      <c r="AZ3828" s="20"/>
      <c r="BA3828" s="20"/>
    </row>
    <row r="3829" spans="49:53" x14ac:dyDescent="0.35">
      <c r="AW3829" s="20"/>
      <c r="AX3829" s="20"/>
      <c r="AY3829" s="20"/>
      <c r="AZ3829" s="20"/>
      <c r="BA3829" s="20"/>
    </row>
    <row r="3830" spans="49:53" x14ac:dyDescent="0.35">
      <c r="AW3830" s="20"/>
      <c r="AX3830" s="20"/>
      <c r="AY3830" s="20"/>
      <c r="AZ3830" s="20"/>
      <c r="BA3830" s="20"/>
    </row>
    <row r="3831" spans="49:53" x14ac:dyDescent="0.35">
      <c r="AW3831" s="20"/>
      <c r="AX3831" s="20"/>
      <c r="AY3831" s="20"/>
      <c r="AZ3831" s="20"/>
      <c r="BA3831" s="20"/>
    </row>
    <row r="3832" spans="49:53" x14ac:dyDescent="0.35">
      <c r="AW3832" s="20"/>
      <c r="AX3832" s="20"/>
      <c r="AY3832" s="20"/>
      <c r="AZ3832" s="20"/>
      <c r="BA3832" s="20"/>
    </row>
    <row r="3833" spans="49:53" x14ac:dyDescent="0.35">
      <c r="AW3833" s="20"/>
      <c r="AX3833" s="20"/>
      <c r="AY3833" s="20"/>
      <c r="AZ3833" s="20"/>
      <c r="BA3833" s="20"/>
    </row>
    <row r="3834" spans="49:53" x14ac:dyDescent="0.35">
      <c r="AW3834" s="20"/>
      <c r="AX3834" s="20"/>
      <c r="AY3834" s="20"/>
      <c r="AZ3834" s="20"/>
      <c r="BA3834" s="20"/>
    </row>
    <row r="3835" spans="49:53" x14ac:dyDescent="0.35">
      <c r="AW3835" s="20"/>
      <c r="AX3835" s="20"/>
      <c r="AY3835" s="20"/>
      <c r="AZ3835" s="20"/>
      <c r="BA3835" s="20"/>
    </row>
    <row r="3836" spans="49:53" x14ac:dyDescent="0.35">
      <c r="AW3836" s="20"/>
      <c r="AX3836" s="20"/>
      <c r="AY3836" s="20"/>
      <c r="AZ3836" s="20"/>
      <c r="BA3836" s="20"/>
    </row>
    <row r="3837" spans="49:53" x14ac:dyDescent="0.35">
      <c r="AW3837" s="20"/>
      <c r="AX3837" s="20"/>
      <c r="AY3837" s="20"/>
      <c r="AZ3837" s="20"/>
      <c r="BA3837" s="20"/>
    </row>
    <row r="3838" spans="49:53" x14ac:dyDescent="0.35">
      <c r="AW3838" s="20"/>
      <c r="AX3838" s="20"/>
      <c r="AY3838" s="20"/>
      <c r="AZ3838" s="20"/>
      <c r="BA3838" s="20"/>
    </row>
    <row r="3839" spans="49:53" x14ac:dyDescent="0.35">
      <c r="AW3839" s="20"/>
      <c r="AX3839" s="20"/>
      <c r="AY3839" s="20"/>
      <c r="AZ3839" s="20"/>
      <c r="BA3839" s="20"/>
    </row>
    <row r="3840" spans="49:53" x14ac:dyDescent="0.35">
      <c r="AW3840" s="20"/>
      <c r="AX3840" s="20"/>
      <c r="AY3840" s="20"/>
      <c r="AZ3840" s="20"/>
      <c r="BA3840" s="20"/>
    </row>
    <row r="3841" spans="49:53" x14ac:dyDescent="0.35">
      <c r="AW3841" s="20"/>
      <c r="AX3841" s="20"/>
      <c r="AY3841" s="20"/>
      <c r="AZ3841" s="20"/>
      <c r="BA3841" s="20"/>
    </row>
    <row r="3842" spans="49:53" x14ac:dyDescent="0.35">
      <c r="AW3842" s="20"/>
      <c r="AX3842" s="20"/>
      <c r="AY3842" s="20"/>
      <c r="AZ3842" s="20"/>
      <c r="BA3842" s="20"/>
    </row>
    <row r="3843" spans="49:53" x14ac:dyDescent="0.35">
      <c r="AW3843" s="20"/>
      <c r="AX3843" s="20"/>
      <c r="AY3843" s="20"/>
      <c r="AZ3843" s="20"/>
      <c r="BA3843" s="20"/>
    </row>
    <row r="3844" spans="49:53" x14ac:dyDescent="0.35">
      <c r="AW3844" s="20"/>
      <c r="AX3844" s="20"/>
      <c r="AY3844" s="20"/>
      <c r="AZ3844" s="20"/>
      <c r="BA3844" s="20"/>
    </row>
    <row r="3845" spans="49:53" x14ac:dyDescent="0.35">
      <c r="AW3845" s="20"/>
      <c r="AX3845" s="20"/>
      <c r="AY3845" s="20"/>
      <c r="AZ3845" s="20"/>
      <c r="BA3845" s="20"/>
    </row>
    <row r="3846" spans="49:53" x14ac:dyDescent="0.35">
      <c r="AW3846" s="20"/>
      <c r="AX3846" s="20"/>
      <c r="AY3846" s="20"/>
      <c r="AZ3846" s="20"/>
      <c r="BA3846" s="20"/>
    </row>
    <row r="3847" spans="49:53" x14ac:dyDescent="0.35">
      <c r="AW3847" s="20"/>
      <c r="AX3847" s="20"/>
      <c r="AY3847" s="20"/>
      <c r="AZ3847" s="20"/>
      <c r="BA3847" s="20"/>
    </row>
    <row r="3848" spans="49:53" x14ac:dyDescent="0.35">
      <c r="AW3848" s="20"/>
      <c r="AX3848" s="20"/>
      <c r="AY3848" s="20"/>
      <c r="AZ3848" s="20"/>
      <c r="BA3848" s="20"/>
    </row>
    <row r="3849" spans="49:53" x14ac:dyDescent="0.35">
      <c r="AW3849" s="20"/>
      <c r="AX3849" s="20"/>
      <c r="AY3849" s="20"/>
      <c r="AZ3849" s="20"/>
      <c r="BA3849" s="20"/>
    </row>
    <row r="3850" spans="49:53" x14ac:dyDescent="0.35">
      <c r="AW3850" s="20"/>
      <c r="AX3850" s="20"/>
      <c r="AY3850" s="20"/>
      <c r="AZ3850" s="20"/>
      <c r="BA3850" s="20"/>
    </row>
    <row r="3851" spans="49:53" x14ac:dyDescent="0.35">
      <c r="AW3851" s="20"/>
      <c r="AX3851" s="20"/>
      <c r="AY3851" s="20"/>
      <c r="AZ3851" s="20"/>
      <c r="BA3851" s="20"/>
    </row>
    <row r="3852" spans="49:53" x14ac:dyDescent="0.35">
      <c r="AW3852" s="20"/>
      <c r="AX3852" s="20"/>
      <c r="AY3852" s="20"/>
      <c r="AZ3852" s="20"/>
      <c r="BA3852" s="20"/>
    </row>
    <row r="3853" spans="49:53" x14ac:dyDescent="0.35">
      <c r="AW3853" s="20"/>
      <c r="AX3853" s="20"/>
      <c r="AY3853" s="20"/>
      <c r="AZ3853" s="20"/>
      <c r="BA3853" s="20"/>
    </row>
    <row r="3854" spans="49:53" x14ac:dyDescent="0.35">
      <c r="AW3854" s="20"/>
      <c r="AX3854" s="20"/>
      <c r="AY3854" s="20"/>
      <c r="AZ3854" s="20"/>
      <c r="BA3854" s="20"/>
    </row>
    <row r="3855" spans="49:53" x14ac:dyDescent="0.35">
      <c r="AW3855" s="20"/>
      <c r="AX3855" s="20"/>
      <c r="AY3855" s="20"/>
      <c r="AZ3855" s="20"/>
      <c r="BA3855" s="20"/>
    </row>
    <row r="3856" spans="49:53" x14ac:dyDescent="0.35">
      <c r="AW3856" s="20"/>
      <c r="AX3856" s="20"/>
      <c r="AY3856" s="20"/>
      <c r="AZ3856" s="20"/>
      <c r="BA3856" s="20"/>
    </row>
    <row r="3857" spans="49:53" x14ac:dyDescent="0.35">
      <c r="AW3857" s="20"/>
      <c r="AX3857" s="20"/>
      <c r="AY3857" s="20"/>
      <c r="AZ3857" s="20"/>
      <c r="BA3857" s="20"/>
    </row>
    <row r="3858" spans="49:53" x14ac:dyDescent="0.35">
      <c r="AW3858" s="20"/>
      <c r="AX3858" s="20"/>
      <c r="AY3858" s="20"/>
      <c r="AZ3858" s="20"/>
      <c r="BA3858" s="20"/>
    </row>
    <row r="3859" spans="49:53" x14ac:dyDescent="0.35">
      <c r="AW3859" s="20"/>
      <c r="AX3859" s="20"/>
      <c r="AY3859" s="20"/>
      <c r="AZ3859" s="20"/>
      <c r="BA3859" s="20"/>
    </row>
    <row r="3860" spans="49:53" x14ac:dyDescent="0.35">
      <c r="AW3860" s="20"/>
      <c r="AX3860" s="20"/>
      <c r="AY3860" s="20"/>
      <c r="AZ3860" s="20"/>
      <c r="BA3860" s="20"/>
    </row>
    <row r="3861" spans="49:53" x14ac:dyDescent="0.35">
      <c r="AW3861" s="20"/>
      <c r="AX3861" s="20"/>
      <c r="AY3861" s="20"/>
      <c r="AZ3861" s="20"/>
      <c r="BA3861" s="20"/>
    </row>
    <row r="3862" spans="49:53" x14ac:dyDescent="0.35">
      <c r="AW3862" s="20"/>
      <c r="AX3862" s="20"/>
      <c r="AY3862" s="20"/>
      <c r="AZ3862" s="20"/>
      <c r="BA3862" s="20"/>
    </row>
    <row r="3863" spans="49:53" x14ac:dyDescent="0.35">
      <c r="AW3863" s="20"/>
      <c r="AX3863" s="20"/>
      <c r="AY3863" s="20"/>
      <c r="AZ3863" s="20"/>
      <c r="BA3863" s="20"/>
    </row>
    <row r="3864" spans="49:53" x14ac:dyDescent="0.35">
      <c r="AW3864" s="20"/>
      <c r="AX3864" s="20"/>
      <c r="AY3864" s="20"/>
      <c r="AZ3864" s="20"/>
      <c r="BA3864" s="20"/>
    </row>
    <row r="3865" spans="49:53" x14ac:dyDescent="0.35">
      <c r="AW3865" s="20"/>
      <c r="AX3865" s="20"/>
      <c r="AY3865" s="20"/>
      <c r="AZ3865" s="20"/>
      <c r="BA3865" s="20"/>
    </row>
    <row r="3866" spans="49:53" x14ac:dyDescent="0.35">
      <c r="AW3866" s="20"/>
      <c r="AX3866" s="20"/>
      <c r="AY3866" s="20"/>
      <c r="AZ3866" s="20"/>
      <c r="BA3866" s="20"/>
    </row>
    <row r="3867" spans="49:53" x14ac:dyDescent="0.35">
      <c r="AW3867" s="20"/>
      <c r="AX3867" s="20"/>
      <c r="AY3867" s="20"/>
      <c r="AZ3867" s="20"/>
      <c r="BA3867" s="20"/>
    </row>
    <row r="3868" spans="49:53" x14ac:dyDescent="0.35">
      <c r="AW3868" s="20"/>
      <c r="AX3868" s="20"/>
      <c r="AY3868" s="20"/>
      <c r="AZ3868" s="20"/>
      <c r="BA3868" s="20"/>
    </row>
    <row r="3869" spans="49:53" x14ac:dyDescent="0.35">
      <c r="AW3869" s="20"/>
      <c r="AX3869" s="20"/>
      <c r="AY3869" s="20"/>
      <c r="AZ3869" s="20"/>
      <c r="BA3869" s="20"/>
    </row>
    <row r="3870" spans="49:53" x14ac:dyDescent="0.35">
      <c r="AW3870" s="20"/>
      <c r="AX3870" s="20"/>
      <c r="AY3870" s="20"/>
      <c r="AZ3870" s="20"/>
      <c r="BA3870" s="20"/>
    </row>
    <row r="3871" spans="49:53" x14ac:dyDescent="0.35">
      <c r="AW3871" s="20"/>
      <c r="AX3871" s="20"/>
      <c r="AY3871" s="20"/>
      <c r="AZ3871" s="20"/>
      <c r="BA3871" s="20"/>
    </row>
    <row r="3872" spans="49:53" x14ac:dyDescent="0.35">
      <c r="AW3872" s="20"/>
      <c r="AX3872" s="20"/>
      <c r="AY3872" s="20"/>
      <c r="AZ3872" s="20"/>
      <c r="BA3872" s="20"/>
    </row>
    <row r="3873" spans="49:53" x14ac:dyDescent="0.35">
      <c r="AW3873" s="20"/>
      <c r="AX3873" s="20"/>
      <c r="AY3873" s="20"/>
      <c r="AZ3873" s="20"/>
      <c r="BA3873" s="20"/>
    </row>
    <row r="3874" spans="49:53" x14ac:dyDescent="0.35">
      <c r="AW3874" s="20"/>
      <c r="AX3874" s="20"/>
      <c r="AY3874" s="20"/>
      <c r="AZ3874" s="20"/>
      <c r="BA3874" s="20"/>
    </row>
    <row r="3875" spans="49:53" x14ac:dyDescent="0.35">
      <c r="AW3875" s="20"/>
      <c r="AX3875" s="20"/>
      <c r="AY3875" s="20"/>
      <c r="AZ3875" s="20"/>
      <c r="BA3875" s="20"/>
    </row>
    <row r="3876" spans="49:53" x14ac:dyDescent="0.35">
      <c r="AW3876" s="20"/>
      <c r="AX3876" s="20"/>
      <c r="AY3876" s="20"/>
      <c r="AZ3876" s="20"/>
      <c r="BA3876" s="20"/>
    </row>
    <row r="3877" spans="49:53" x14ac:dyDescent="0.35">
      <c r="AW3877" s="20"/>
      <c r="AX3877" s="20"/>
      <c r="AY3877" s="20"/>
      <c r="AZ3877" s="20"/>
      <c r="BA3877" s="20"/>
    </row>
    <row r="3878" spans="49:53" x14ac:dyDescent="0.35">
      <c r="AW3878" s="20"/>
      <c r="AX3878" s="20"/>
      <c r="AY3878" s="20"/>
      <c r="AZ3878" s="20"/>
      <c r="BA3878" s="20"/>
    </row>
    <row r="3879" spans="49:53" x14ac:dyDescent="0.35">
      <c r="AW3879" s="20"/>
      <c r="AX3879" s="20"/>
      <c r="AY3879" s="20"/>
      <c r="AZ3879" s="20"/>
      <c r="BA3879" s="20"/>
    </row>
    <row r="3880" spans="49:53" x14ac:dyDescent="0.35">
      <c r="AW3880" s="20"/>
      <c r="AX3880" s="20"/>
      <c r="AY3880" s="20"/>
      <c r="AZ3880" s="20"/>
      <c r="BA3880" s="20"/>
    </row>
    <row r="3881" spans="49:53" x14ac:dyDescent="0.35">
      <c r="AW3881" s="20"/>
      <c r="AX3881" s="20"/>
      <c r="AY3881" s="20"/>
      <c r="AZ3881" s="20"/>
      <c r="BA3881" s="20"/>
    </row>
    <row r="3882" spans="49:53" x14ac:dyDescent="0.35">
      <c r="AW3882" s="20"/>
      <c r="AX3882" s="20"/>
      <c r="AY3882" s="20"/>
      <c r="AZ3882" s="20"/>
      <c r="BA3882" s="20"/>
    </row>
    <row r="3883" spans="49:53" x14ac:dyDescent="0.35">
      <c r="AW3883" s="20"/>
      <c r="AX3883" s="20"/>
      <c r="AY3883" s="20"/>
      <c r="AZ3883" s="20"/>
      <c r="BA3883" s="20"/>
    </row>
    <row r="3884" spans="49:53" x14ac:dyDescent="0.35">
      <c r="AW3884" s="20"/>
      <c r="AX3884" s="20"/>
      <c r="AY3884" s="20"/>
      <c r="AZ3884" s="20"/>
      <c r="BA3884" s="20"/>
    </row>
    <row r="3885" spans="49:53" x14ac:dyDescent="0.35">
      <c r="AW3885" s="20"/>
      <c r="AX3885" s="20"/>
      <c r="AY3885" s="20"/>
      <c r="AZ3885" s="20"/>
      <c r="BA3885" s="20"/>
    </row>
    <row r="3886" spans="49:53" x14ac:dyDescent="0.35">
      <c r="AW3886" s="20"/>
      <c r="AX3886" s="20"/>
      <c r="AY3886" s="20"/>
      <c r="AZ3886" s="20"/>
      <c r="BA3886" s="20"/>
    </row>
    <row r="3887" spans="49:53" x14ac:dyDescent="0.35">
      <c r="AW3887" s="20"/>
      <c r="AX3887" s="20"/>
      <c r="AY3887" s="20"/>
      <c r="AZ3887" s="20"/>
      <c r="BA3887" s="20"/>
    </row>
    <row r="3888" spans="49:53" x14ac:dyDescent="0.35">
      <c r="AW3888" s="20"/>
      <c r="AX3888" s="20"/>
      <c r="AY3888" s="20"/>
      <c r="AZ3888" s="20"/>
      <c r="BA3888" s="20"/>
    </row>
    <row r="3889" spans="49:53" x14ac:dyDescent="0.35">
      <c r="AW3889" s="20"/>
      <c r="AX3889" s="20"/>
      <c r="AY3889" s="20"/>
      <c r="AZ3889" s="20"/>
      <c r="BA3889" s="20"/>
    </row>
    <row r="3890" spans="49:53" x14ac:dyDescent="0.35">
      <c r="AW3890" s="20"/>
      <c r="AX3890" s="20"/>
      <c r="AY3890" s="20"/>
      <c r="AZ3890" s="20"/>
      <c r="BA3890" s="20"/>
    </row>
    <row r="3891" spans="49:53" x14ac:dyDescent="0.35">
      <c r="AW3891" s="20"/>
      <c r="AX3891" s="20"/>
      <c r="AY3891" s="20"/>
      <c r="AZ3891" s="20"/>
      <c r="BA3891" s="20"/>
    </row>
    <row r="3892" spans="49:53" x14ac:dyDescent="0.35">
      <c r="AW3892" s="20"/>
      <c r="AX3892" s="20"/>
      <c r="AY3892" s="20"/>
      <c r="AZ3892" s="20"/>
      <c r="BA3892" s="20"/>
    </row>
    <row r="3893" spans="49:53" x14ac:dyDescent="0.35">
      <c r="AW3893" s="20"/>
      <c r="AX3893" s="20"/>
      <c r="AY3893" s="20"/>
      <c r="AZ3893" s="20"/>
      <c r="BA3893" s="20"/>
    </row>
    <row r="3894" spans="49:53" x14ac:dyDescent="0.35">
      <c r="AW3894" s="20"/>
      <c r="AX3894" s="20"/>
      <c r="AY3894" s="20"/>
      <c r="AZ3894" s="20"/>
      <c r="BA3894" s="20"/>
    </row>
    <row r="3895" spans="49:53" x14ac:dyDescent="0.35">
      <c r="AW3895" s="20"/>
      <c r="AX3895" s="20"/>
      <c r="AY3895" s="20"/>
      <c r="AZ3895" s="20"/>
      <c r="BA3895" s="20"/>
    </row>
    <row r="3896" spans="49:53" x14ac:dyDescent="0.35">
      <c r="AW3896" s="20"/>
      <c r="AX3896" s="20"/>
      <c r="AY3896" s="20"/>
      <c r="AZ3896" s="20"/>
      <c r="BA3896" s="20"/>
    </row>
    <row r="3897" spans="49:53" x14ac:dyDescent="0.35">
      <c r="AW3897" s="20"/>
      <c r="AX3897" s="20"/>
      <c r="AY3897" s="20"/>
      <c r="AZ3897" s="20"/>
      <c r="BA3897" s="20"/>
    </row>
    <row r="3898" spans="49:53" x14ac:dyDescent="0.35">
      <c r="AW3898" s="20"/>
      <c r="AX3898" s="20"/>
      <c r="AY3898" s="20"/>
      <c r="AZ3898" s="20"/>
      <c r="BA3898" s="20"/>
    </row>
    <row r="3899" spans="49:53" x14ac:dyDescent="0.35">
      <c r="AW3899" s="20"/>
      <c r="AX3899" s="20"/>
      <c r="AY3899" s="20"/>
      <c r="AZ3899" s="20"/>
      <c r="BA3899" s="20"/>
    </row>
    <row r="3900" spans="49:53" x14ac:dyDescent="0.35">
      <c r="AW3900" s="20"/>
      <c r="AX3900" s="20"/>
      <c r="AY3900" s="20"/>
      <c r="AZ3900" s="20"/>
      <c r="BA3900" s="20"/>
    </row>
    <row r="3901" spans="49:53" x14ac:dyDescent="0.35">
      <c r="AW3901" s="20"/>
      <c r="AX3901" s="20"/>
      <c r="AY3901" s="20"/>
      <c r="AZ3901" s="20"/>
      <c r="BA3901" s="20"/>
    </row>
    <row r="3902" spans="49:53" x14ac:dyDescent="0.35">
      <c r="AW3902" s="20"/>
      <c r="AX3902" s="20"/>
      <c r="AY3902" s="20"/>
      <c r="AZ3902" s="20"/>
      <c r="BA3902" s="20"/>
    </row>
    <row r="3903" spans="49:53" x14ac:dyDescent="0.35">
      <c r="AW3903" s="20"/>
      <c r="AX3903" s="20"/>
      <c r="AY3903" s="20"/>
      <c r="AZ3903" s="20"/>
      <c r="BA3903" s="20"/>
    </row>
    <row r="3904" spans="49:53" x14ac:dyDescent="0.35">
      <c r="AW3904" s="20"/>
      <c r="AX3904" s="20"/>
      <c r="AY3904" s="20"/>
      <c r="AZ3904" s="20"/>
      <c r="BA3904" s="20"/>
    </row>
    <row r="3905" spans="49:53" x14ac:dyDescent="0.35">
      <c r="AW3905" s="20"/>
      <c r="AX3905" s="20"/>
      <c r="AY3905" s="20"/>
      <c r="AZ3905" s="20"/>
      <c r="BA3905" s="20"/>
    </row>
    <row r="3906" spans="49:53" x14ac:dyDescent="0.35">
      <c r="AW3906" s="20"/>
      <c r="AX3906" s="20"/>
      <c r="AY3906" s="20"/>
      <c r="AZ3906" s="20"/>
      <c r="BA3906" s="20"/>
    </row>
    <row r="3907" spans="49:53" x14ac:dyDescent="0.35">
      <c r="AW3907" s="20"/>
      <c r="AX3907" s="20"/>
      <c r="AY3907" s="20"/>
      <c r="AZ3907" s="20"/>
      <c r="BA3907" s="20"/>
    </row>
    <row r="3908" spans="49:53" x14ac:dyDescent="0.35">
      <c r="AW3908" s="20"/>
      <c r="AX3908" s="20"/>
      <c r="AY3908" s="20"/>
      <c r="AZ3908" s="20"/>
      <c r="BA3908" s="20"/>
    </row>
    <row r="3909" spans="49:53" x14ac:dyDescent="0.35">
      <c r="AW3909" s="20"/>
      <c r="AX3909" s="20"/>
      <c r="AY3909" s="20"/>
      <c r="AZ3909" s="20"/>
      <c r="BA3909" s="20"/>
    </row>
    <row r="3910" spans="49:53" x14ac:dyDescent="0.35">
      <c r="AW3910" s="20"/>
      <c r="AX3910" s="20"/>
      <c r="AY3910" s="20"/>
      <c r="AZ3910" s="20"/>
      <c r="BA3910" s="20"/>
    </row>
    <row r="3911" spans="49:53" x14ac:dyDescent="0.35">
      <c r="AW3911" s="20"/>
      <c r="AX3911" s="20"/>
      <c r="AY3911" s="20"/>
      <c r="AZ3911" s="20"/>
      <c r="BA3911" s="20"/>
    </row>
    <row r="3912" spans="49:53" x14ac:dyDescent="0.35">
      <c r="AW3912" s="20"/>
      <c r="AX3912" s="20"/>
      <c r="AY3912" s="20"/>
      <c r="AZ3912" s="20"/>
      <c r="BA3912" s="20"/>
    </row>
    <row r="3913" spans="49:53" x14ac:dyDescent="0.35">
      <c r="AW3913" s="20"/>
      <c r="AX3913" s="20"/>
      <c r="AY3913" s="20"/>
      <c r="AZ3913" s="20"/>
      <c r="BA3913" s="20"/>
    </row>
    <row r="3914" spans="49:53" x14ac:dyDescent="0.35">
      <c r="AW3914" s="20"/>
      <c r="AX3914" s="20"/>
      <c r="AY3914" s="20"/>
      <c r="AZ3914" s="20"/>
      <c r="BA3914" s="20"/>
    </row>
    <row r="3915" spans="49:53" x14ac:dyDescent="0.35">
      <c r="AW3915" s="20"/>
      <c r="AX3915" s="20"/>
      <c r="AY3915" s="20"/>
      <c r="AZ3915" s="20"/>
      <c r="BA3915" s="20"/>
    </row>
    <row r="3916" spans="49:53" x14ac:dyDescent="0.35">
      <c r="AW3916" s="20"/>
      <c r="AX3916" s="20"/>
      <c r="AY3916" s="20"/>
      <c r="AZ3916" s="20"/>
      <c r="BA3916" s="20"/>
    </row>
    <row r="3917" spans="49:53" x14ac:dyDescent="0.35">
      <c r="AW3917" s="20"/>
      <c r="AX3917" s="20"/>
      <c r="AY3917" s="20"/>
      <c r="AZ3917" s="20"/>
      <c r="BA3917" s="20"/>
    </row>
    <row r="3918" spans="49:53" x14ac:dyDescent="0.35">
      <c r="AW3918" s="20"/>
      <c r="AX3918" s="20"/>
      <c r="AY3918" s="20"/>
      <c r="AZ3918" s="20"/>
      <c r="BA3918" s="20"/>
    </row>
    <row r="3919" spans="49:53" x14ac:dyDescent="0.35">
      <c r="AW3919" s="20"/>
      <c r="AX3919" s="20"/>
      <c r="AY3919" s="20"/>
      <c r="AZ3919" s="20"/>
      <c r="BA3919" s="20"/>
    </row>
    <row r="3920" spans="49:53" x14ac:dyDescent="0.35">
      <c r="AW3920" s="20"/>
      <c r="AX3920" s="20"/>
      <c r="AY3920" s="20"/>
      <c r="AZ3920" s="20"/>
      <c r="BA3920" s="20"/>
    </row>
    <row r="3921" spans="49:53" x14ac:dyDescent="0.35">
      <c r="AW3921" s="20"/>
      <c r="AX3921" s="20"/>
      <c r="AY3921" s="20"/>
      <c r="AZ3921" s="20"/>
      <c r="BA3921" s="20"/>
    </row>
    <row r="3922" spans="49:53" x14ac:dyDescent="0.35">
      <c r="AW3922" s="20"/>
      <c r="AX3922" s="20"/>
      <c r="AY3922" s="20"/>
      <c r="AZ3922" s="20"/>
      <c r="BA3922" s="20"/>
    </row>
    <row r="3923" spans="49:53" x14ac:dyDescent="0.35">
      <c r="AW3923" s="20"/>
      <c r="AX3923" s="20"/>
      <c r="AY3923" s="20"/>
      <c r="AZ3923" s="20"/>
      <c r="BA3923" s="20"/>
    </row>
    <row r="3924" spans="49:53" x14ac:dyDescent="0.35">
      <c r="AW3924" s="20"/>
      <c r="AX3924" s="20"/>
      <c r="AY3924" s="20"/>
      <c r="AZ3924" s="20"/>
      <c r="BA3924" s="20"/>
    </row>
    <row r="3925" spans="49:53" x14ac:dyDescent="0.35">
      <c r="AW3925" s="20"/>
      <c r="AX3925" s="20"/>
      <c r="AY3925" s="20"/>
      <c r="AZ3925" s="20"/>
      <c r="BA3925" s="20"/>
    </row>
    <row r="3926" spans="49:53" x14ac:dyDescent="0.35">
      <c r="AW3926" s="20"/>
      <c r="AX3926" s="20"/>
      <c r="AY3926" s="20"/>
      <c r="AZ3926" s="20"/>
      <c r="BA3926" s="20"/>
    </row>
    <row r="3927" spans="49:53" x14ac:dyDescent="0.35">
      <c r="AW3927" s="20"/>
      <c r="AX3927" s="20"/>
      <c r="AY3927" s="20"/>
      <c r="AZ3927" s="20"/>
      <c r="BA3927" s="20"/>
    </row>
    <row r="3928" spans="49:53" x14ac:dyDescent="0.35">
      <c r="AW3928" s="20"/>
      <c r="AX3928" s="20"/>
      <c r="AY3928" s="20"/>
      <c r="AZ3928" s="20"/>
      <c r="BA3928" s="20"/>
    </row>
    <row r="3929" spans="49:53" x14ac:dyDescent="0.35">
      <c r="AW3929" s="20"/>
      <c r="AX3929" s="20"/>
      <c r="AY3929" s="20"/>
      <c r="AZ3929" s="20"/>
      <c r="BA3929" s="20"/>
    </row>
    <row r="3930" spans="49:53" x14ac:dyDescent="0.35">
      <c r="AW3930" s="20"/>
      <c r="AX3930" s="20"/>
      <c r="AY3930" s="20"/>
      <c r="AZ3930" s="20"/>
      <c r="BA3930" s="20"/>
    </row>
    <row r="3931" spans="49:53" x14ac:dyDescent="0.35">
      <c r="AW3931" s="20"/>
      <c r="AX3931" s="20"/>
      <c r="AY3931" s="20"/>
      <c r="AZ3931" s="20"/>
      <c r="BA3931" s="20"/>
    </row>
    <row r="3932" spans="49:53" x14ac:dyDescent="0.35">
      <c r="AW3932" s="20"/>
      <c r="AX3932" s="20"/>
      <c r="AY3932" s="20"/>
      <c r="AZ3932" s="20"/>
      <c r="BA3932" s="20"/>
    </row>
    <row r="3933" spans="49:53" x14ac:dyDescent="0.35">
      <c r="AW3933" s="20"/>
      <c r="AX3933" s="20"/>
      <c r="AY3933" s="20"/>
      <c r="AZ3933" s="20"/>
      <c r="BA3933" s="20"/>
    </row>
    <row r="3934" spans="49:53" x14ac:dyDescent="0.35">
      <c r="AW3934" s="20"/>
      <c r="AX3934" s="20"/>
      <c r="AY3934" s="20"/>
      <c r="AZ3934" s="20"/>
      <c r="BA3934" s="20"/>
    </row>
    <row r="3935" spans="49:53" x14ac:dyDescent="0.35">
      <c r="AW3935" s="20"/>
      <c r="AX3935" s="20"/>
      <c r="AY3935" s="20"/>
      <c r="AZ3935" s="20"/>
      <c r="BA3935" s="20"/>
    </row>
    <row r="3936" spans="49:53" x14ac:dyDescent="0.35">
      <c r="AW3936" s="20"/>
      <c r="AX3936" s="20"/>
      <c r="AY3936" s="20"/>
      <c r="AZ3936" s="20"/>
      <c r="BA3936" s="20"/>
    </row>
    <row r="3937" spans="49:53" x14ac:dyDescent="0.35">
      <c r="AW3937" s="20"/>
      <c r="AX3937" s="20"/>
      <c r="AY3937" s="20"/>
      <c r="AZ3937" s="20"/>
      <c r="BA3937" s="20"/>
    </row>
    <row r="3938" spans="49:53" x14ac:dyDescent="0.35">
      <c r="AW3938" s="20"/>
      <c r="AX3938" s="20"/>
      <c r="AY3938" s="20"/>
      <c r="AZ3938" s="20"/>
      <c r="BA3938" s="20"/>
    </row>
    <row r="3939" spans="49:53" x14ac:dyDescent="0.35">
      <c r="AW3939" s="20"/>
      <c r="AX3939" s="20"/>
      <c r="AY3939" s="20"/>
      <c r="AZ3939" s="20"/>
      <c r="BA3939" s="20"/>
    </row>
    <row r="3940" spans="49:53" x14ac:dyDescent="0.35">
      <c r="AW3940" s="20"/>
      <c r="AX3940" s="20"/>
      <c r="AY3940" s="20"/>
      <c r="AZ3940" s="20"/>
      <c r="BA3940" s="20"/>
    </row>
    <row r="3941" spans="49:53" x14ac:dyDescent="0.35">
      <c r="AW3941" s="20"/>
      <c r="AX3941" s="20"/>
      <c r="AY3941" s="20"/>
      <c r="AZ3941" s="20"/>
      <c r="BA3941" s="20"/>
    </row>
    <row r="3942" spans="49:53" x14ac:dyDescent="0.35">
      <c r="AW3942" s="20"/>
      <c r="AX3942" s="20"/>
      <c r="AY3942" s="20"/>
      <c r="AZ3942" s="20"/>
      <c r="BA3942" s="20"/>
    </row>
    <row r="3943" spans="49:53" x14ac:dyDescent="0.35">
      <c r="AW3943" s="20"/>
      <c r="AX3943" s="20"/>
      <c r="AY3943" s="20"/>
      <c r="AZ3943" s="20"/>
      <c r="BA3943" s="20"/>
    </row>
    <row r="3944" spans="49:53" x14ac:dyDescent="0.35">
      <c r="AW3944" s="20"/>
      <c r="AX3944" s="20"/>
      <c r="AY3944" s="20"/>
      <c r="AZ3944" s="20"/>
      <c r="BA3944" s="20"/>
    </row>
    <row r="3945" spans="49:53" x14ac:dyDescent="0.35">
      <c r="AW3945" s="20"/>
      <c r="AX3945" s="20"/>
      <c r="AY3945" s="20"/>
      <c r="AZ3945" s="20"/>
      <c r="BA3945" s="20"/>
    </row>
    <row r="3946" spans="49:53" x14ac:dyDescent="0.35">
      <c r="AW3946" s="20"/>
      <c r="AX3946" s="20"/>
      <c r="AY3946" s="20"/>
      <c r="AZ3946" s="20"/>
      <c r="BA3946" s="20"/>
    </row>
    <row r="3947" spans="49:53" x14ac:dyDescent="0.35">
      <c r="AW3947" s="20"/>
      <c r="AX3947" s="20"/>
      <c r="AY3947" s="20"/>
      <c r="AZ3947" s="20"/>
      <c r="BA3947" s="20"/>
    </row>
    <row r="3948" spans="49:53" x14ac:dyDescent="0.35">
      <c r="AW3948" s="20"/>
      <c r="AX3948" s="20"/>
      <c r="AY3948" s="20"/>
      <c r="AZ3948" s="20"/>
      <c r="BA3948" s="20"/>
    </row>
    <row r="3949" spans="49:53" x14ac:dyDescent="0.35">
      <c r="AW3949" s="20"/>
      <c r="AX3949" s="20"/>
      <c r="AY3949" s="20"/>
      <c r="AZ3949" s="20"/>
      <c r="BA3949" s="20"/>
    </row>
    <row r="3950" spans="49:53" x14ac:dyDescent="0.35">
      <c r="AW3950" s="20"/>
      <c r="AX3950" s="20"/>
      <c r="AY3950" s="20"/>
      <c r="AZ3950" s="20"/>
      <c r="BA3950" s="20"/>
    </row>
    <row r="3951" spans="49:53" x14ac:dyDescent="0.35">
      <c r="AW3951" s="20"/>
      <c r="AX3951" s="20"/>
      <c r="AY3951" s="20"/>
      <c r="AZ3951" s="20"/>
      <c r="BA3951" s="20"/>
    </row>
    <row r="3952" spans="49:53" x14ac:dyDescent="0.35">
      <c r="AW3952" s="20"/>
      <c r="AX3952" s="20"/>
      <c r="AY3952" s="20"/>
      <c r="AZ3952" s="20"/>
      <c r="BA3952" s="20"/>
    </row>
    <row r="3953" spans="49:53" x14ac:dyDescent="0.35">
      <c r="AW3953" s="20"/>
      <c r="AX3953" s="20"/>
      <c r="AY3953" s="20"/>
      <c r="AZ3953" s="20"/>
      <c r="BA3953" s="20"/>
    </row>
    <row r="3954" spans="49:53" x14ac:dyDescent="0.35">
      <c r="AW3954" s="20"/>
      <c r="AX3954" s="20"/>
      <c r="AY3954" s="20"/>
      <c r="AZ3954" s="20"/>
      <c r="BA3954" s="20"/>
    </row>
    <row r="3955" spans="49:53" x14ac:dyDescent="0.35">
      <c r="AW3955" s="20"/>
      <c r="AX3955" s="20"/>
      <c r="AY3955" s="20"/>
      <c r="AZ3955" s="20"/>
      <c r="BA3955" s="20"/>
    </row>
    <row r="3956" spans="49:53" x14ac:dyDescent="0.35">
      <c r="AW3956" s="20"/>
      <c r="AX3956" s="20"/>
      <c r="AY3956" s="20"/>
      <c r="AZ3956" s="20"/>
      <c r="BA3956" s="20"/>
    </row>
    <row r="3957" spans="49:53" x14ac:dyDescent="0.35">
      <c r="AW3957" s="20"/>
      <c r="AX3957" s="20"/>
      <c r="AY3957" s="20"/>
      <c r="AZ3957" s="20"/>
      <c r="BA3957" s="20"/>
    </row>
    <row r="3958" spans="49:53" x14ac:dyDescent="0.35">
      <c r="AW3958" s="20"/>
      <c r="AX3958" s="20"/>
      <c r="AY3958" s="20"/>
      <c r="AZ3958" s="20"/>
      <c r="BA3958" s="20"/>
    </row>
    <row r="3959" spans="49:53" x14ac:dyDescent="0.35">
      <c r="AW3959" s="20"/>
      <c r="AX3959" s="20"/>
      <c r="AY3959" s="20"/>
      <c r="AZ3959" s="20"/>
      <c r="BA3959" s="20"/>
    </row>
    <row r="3960" spans="49:53" x14ac:dyDescent="0.35">
      <c r="AW3960" s="20"/>
      <c r="AX3960" s="20"/>
      <c r="AY3960" s="20"/>
      <c r="AZ3960" s="20"/>
      <c r="BA3960" s="20"/>
    </row>
    <row r="3961" spans="49:53" x14ac:dyDescent="0.35">
      <c r="AW3961" s="20"/>
      <c r="AX3961" s="20"/>
      <c r="AY3961" s="20"/>
      <c r="AZ3961" s="20"/>
      <c r="BA3961" s="20"/>
    </row>
    <row r="3962" spans="49:53" x14ac:dyDescent="0.35">
      <c r="AW3962" s="20"/>
      <c r="AX3962" s="20"/>
      <c r="AY3962" s="20"/>
      <c r="AZ3962" s="20"/>
      <c r="BA3962" s="20"/>
    </row>
    <row r="3963" spans="49:53" x14ac:dyDescent="0.35">
      <c r="AW3963" s="20"/>
      <c r="AX3963" s="20"/>
      <c r="AY3963" s="20"/>
      <c r="AZ3963" s="20"/>
      <c r="BA3963" s="20"/>
    </row>
    <row r="3964" spans="49:53" x14ac:dyDescent="0.35">
      <c r="AW3964" s="20"/>
      <c r="AX3964" s="20"/>
      <c r="AY3964" s="20"/>
      <c r="AZ3964" s="20"/>
      <c r="BA3964" s="20"/>
    </row>
    <row r="3965" spans="49:53" x14ac:dyDescent="0.35">
      <c r="AW3965" s="20"/>
      <c r="AX3965" s="20"/>
      <c r="AY3965" s="20"/>
      <c r="AZ3965" s="20"/>
      <c r="BA3965" s="20"/>
    </row>
    <row r="3966" spans="49:53" x14ac:dyDescent="0.35">
      <c r="AW3966" s="20"/>
      <c r="AX3966" s="20"/>
      <c r="AY3966" s="20"/>
      <c r="AZ3966" s="20"/>
      <c r="BA3966" s="20"/>
    </row>
    <row r="3967" spans="49:53" x14ac:dyDescent="0.35">
      <c r="AW3967" s="20"/>
      <c r="AX3967" s="20"/>
      <c r="AY3967" s="20"/>
      <c r="AZ3967" s="20"/>
      <c r="BA3967" s="20"/>
    </row>
    <row r="3968" spans="49:53" x14ac:dyDescent="0.35">
      <c r="AW3968" s="20"/>
      <c r="AX3968" s="20"/>
      <c r="AY3968" s="20"/>
      <c r="AZ3968" s="20"/>
      <c r="BA3968" s="20"/>
    </row>
    <row r="3969" spans="49:53" x14ac:dyDescent="0.35">
      <c r="AW3969" s="20"/>
      <c r="AX3969" s="20"/>
      <c r="AY3969" s="20"/>
      <c r="AZ3969" s="20"/>
      <c r="BA3969" s="20"/>
    </row>
    <row r="3970" spans="49:53" x14ac:dyDescent="0.35">
      <c r="AW3970" s="20"/>
      <c r="AX3970" s="20"/>
      <c r="AY3970" s="20"/>
      <c r="AZ3970" s="20"/>
      <c r="BA3970" s="20"/>
    </row>
    <row r="3971" spans="49:53" x14ac:dyDescent="0.35">
      <c r="AW3971" s="20"/>
      <c r="AX3971" s="20"/>
      <c r="AY3971" s="20"/>
      <c r="AZ3971" s="20"/>
      <c r="BA3971" s="20"/>
    </row>
    <row r="3972" spans="49:53" x14ac:dyDescent="0.35">
      <c r="AW3972" s="20"/>
      <c r="AX3972" s="20"/>
      <c r="AY3972" s="20"/>
      <c r="AZ3972" s="20"/>
      <c r="BA3972" s="20"/>
    </row>
    <row r="3973" spans="49:53" x14ac:dyDescent="0.35">
      <c r="AW3973" s="20"/>
      <c r="AX3973" s="20"/>
      <c r="AY3973" s="20"/>
      <c r="AZ3973" s="20"/>
      <c r="BA3973" s="20"/>
    </row>
    <row r="3974" spans="49:53" x14ac:dyDescent="0.35">
      <c r="AW3974" s="20"/>
      <c r="AX3974" s="20"/>
      <c r="AY3974" s="20"/>
      <c r="AZ3974" s="20"/>
      <c r="BA3974" s="20"/>
    </row>
    <row r="3975" spans="49:53" x14ac:dyDescent="0.35">
      <c r="AW3975" s="20"/>
      <c r="AX3975" s="20"/>
      <c r="AY3975" s="20"/>
      <c r="AZ3975" s="20"/>
      <c r="BA3975" s="20"/>
    </row>
    <row r="3976" spans="49:53" x14ac:dyDescent="0.35">
      <c r="AW3976" s="20"/>
      <c r="AX3976" s="20"/>
      <c r="AY3976" s="20"/>
      <c r="AZ3976" s="20"/>
      <c r="BA3976" s="20"/>
    </row>
    <row r="3977" spans="49:53" x14ac:dyDescent="0.35">
      <c r="AW3977" s="20"/>
      <c r="AX3977" s="20"/>
      <c r="AY3977" s="20"/>
      <c r="AZ3977" s="20"/>
      <c r="BA3977" s="20"/>
    </row>
    <row r="3978" spans="49:53" x14ac:dyDescent="0.35">
      <c r="AW3978" s="20"/>
      <c r="AX3978" s="20"/>
      <c r="AY3978" s="20"/>
      <c r="AZ3978" s="20"/>
      <c r="BA3978" s="20"/>
    </row>
    <row r="3979" spans="49:53" x14ac:dyDescent="0.35">
      <c r="AW3979" s="20"/>
      <c r="AX3979" s="20"/>
      <c r="AY3979" s="20"/>
      <c r="AZ3979" s="20"/>
      <c r="BA3979" s="20"/>
    </row>
    <row r="3980" spans="49:53" x14ac:dyDescent="0.35">
      <c r="AW3980" s="20"/>
      <c r="AX3980" s="20"/>
      <c r="AY3980" s="20"/>
      <c r="AZ3980" s="20"/>
      <c r="BA3980" s="20"/>
    </row>
    <row r="3981" spans="49:53" x14ac:dyDescent="0.35">
      <c r="AW3981" s="20"/>
      <c r="AX3981" s="20"/>
      <c r="AY3981" s="20"/>
      <c r="AZ3981" s="20"/>
      <c r="BA3981" s="20"/>
    </row>
    <row r="3982" spans="49:53" x14ac:dyDescent="0.35">
      <c r="AW3982" s="20"/>
      <c r="AX3982" s="20"/>
      <c r="AY3982" s="20"/>
      <c r="AZ3982" s="20"/>
      <c r="BA3982" s="20"/>
    </row>
    <row r="3983" spans="49:53" x14ac:dyDescent="0.35">
      <c r="AW3983" s="20"/>
      <c r="AX3983" s="20"/>
      <c r="AY3983" s="20"/>
      <c r="AZ3983" s="20"/>
      <c r="BA3983" s="20"/>
    </row>
    <row r="3984" spans="49:53" x14ac:dyDescent="0.35">
      <c r="AW3984" s="20"/>
      <c r="AX3984" s="20"/>
      <c r="AY3984" s="20"/>
      <c r="AZ3984" s="20"/>
      <c r="BA3984" s="20"/>
    </row>
    <row r="3985" spans="49:53" x14ac:dyDescent="0.35">
      <c r="AW3985" s="20"/>
      <c r="AX3985" s="20"/>
      <c r="AY3985" s="20"/>
      <c r="AZ3985" s="20"/>
      <c r="BA3985" s="20"/>
    </row>
    <row r="3986" spans="49:53" x14ac:dyDescent="0.35">
      <c r="AW3986" s="20"/>
      <c r="AX3986" s="20"/>
      <c r="AY3986" s="20"/>
      <c r="AZ3986" s="20"/>
      <c r="BA3986" s="20"/>
    </row>
    <row r="3987" spans="49:53" x14ac:dyDescent="0.35">
      <c r="AW3987" s="20"/>
      <c r="AX3987" s="20"/>
      <c r="AY3987" s="20"/>
      <c r="AZ3987" s="20"/>
      <c r="BA3987" s="20"/>
    </row>
    <row r="3988" spans="49:53" x14ac:dyDescent="0.35">
      <c r="AW3988" s="20"/>
      <c r="AX3988" s="20"/>
      <c r="AY3988" s="20"/>
      <c r="AZ3988" s="20"/>
      <c r="BA3988" s="20"/>
    </row>
    <row r="3989" spans="49:53" x14ac:dyDescent="0.35">
      <c r="AW3989" s="20"/>
      <c r="AX3989" s="20"/>
      <c r="AY3989" s="20"/>
      <c r="AZ3989" s="20"/>
      <c r="BA3989" s="20"/>
    </row>
    <row r="3990" spans="49:53" x14ac:dyDescent="0.35">
      <c r="AW3990" s="20"/>
      <c r="AX3990" s="20"/>
      <c r="AY3990" s="20"/>
      <c r="AZ3990" s="20"/>
      <c r="BA3990" s="20"/>
    </row>
    <row r="3991" spans="49:53" x14ac:dyDescent="0.35">
      <c r="AW3991" s="20"/>
      <c r="AX3991" s="20"/>
      <c r="AY3991" s="20"/>
      <c r="AZ3991" s="20"/>
      <c r="BA3991" s="20"/>
    </row>
    <row r="3992" spans="49:53" x14ac:dyDescent="0.35">
      <c r="AW3992" s="20"/>
      <c r="AX3992" s="20"/>
      <c r="AY3992" s="20"/>
      <c r="AZ3992" s="20"/>
      <c r="BA3992" s="20"/>
    </row>
    <row r="3993" spans="49:53" x14ac:dyDescent="0.35">
      <c r="AW3993" s="20"/>
      <c r="AX3993" s="20"/>
      <c r="AY3993" s="20"/>
      <c r="AZ3993" s="20"/>
      <c r="BA3993" s="20"/>
    </row>
    <row r="3994" spans="49:53" x14ac:dyDescent="0.35">
      <c r="AW3994" s="20"/>
      <c r="AX3994" s="20"/>
      <c r="AY3994" s="20"/>
      <c r="AZ3994" s="20"/>
      <c r="BA3994" s="20"/>
    </row>
    <row r="3995" spans="49:53" x14ac:dyDescent="0.35">
      <c r="AW3995" s="20"/>
      <c r="AX3995" s="20"/>
      <c r="AY3995" s="20"/>
      <c r="AZ3995" s="20"/>
      <c r="BA3995" s="20"/>
    </row>
    <row r="3996" spans="49:53" x14ac:dyDescent="0.35">
      <c r="AW3996" s="20"/>
      <c r="AX3996" s="20"/>
      <c r="AY3996" s="20"/>
      <c r="AZ3996" s="20"/>
      <c r="BA3996" s="20"/>
    </row>
    <row r="3997" spans="49:53" x14ac:dyDescent="0.35">
      <c r="AW3997" s="20"/>
      <c r="AX3997" s="20"/>
      <c r="AY3997" s="20"/>
      <c r="AZ3997" s="20"/>
      <c r="BA3997" s="20"/>
    </row>
    <row r="3998" spans="49:53" x14ac:dyDescent="0.35">
      <c r="AW3998" s="20"/>
      <c r="AX3998" s="20"/>
      <c r="AY3998" s="20"/>
      <c r="AZ3998" s="20"/>
      <c r="BA3998" s="20"/>
    </row>
    <row r="3999" spans="49:53" x14ac:dyDescent="0.35">
      <c r="AW3999" s="20"/>
      <c r="AX3999" s="20"/>
      <c r="AY3999" s="20"/>
      <c r="AZ3999" s="20"/>
      <c r="BA3999" s="20"/>
    </row>
    <row r="4000" spans="49:53" x14ac:dyDescent="0.35">
      <c r="AW4000" s="20"/>
      <c r="AX4000" s="20"/>
      <c r="AY4000" s="20"/>
      <c r="AZ4000" s="20"/>
      <c r="BA4000" s="20"/>
    </row>
    <row r="4001" spans="49:53" x14ac:dyDescent="0.35">
      <c r="AW4001" s="20"/>
      <c r="AX4001" s="20"/>
      <c r="AY4001" s="20"/>
      <c r="AZ4001" s="20"/>
      <c r="BA4001" s="20"/>
    </row>
    <row r="4002" spans="49:53" x14ac:dyDescent="0.35">
      <c r="AW4002" s="20"/>
      <c r="AX4002" s="20"/>
      <c r="AY4002" s="20"/>
      <c r="AZ4002" s="20"/>
      <c r="BA4002" s="20"/>
    </row>
    <row r="4003" spans="49:53" x14ac:dyDescent="0.35">
      <c r="AW4003" s="20"/>
      <c r="AX4003" s="20"/>
      <c r="AY4003" s="20"/>
      <c r="AZ4003" s="20"/>
      <c r="BA4003" s="20"/>
    </row>
    <row r="4004" spans="49:53" x14ac:dyDescent="0.35">
      <c r="AW4004" s="20"/>
      <c r="AX4004" s="20"/>
      <c r="AY4004" s="20"/>
      <c r="AZ4004" s="20"/>
      <c r="BA4004" s="20"/>
    </row>
    <row r="4005" spans="49:53" x14ac:dyDescent="0.35">
      <c r="AW4005" s="20"/>
      <c r="AX4005" s="20"/>
      <c r="AY4005" s="20"/>
      <c r="AZ4005" s="20"/>
      <c r="BA4005" s="20"/>
    </row>
    <row r="4006" spans="49:53" x14ac:dyDescent="0.35">
      <c r="AW4006" s="20"/>
      <c r="AX4006" s="20"/>
      <c r="AY4006" s="20"/>
      <c r="AZ4006" s="20"/>
      <c r="BA4006" s="20"/>
    </row>
    <row r="4007" spans="49:53" x14ac:dyDescent="0.35">
      <c r="AW4007" s="20"/>
      <c r="AX4007" s="20"/>
      <c r="AY4007" s="20"/>
      <c r="AZ4007" s="20"/>
      <c r="BA4007" s="20"/>
    </row>
    <row r="4008" spans="49:53" x14ac:dyDescent="0.35">
      <c r="AW4008" s="20"/>
      <c r="AX4008" s="20"/>
      <c r="AY4008" s="20"/>
      <c r="AZ4008" s="20"/>
      <c r="BA4008" s="20"/>
    </row>
  </sheetData>
  <autoFilter ref="BW5:BX45" xr:uid="{00000000-0001-0000-0A00-000000000000}"/>
  <mergeCells count="1">
    <mergeCell ref="AD2:AE3"/>
  </mergeCells>
  <pageMargins left="0.7" right="0.7" top="0.75" bottom="0.75" header="0.3" footer="0.3"/>
  <pageSetup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6" r:id="rId6" name="Button 2">
              <controlPr defaultSize="0" print="0" autoFill="0" autoPict="0" macro="[0]!Button5_Click">
                <anchor moveWithCells="1" sizeWithCells="1">
                  <from>
                    <xdr:col>71</xdr:col>
                    <xdr:colOff>19050</xdr:colOff>
                    <xdr:row>0</xdr:row>
                    <xdr:rowOff>6350</xdr:rowOff>
                  </from>
                  <to>
                    <xdr:col>73</xdr:col>
                    <xdr:colOff>0</xdr:colOff>
                    <xdr:row>2</xdr:row>
                    <xdr:rowOff>177800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BM106"/>
  <sheetViews>
    <sheetView topLeftCell="AY1" zoomScale="80" zoomScaleNormal="80" workbookViewId="0">
      <selection activeCell="BM14" sqref="BM14"/>
    </sheetView>
  </sheetViews>
  <sheetFormatPr defaultColWidth="8.7265625" defaultRowHeight="14.5" x14ac:dyDescent="0.35"/>
  <cols>
    <col min="1" max="1" width="12.81640625" style="19" customWidth="1"/>
    <col min="2" max="2" width="9.7265625" style="19" bestFit="1" customWidth="1"/>
    <col min="3" max="3" width="14.81640625" style="19" bestFit="1" customWidth="1"/>
    <col min="4" max="4" width="14" style="19" bestFit="1" customWidth="1"/>
    <col min="5" max="5" width="10.453125" style="19" bestFit="1" customWidth="1"/>
    <col min="6" max="6" width="7.1796875" style="19" bestFit="1" customWidth="1"/>
    <col min="7" max="7" width="11.81640625" style="19" bestFit="1" customWidth="1"/>
    <col min="8" max="8" width="18.26953125" style="19" bestFit="1" customWidth="1"/>
    <col min="9" max="9" width="15.81640625" style="19" customWidth="1"/>
    <col min="10" max="10" width="24.453125" style="19" bestFit="1" customWidth="1"/>
    <col min="11" max="11" width="21.7265625" style="19" bestFit="1" customWidth="1"/>
    <col min="12" max="12" width="16.453125" style="19" bestFit="1" customWidth="1"/>
    <col min="13" max="13" width="22.453125" style="19" bestFit="1" customWidth="1"/>
    <col min="14" max="14" width="11.1796875" style="19" bestFit="1" customWidth="1"/>
    <col min="15" max="15" width="12.1796875" style="19" bestFit="1" customWidth="1"/>
    <col min="16" max="16" width="14.1796875" style="19" bestFit="1" customWidth="1"/>
    <col min="17" max="17" width="11.54296875" style="19" bestFit="1" customWidth="1"/>
    <col min="18" max="19" width="14.26953125" style="19" bestFit="1" customWidth="1"/>
    <col min="20" max="20" width="16.1796875" style="19" bestFit="1" customWidth="1"/>
    <col min="21" max="21" width="17.26953125" style="19" bestFit="1" customWidth="1"/>
    <col min="22" max="22" width="23.453125" style="19" bestFit="1" customWidth="1"/>
    <col min="23" max="23" width="15.453125" style="19" bestFit="1" customWidth="1"/>
    <col min="24" max="24" width="16" style="19" bestFit="1" customWidth="1"/>
    <col min="25" max="25" width="19" style="19" bestFit="1" customWidth="1"/>
    <col min="26" max="26" width="16.54296875" style="19" bestFit="1" customWidth="1"/>
    <col min="27" max="27" width="27.1796875" style="19" bestFit="1" customWidth="1"/>
    <col min="28" max="28" width="16.54296875" style="19" bestFit="1" customWidth="1"/>
    <col min="29" max="29" width="11.54296875" style="19" bestFit="1" customWidth="1"/>
    <col min="30" max="30" width="12.1796875" style="19" bestFit="1" customWidth="1"/>
    <col min="31" max="31" width="12" style="19" bestFit="1" customWidth="1"/>
    <col min="32" max="32" width="17.1796875" style="19" bestFit="1" customWidth="1"/>
    <col min="33" max="33" width="15" style="19" bestFit="1" customWidth="1"/>
    <col min="34" max="34" width="19.7265625" style="19" bestFit="1" customWidth="1"/>
    <col min="35" max="35" width="10.26953125" style="19" bestFit="1" customWidth="1"/>
    <col min="36" max="36" width="10.54296875" style="19" bestFit="1" customWidth="1"/>
    <col min="37" max="46" width="8.54296875" style="19" bestFit="1" customWidth="1"/>
    <col min="47" max="47" width="15.54296875" style="19" bestFit="1" customWidth="1"/>
    <col min="48" max="48" width="11.453125" style="19" customWidth="1"/>
    <col min="49" max="49" width="10.453125" style="19" bestFit="1" customWidth="1"/>
    <col min="50" max="50" width="17.453125" style="19" bestFit="1" customWidth="1"/>
    <col min="51" max="51" width="9.453125" style="19" customWidth="1"/>
    <col min="52" max="52" width="14" style="19" bestFit="1" customWidth="1"/>
    <col min="53" max="53" width="8.7265625" style="19"/>
    <col min="54" max="54" width="13.453125" style="19" bestFit="1" customWidth="1"/>
    <col min="55" max="55" width="9.54296875" style="19" bestFit="1" customWidth="1"/>
    <col min="56" max="57" width="10.1796875" style="19" customWidth="1"/>
    <col min="58" max="58" width="9.81640625" style="19" customWidth="1"/>
    <col min="59" max="59" width="11" style="19" customWidth="1"/>
    <col min="60" max="60" width="11.26953125" style="19" customWidth="1"/>
    <col min="61" max="61" width="10.81640625" style="19" customWidth="1"/>
    <col min="62" max="62" width="11" style="19" customWidth="1"/>
    <col min="63" max="63" width="12.81640625" style="19" customWidth="1"/>
    <col min="64" max="64" width="12.26953125" style="19" customWidth="1"/>
    <col min="65" max="65" width="9.54296875" style="19" customWidth="1"/>
    <col min="66" max="16384" width="8.7265625" style="19"/>
  </cols>
  <sheetData>
    <row r="1" spans="1:65" x14ac:dyDescent="0.35">
      <c r="A1" s="19" t="s">
        <v>77</v>
      </c>
      <c r="B1" s="19" t="s">
        <v>78</v>
      </c>
      <c r="C1" s="19" t="s">
        <v>79</v>
      </c>
      <c r="D1" s="19" t="s">
        <v>80</v>
      </c>
      <c r="E1" s="19" t="s">
        <v>81</v>
      </c>
      <c r="F1" s="19" t="s">
        <v>82</v>
      </c>
      <c r="G1" s="19" t="s">
        <v>83</v>
      </c>
      <c r="H1" s="19" t="s">
        <v>84</v>
      </c>
      <c r="I1" s="19" t="s">
        <v>85</v>
      </c>
      <c r="J1" s="19" t="s">
        <v>86</v>
      </c>
      <c r="K1" s="19" t="s">
        <v>87</v>
      </c>
      <c r="L1" s="19" t="s">
        <v>88</v>
      </c>
      <c r="M1" s="19" t="s">
        <v>89</v>
      </c>
      <c r="N1" s="19" t="s">
        <v>90</v>
      </c>
      <c r="O1" s="19" t="s">
        <v>91</v>
      </c>
      <c r="P1" s="19" t="s">
        <v>92</v>
      </c>
      <c r="Q1" s="19" t="s">
        <v>93</v>
      </c>
      <c r="R1" s="19" t="s">
        <v>94</v>
      </c>
      <c r="S1" s="19" t="s">
        <v>95</v>
      </c>
      <c r="T1" s="19" t="s">
        <v>96</v>
      </c>
      <c r="U1" s="19" t="s">
        <v>97</v>
      </c>
      <c r="V1" s="19" t="s">
        <v>98</v>
      </c>
      <c r="W1" s="19" t="s">
        <v>99</v>
      </c>
      <c r="X1" s="19" t="s">
        <v>100</v>
      </c>
      <c r="Y1" s="19" t="s">
        <v>101</v>
      </c>
      <c r="Z1" s="19" t="s">
        <v>102</v>
      </c>
      <c r="AA1" s="19" t="s">
        <v>103</v>
      </c>
      <c r="AB1" s="19" t="s">
        <v>104</v>
      </c>
      <c r="AC1" s="19" t="s">
        <v>105</v>
      </c>
      <c r="AD1" s="19" t="s">
        <v>106</v>
      </c>
      <c r="AE1" s="19" t="s">
        <v>107</v>
      </c>
      <c r="AF1" s="19" t="s">
        <v>108</v>
      </c>
      <c r="AG1" s="19" t="s">
        <v>109</v>
      </c>
      <c r="AH1" s="19" t="s">
        <v>110</v>
      </c>
      <c r="AI1" s="19" t="s">
        <v>111</v>
      </c>
      <c r="AJ1" s="19" t="s">
        <v>112</v>
      </c>
      <c r="AK1" s="19" t="s">
        <v>113</v>
      </c>
      <c r="AL1" s="19" t="s">
        <v>114</v>
      </c>
      <c r="AM1" s="19" t="s">
        <v>115</v>
      </c>
      <c r="AN1" s="19" t="s">
        <v>116</v>
      </c>
      <c r="AO1" s="19" t="s">
        <v>117</v>
      </c>
      <c r="AP1" s="19" t="s">
        <v>118</v>
      </c>
      <c r="AQ1" s="19" t="s">
        <v>119</v>
      </c>
      <c r="AR1" s="19" t="s">
        <v>120</v>
      </c>
      <c r="AS1" s="19" t="s">
        <v>121</v>
      </c>
      <c r="AT1" s="19" t="s">
        <v>122</v>
      </c>
      <c r="AU1" s="19" t="s">
        <v>123</v>
      </c>
      <c r="AV1" s="19" t="s">
        <v>124</v>
      </c>
      <c r="AW1" s="19" t="s">
        <v>125</v>
      </c>
      <c r="AX1" s="19" t="s">
        <v>126</v>
      </c>
      <c r="AY1" s="19" t="s">
        <v>127</v>
      </c>
      <c r="AZ1" s="19" t="s">
        <v>128</v>
      </c>
      <c r="BB1" s="185" t="s">
        <v>129</v>
      </c>
      <c r="BC1" s="185"/>
      <c r="BH1" s="75" t="s">
        <v>134</v>
      </c>
      <c r="BI1" s="75" t="s">
        <v>135</v>
      </c>
      <c r="BJ1" s="75" t="s">
        <v>136</v>
      </c>
      <c r="BK1" s="75" t="s">
        <v>137</v>
      </c>
      <c r="BL1" s="76" t="s">
        <v>136</v>
      </c>
    </row>
    <row r="2" spans="1:65" x14ac:dyDescent="0.35">
      <c r="A2" s="21">
        <v>45323</v>
      </c>
      <c r="B2"/>
      <c r="C2" s="21">
        <v>45323</v>
      </c>
      <c r="D2" s="21"/>
      <c r="E2" s="21"/>
      <c r="F2"/>
      <c r="G2"/>
      <c r="H2"/>
      <c r="I2">
        <v>124</v>
      </c>
      <c r="J2"/>
      <c r="K2">
        <v>0</v>
      </c>
      <c r="L2">
        <v>123</v>
      </c>
      <c r="M2">
        <v>123</v>
      </c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U2" s="20"/>
      <c r="AV2"/>
      <c r="AW2"/>
      <c r="AX2" s="20"/>
      <c r="AY2" s="20"/>
      <c r="AZ2"/>
      <c r="BB2" t="s">
        <v>130</v>
      </c>
      <c r="BC2" t="s">
        <v>83</v>
      </c>
      <c r="BD2" s="86" t="s">
        <v>131</v>
      </c>
      <c r="BE2" s="86" t="s">
        <v>132</v>
      </c>
      <c r="BF2" s="86" t="s">
        <v>28</v>
      </c>
      <c r="BH2" s="70" t="s">
        <v>54</v>
      </c>
      <c r="BI2" s="71">
        <v>0.06</v>
      </c>
      <c r="BJ2" s="70">
        <v>6</v>
      </c>
      <c r="BK2" s="71">
        <f t="shared" ref="BK2:BK3" si="0">BL2/60</f>
        <v>5.0166666666666666</v>
      </c>
      <c r="BL2" s="74">
        <v>301</v>
      </c>
    </row>
    <row r="3" spans="1:65" x14ac:dyDescent="0.35">
      <c r="A3" s="21"/>
      <c r="B3"/>
      <c r="C3" s="21"/>
      <c r="D3" s="21"/>
      <c r="E3" s="21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V3"/>
      <c r="AW3"/>
      <c r="AZ3"/>
      <c r="BB3" s="21"/>
      <c r="BC3" s="87" t="s">
        <v>133</v>
      </c>
      <c r="BD3" s="70">
        <v>123</v>
      </c>
      <c r="BE3" s="70">
        <v>123</v>
      </c>
      <c r="BF3" s="70">
        <v>124</v>
      </c>
      <c r="BH3" s="70" t="s">
        <v>55</v>
      </c>
      <c r="BI3" s="71">
        <v>7.0000000000000007E-2</v>
      </c>
      <c r="BJ3" s="70">
        <v>7</v>
      </c>
      <c r="BK3" s="71">
        <f t="shared" si="0"/>
        <v>4.916666666666667</v>
      </c>
      <c r="BL3" s="74">
        <v>295</v>
      </c>
      <c r="BM3" s="19">
        <f>92/60</f>
        <v>1.5333333333333334</v>
      </c>
    </row>
    <row r="4" spans="1:65" x14ac:dyDescent="0.35">
      <c r="A4" s="21"/>
      <c r="B4"/>
      <c r="C4" s="21"/>
      <c r="D4" s="21"/>
      <c r="E4" s="21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V4"/>
      <c r="AW4"/>
      <c r="AZ4"/>
      <c r="BH4" s="70" t="s">
        <v>56</v>
      </c>
      <c r="BI4" s="71"/>
      <c r="BJ4" s="70"/>
      <c r="BK4" s="71"/>
      <c r="BL4" s="74"/>
    </row>
    <row r="5" spans="1:65" x14ac:dyDescent="0.35">
      <c r="A5" s="21"/>
      <c r="B5"/>
      <c r="C5" s="21"/>
      <c r="D5" s="21"/>
      <c r="E5" s="21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V5"/>
      <c r="AW5"/>
      <c r="AZ5"/>
      <c r="BC5" s="85" t="s">
        <v>15</v>
      </c>
      <c r="BD5" s="85">
        <f>SUM(BD6:BD17)</f>
        <v>273</v>
      </c>
      <c r="BE5" s="85">
        <f t="shared" ref="BE5:BF5" si="1">SUM(BE6:BE17)</f>
        <v>273</v>
      </c>
      <c r="BF5" s="85">
        <f t="shared" si="1"/>
        <v>276</v>
      </c>
      <c r="BG5" s="78"/>
      <c r="BH5" s="70" t="s">
        <v>57</v>
      </c>
      <c r="BI5" s="71"/>
      <c r="BJ5" s="70"/>
      <c r="BK5" s="71"/>
      <c r="BL5" s="74"/>
    </row>
    <row r="6" spans="1:65" x14ac:dyDescent="0.35">
      <c r="A6" s="21"/>
      <c r="B6"/>
      <c r="C6" s="21"/>
      <c r="D6" s="21"/>
      <c r="E6" s="21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V6"/>
      <c r="AW6"/>
      <c r="AZ6"/>
      <c r="BC6" s="70" t="s">
        <v>54</v>
      </c>
      <c r="BD6" s="70">
        <v>150</v>
      </c>
      <c r="BE6" s="70">
        <v>150</v>
      </c>
      <c r="BF6" s="70">
        <v>152</v>
      </c>
      <c r="BG6" s="78"/>
      <c r="BH6" s="70" t="s">
        <v>58</v>
      </c>
      <c r="BI6" s="71"/>
      <c r="BJ6" s="70"/>
      <c r="BK6" s="70"/>
      <c r="BL6" s="74"/>
    </row>
    <row r="7" spans="1:65" x14ac:dyDescent="0.35">
      <c r="A7" s="21"/>
      <c r="B7"/>
      <c r="C7" s="21"/>
      <c r="D7" s="21"/>
      <c r="E7" s="21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V7"/>
      <c r="AW7"/>
      <c r="AZ7"/>
      <c r="BC7" s="70" t="s">
        <v>55</v>
      </c>
      <c r="BD7" s="70">
        <v>123</v>
      </c>
      <c r="BE7" s="70">
        <v>123</v>
      </c>
      <c r="BF7" s="70">
        <v>124</v>
      </c>
      <c r="BH7" s="70" t="s">
        <v>59</v>
      </c>
      <c r="BI7" s="70"/>
      <c r="BJ7" s="70"/>
      <c r="BK7" s="70"/>
      <c r="BL7" s="74"/>
    </row>
    <row r="8" spans="1:65" x14ac:dyDescent="0.35">
      <c r="A8" s="21"/>
      <c r="B8"/>
      <c r="C8" s="21"/>
      <c r="D8" s="21"/>
      <c r="E8" s="21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V8"/>
      <c r="AW8"/>
      <c r="AZ8"/>
      <c r="BC8" s="70" t="s">
        <v>56</v>
      </c>
      <c r="BD8" s="70"/>
      <c r="BE8" s="70"/>
      <c r="BF8" s="70"/>
      <c r="BH8" s="70" t="s">
        <v>60</v>
      </c>
      <c r="BI8" s="70"/>
      <c r="BJ8" s="70"/>
      <c r="BK8" s="71"/>
      <c r="BL8" s="74"/>
    </row>
    <row r="9" spans="1:65" x14ac:dyDescent="0.35">
      <c r="A9" s="21"/>
      <c r="B9"/>
      <c r="C9" s="21"/>
      <c r="D9" s="21"/>
      <c r="E9" s="21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V9"/>
      <c r="AW9"/>
      <c r="AZ9"/>
      <c r="BC9" s="70" t="s">
        <v>57</v>
      </c>
      <c r="BD9" s="70"/>
      <c r="BE9" s="70"/>
      <c r="BF9" s="70"/>
      <c r="BH9" s="70" t="s">
        <v>61</v>
      </c>
      <c r="BI9" s="71"/>
      <c r="BJ9" s="70"/>
      <c r="BK9" s="70"/>
      <c r="BL9" s="74"/>
    </row>
    <row r="10" spans="1:65" x14ac:dyDescent="0.35">
      <c r="A10" s="21"/>
      <c r="B10"/>
      <c r="C10" s="21"/>
      <c r="D10" s="21"/>
      <c r="E10" s="21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V10"/>
      <c r="AW10"/>
      <c r="AZ10"/>
      <c r="BC10" s="70" t="s">
        <v>58</v>
      </c>
      <c r="BD10" s="70"/>
      <c r="BE10" s="70"/>
      <c r="BF10" s="70"/>
      <c r="BH10" s="70" t="s">
        <v>62</v>
      </c>
      <c r="BI10" s="71"/>
      <c r="BJ10" s="70"/>
      <c r="BK10" s="71"/>
      <c r="BL10" s="74"/>
    </row>
    <row r="11" spans="1:65" x14ac:dyDescent="0.35">
      <c r="A11" s="21"/>
      <c r="B11"/>
      <c r="C11" s="21"/>
      <c r="D11" s="21"/>
      <c r="E11" s="2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V11"/>
      <c r="AW11"/>
      <c r="AZ11"/>
      <c r="BC11" s="70" t="s">
        <v>59</v>
      </c>
      <c r="BD11" s="70"/>
      <c r="BE11" s="70"/>
      <c r="BF11" s="70"/>
      <c r="BH11" s="70" t="s">
        <v>63</v>
      </c>
      <c r="BI11" s="71"/>
      <c r="BJ11" s="70"/>
      <c r="BK11" s="71"/>
      <c r="BL11" s="74"/>
    </row>
    <row r="12" spans="1:65" x14ac:dyDescent="0.35">
      <c r="A12" s="21"/>
      <c r="B12"/>
      <c r="C12" s="21"/>
      <c r="D12" s="21"/>
      <c r="E12" s="21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V12"/>
      <c r="AW12"/>
      <c r="AZ12"/>
      <c r="BC12" s="70" t="s">
        <v>60</v>
      </c>
      <c r="BD12" s="70"/>
      <c r="BE12" s="70"/>
      <c r="BF12" s="70"/>
      <c r="BH12" s="70" t="s">
        <v>64</v>
      </c>
      <c r="BI12" s="71"/>
      <c r="BJ12" s="70"/>
      <c r="BK12" s="71"/>
      <c r="BL12" s="74"/>
    </row>
    <row r="13" spans="1:65" x14ac:dyDescent="0.35">
      <c r="A13" s="21"/>
      <c r="B13"/>
      <c r="C13" s="21"/>
      <c r="D13" s="21"/>
      <c r="E13" s="21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V13"/>
      <c r="AW13"/>
      <c r="AZ13"/>
      <c r="BC13" s="70" t="s">
        <v>61</v>
      </c>
      <c r="BD13" s="70"/>
      <c r="BE13" s="70"/>
      <c r="BF13" s="70"/>
      <c r="BH13" s="70" t="s">
        <v>65</v>
      </c>
      <c r="BI13" s="71"/>
      <c r="BJ13" s="70"/>
      <c r="BK13" s="71"/>
      <c r="BL13" s="74"/>
    </row>
    <row r="14" spans="1:65" x14ac:dyDescent="0.35">
      <c r="A14" s="21"/>
      <c r="B14"/>
      <c r="C14" s="21"/>
      <c r="D14" s="21"/>
      <c r="E14" s="21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V14"/>
      <c r="AW14"/>
      <c r="AZ14"/>
      <c r="BC14" s="70" t="s">
        <v>62</v>
      </c>
      <c r="BD14" s="70"/>
      <c r="BE14" s="70"/>
      <c r="BF14" s="70"/>
      <c r="BH14" s="75" t="s">
        <v>28</v>
      </c>
      <c r="BI14" s="77">
        <f>SUM(BI2:BI13)/COUNT(BI2:BI13)</f>
        <v>6.5000000000000002E-2</v>
      </c>
      <c r="BJ14" s="77"/>
      <c r="BK14" s="77">
        <f>SUM(BK2:BK13)/COUNT(BK2:BK13)</f>
        <v>4.9666666666666668</v>
      </c>
      <c r="BL14" s="76"/>
      <c r="BM14" s="19">
        <f>97/60</f>
        <v>1.6166666666666667</v>
      </c>
    </row>
    <row r="15" spans="1:65" x14ac:dyDescent="0.35">
      <c r="A15" s="21"/>
      <c r="B15"/>
      <c r="C15" s="21"/>
      <c r="D15" s="21"/>
      <c r="E15" s="21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V15"/>
      <c r="AW15"/>
      <c r="AZ15"/>
      <c r="BC15" s="70" t="s">
        <v>63</v>
      </c>
      <c r="BD15" s="70"/>
      <c r="BE15" s="70"/>
      <c r="BF15" s="70"/>
      <c r="BM15" s="19">
        <f>61/60</f>
        <v>1.0166666666666666</v>
      </c>
    </row>
    <row r="16" spans="1:65" x14ac:dyDescent="0.35">
      <c r="A16" s="21"/>
      <c r="B16"/>
      <c r="C16" s="21"/>
      <c r="D16" s="21"/>
      <c r="E16" s="21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V16"/>
      <c r="AW16"/>
      <c r="AZ16"/>
      <c r="BC16" s="70" t="s">
        <v>64</v>
      </c>
      <c r="BD16" s="70"/>
      <c r="BE16" s="70"/>
      <c r="BF16" s="70"/>
    </row>
    <row r="17" spans="1:58" x14ac:dyDescent="0.35">
      <c r="A17" s="21"/>
      <c r="B17"/>
      <c r="C17" s="21"/>
      <c r="D17" s="21"/>
      <c r="E17" s="21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V17"/>
      <c r="AW17"/>
      <c r="AZ17"/>
      <c r="BC17" s="70" t="s">
        <v>65</v>
      </c>
      <c r="BD17" s="70"/>
      <c r="BE17" s="70"/>
      <c r="BF17" s="70"/>
    </row>
    <row r="18" spans="1:58" x14ac:dyDescent="0.35">
      <c r="A18" s="21"/>
      <c r="B18"/>
      <c r="C18" s="21"/>
      <c r="D18" s="21"/>
      <c r="E18" s="21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V18"/>
      <c r="AW18"/>
      <c r="AZ18"/>
    </row>
    <row r="19" spans="1:58" x14ac:dyDescent="0.35">
      <c r="A19" s="21"/>
      <c r="B19"/>
      <c r="C19" s="21"/>
      <c r="D19" s="21"/>
      <c r="E19" s="21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V19"/>
      <c r="AW19"/>
      <c r="AZ19"/>
    </row>
    <row r="20" spans="1:58" x14ac:dyDescent="0.35">
      <c r="A20" s="21"/>
      <c r="B20"/>
      <c r="C20" s="21"/>
      <c r="D20" s="21"/>
      <c r="E20" s="21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V20"/>
      <c r="AW20"/>
      <c r="AZ20"/>
    </row>
    <row r="21" spans="1:58" x14ac:dyDescent="0.35">
      <c r="A21" s="21"/>
      <c r="B21"/>
      <c r="C21" s="21"/>
      <c r="D21" s="21"/>
      <c r="E21" s="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V21"/>
      <c r="AW21"/>
      <c r="AZ21"/>
    </row>
    <row r="22" spans="1:58" x14ac:dyDescent="0.35">
      <c r="A22" s="21"/>
      <c r="B22"/>
      <c r="C22" s="21"/>
      <c r="D22" s="21"/>
      <c r="E22" s="21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V22"/>
      <c r="AW22"/>
      <c r="AZ22"/>
    </row>
    <row r="23" spans="1:58" x14ac:dyDescent="0.35">
      <c r="A23" s="21"/>
      <c r="B23"/>
      <c r="C23" s="21"/>
      <c r="D23" s="21"/>
      <c r="E23" s="21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V23"/>
      <c r="AW23"/>
      <c r="AZ23"/>
    </row>
    <row r="24" spans="1:58" x14ac:dyDescent="0.35">
      <c r="A24" s="21"/>
      <c r="B24"/>
      <c r="C24" s="21"/>
      <c r="D24" s="21"/>
      <c r="E24" s="21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V24"/>
      <c r="AW24"/>
      <c r="AZ24"/>
    </row>
    <row r="25" spans="1:58" x14ac:dyDescent="0.35">
      <c r="A25" s="21"/>
      <c r="B25"/>
      <c r="C25" s="21"/>
      <c r="D25" s="21"/>
      <c r="E25" s="21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V25"/>
      <c r="AW25"/>
      <c r="AZ25"/>
    </row>
    <row r="26" spans="1:58" x14ac:dyDescent="0.35">
      <c r="A26" s="21"/>
      <c r="B26"/>
      <c r="C26" s="21"/>
      <c r="D26" s="21"/>
      <c r="E26" s="21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V26"/>
      <c r="AW26"/>
      <c r="AZ26"/>
    </row>
    <row r="27" spans="1:58" x14ac:dyDescent="0.35">
      <c r="A27" s="21"/>
      <c r="B27"/>
      <c r="C27" s="21"/>
      <c r="D27" s="21"/>
      <c r="E27" s="21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V27"/>
      <c r="AW27"/>
      <c r="AZ27"/>
    </row>
    <row r="28" spans="1:58" x14ac:dyDescent="0.35">
      <c r="A28" s="21"/>
      <c r="B28"/>
      <c r="C28" s="21"/>
      <c r="D28" s="21"/>
      <c r="E28" s="21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V28"/>
      <c r="AW28"/>
      <c r="AZ28"/>
    </row>
    <row r="29" spans="1:58" x14ac:dyDescent="0.35">
      <c r="A29" s="21"/>
      <c r="B29"/>
      <c r="C29" s="21"/>
      <c r="D29" s="21"/>
      <c r="E29" s="21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V29"/>
      <c r="AW29"/>
      <c r="AZ29"/>
    </row>
    <row r="30" spans="1:58" x14ac:dyDescent="0.35">
      <c r="A30" s="21"/>
      <c r="B30"/>
      <c r="C30" s="21"/>
      <c r="D30" s="21"/>
      <c r="E30" s="21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V30"/>
      <c r="AW30"/>
      <c r="AZ30"/>
    </row>
    <row r="31" spans="1:58" x14ac:dyDescent="0.35">
      <c r="A31" s="21"/>
      <c r="B31"/>
      <c r="C31" s="21"/>
      <c r="D31" s="21"/>
      <c r="E31" s="2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V31"/>
      <c r="AW31"/>
      <c r="AZ31"/>
    </row>
    <row r="32" spans="1:58" x14ac:dyDescent="0.35">
      <c r="A32" s="21"/>
      <c r="B32"/>
      <c r="C32" s="21"/>
      <c r="D32" s="21"/>
      <c r="E32" s="21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V32"/>
      <c r="AW32"/>
      <c r="AZ32"/>
    </row>
    <row r="33" spans="1:52" x14ac:dyDescent="0.35">
      <c r="A33" s="21"/>
      <c r="B33"/>
      <c r="C33" s="21"/>
      <c r="D33" s="21"/>
      <c r="E33" s="21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V33"/>
      <c r="AW33"/>
      <c r="AZ33"/>
    </row>
    <row r="34" spans="1:52" x14ac:dyDescent="0.35">
      <c r="A34" s="21"/>
      <c r="B34"/>
      <c r="C34" s="21"/>
      <c r="D34" s="21"/>
      <c r="E34" s="21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V34"/>
      <c r="AW34"/>
      <c r="AZ34"/>
    </row>
    <row r="35" spans="1:52" x14ac:dyDescent="0.35">
      <c r="A35" s="21"/>
      <c r="B35"/>
      <c r="C35" s="21"/>
      <c r="D35" s="21"/>
      <c r="E35" s="21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V35"/>
      <c r="AW35"/>
      <c r="AZ35"/>
    </row>
    <row r="36" spans="1:52" x14ac:dyDescent="0.35">
      <c r="A36" s="21"/>
      <c r="B36"/>
      <c r="C36" s="21"/>
      <c r="D36" s="21"/>
      <c r="E36" s="21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V36"/>
      <c r="AW36"/>
      <c r="AZ36"/>
    </row>
    <row r="37" spans="1:52" x14ac:dyDescent="0.35">
      <c r="A37" s="21"/>
      <c r="B37"/>
      <c r="C37" s="21"/>
      <c r="D37" s="21"/>
      <c r="E37" s="21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V37"/>
      <c r="AW37"/>
      <c r="AZ37"/>
    </row>
    <row r="38" spans="1:52" x14ac:dyDescent="0.35">
      <c r="A38" s="21"/>
      <c r="B38"/>
      <c r="C38" s="21"/>
      <c r="D38" s="21"/>
      <c r="E38" s="21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V38"/>
      <c r="AW38"/>
      <c r="AZ38"/>
    </row>
    <row r="39" spans="1:52" x14ac:dyDescent="0.35">
      <c r="A39" s="21"/>
      <c r="B39"/>
      <c r="C39" s="21"/>
      <c r="D39" s="21"/>
      <c r="E39" s="21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V39"/>
      <c r="AW39"/>
      <c r="AZ39"/>
    </row>
    <row r="40" spans="1:52" x14ac:dyDescent="0.35">
      <c r="A40" s="21"/>
      <c r="B40"/>
      <c r="C40" s="21"/>
      <c r="D40" s="21"/>
      <c r="E40" s="21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V40"/>
      <c r="AW40"/>
      <c r="AZ40"/>
    </row>
    <row r="41" spans="1:52" x14ac:dyDescent="0.35">
      <c r="A41" s="21"/>
      <c r="B41"/>
      <c r="C41" s="21"/>
      <c r="D41" s="21"/>
      <c r="E41" s="2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V41"/>
      <c r="AW41"/>
      <c r="AZ41"/>
    </row>
    <row r="42" spans="1:52" x14ac:dyDescent="0.35">
      <c r="A42" s="21"/>
      <c r="B42"/>
      <c r="C42" s="21"/>
      <c r="D42" s="21"/>
      <c r="E42" s="21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V42"/>
      <c r="AW42"/>
      <c r="AZ42"/>
    </row>
    <row r="43" spans="1:52" x14ac:dyDescent="0.35">
      <c r="A43" s="21"/>
      <c r="B43"/>
      <c r="C43" s="21"/>
      <c r="D43" s="21"/>
      <c r="E43" s="21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V43"/>
      <c r="AW43"/>
      <c r="AZ43"/>
    </row>
    <row r="44" spans="1:52" x14ac:dyDescent="0.35">
      <c r="A44" s="21"/>
      <c r="B44"/>
      <c r="C44" s="21"/>
      <c r="D44" s="21"/>
      <c r="E44" s="21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V44"/>
      <c r="AW44"/>
      <c r="AZ44"/>
    </row>
    <row r="45" spans="1:52" x14ac:dyDescent="0.35">
      <c r="A45" s="21"/>
      <c r="B45"/>
      <c r="C45" s="21"/>
      <c r="D45" s="21"/>
      <c r="E45" s="21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V45"/>
      <c r="AW45"/>
      <c r="AZ45"/>
    </row>
    <row r="46" spans="1:52" x14ac:dyDescent="0.35">
      <c r="A46" s="21"/>
      <c r="B46"/>
      <c r="C46" s="21"/>
      <c r="D46" s="21"/>
      <c r="E46" s="21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V46"/>
      <c r="AW46"/>
      <c r="AZ46"/>
    </row>
    <row r="47" spans="1:52" x14ac:dyDescent="0.35">
      <c r="A47" s="21"/>
      <c r="B47"/>
      <c r="C47" s="21"/>
      <c r="D47" s="21"/>
      <c r="E47" s="21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V47"/>
      <c r="AW47"/>
      <c r="AZ47"/>
    </row>
    <row r="48" spans="1:52" x14ac:dyDescent="0.35">
      <c r="A48" s="21"/>
      <c r="B48"/>
      <c r="C48" s="21"/>
      <c r="D48" s="21"/>
      <c r="E48" s="21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V48"/>
      <c r="AW48"/>
      <c r="AZ48"/>
    </row>
    <row r="49" spans="1:52" x14ac:dyDescent="0.35">
      <c r="A49" s="21"/>
      <c r="B49"/>
      <c r="C49" s="21"/>
      <c r="D49" s="21"/>
      <c r="E49" s="21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V49"/>
      <c r="AW49"/>
      <c r="AZ49"/>
    </row>
    <row r="50" spans="1:52" x14ac:dyDescent="0.35">
      <c r="A50" s="21"/>
      <c r="B50"/>
      <c r="C50" s="21"/>
      <c r="D50" s="21"/>
      <c r="E50" s="21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V50"/>
      <c r="AW50"/>
      <c r="AZ50"/>
    </row>
    <row r="51" spans="1:52" x14ac:dyDescent="0.35">
      <c r="A51" s="21"/>
      <c r="B51"/>
      <c r="C51" s="21"/>
      <c r="D51" s="21"/>
      <c r="E51" s="2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V51"/>
      <c r="AW51"/>
      <c r="AZ51"/>
    </row>
    <row r="52" spans="1:52" x14ac:dyDescent="0.35">
      <c r="A52" s="21"/>
      <c r="B52"/>
      <c r="C52" s="21"/>
      <c r="D52" s="21"/>
      <c r="E52" s="21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V52"/>
      <c r="AW52"/>
      <c r="AZ52"/>
    </row>
    <row r="53" spans="1:52" x14ac:dyDescent="0.35">
      <c r="A53" s="21"/>
      <c r="B53"/>
      <c r="C53" s="21"/>
      <c r="D53" s="21"/>
      <c r="E53" s="21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V53"/>
      <c r="AW53"/>
      <c r="AZ53"/>
    </row>
    <row r="54" spans="1:52" x14ac:dyDescent="0.35">
      <c r="A54" s="21"/>
      <c r="B54"/>
      <c r="C54" s="21"/>
      <c r="D54" s="21"/>
      <c r="E54" s="21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V54"/>
      <c r="AW54"/>
      <c r="AZ54"/>
    </row>
    <row r="55" spans="1:52" x14ac:dyDescent="0.35">
      <c r="A55" s="21"/>
      <c r="B55"/>
      <c r="C55" s="21"/>
      <c r="D55" s="21"/>
      <c r="E55" s="21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V55"/>
      <c r="AW55"/>
      <c r="AZ55"/>
    </row>
    <row r="56" spans="1:52" x14ac:dyDescent="0.35">
      <c r="A56" s="21"/>
      <c r="B56"/>
      <c r="C56" s="21"/>
      <c r="D56" s="21"/>
      <c r="E56" s="21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V56"/>
      <c r="AW56"/>
      <c r="AZ56"/>
    </row>
    <row r="57" spans="1:52" x14ac:dyDescent="0.35">
      <c r="A57" s="21"/>
      <c r="B57"/>
      <c r="C57" s="21"/>
      <c r="D57" s="21"/>
      <c r="E57" s="21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V57"/>
      <c r="AW57"/>
      <c r="AZ57"/>
    </row>
    <row r="58" spans="1:52" x14ac:dyDescent="0.35">
      <c r="A58" s="21"/>
      <c r="B58"/>
      <c r="C58" s="21"/>
      <c r="D58" s="21"/>
      <c r="E58" s="21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V58"/>
      <c r="AW58"/>
      <c r="AZ58"/>
    </row>
    <row r="59" spans="1:52" x14ac:dyDescent="0.35">
      <c r="A59" s="21"/>
      <c r="B59"/>
      <c r="C59" s="21"/>
      <c r="D59" s="21"/>
      <c r="E59" s="21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V59"/>
      <c r="AW59"/>
      <c r="AZ59"/>
    </row>
    <row r="60" spans="1:52" x14ac:dyDescent="0.35">
      <c r="A60" s="21"/>
      <c r="B60"/>
      <c r="C60" s="21"/>
      <c r="D60" s="21"/>
      <c r="E60" s="21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V60"/>
      <c r="AW60"/>
      <c r="AZ60"/>
    </row>
    <row r="61" spans="1:52" x14ac:dyDescent="0.35">
      <c r="A61" s="20"/>
      <c r="C61" s="20"/>
      <c r="D61" s="20"/>
      <c r="E61" s="20"/>
    </row>
    <row r="62" spans="1:52" x14ac:dyDescent="0.35">
      <c r="A62" s="20"/>
      <c r="C62" s="20"/>
      <c r="D62" s="20"/>
      <c r="E62" s="20"/>
    </row>
    <row r="63" spans="1:52" x14ac:dyDescent="0.35">
      <c r="A63" s="20"/>
      <c r="C63" s="20"/>
      <c r="D63" s="20"/>
      <c r="E63" s="20"/>
    </row>
    <row r="64" spans="1:52" x14ac:dyDescent="0.35">
      <c r="A64" s="20"/>
      <c r="C64" s="20"/>
      <c r="D64" s="20"/>
      <c r="E64" s="20"/>
    </row>
    <row r="65" spans="1:5" x14ac:dyDescent="0.35">
      <c r="A65" s="20"/>
      <c r="C65" s="20"/>
      <c r="D65" s="20"/>
      <c r="E65" s="20"/>
    </row>
    <row r="66" spans="1:5" x14ac:dyDescent="0.35">
      <c r="A66" s="20"/>
      <c r="C66" s="20"/>
      <c r="D66" s="20"/>
      <c r="E66" s="20"/>
    </row>
    <row r="67" spans="1:5" x14ac:dyDescent="0.35">
      <c r="A67" s="20"/>
      <c r="C67" s="20"/>
      <c r="D67" s="20"/>
      <c r="E67" s="20"/>
    </row>
    <row r="68" spans="1:5" x14ac:dyDescent="0.35">
      <c r="A68" s="20"/>
      <c r="C68" s="20"/>
      <c r="D68" s="20"/>
      <c r="E68" s="20"/>
    </row>
    <row r="69" spans="1:5" x14ac:dyDescent="0.35">
      <c r="A69" s="20"/>
      <c r="C69" s="20"/>
      <c r="D69" s="20"/>
      <c r="E69" s="20"/>
    </row>
    <row r="70" spans="1:5" x14ac:dyDescent="0.35">
      <c r="A70" s="20"/>
      <c r="C70" s="20"/>
      <c r="D70" s="20"/>
      <c r="E70" s="20"/>
    </row>
    <row r="71" spans="1:5" x14ac:dyDescent="0.35">
      <c r="A71" s="20"/>
      <c r="C71" s="20"/>
      <c r="D71" s="20"/>
      <c r="E71" s="20"/>
    </row>
    <row r="72" spans="1:5" x14ac:dyDescent="0.35">
      <c r="A72" s="20"/>
      <c r="C72" s="20"/>
      <c r="D72" s="20"/>
      <c r="E72" s="20"/>
    </row>
    <row r="73" spans="1:5" x14ac:dyDescent="0.35">
      <c r="A73" s="20"/>
      <c r="C73" s="20"/>
      <c r="D73" s="20"/>
      <c r="E73" s="20"/>
    </row>
    <row r="74" spans="1:5" x14ac:dyDescent="0.35">
      <c r="A74" s="20"/>
      <c r="C74" s="20"/>
      <c r="D74" s="20"/>
      <c r="E74" s="20"/>
    </row>
    <row r="75" spans="1:5" x14ac:dyDescent="0.35">
      <c r="A75" s="20"/>
      <c r="C75" s="20"/>
      <c r="D75" s="20"/>
      <c r="E75" s="20"/>
    </row>
    <row r="76" spans="1:5" x14ac:dyDescent="0.35">
      <c r="A76" s="20"/>
      <c r="C76" s="20"/>
      <c r="D76" s="20"/>
      <c r="E76" s="20"/>
    </row>
    <row r="77" spans="1:5" x14ac:dyDescent="0.35">
      <c r="A77" s="20"/>
      <c r="C77" s="20"/>
      <c r="D77" s="20"/>
      <c r="E77" s="20"/>
    </row>
    <row r="78" spans="1:5" x14ac:dyDescent="0.35">
      <c r="A78" s="20"/>
      <c r="C78" s="20"/>
      <c r="D78" s="20"/>
      <c r="E78" s="20"/>
    </row>
    <row r="79" spans="1:5" x14ac:dyDescent="0.35">
      <c r="A79" s="20"/>
      <c r="C79" s="20"/>
      <c r="D79" s="20"/>
      <c r="E79" s="20"/>
    </row>
    <row r="80" spans="1:5" x14ac:dyDescent="0.35">
      <c r="A80" s="20"/>
      <c r="C80" s="20"/>
      <c r="D80" s="20"/>
      <c r="E80" s="20"/>
    </row>
    <row r="81" spans="1:5" x14ac:dyDescent="0.35">
      <c r="A81" s="20"/>
      <c r="C81" s="20"/>
      <c r="D81" s="20"/>
      <c r="E81" s="20"/>
    </row>
    <row r="82" spans="1:5" x14ac:dyDescent="0.35">
      <c r="A82" s="20"/>
      <c r="C82" s="20"/>
      <c r="D82" s="20"/>
      <c r="E82" s="20"/>
    </row>
    <row r="83" spans="1:5" x14ac:dyDescent="0.35">
      <c r="A83" s="20"/>
      <c r="C83" s="20"/>
      <c r="D83" s="20"/>
      <c r="E83" s="20"/>
    </row>
    <row r="84" spans="1:5" x14ac:dyDescent="0.35">
      <c r="A84" s="20"/>
      <c r="C84" s="20"/>
      <c r="D84" s="20"/>
      <c r="E84" s="20"/>
    </row>
    <row r="85" spans="1:5" x14ac:dyDescent="0.35">
      <c r="A85" s="20"/>
      <c r="C85" s="20"/>
      <c r="D85" s="20"/>
      <c r="E85" s="20"/>
    </row>
    <row r="86" spans="1:5" x14ac:dyDescent="0.35">
      <c r="A86" s="20"/>
      <c r="C86" s="20"/>
      <c r="D86" s="20"/>
      <c r="E86" s="20"/>
    </row>
    <row r="87" spans="1:5" x14ac:dyDescent="0.35">
      <c r="A87" s="20"/>
      <c r="C87" s="20"/>
      <c r="D87" s="20"/>
      <c r="E87" s="20"/>
    </row>
    <row r="88" spans="1:5" x14ac:dyDescent="0.35">
      <c r="A88" s="20"/>
      <c r="C88" s="20"/>
      <c r="D88" s="20"/>
      <c r="E88" s="20"/>
    </row>
    <row r="89" spans="1:5" x14ac:dyDescent="0.35">
      <c r="A89" s="20"/>
      <c r="C89" s="20"/>
      <c r="D89" s="20"/>
      <c r="E89" s="20"/>
    </row>
    <row r="90" spans="1:5" x14ac:dyDescent="0.35">
      <c r="A90" s="20"/>
      <c r="C90" s="20"/>
      <c r="D90" s="20"/>
      <c r="E90" s="20"/>
    </row>
    <row r="91" spans="1:5" x14ac:dyDescent="0.35">
      <c r="A91" s="20"/>
      <c r="C91" s="20"/>
      <c r="D91" s="20"/>
      <c r="E91" s="20"/>
    </row>
    <row r="92" spans="1:5" x14ac:dyDescent="0.35">
      <c r="A92" s="20"/>
      <c r="C92" s="20"/>
      <c r="D92" s="20"/>
      <c r="E92" s="20"/>
    </row>
    <row r="93" spans="1:5" x14ac:dyDescent="0.35">
      <c r="A93" s="20"/>
      <c r="C93" s="20"/>
      <c r="D93" s="20"/>
      <c r="E93" s="20"/>
    </row>
    <row r="94" spans="1:5" x14ac:dyDescent="0.35">
      <c r="A94" s="20"/>
      <c r="C94" s="20"/>
      <c r="D94" s="20"/>
      <c r="E94" s="20"/>
    </row>
    <row r="95" spans="1:5" x14ac:dyDescent="0.35">
      <c r="A95" s="20"/>
      <c r="C95" s="20"/>
      <c r="D95" s="20"/>
      <c r="E95" s="20"/>
    </row>
    <row r="96" spans="1:5" x14ac:dyDescent="0.35">
      <c r="A96" s="20"/>
      <c r="C96" s="20"/>
      <c r="D96" s="20"/>
      <c r="E96" s="20"/>
    </row>
    <row r="97" spans="1:5" x14ac:dyDescent="0.35">
      <c r="A97" s="20"/>
      <c r="C97" s="20"/>
      <c r="D97" s="20"/>
      <c r="E97" s="20"/>
    </row>
    <row r="98" spans="1:5" x14ac:dyDescent="0.35">
      <c r="A98" s="20"/>
      <c r="C98" s="20"/>
      <c r="D98" s="20"/>
      <c r="E98" s="20"/>
    </row>
    <row r="99" spans="1:5" x14ac:dyDescent="0.35">
      <c r="A99" s="20"/>
      <c r="C99" s="20"/>
      <c r="D99" s="20"/>
      <c r="E99" s="20"/>
    </row>
    <row r="100" spans="1:5" x14ac:dyDescent="0.35">
      <c r="A100" s="20"/>
      <c r="C100" s="20"/>
      <c r="D100" s="20"/>
      <c r="E100" s="20"/>
    </row>
    <row r="101" spans="1:5" x14ac:dyDescent="0.35">
      <c r="A101" s="20"/>
      <c r="C101" s="20"/>
      <c r="D101" s="20"/>
      <c r="E101" s="20"/>
    </row>
    <row r="102" spans="1:5" x14ac:dyDescent="0.35">
      <c r="A102" s="20"/>
      <c r="C102" s="20"/>
      <c r="D102" s="20"/>
      <c r="E102" s="20"/>
    </row>
    <row r="103" spans="1:5" x14ac:dyDescent="0.35">
      <c r="A103" s="20"/>
      <c r="C103" s="20"/>
      <c r="D103" s="20"/>
      <c r="E103" s="20"/>
    </row>
    <row r="104" spans="1:5" x14ac:dyDescent="0.35">
      <c r="A104" s="20"/>
      <c r="C104" s="20"/>
      <c r="D104" s="20"/>
      <c r="E104" s="20"/>
    </row>
    <row r="105" spans="1:5" x14ac:dyDescent="0.35">
      <c r="A105" s="20"/>
      <c r="C105" s="20"/>
      <c r="D105" s="20"/>
      <c r="E105" s="20"/>
    </row>
    <row r="106" spans="1:5" x14ac:dyDescent="0.35">
      <c r="A106" s="20"/>
      <c r="C106" s="20"/>
      <c r="D106" s="20"/>
      <c r="E106" s="20"/>
    </row>
  </sheetData>
  <mergeCells count="1">
    <mergeCell ref="BB1:BC1"/>
  </mergeCells>
  <phoneticPr fontId="11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4"/>
  <dimension ref="A1:CB6303"/>
  <sheetViews>
    <sheetView tabSelected="1" topLeftCell="T29" zoomScale="60" zoomScaleNormal="60" workbookViewId="0">
      <selection activeCell="AG49" sqref="AG49:AG50"/>
    </sheetView>
  </sheetViews>
  <sheetFormatPr defaultColWidth="8.7265625" defaultRowHeight="14.5" x14ac:dyDescent="0.35"/>
  <cols>
    <col min="1" max="1" width="10.54296875" style="19" bestFit="1" customWidth="1"/>
    <col min="2" max="2" width="8.7265625" style="19"/>
    <col min="3" max="3" width="15.1796875" style="19" customWidth="1"/>
    <col min="4" max="4" width="12" style="19" customWidth="1"/>
    <col min="5" max="5" width="16.54296875" style="19" bestFit="1" customWidth="1"/>
    <col min="6" max="6" width="11.81640625" style="19" customWidth="1"/>
    <col min="7" max="7" width="15.81640625" style="19" customWidth="1"/>
    <col min="8" max="8" width="14.1796875" style="19" customWidth="1"/>
    <col min="9" max="9" width="14.54296875" style="19" customWidth="1"/>
    <col min="10" max="10" width="13.26953125" style="19" customWidth="1"/>
    <col min="11" max="11" width="18.7265625" style="19" customWidth="1"/>
    <col min="12" max="12" width="12.26953125" style="19" customWidth="1"/>
    <col min="13" max="13" width="14.26953125" style="19" customWidth="1"/>
    <col min="14" max="14" width="15.1796875" style="19" customWidth="1"/>
    <col min="15" max="15" width="15.453125" style="19" customWidth="1"/>
    <col min="16" max="16" width="16.1796875" style="19" customWidth="1"/>
    <col min="17" max="17" width="16.81640625" style="19" customWidth="1"/>
    <col min="18" max="20" width="8.7265625" style="19"/>
    <col min="21" max="21" width="10.1796875" style="19" customWidth="1"/>
    <col min="22" max="22" width="12.1796875" style="19" customWidth="1"/>
    <col min="23" max="23" width="12.7265625" style="19" customWidth="1"/>
    <col min="24" max="24" width="8.7265625" style="19"/>
    <col min="25" max="25" width="14.81640625" style="19" customWidth="1"/>
    <col min="26" max="26" width="15.1796875" style="19" customWidth="1"/>
    <col min="27" max="27" width="10.54296875" style="19" customWidth="1"/>
    <col min="28" max="28" width="17.81640625" style="19" customWidth="1"/>
    <col min="29" max="30" width="8.7265625" style="19"/>
    <col min="31" max="31" width="24.26953125" style="19" customWidth="1"/>
    <col min="32" max="32" width="39.81640625" style="19" bestFit="1" customWidth="1"/>
    <col min="33" max="33" width="21.36328125" style="19" bestFit="1" customWidth="1"/>
    <col min="34" max="34" width="13.453125" style="19" customWidth="1"/>
    <col min="35" max="35" width="26.90625" style="19" bestFit="1" customWidth="1"/>
    <col min="36" max="36" width="20.453125" style="19" customWidth="1"/>
    <col min="37" max="46" width="8.7265625" style="19"/>
    <col min="47" max="47" width="11.81640625" style="19" bestFit="1" customWidth="1"/>
    <col min="48" max="48" width="29.26953125" style="19" customWidth="1"/>
    <col min="49" max="52" width="10.1796875" style="20" bestFit="1" customWidth="1"/>
    <col min="53" max="54" width="8.7265625" style="19"/>
    <col min="55" max="55" width="17.54296875" style="19" bestFit="1" customWidth="1"/>
    <col min="56" max="56" width="16" style="19" bestFit="1" customWidth="1"/>
    <col min="57" max="57" width="20.54296875" style="19" bestFit="1" customWidth="1"/>
    <col min="58" max="58" width="14.54296875" style="19" bestFit="1" customWidth="1"/>
    <col min="59" max="65" width="8.7265625" style="19"/>
    <col min="66" max="66" width="10.1796875" style="20" bestFit="1" customWidth="1"/>
    <col min="67" max="70" width="8.7265625" style="19"/>
    <col min="71" max="71" width="18.81640625" style="19" customWidth="1"/>
    <col min="72" max="72" width="39.81640625" style="19" bestFit="1" customWidth="1"/>
    <col min="73" max="73" width="21.36328125" style="19" bestFit="1" customWidth="1"/>
    <col min="74" max="74" width="16.81640625" style="19" customWidth="1"/>
    <col min="75" max="75" width="26.54296875" style="19" customWidth="1"/>
    <col min="76" max="76" width="25.26953125" style="19" customWidth="1"/>
    <col min="77" max="78" width="8.7265625" style="19"/>
    <col min="79" max="79" width="15.54296875" style="19" bestFit="1" customWidth="1"/>
    <col min="80" max="16384" width="8.7265625" style="19"/>
  </cols>
  <sheetData>
    <row r="1" spans="1:80" x14ac:dyDescent="0.35">
      <c r="A1" s="19" t="s">
        <v>138</v>
      </c>
      <c r="B1" s="19" t="s">
        <v>139</v>
      </c>
      <c r="C1" s="19" t="s">
        <v>140</v>
      </c>
      <c r="D1" s="19" t="s">
        <v>141</v>
      </c>
      <c r="E1" s="19" t="s">
        <v>142</v>
      </c>
      <c r="F1" s="19" t="s">
        <v>143</v>
      </c>
      <c r="G1" s="113" t="s">
        <v>144</v>
      </c>
      <c r="H1" s="19" t="s">
        <v>145</v>
      </c>
      <c r="I1" s="19" t="s">
        <v>146</v>
      </c>
      <c r="J1" s="19" t="s">
        <v>147</v>
      </c>
      <c r="K1" s="19" t="s">
        <v>148</v>
      </c>
      <c r="L1" s="19" t="s">
        <v>149</v>
      </c>
      <c r="M1" s="19" t="s">
        <v>150</v>
      </c>
      <c r="N1" s="19" t="s">
        <v>151</v>
      </c>
      <c r="O1" s="19" t="s">
        <v>152</v>
      </c>
      <c r="P1" s="19" t="s">
        <v>153</v>
      </c>
      <c r="Q1" s="113" t="s">
        <v>154</v>
      </c>
      <c r="R1" s="19" t="s">
        <v>155</v>
      </c>
      <c r="S1" s="19" t="s">
        <v>156</v>
      </c>
      <c r="T1" s="19" t="s">
        <v>157</v>
      </c>
      <c r="U1" s="19" t="s">
        <v>67</v>
      </c>
      <c r="V1" s="19" t="s">
        <v>158</v>
      </c>
      <c r="W1" s="19" t="s">
        <v>159</v>
      </c>
      <c r="X1" s="19" t="s">
        <v>160</v>
      </c>
      <c r="Y1" s="19" t="s">
        <v>79</v>
      </c>
      <c r="Z1" s="19" t="s">
        <v>161</v>
      </c>
      <c r="AA1" s="19" t="s">
        <v>125</v>
      </c>
      <c r="AB1" s="19" t="s">
        <v>162</v>
      </c>
      <c r="AE1" s="19" t="s">
        <v>163</v>
      </c>
      <c r="AO1" s="28" t="s">
        <v>164</v>
      </c>
      <c r="AP1" s="34" t="s">
        <v>138</v>
      </c>
      <c r="AQ1" s="35" t="s">
        <v>139</v>
      </c>
      <c r="AR1" s="35" t="s">
        <v>140</v>
      </c>
      <c r="AS1" s="35" t="s">
        <v>141</v>
      </c>
      <c r="AT1" s="35" t="s">
        <v>142</v>
      </c>
      <c r="AU1" s="35" t="s">
        <v>143</v>
      </c>
      <c r="AV1" s="116" t="s">
        <v>144</v>
      </c>
      <c r="AW1" s="46" t="s">
        <v>145</v>
      </c>
      <c r="AX1" s="46" t="s">
        <v>146</v>
      </c>
      <c r="AY1" s="46" t="s">
        <v>147</v>
      </c>
      <c r="AZ1" s="46" t="s">
        <v>148</v>
      </c>
      <c r="BA1" s="35" t="s">
        <v>149</v>
      </c>
      <c r="BB1" s="35" t="s">
        <v>150</v>
      </c>
      <c r="BC1" s="35" t="s">
        <v>151</v>
      </c>
      <c r="BD1" s="35" t="s">
        <v>152</v>
      </c>
      <c r="BE1" s="35" t="s">
        <v>153</v>
      </c>
      <c r="BF1" s="114" t="s">
        <v>154</v>
      </c>
      <c r="BG1" s="35" t="s">
        <v>155</v>
      </c>
      <c r="BH1" s="35" t="s">
        <v>156</v>
      </c>
      <c r="BI1" s="35" t="s">
        <v>157</v>
      </c>
      <c r="BJ1" s="35" t="s">
        <v>67</v>
      </c>
      <c r="BK1" s="35" t="s">
        <v>158</v>
      </c>
      <c r="BL1" s="35" t="s">
        <v>159</v>
      </c>
      <c r="BM1" s="35" t="s">
        <v>160</v>
      </c>
      <c r="BN1" s="46" t="s">
        <v>79</v>
      </c>
      <c r="BO1" s="35" t="s">
        <v>161</v>
      </c>
      <c r="BP1" s="35" t="s">
        <v>125</v>
      </c>
      <c r="BQ1" s="36" t="s">
        <v>162</v>
      </c>
    </row>
    <row r="2" spans="1:80" ht="16" x14ac:dyDescent="0.35">
      <c r="A2"/>
      <c r="B2"/>
      <c r="D2"/>
      <c r="G2" t="s">
        <v>186</v>
      </c>
      <c r="H2" s="20"/>
      <c r="I2" s="20"/>
      <c r="J2" s="20"/>
      <c r="K2" s="20"/>
      <c r="L2" s="20"/>
      <c r="Q2" s="83">
        <v>1</v>
      </c>
      <c r="Y2" s="20"/>
      <c r="AD2" s="184" t="s">
        <v>166</v>
      </c>
      <c r="AE2" s="184"/>
      <c r="AO2" s="19" t="s">
        <v>226</v>
      </c>
      <c r="AP2" s="47"/>
      <c r="AQ2" s="48"/>
      <c r="AR2" s="48"/>
      <c r="AS2" s="48"/>
      <c r="AT2" s="48"/>
      <c r="AU2" s="48"/>
      <c r="AV2" s="73" t="s">
        <v>178</v>
      </c>
      <c r="AW2" s="49"/>
      <c r="AX2" s="49"/>
      <c r="AY2" s="49"/>
      <c r="AZ2" s="49"/>
      <c r="BA2" s="49"/>
      <c r="BB2" s="48"/>
      <c r="BC2" s="48"/>
      <c r="BD2" s="48"/>
      <c r="BE2" s="48"/>
      <c r="BF2" s="95">
        <v>1</v>
      </c>
      <c r="BG2" s="48"/>
      <c r="BH2" s="48"/>
      <c r="BI2" s="48"/>
      <c r="BJ2" s="48"/>
      <c r="BK2" s="48"/>
      <c r="BL2" s="48"/>
      <c r="BM2" s="48"/>
      <c r="BN2" s="49"/>
      <c r="BO2" s="48"/>
      <c r="BP2" s="48"/>
      <c r="BQ2" s="50"/>
    </row>
    <row r="3" spans="1:80" ht="16" x14ac:dyDescent="0.35">
      <c r="A3"/>
      <c r="B3"/>
      <c r="D3"/>
      <c r="G3" t="s">
        <v>175</v>
      </c>
      <c r="H3" s="20"/>
      <c r="I3" s="20"/>
      <c r="J3" s="20"/>
      <c r="K3" s="20"/>
      <c r="L3" s="20"/>
      <c r="Q3" s="83">
        <v>0</v>
      </c>
      <c r="Y3" s="20"/>
      <c r="AD3" s="184"/>
      <c r="AE3" s="184"/>
      <c r="AP3" s="51"/>
      <c r="AQ3" s="52"/>
      <c r="AR3" s="52"/>
      <c r="AS3" s="52"/>
      <c r="AT3" s="52"/>
      <c r="AU3" s="52"/>
      <c r="AV3" s="94" t="s">
        <v>167</v>
      </c>
      <c r="AW3" s="53"/>
      <c r="AX3" s="53"/>
      <c r="AY3" s="53"/>
      <c r="AZ3" s="53"/>
      <c r="BA3" s="53"/>
      <c r="BB3" s="52"/>
      <c r="BC3" s="52"/>
      <c r="BD3" s="52"/>
      <c r="BE3" s="52"/>
      <c r="BF3" s="96">
        <v>0</v>
      </c>
      <c r="BG3" s="52"/>
      <c r="BH3" s="52"/>
      <c r="BI3" s="52"/>
      <c r="BJ3" s="52"/>
      <c r="BK3" s="52"/>
      <c r="BL3" s="52"/>
      <c r="BM3" s="52"/>
      <c r="BN3" s="53"/>
      <c r="BO3" s="52"/>
      <c r="BP3" s="52"/>
      <c r="BQ3" s="54"/>
      <c r="BU3"/>
    </row>
    <row r="4" spans="1:80" ht="16" x14ac:dyDescent="0.35">
      <c r="A4"/>
      <c r="B4"/>
      <c r="D4"/>
      <c r="G4" t="s">
        <v>175</v>
      </c>
      <c r="H4" s="20"/>
      <c r="I4" s="20"/>
      <c r="J4" s="20"/>
      <c r="K4" s="20"/>
      <c r="L4" s="20"/>
      <c r="Q4" s="83">
        <v>0</v>
      </c>
      <c r="Y4" s="20"/>
      <c r="AP4" s="47"/>
      <c r="AQ4" s="48"/>
      <c r="AR4" s="48"/>
      <c r="AS4" s="48"/>
      <c r="AT4" s="48"/>
      <c r="AU4" s="48"/>
      <c r="AV4" s="73" t="s">
        <v>175</v>
      </c>
      <c r="AW4" s="49"/>
      <c r="AX4" s="49"/>
      <c r="AY4" s="49"/>
      <c r="AZ4" s="49"/>
      <c r="BA4" s="49"/>
      <c r="BB4" s="48"/>
      <c r="BC4" s="48"/>
      <c r="BD4" s="48"/>
      <c r="BE4" s="48"/>
      <c r="BF4" s="95">
        <v>0</v>
      </c>
      <c r="BG4" s="48"/>
      <c r="BH4" s="48"/>
      <c r="BI4" s="48"/>
      <c r="BJ4" s="48"/>
      <c r="BK4" s="48"/>
      <c r="BL4" s="48"/>
      <c r="BM4" s="48"/>
      <c r="BN4" s="49"/>
      <c r="BO4" s="48"/>
      <c r="BP4" s="48"/>
      <c r="BQ4" s="50"/>
      <c r="BU4"/>
      <c r="BV4" s="23"/>
      <c r="BW4"/>
    </row>
    <row r="5" spans="1:80" ht="16" x14ac:dyDescent="0.35">
      <c r="A5"/>
      <c r="B5"/>
      <c r="D5"/>
      <c r="G5" t="s">
        <v>177</v>
      </c>
      <c r="H5" s="20"/>
      <c r="I5" s="20"/>
      <c r="J5" s="20"/>
      <c r="K5" s="20"/>
      <c r="L5" s="20"/>
      <c r="Q5" s="83">
        <v>0</v>
      </c>
      <c r="Y5" s="20"/>
      <c r="AF5" s="22" t="s">
        <v>171</v>
      </c>
      <c r="AG5" t="s">
        <v>172</v>
      </c>
      <c r="AH5"/>
      <c r="AI5" s="29" t="s">
        <v>171</v>
      </c>
      <c r="AJ5" s="29" t="s">
        <v>172</v>
      </c>
      <c r="AP5" s="51"/>
      <c r="AQ5" s="52"/>
      <c r="AR5" s="52"/>
      <c r="AS5" s="52"/>
      <c r="AT5" s="52"/>
      <c r="AU5" s="52"/>
      <c r="AV5" s="94" t="s">
        <v>167</v>
      </c>
      <c r="AW5" s="53"/>
      <c r="AX5" s="53"/>
      <c r="AY5" s="53"/>
      <c r="AZ5" s="53"/>
      <c r="BA5" s="53"/>
      <c r="BB5" s="52"/>
      <c r="BC5" s="52"/>
      <c r="BD5" s="52"/>
      <c r="BE5" s="52"/>
      <c r="BF5" s="96">
        <v>0</v>
      </c>
      <c r="BG5" s="52"/>
      <c r="BH5" s="52"/>
      <c r="BI5" s="52"/>
      <c r="BJ5" s="52"/>
      <c r="BK5" s="52"/>
      <c r="BL5" s="52"/>
      <c r="BM5" s="52"/>
      <c r="BN5" s="53"/>
      <c r="BO5" s="52"/>
      <c r="BP5" s="52"/>
      <c r="BQ5" s="54"/>
      <c r="BT5" s="22" t="s">
        <v>171</v>
      </c>
      <c r="BU5" t="s">
        <v>172</v>
      </c>
      <c r="BV5"/>
      <c r="BW5" t="s">
        <v>171</v>
      </c>
      <c r="BX5" t="s">
        <v>172</v>
      </c>
    </row>
    <row r="6" spans="1:80" ht="16" x14ac:dyDescent="0.35">
      <c r="A6"/>
      <c r="B6"/>
      <c r="D6"/>
      <c r="G6" t="s">
        <v>180</v>
      </c>
      <c r="H6" s="20"/>
      <c r="I6" s="20"/>
      <c r="J6" s="20"/>
      <c r="K6" s="20"/>
      <c r="L6" s="20"/>
      <c r="Q6" s="83">
        <v>0</v>
      </c>
      <c r="Y6" s="20"/>
      <c r="AF6" s="23" t="s">
        <v>213</v>
      </c>
      <c r="AG6">
        <v>43</v>
      </c>
      <c r="AH6"/>
      <c r="AI6" s="23" t="s">
        <v>213</v>
      </c>
      <c r="AJ6">
        <v>43</v>
      </c>
      <c r="AP6" s="47"/>
      <c r="AQ6" s="48"/>
      <c r="AR6" s="48"/>
      <c r="AS6" s="48"/>
      <c r="AT6" s="48"/>
      <c r="AU6" s="48"/>
      <c r="AV6" s="73" t="s">
        <v>183</v>
      </c>
      <c r="AW6" s="49"/>
      <c r="AX6" s="49"/>
      <c r="AY6" s="49"/>
      <c r="AZ6" s="49"/>
      <c r="BA6" s="49"/>
      <c r="BB6" s="48"/>
      <c r="BC6" s="48"/>
      <c r="BD6" s="48"/>
      <c r="BE6" s="48"/>
      <c r="BF6" s="95">
        <v>0</v>
      </c>
      <c r="BG6" s="48"/>
      <c r="BH6" s="48"/>
      <c r="BI6" s="48"/>
      <c r="BJ6" s="48"/>
      <c r="BK6" s="48"/>
      <c r="BL6" s="48"/>
      <c r="BM6" s="48"/>
      <c r="BN6" s="49"/>
      <c r="BO6" s="48"/>
      <c r="BP6" s="48"/>
      <c r="BQ6" s="50"/>
      <c r="BT6" s="23" t="s">
        <v>206</v>
      </c>
      <c r="BU6">
        <v>150</v>
      </c>
      <c r="BV6"/>
      <c r="BW6" s="23" t="s">
        <v>206</v>
      </c>
      <c r="BX6">
        <v>150</v>
      </c>
    </row>
    <row r="7" spans="1:80" ht="16" x14ac:dyDescent="0.35">
      <c r="A7"/>
      <c r="B7"/>
      <c r="D7"/>
      <c r="G7" t="s">
        <v>175</v>
      </c>
      <c r="H7" s="20"/>
      <c r="I7" s="20"/>
      <c r="J7" s="20"/>
      <c r="K7" s="20"/>
      <c r="L7" s="20"/>
      <c r="Q7" s="83">
        <v>0</v>
      </c>
      <c r="Y7" s="20"/>
      <c r="AF7" s="23" t="s">
        <v>238</v>
      </c>
      <c r="AG7">
        <v>36</v>
      </c>
      <c r="AH7"/>
      <c r="AI7" s="23" t="s">
        <v>238</v>
      </c>
      <c r="AJ7">
        <v>36</v>
      </c>
      <c r="AP7" s="51"/>
      <c r="AQ7" s="52"/>
      <c r="AR7" s="52"/>
      <c r="AS7" s="52"/>
      <c r="AT7" s="52"/>
      <c r="AU7" s="52"/>
      <c r="AV7" s="94" t="s">
        <v>173</v>
      </c>
      <c r="AW7" s="53"/>
      <c r="AX7" s="53"/>
      <c r="AY7" s="53"/>
      <c r="AZ7" s="53"/>
      <c r="BA7" s="53"/>
      <c r="BB7" s="52"/>
      <c r="BC7" s="52"/>
      <c r="BD7" s="52"/>
      <c r="BE7" s="52"/>
      <c r="BF7" s="96">
        <v>0</v>
      </c>
      <c r="BG7" s="52"/>
      <c r="BH7" s="52"/>
      <c r="BI7" s="52"/>
      <c r="BJ7" s="52"/>
      <c r="BK7" s="52"/>
      <c r="BL7" s="52"/>
      <c r="BM7" s="52"/>
      <c r="BN7" s="53"/>
      <c r="BO7" s="52"/>
      <c r="BP7" s="52"/>
      <c r="BQ7" s="54"/>
      <c r="BT7" s="23" t="s">
        <v>213</v>
      </c>
      <c r="BU7">
        <v>147</v>
      </c>
      <c r="BV7"/>
      <c r="BW7" s="23" t="s">
        <v>213</v>
      </c>
      <c r="BX7">
        <v>147</v>
      </c>
    </row>
    <row r="8" spans="1:80" ht="16" x14ac:dyDescent="0.35">
      <c r="A8"/>
      <c r="B8"/>
      <c r="D8"/>
      <c r="G8" t="s">
        <v>165</v>
      </c>
      <c r="H8" s="20"/>
      <c r="I8" s="20"/>
      <c r="J8" s="20"/>
      <c r="K8" s="20"/>
      <c r="L8" s="20"/>
      <c r="Q8" s="83">
        <v>0</v>
      </c>
      <c r="Y8" s="20"/>
      <c r="AF8" s="23" t="s">
        <v>207</v>
      </c>
      <c r="AG8">
        <v>32</v>
      </c>
      <c r="AH8"/>
      <c r="AI8" s="23" t="s">
        <v>207</v>
      </c>
      <c r="AJ8">
        <v>32</v>
      </c>
      <c r="AP8" s="47"/>
      <c r="AQ8" s="48"/>
      <c r="AR8" s="48"/>
      <c r="AS8" s="48"/>
      <c r="AT8" s="48"/>
      <c r="AU8" s="48"/>
      <c r="AV8" s="73" t="s">
        <v>216</v>
      </c>
      <c r="AW8" s="49"/>
      <c r="AX8" s="49"/>
      <c r="AY8" s="49"/>
      <c r="AZ8" s="49"/>
      <c r="BA8" s="49"/>
      <c r="BB8" s="48"/>
      <c r="BC8" s="48"/>
      <c r="BD8" s="48"/>
      <c r="BE8" s="48"/>
      <c r="BF8" s="95">
        <v>0</v>
      </c>
      <c r="BG8" s="48"/>
      <c r="BH8" s="48"/>
      <c r="BI8" s="48"/>
      <c r="BJ8" s="48"/>
      <c r="BK8" s="48"/>
      <c r="BL8" s="48"/>
      <c r="BM8" s="48"/>
      <c r="BN8" s="49"/>
      <c r="BO8" s="48"/>
      <c r="BP8" s="48"/>
      <c r="BQ8" s="50"/>
      <c r="BT8" s="23" t="s">
        <v>214</v>
      </c>
      <c r="BU8">
        <v>108</v>
      </c>
      <c r="BV8"/>
      <c r="BW8" s="23" t="s">
        <v>214</v>
      </c>
      <c r="BX8">
        <v>108</v>
      </c>
    </row>
    <row r="9" spans="1:80" ht="16" x14ac:dyDescent="0.35">
      <c r="A9"/>
      <c r="B9"/>
      <c r="D9"/>
      <c r="G9" t="s">
        <v>205</v>
      </c>
      <c r="H9" s="20"/>
      <c r="I9" s="20"/>
      <c r="J9" s="20"/>
      <c r="K9" s="20"/>
      <c r="L9" s="20"/>
      <c r="Q9" s="83">
        <v>0</v>
      </c>
      <c r="Y9" s="20"/>
      <c r="AF9" s="23" t="s">
        <v>212</v>
      </c>
      <c r="AG9">
        <v>26</v>
      </c>
      <c r="AH9"/>
      <c r="AI9" s="23" t="s">
        <v>212</v>
      </c>
      <c r="AJ9">
        <v>26</v>
      </c>
      <c r="AP9" s="51"/>
      <c r="AQ9" s="52"/>
      <c r="AR9" s="52"/>
      <c r="AS9" s="52"/>
      <c r="AT9" s="52"/>
      <c r="AU9" s="52"/>
      <c r="AV9" s="94" t="s">
        <v>165</v>
      </c>
      <c r="AW9" s="53"/>
      <c r="AX9" s="53"/>
      <c r="AY9" s="53"/>
      <c r="AZ9" s="53"/>
      <c r="BA9" s="53"/>
      <c r="BB9" s="52"/>
      <c r="BC9" s="52"/>
      <c r="BD9" s="52"/>
      <c r="BE9" s="52"/>
      <c r="BF9" s="96">
        <v>0</v>
      </c>
      <c r="BG9" s="52"/>
      <c r="BH9" s="52"/>
      <c r="BI9" s="52"/>
      <c r="BJ9" s="52"/>
      <c r="BK9" s="52"/>
      <c r="BL9" s="52"/>
      <c r="BM9" s="52"/>
      <c r="BN9" s="53"/>
      <c r="BO9" s="52"/>
      <c r="BP9" s="52"/>
      <c r="BQ9" s="54"/>
      <c r="BT9" s="23" t="s">
        <v>212</v>
      </c>
      <c r="BU9">
        <v>81</v>
      </c>
      <c r="BV9"/>
      <c r="BW9" s="23" t="s">
        <v>212</v>
      </c>
      <c r="BX9">
        <v>81</v>
      </c>
    </row>
    <row r="10" spans="1:80" ht="16" x14ac:dyDescent="0.35">
      <c r="A10"/>
      <c r="B10"/>
      <c r="D10"/>
      <c r="G10" t="s">
        <v>175</v>
      </c>
      <c r="H10" s="20"/>
      <c r="I10" s="20"/>
      <c r="J10" s="20"/>
      <c r="K10" s="20"/>
      <c r="L10" s="20"/>
      <c r="Q10" s="83">
        <v>0</v>
      </c>
      <c r="Y10" s="20"/>
      <c r="AF10" s="23" t="s">
        <v>175</v>
      </c>
      <c r="AG10">
        <v>19</v>
      </c>
      <c r="AH10"/>
      <c r="AI10" s="23" t="s">
        <v>175</v>
      </c>
      <c r="AJ10">
        <v>19</v>
      </c>
      <c r="AP10" s="47"/>
      <c r="AQ10" s="48"/>
      <c r="AR10" s="48"/>
      <c r="AS10" s="48"/>
      <c r="AT10" s="48"/>
      <c r="AU10" s="48"/>
      <c r="AV10" s="73" t="s">
        <v>178</v>
      </c>
      <c r="AW10" s="49"/>
      <c r="AX10" s="49"/>
      <c r="AY10" s="49"/>
      <c r="AZ10" s="49"/>
      <c r="BA10" s="49"/>
      <c r="BB10" s="48"/>
      <c r="BC10" s="48"/>
      <c r="BD10" s="48"/>
      <c r="BE10" s="48"/>
      <c r="BF10" s="95">
        <v>1</v>
      </c>
      <c r="BG10" s="48"/>
      <c r="BH10" s="48"/>
      <c r="BI10" s="48"/>
      <c r="BJ10" s="48"/>
      <c r="BK10" s="48"/>
      <c r="BL10" s="48"/>
      <c r="BM10" s="48"/>
      <c r="BN10" s="49"/>
      <c r="BO10" s="48"/>
      <c r="BP10" s="48"/>
      <c r="BQ10" s="50"/>
      <c r="BT10" s="23" t="s">
        <v>207</v>
      </c>
      <c r="BU10">
        <v>76</v>
      </c>
      <c r="BV10"/>
      <c r="BW10" s="23" t="s">
        <v>207</v>
      </c>
      <c r="BX10">
        <v>76</v>
      </c>
    </row>
    <row r="11" spans="1:80" ht="16" x14ac:dyDescent="0.35">
      <c r="A11"/>
      <c r="B11"/>
      <c r="D11"/>
      <c r="G11" t="s">
        <v>175</v>
      </c>
      <c r="H11" s="20"/>
      <c r="I11" s="20"/>
      <c r="J11" s="20"/>
      <c r="K11" s="20"/>
      <c r="L11" s="20"/>
      <c r="Q11" s="83">
        <v>0</v>
      </c>
      <c r="Y11" s="20"/>
      <c r="AF11" s="23" t="s">
        <v>210</v>
      </c>
      <c r="AG11">
        <v>19</v>
      </c>
      <c r="AH11"/>
      <c r="AI11" s="23" t="s">
        <v>210</v>
      </c>
      <c r="AJ11">
        <v>19</v>
      </c>
      <c r="AP11" s="51"/>
      <c r="AQ11" s="52"/>
      <c r="AR11" s="52"/>
      <c r="AS11" s="52"/>
      <c r="AT11" s="52"/>
      <c r="AU11" s="52"/>
      <c r="AV11" s="94" t="s">
        <v>167</v>
      </c>
      <c r="AW11" s="53"/>
      <c r="AX11" s="53"/>
      <c r="AY11" s="53"/>
      <c r="AZ11" s="53"/>
      <c r="BA11" s="53"/>
      <c r="BB11" s="52"/>
      <c r="BC11" s="52"/>
      <c r="BD11" s="52"/>
      <c r="BE11" s="52"/>
      <c r="BF11" s="96">
        <v>0</v>
      </c>
      <c r="BG11" s="52"/>
      <c r="BH11" s="52"/>
      <c r="BI11" s="52"/>
      <c r="BJ11" s="52"/>
      <c r="BK11" s="52"/>
      <c r="BL11" s="52"/>
      <c r="BM11" s="52"/>
      <c r="BN11" s="53"/>
      <c r="BO11" s="52"/>
      <c r="BP11" s="52"/>
      <c r="BQ11" s="54"/>
      <c r="BT11" s="23" t="s">
        <v>175</v>
      </c>
      <c r="BU11">
        <v>41</v>
      </c>
      <c r="BV11"/>
      <c r="BW11" s="23" t="s">
        <v>175</v>
      </c>
      <c r="BX11">
        <v>41</v>
      </c>
      <c r="CA11" s="19" t="s">
        <v>179</v>
      </c>
    </row>
    <row r="12" spans="1:80" ht="16" x14ac:dyDescent="0.35">
      <c r="A12"/>
      <c r="B12"/>
      <c r="D12"/>
      <c r="G12" t="s">
        <v>173</v>
      </c>
      <c r="H12" s="20"/>
      <c r="I12" s="20"/>
      <c r="J12" s="20"/>
      <c r="K12" s="20"/>
      <c r="L12" s="20"/>
      <c r="Q12" s="83">
        <v>0</v>
      </c>
      <c r="Y12" s="20"/>
      <c r="AF12" s="23" t="s">
        <v>167</v>
      </c>
      <c r="AG12">
        <v>14</v>
      </c>
      <c r="AH12"/>
      <c r="AI12" s="23" t="s">
        <v>167</v>
      </c>
      <c r="AJ12">
        <v>14</v>
      </c>
      <c r="AL12" s="19" t="s">
        <v>181</v>
      </c>
      <c r="AP12" s="47"/>
      <c r="AQ12" s="48"/>
      <c r="AR12" s="48"/>
      <c r="AS12" s="48"/>
      <c r="AT12" s="48"/>
      <c r="AU12" s="48"/>
      <c r="AV12" s="73" t="s">
        <v>189</v>
      </c>
      <c r="AW12" s="49"/>
      <c r="AX12" s="49"/>
      <c r="AY12" s="49"/>
      <c r="AZ12" s="49"/>
      <c r="BA12" s="49"/>
      <c r="BB12" s="48"/>
      <c r="BC12" s="48"/>
      <c r="BD12" s="48"/>
      <c r="BE12" s="48"/>
      <c r="BF12" s="95">
        <v>0</v>
      </c>
      <c r="BG12" s="48"/>
      <c r="BH12" s="48"/>
      <c r="BI12" s="48"/>
      <c r="BJ12" s="48"/>
      <c r="BK12" s="48"/>
      <c r="BL12" s="48"/>
      <c r="BM12" s="48"/>
      <c r="BN12" s="49"/>
      <c r="BO12" s="48"/>
      <c r="BP12" s="48"/>
      <c r="BQ12" s="50"/>
      <c r="BT12" s="23" t="s">
        <v>167</v>
      </c>
      <c r="BU12">
        <v>41</v>
      </c>
      <c r="BV12"/>
      <c r="BW12" s="23" t="s">
        <v>167</v>
      </c>
      <c r="BX12">
        <v>41</v>
      </c>
      <c r="CA12" s="24" t="s">
        <v>182</v>
      </c>
      <c r="CB12" s="25">
        <v>22</v>
      </c>
    </row>
    <row r="13" spans="1:80" ht="16" x14ac:dyDescent="0.35">
      <c r="A13"/>
      <c r="B13"/>
      <c r="D13"/>
      <c r="G13" t="s">
        <v>175</v>
      </c>
      <c r="H13" s="20"/>
      <c r="I13" s="20"/>
      <c r="J13" s="20"/>
      <c r="K13" s="20"/>
      <c r="L13" s="20"/>
      <c r="Q13" s="83">
        <v>0</v>
      </c>
      <c r="Y13" s="20"/>
      <c r="AF13" s="23" t="s">
        <v>209</v>
      </c>
      <c r="AG13">
        <v>14</v>
      </c>
      <c r="AH13"/>
      <c r="AI13" s="23" t="s">
        <v>209</v>
      </c>
      <c r="AJ13">
        <v>14</v>
      </c>
      <c r="AP13" s="51"/>
      <c r="AQ13" s="52"/>
      <c r="AR13" s="52"/>
      <c r="AS13" s="52"/>
      <c r="AT13" s="52"/>
      <c r="AU13" s="52"/>
      <c r="AV13" s="94" t="s">
        <v>184</v>
      </c>
      <c r="AW13" s="53"/>
      <c r="AX13" s="53"/>
      <c r="AY13" s="53"/>
      <c r="AZ13" s="53"/>
      <c r="BA13" s="53"/>
      <c r="BB13" s="52"/>
      <c r="BC13" s="52"/>
      <c r="BD13" s="52"/>
      <c r="BE13" s="52"/>
      <c r="BF13" s="96">
        <v>0</v>
      </c>
      <c r="BG13" s="52"/>
      <c r="BH13" s="52"/>
      <c r="BI13" s="52"/>
      <c r="BJ13" s="52"/>
      <c r="BK13" s="52"/>
      <c r="BL13" s="52"/>
      <c r="BM13" s="52"/>
      <c r="BN13" s="53"/>
      <c r="BO13" s="52"/>
      <c r="BP13" s="52"/>
      <c r="BQ13" s="54"/>
      <c r="BT13" s="23" t="s">
        <v>209</v>
      </c>
      <c r="BU13">
        <v>35</v>
      </c>
      <c r="BV13"/>
      <c r="BW13" s="23" t="s">
        <v>209</v>
      </c>
      <c r="BX13">
        <v>35</v>
      </c>
    </row>
    <row r="14" spans="1:80" ht="16" x14ac:dyDescent="0.35">
      <c r="A14"/>
      <c r="B14"/>
      <c r="D14"/>
      <c r="G14" t="s">
        <v>175</v>
      </c>
      <c r="H14" s="20"/>
      <c r="I14" s="20"/>
      <c r="J14" s="20"/>
      <c r="K14" s="20"/>
      <c r="L14" s="20"/>
      <c r="Q14" s="83">
        <v>0</v>
      </c>
      <c r="Y14" s="20"/>
      <c r="AF14" s="23" t="s">
        <v>214</v>
      </c>
      <c r="AG14">
        <v>14</v>
      </c>
      <c r="AH14"/>
      <c r="AI14" s="23" t="s">
        <v>214</v>
      </c>
      <c r="AJ14">
        <v>14</v>
      </c>
      <c r="AP14" s="47"/>
      <c r="AQ14" s="48"/>
      <c r="AR14" s="48"/>
      <c r="AS14" s="48"/>
      <c r="AT14" s="48"/>
      <c r="AU14" s="48"/>
      <c r="AV14" s="73" t="s">
        <v>175</v>
      </c>
      <c r="AW14" s="49"/>
      <c r="AX14" s="49"/>
      <c r="AY14" s="49"/>
      <c r="AZ14" s="49"/>
      <c r="BA14" s="49"/>
      <c r="BB14" s="48"/>
      <c r="BC14" s="48"/>
      <c r="BD14" s="48"/>
      <c r="BE14" s="48"/>
      <c r="BF14" s="95">
        <v>3</v>
      </c>
      <c r="BG14" s="48"/>
      <c r="BH14" s="48"/>
      <c r="BI14" s="48"/>
      <c r="BJ14" s="48"/>
      <c r="BK14" s="48"/>
      <c r="BL14" s="48"/>
      <c r="BM14" s="48"/>
      <c r="BN14" s="49"/>
      <c r="BO14" s="48"/>
      <c r="BP14" s="48"/>
      <c r="BQ14" s="50"/>
      <c r="BT14" s="23" t="s">
        <v>210</v>
      </c>
      <c r="BU14">
        <v>34</v>
      </c>
      <c r="BV14"/>
      <c r="BW14" s="23" t="s">
        <v>210</v>
      </c>
      <c r="BX14">
        <v>34</v>
      </c>
    </row>
    <row r="15" spans="1:80" ht="16" x14ac:dyDescent="0.35">
      <c r="A15"/>
      <c r="B15"/>
      <c r="D15"/>
      <c r="G15" t="s">
        <v>167</v>
      </c>
      <c r="H15" s="20"/>
      <c r="I15" s="20"/>
      <c r="J15" s="20"/>
      <c r="K15" s="20"/>
      <c r="L15" s="20"/>
      <c r="Q15" s="83">
        <v>0</v>
      </c>
      <c r="Y15" s="20"/>
      <c r="AF15" s="23" t="s">
        <v>241</v>
      </c>
      <c r="AG15">
        <v>11</v>
      </c>
      <c r="AH15"/>
      <c r="AI15" s="23" t="s">
        <v>241</v>
      </c>
      <c r="AJ15">
        <v>11</v>
      </c>
      <c r="AP15" s="51"/>
      <c r="AQ15" s="52"/>
      <c r="AR15" s="52"/>
      <c r="AS15" s="52"/>
      <c r="AT15" s="52"/>
      <c r="AU15" s="52"/>
      <c r="AV15" s="94" t="s">
        <v>177</v>
      </c>
      <c r="AW15" s="53"/>
      <c r="AX15" s="53"/>
      <c r="AY15" s="53"/>
      <c r="AZ15" s="53"/>
      <c r="BA15" s="53"/>
      <c r="BB15" s="52"/>
      <c r="BC15" s="52"/>
      <c r="BD15" s="52"/>
      <c r="BE15" s="52"/>
      <c r="BF15" s="96">
        <v>0</v>
      </c>
      <c r="BG15" s="52"/>
      <c r="BH15" s="52"/>
      <c r="BI15" s="52"/>
      <c r="BJ15" s="52"/>
      <c r="BK15" s="52"/>
      <c r="BL15" s="52"/>
      <c r="BM15" s="52"/>
      <c r="BN15" s="53"/>
      <c r="BO15" s="52"/>
      <c r="BP15" s="52"/>
      <c r="BQ15" s="54"/>
      <c r="BT15" s="23" t="s">
        <v>208</v>
      </c>
      <c r="BU15">
        <v>22</v>
      </c>
      <c r="BV15"/>
      <c r="BW15" s="23" t="s">
        <v>208</v>
      </c>
      <c r="BX15">
        <v>22</v>
      </c>
    </row>
    <row r="16" spans="1:80" ht="16" x14ac:dyDescent="0.35">
      <c r="A16"/>
      <c r="B16"/>
      <c r="D16"/>
      <c r="G16" t="s">
        <v>178</v>
      </c>
      <c r="H16" s="20"/>
      <c r="I16" s="20"/>
      <c r="J16" s="20"/>
      <c r="K16" s="20"/>
      <c r="L16" s="20"/>
      <c r="Q16" s="83">
        <v>0</v>
      </c>
      <c r="Y16" s="20"/>
      <c r="AF16" s="23" t="s">
        <v>183</v>
      </c>
      <c r="AG16">
        <v>9</v>
      </c>
      <c r="AH16"/>
      <c r="AI16" s="23" t="s">
        <v>183</v>
      </c>
      <c r="AJ16">
        <v>9</v>
      </c>
      <c r="AP16" s="47"/>
      <c r="AQ16" s="48"/>
      <c r="AR16" s="48"/>
      <c r="AS16" s="48"/>
      <c r="AT16" s="48"/>
      <c r="AU16" s="48"/>
      <c r="AV16" s="73" t="s">
        <v>175</v>
      </c>
      <c r="AW16" s="49"/>
      <c r="AX16" s="49"/>
      <c r="AY16" s="49"/>
      <c r="AZ16" s="49"/>
      <c r="BA16" s="49"/>
      <c r="BB16" s="48"/>
      <c r="BC16" s="48"/>
      <c r="BD16" s="48"/>
      <c r="BE16" s="48"/>
      <c r="BF16" s="95">
        <v>0</v>
      </c>
      <c r="BG16" s="48"/>
      <c r="BH16" s="48"/>
      <c r="BI16" s="48"/>
      <c r="BJ16" s="48"/>
      <c r="BK16" s="48"/>
      <c r="BL16" s="48"/>
      <c r="BM16" s="48"/>
      <c r="BN16" s="49"/>
      <c r="BO16" s="48"/>
      <c r="BP16" s="48"/>
      <c r="BQ16" s="50"/>
      <c r="BT16" s="23" t="s">
        <v>180</v>
      </c>
      <c r="BU16">
        <v>18</v>
      </c>
      <c r="BV16"/>
      <c r="BW16" s="23" t="s">
        <v>180</v>
      </c>
      <c r="BX16">
        <v>18</v>
      </c>
    </row>
    <row r="17" spans="1:76" ht="16" x14ac:dyDescent="0.35">
      <c r="A17"/>
      <c r="B17"/>
      <c r="D17"/>
      <c r="G17" t="s">
        <v>175</v>
      </c>
      <c r="H17" s="20"/>
      <c r="I17" s="20"/>
      <c r="J17" s="20"/>
      <c r="K17" s="20"/>
      <c r="L17" s="20"/>
      <c r="Q17" s="83">
        <v>0</v>
      </c>
      <c r="Y17" s="20"/>
      <c r="AF17" s="23" t="s">
        <v>215</v>
      </c>
      <c r="AG17">
        <v>9</v>
      </c>
      <c r="AH17"/>
      <c r="AI17" s="23" t="s">
        <v>215</v>
      </c>
      <c r="AJ17">
        <v>9</v>
      </c>
      <c r="AP17" s="51"/>
      <c r="AQ17" s="52"/>
      <c r="AR17" s="52"/>
      <c r="AS17" s="52"/>
      <c r="AT17" s="52"/>
      <c r="AU17" s="52"/>
      <c r="AV17" s="94" t="s">
        <v>169</v>
      </c>
      <c r="AW17" s="53"/>
      <c r="AX17" s="53"/>
      <c r="AY17" s="53"/>
      <c r="AZ17" s="53"/>
      <c r="BA17" s="53"/>
      <c r="BB17" s="52"/>
      <c r="BC17" s="52"/>
      <c r="BD17" s="52"/>
      <c r="BE17" s="52"/>
      <c r="BF17" s="96">
        <v>0</v>
      </c>
      <c r="BG17" s="52"/>
      <c r="BH17" s="52"/>
      <c r="BI17" s="52"/>
      <c r="BJ17" s="52"/>
      <c r="BK17" s="52"/>
      <c r="BL17" s="52"/>
      <c r="BM17" s="52"/>
      <c r="BN17" s="53"/>
      <c r="BO17" s="52"/>
      <c r="BP17" s="52"/>
      <c r="BQ17" s="54"/>
      <c r="BT17" s="23" t="s">
        <v>176</v>
      </c>
      <c r="BU17">
        <v>18</v>
      </c>
      <c r="BV17"/>
      <c r="BW17" s="23" t="s">
        <v>176</v>
      </c>
      <c r="BX17">
        <v>18</v>
      </c>
    </row>
    <row r="18" spans="1:76" ht="16" x14ac:dyDescent="0.35">
      <c r="A18"/>
      <c r="B18"/>
      <c r="D18"/>
      <c r="G18" t="s">
        <v>168</v>
      </c>
      <c r="H18" s="20"/>
      <c r="I18" s="20"/>
      <c r="J18" s="20"/>
      <c r="K18" s="20"/>
      <c r="L18" s="20"/>
      <c r="Q18" s="83">
        <v>0</v>
      </c>
      <c r="Y18" s="20"/>
      <c r="AF18" s="23" t="s">
        <v>180</v>
      </c>
      <c r="AG18">
        <v>9</v>
      </c>
      <c r="AH18"/>
      <c r="AI18" s="23" t="s">
        <v>180</v>
      </c>
      <c r="AJ18">
        <v>9</v>
      </c>
      <c r="AP18" s="47"/>
      <c r="AQ18" s="48"/>
      <c r="AR18" s="48"/>
      <c r="AS18" s="48"/>
      <c r="AT18" s="48"/>
      <c r="AU18" s="48"/>
      <c r="AV18" s="73" t="s">
        <v>183</v>
      </c>
      <c r="AW18" s="49"/>
      <c r="AX18" s="49"/>
      <c r="AY18" s="49"/>
      <c r="AZ18" s="49"/>
      <c r="BA18" s="49"/>
      <c r="BB18" s="48"/>
      <c r="BC18" s="48"/>
      <c r="BD18" s="48"/>
      <c r="BE18" s="48"/>
      <c r="BF18" s="95">
        <v>0</v>
      </c>
      <c r="BG18" s="48"/>
      <c r="BH18" s="48"/>
      <c r="BI18" s="48"/>
      <c r="BJ18" s="48"/>
      <c r="BK18" s="48"/>
      <c r="BL18" s="48"/>
      <c r="BM18" s="48"/>
      <c r="BN18" s="49"/>
      <c r="BO18" s="48"/>
      <c r="BP18" s="48"/>
      <c r="BQ18" s="50"/>
      <c r="BT18" s="23" t="s">
        <v>189</v>
      </c>
      <c r="BU18">
        <v>14</v>
      </c>
      <c r="BV18"/>
      <c r="BW18" s="23" t="s">
        <v>189</v>
      </c>
      <c r="BX18">
        <v>14</v>
      </c>
    </row>
    <row r="19" spans="1:76" ht="16" x14ac:dyDescent="0.35">
      <c r="A19"/>
      <c r="B19"/>
      <c r="D19"/>
      <c r="G19" t="s">
        <v>184</v>
      </c>
      <c r="H19" s="20"/>
      <c r="I19" s="20"/>
      <c r="J19" s="20"/>
      <c r="K19" s="20"/>
      <c r="L19" s="20"/>
      <c r="Q19" s="83">
        <v>0</v>
      </c>
      <c r="Y19" s="20"/>
      <c r="AF19" s="23" t="s">
        <v>189</v>
      </c>
      <c r="AG19">
        <v>8</v>
      </c>
      <c r="AH19"/>
      <c r="AI19" s="23" t="s">
        <v>189</v>
      </c>
      <c r="AJ19">
        <v>8</v>
      </c>
      <c r="AP19" s="51"/>
      <c r="AQ19" s="52"/>
      <c r="AR19" s="52"/>
      <c r="AS19" s="52"/>
      <c r="AT19" s="52"/>
      <c r="AU19" s="52"/>
      <c r="AV19" s="94" t="s">
        <v>175</v>
      </c>
      <c r="AW19" s="53"/>
      <c r="AX19" s="53"/>
      <c r="AY19" s="53"/>
      <c r="AZ19" s="53"/>
      <c r="BA19" s="53"/>
      <c r="BB19" s="52"/>
      <c r="BC19" s="52"/>
      <c r="BD19" s="52"/>
      <c r="BE19" s="52"/>
      <c r="BF19" s="96">
        <v>0</v>
      </c>
      <c r="BG19" s="52"/>
      <c r="BH19" s="52"/>
      <c r="BI19" s="52"/>
      <c r="BJ19" s="52"/>
      <c r="BK19" s="52"/>
      <c r="BL19" s="52"/>
      <c r="BM19" s="52"/>
      <c r="BN19" s="53"/>
      <c r="BO19" s="52"/>
      <c r="BP19" s="52"/>
      <c r="BQ19" s="54"/>
      <c r="BT19" s="23" t="s">
        <v>173</v>
      </c>
      <c r="BU19">
        <v>13</v>
      </c>
      <c r="BV19"/>
      <c r="BW19" s="23" t="s">
        <v>173</v>
      </c>
      <c r="BX19">
        <v>13</v>
      </c>
    </row>
    <row r="20" spans="1:76" ht="16" x14ac:dyDescent="0.35">
      <c r="A20"/>
      <c r="B20"/>
      <c r="D20"/>
      <c r="G20" t="s">
        <v>167</v>
      </c>
      <c r="H20" s="20"/>
      <c r="I20" s="20"/>
      <c r="J20" s="20"/>
      <c r="K20" s="20"/>
      <c r="L20" s="20"/>
      <c r="Q20" s="83">
        <v>5</v>
      </c>
      <c r="Y20" s="20"/>
      <c r="AF20" s="23" t="s">
        <v>176</v>
      </c>
      <c r="AG20">
        <v>8</v>
      </c>
      <c r="AH20"/>
      <c r="AI20" s="23" t="s">
        <v>176</v>
      </c>
      <c r="AJ20">
        <v>8</v>
      </c>
      <c r="AP20" s="47"/>
      <c r="AQ20" s="48"/>
      <c r="AR20" s="48"/>
      <c r="AS20" s="48"/>
      <c r="AT20" s="48"/>
      <c r="AU20" s="48"/>
      <c r="AV20" s="73" t="s">
        <v>173</v>
      </c>
      <c r="AW20" s="49"/>
      <c r="AX20" s="49"/>
      <c r="AY20" s="49"/>
      <c r="AZ20" s="49"/>
      <c r="BA20" s="49"/>
      <c r="BB20" s="48"/>
      <c r="BC20" s="48"/>
      <c r="BD20" s="48"/>
      <c r="BE20" s="48"/>
      <c r="BF20" s="95">
        <v>0</v>
      </c>
      <c r="BG20" s="48"/>
      <c r="BH20" s="48"/>
      <c r="BI20" s="48"/>
      <c r="BJ20" s="48"/>
      <c r="BK20" s="48"/>
      <c r="BL20" s="48"/>
      <c r="BM20" s="48"/>
      <c r="BN20" s="49"/>
      <c r="BO20" s="48"/>
      <c r="BP20" s="48"/>
      <c r="BQ20" s="50"/>
      <c r="BT20" s="23" t="s">
        <v>183</v>
      </c>
      <c r="BU20">
        <v>13</v>
      </c>
      <c r="BV20"/>
      <c r="BW20" s="23" t="s">
        <v>183</v>
      </c>
      <c r="BX20">
        <v>13</v>
      </c>
    </row>
    <row r="21" spans="1:76" ht="16" x14ac:dyDescent="0.35">
      <c r="A21"/>
      <c r="B21"/>
      <c r="D21"/>
      <c r="G21" t="s">
        <v>165</v>
      </c>
      <c r="H21" s="20"/>
      <c r="I21" s="20"/>
      <c r="J21" s="20"/>
      <c r="K21" s="20"/>
      <c r="L21" s="20"/>
      <c r="Q21" s="83">
        <v>2</v>
      </c>
      <c r="Y21" s="20"/>
      <c r="AF21" s="23" t="s">
        <v>240</v>
      </c>
      <c r="AG21">
        <v>6</v>
      </c>
      <c r="AH21"/>
      <c r="AI21" s="23" t="s">
        <v>240</v>
      </c>
      <c r="AJ21">
        <v>6</v>
      </c>
      <c r="AP21" s="51"/>
      <c r="AQ21" s="52"/>
      <c r="AR21" s="52"/>
      <c r="AS21" s="52"/>
      <c r="AT21" s="52"/>
      <c r="AU21" s="52"/>
      <c r="AV21" s="94" t="s">
        <v>189</v>
      </c>
      <c r="AW21" s="53"/>
      <c r="AX21" s="53"/>
      <c r="AY21" s="53"/>
      <c r="AZ21" s="53"/>
      <c r="BA21" s="53"/>
      <c r="BB21" s="52"/>
      <c r="BC21" s="52"/>
      <c r="BD21" s="52"/>
      <c r="BE21" s="52"/>
      <c r="BF21" s="96">
        <v>0</v>
      </c>
      <c r="BG21" s="52"/>
      <c r="BH21" s="52"/>
      <c r="BI21" s="52"/>
      <c r="BJ21" s="52"/>
      <c r="BK21" s="52"/>
      <c r="BL21" s="52"/>
      <c r="BM21" s="52"/>
      <c r="BN21" s="53"/>
      <c r="BO21" s="52"/>
      <c r="BP21" s="52"/>
      <c r="BQ21" s="54"/>
      <c r="BT21" s="23" t="s">
        <v>241</v>
      </c>
      <c r="BU21">
        <v>11</v>
      </c>
      <c r="BV21"/>
      <c r="BW21" s="23" t="s">
        <v>241</v>
      </c>
      <c r="BX21">
        <v>11</v>
      </c>
    </row>
    <row r="22" spans="1:76" ht="16" x14ac:dyDescent="0.35">
      <c r="A22"/>
      <c r="B22"/>
      <c r="D22"/>
      <c r="G22" t="s">
        <v>167</v>
      </c>
      <c r="H22" s="20"/>
      <c r="I22" s="20"/>
      <c r="J22" s="20"/>
      <c r="K22" s="20"/>
      <c r="L22" s="20"/>
      <c r="Q22" s="83">
        <v>0</v>
      </c>
      <c r="Y22" s="20"/>
      <c r="AF22" s="23" t="s">
        <v>165</v>
      </c>
      <c r="AG22">
        <v>5</v>
      </c>
      <c r="AH22"/>
      <c r="AI22" s="23" t="s">
        <v>165</v>
      </c>
      <c r="AJ22">
        <v>5</v>
      </c>
      <c r="AP22" s="47"/>
      <c r="AQ22" s="48"/>
      <c r="AR22" s="48"/>
      <c r="AS22" s="48"/>
      <c r="AT22" s="48"/>
      <c r="AU22" s="48"/>
      <c r="AV22" s="73" t="s">
        <v>167</v>
      </c>
      <c r="AW22" s="49"/>
      <c r="AX22" s="49"/>
      <c r="AY22" s="49"/>
      <c r="AZ22" s="49"/>
      <c r="BA22" s="49"/>
      <c r="BB22" s="48"/>
      <c r="BC22" s="48"/>
      <c r="BD22" s="48"/>
      <c r="BE22" s="48"/>
      <c r="BF22" s="95">
        <v>0</v>
      </c>
      <c r="BG22" s="48"/>
      <c r="BH22" s="48"/>
      <c r="BI22" s="48"/>
      <c r="BJ22" s="48"/>
      <c r="BK22" s="48"/>
      <c r="BL22" s="48"/>
      <c r="BM22" s="48"/>
      <c r="BN22" s="49"/>
      <c r="BO22" s="48"/>
      <c r="BP22" s="48"/>
      <c r="BQ22" s="50"/>
      <c r="BT22" s="23" t="s">
        <v>178</v>
      </c>
      <c r="BU22">
        <v>11</v>
      </c>
      <c r="BV22"/>
      <c r="BW22" s="23" t="s">
        <v>178</v>
      </c>
      <c r="BX22">
        <v>11</v>
      </c>
    </row>
    <row r="23" spans="1:76" ht="16" x14ac:dyDescent="0.35">
      <c r="A23"/>
      <c r="B23"/>
      <c r="D23"/>
      <c r="G23" t="s">
        <v>189</v>
      </c>
      <c r="H23" s="20"/>
      <c r="I23" s="20"/>
      <c r="J23" s="20"/>
      <c r="K23" s="20"/>
      <c r="L23" s="20"/>
      <c r="Q23" s="83">
        <v>0</v>
      </c>
      <c r="Y23" s="20"/>
      <c r="AF23" s="23" t="s">
        <v>205</v>
      </c>
      <c r="AG23">
        <v>5</v>
      </c>
      <c r="AH23" s="23"/>
      <c r="AI23" s="23" t="s">
        <v>205</v>
      </c>
      <c r="AJ23">
        <v>5</v>
      </c>
      <c r="AP23" s="51"/>
      <c r="AQ23" s="52"/>
      <c r="AR23" s="52"/>
      <c r="AS23" s="52"/>
      <c r="AT23" s="52"/>
      <c r="AU23" s="52"/>
      <c r="AV23" s="94" t="s">
        <v>188</v>
      </c>
      <c r="AW23" s="53"/>
      <c r="AX23" s="53"/>
      <c r="AY23" s="53"/>
      <c r="AZ23" s="53"/>
      <c r="BA23" s="53"/>
      <c r="BB23" s="52"/>
      <c r="BC23" s="52"/>
      <c r="BD23" s="52"/>
      <c r="BE23" s="52"/>
      <c r="BF23" s="96">
        <v>0</v>
      </c>
      <c r="BG23" s="52"/>
      <c r="BH23" s="52"/>
      <c r="BI23" s="52"/>
      <c r="BJ23" s="52"/>
      <c r="BK23" s="52"/>
      <c r="BL23" s="52"/>
      <c r="BM23" s="52"/>
      <c r="BN23" s="53"/>
      <c r="BO23" s="52"/>
      <c r="BP23" s="52"/>
      <c r="BQ23" s="54"/>
      <c r="BT23" s="23" t="s">
        <v>215</v>
      </c>
      <c r="BU23">
        <v>10</v>
      </c>
      <c r="BV23" s="23"/>
      <c r="BW23" s="23" t="s">
        <v>215</v>
      </c>
      <c r="BX23">
        <v>10</v>
      </c>
    </row>
    <row r="24" spans="1:76" ht="16" x14ac:dyDescent="0.35">
      <c r="A24"/>
      <c r="B24"/>
      <c r="D24"/>
      <c r="G24" t="s">
        <v>178</v>
      </c>
      <c r="H24" s="20"/>
      <c r="I24" s="20"/>
      <c r="J24" s="20"/>
      <c r="K24" s="20"/>
      <c r="L24" s="20"/>
      <c r="Q24" s="83">
        <v>0</v>
      </c>
      <c r="Y24" s="20"/>
      <c r="AF24" s="23" t="s">
        <v>184</v>
      </c>
      <c r="AG24">
        <v>5</v>
      </c>
      <c r="AH24" s="23"/>
      <c r="AI24" s="23" t="s">
        <v>184</v>
      </c>
      <c r="AJ24">
        <v>5</v>
      </c>
      <c r="AP24" s="47"/>
      <c r="AQ24" s="48"/>
      <c r="AR24" s="48"/>
      <c r="AS24" s="48"/>
      <c r="AT24" s="48"/>
      <c r="AU24" s="48"/>
      <c r="AV24" s="73" t="s">
        <v>188</v>
      </c>
      <c r="AW24" s="49"/>
      <c r="AX24" s="49"/>
      <c r="AY24" s="49"/>
      <c r="AZ24" s="49"/>
      <c r="BA24" s="49"/>
      <c r="BB24" s="48"/>
      <c r="BC24" s="48"/>
      <c r="BD24" s="48"/>
      <c r="BE24" s="48"/>
      <c r="BF24" s="95">
        <v>0</v>
      </c>
      <c r="BG24" s="48"/>
      <c r="BH24" s="48"/>
      <c r="BI24" s="48"/>
      <c r="BJ24" s="48"/>
      <c r="BK24" s="48"/>
      <c r="BL24" s="48"/>
      <c r="BM24" s="48"/>
      <c r="BN24" s="49"/>
      <c r="BO24" s="48"/>
      <c r="BP24" s="48"/>
      <c r="BQ24" s="50"/>
      <c r="BT24" s="23" t="s">
        <v>165</v>
      </c>
      <c r="BU24">
        <v>7</v>
      </c>
      <c r="BV24" s="23"/>
      <c r="BW24" s="23" t="s">
        <v>165</v>
      </c>
      <c r="BX24">
        <v>7</v>
      </c>
    </row>
    <row r="25" spans="1:76" ht="16" x14ac:dyDescent="0.35">
      <c r="A25"/>
      <c r="B25"/>
      <c r="D25"/>
      <c r="G25" t="s">
        <v>180</v>
      </c>
      <c r="H25" s="20"/>
      <c r="I25" s="20"/>
      <c r="J25" s="20"/>
      <c r="K25" s="20"/>
      <c r="L25" s="20"/>
      <c r="Q25" s="83">
        <v>0</v>
      </c>
      <c r="Y25" s="20"/>
      <c r="AF25" s="23" t="s">
        <v>178</v>
      </c>
      <c r="AG25">
        <v>5</v>
      </c>
      <c r="AH25" s="23"/>
      <c r="AI25" s="23" t="s">
        <v>178</v>
      </c>
      <c r="AJ25">
        <v>5</v>
      </c>
      <c r="AP25" s="51"/>
      <c r="AQ25" s="52"/>
      <c r="AR25" s="52"/>
      <c r="AS25" s="52"/>
      <c r="AT25" s="52"/>
      <c r="AU25" s="52"/>
      <c r="AV25" s="94" t="s">
        <v>180</v>
      </c>
      <c r="AW25" s="53"/>
      <c r="AX25" s="53"/>
      <c r="AY25" s="53"/>
      <c r="AZ25" s="53"/>
      <c r="BA25" s="53"/>
      <c r="BB25" s="52"/>
      <c r="BC25" s="52"/>
      <c r="BD25" s="52"/>
      <c r="BE25" s="52"/>
      <c r="BF25" s="96">
        <v>0</v>
      </c>
      <c r="BG25" s="52"/>
      <c r="BH25" s="52"/>
      <c r="BI25" s="52"/>
      <c r="BJ25" s="52"/>
      <c r="BK25" s="52"/>
      <c r="BL25" s="52"/>
      <c r="BM25" s="52"/>
      <c r="BN25" s="53"/>
      <c r="BO25" s="52"/>
      <c r="BP25" s="52"/>
      <c r="BQ25" s="54"/>
      <c r="BT25" s="23" t="s">
        <v>168</v>
      </c>
      <c r="BU25">
        <v>7</v>
      </c>
      <c r="BV25" s="23"/>
      <c r="BW25" s="23" t="s">
        <v>168</v>
      </c>
      <c r="BX25">
        <v>7</v>
      </c>
    </row>
    <row r="26" spans="1:76" ht="16" x14ac:dyDescent="0.35">
      <c r="A26"/>
      <c r="B26"/>
      <c r="D26"/>
      <c r="G26" t="s">
        <v>176</v>
      </c>
      <c r="H26" s="20"/>
      <c r="I26" s="20"/>
      <c r="J26" s="20"/>
      <c r="K26" s="20"/>
      <c r="L26" s="20"/>
      <c r="Q26" s="83">
        <v>0</v>
      </c>
      <c r="Y26" s="20"/>
      <c r="AF26" s="23" t="s">
        <v>173</v>
      </c>
      <c r="AG26">
        <v>3</v>
      </c>
      <c r="AH26" s="23"/>
      <c r="AI26" s="23" t="s">
        <v>173</v>
      </c>
      <c r="AJ26">
        <v>3</v>
      </c>
      <c r="AP26" s="47"/>
      <c r="AQ26" s="48"/>
      <c r="AR26" s="48"/>
      <c r="AS26" s="48"/>
      <c r="AT26" s="48"/>
      <c r="AU26" s="48"/>
      <c r="AV26" s="73" t="s">
        <v>168</v>
      </c>
      <c r="AW26" s="49"/>
      <c r="AX26" s="49"/>
      <c r="AY26" s="49"/>
      <c r="AZ26" s="49"/>
      <c r="BA26" s="49"/>
      <c r="BB26" s="48"/>
      <c r="BC26" s="48"/>
      <c r="BD26" s="48"/>
      <c r="BE26" s="48"/>
      <c r="BF26" s="95">
        <v>0</v>
      </c>
      <c r="BG26" s="48"/>
      <c r="BH26" s="48"/>
      <c r="BI26" s="48"/>
      <c r="BJ26" s="48"/>
      <c r="BK26" s="48"/>
      <c r="BL26" s="48"/>
      <c r="BM26" s="48"/>
      <c r="BN26" s="49"/>
      <c r="BO26" s="48"/>
      <c r="BP26" s="48"/>
      <c r="BQ26" s="50"/>
      <c r="BT26" s="23" t="s">
        <v>184</v>
      </c>
      <c r="BU26">
        <v>7</v>
      </c>
      <c r="BV26" s="23"/>
      <c r="BW26" s="23" t="s">
        <v>184</v>
      </c>
      <c r="BX26">
        <v>7</v>
      </c>
    </row>
    <row r="27" spans="1:76" ht="16" x14ac:dyDescent="0.35">
      <c r="A27"/>
      <c r="B27"/>
      <c r="D27"/>
      <c r="G27" t="s">
        <v>176</v>
      </c>
      <c r="H27" s="20"/>
      <c r="I27" s="20"/>
      <c r="J27" s="20"/>
      <c r="K27" s="20"/>
      <c r="L27" s="20"/>
      <c r="Q27" s="83">
        <v>0</v>
      </c>
      <c r="Y27" s="20"/>
      <c r="AF27" s="23" t="s">
        <v>208</v>
      </c>
      <c r="AG27">
        <v>3</v>
      </c>
      <c r="AH27" s="23"/>
      <c r="AI27" s="23" t="s">
        <v>208</v>
      </c>
      <c r="AJ27">
        <v>3</v>
      </c>
      <c r="AP27" s="51"/>
      <c r="AQ27" s="52"/>
      <c r="AR27" s="52"/>
      <c r="AS27" s="52"/>
      <c r="AT27" s="52"/>
      <c r="AU27" s="52"/>
      <c r="AV27" s="94" t="s">
        <v>167</v>
      </c>
      <c r="AW27" s="53"/>
      <c r="AX27" s="53"/>
      <c r="AY27" s="53"/>
      <c r="AZ27" s="53"/>
      <c r="BA27" s="53"/>
      <c r="BB27" s="52"/>
      <c r="BC27" s="52"/>
      <c r="BD27" s="52"/>
      <c r="BE27" s="52"/>
      <c r="BF27" s="96">
        <v>0</v>
      </c>
      <c r="BG27" s="52"/>
      <c r="BH27" s="52"/>
      <c r="BI27" s="52"/>
      <c r="BJ27" s="52"/>
      <c r="BK27" s="52"/>
      <c r="BL27" s="52"/>
      <c r="BM27" s="52"/>
      <c r="BN27" s="53"/>
      <c r="BO27" s="52"/>
      <c r="BP27" s="52"/>
      <c r="BQ27" s="54"/>
      <c r="BT27" s="23" t="s">
        <v>205</v>
      </c>
      <c r="BU27">
        <v>6</v>
      </c>
      <c r="BV27" s="23"/>
      <c r="BW27" s="23" t="s">
        <v>205</v>
      </c>
      <c r="BX27">
        <v>6</v>
      </c>
    </row>
    <row r="28" spans="1:76" ht="16" x14ac:dyDescent="0.35">
      <c r="A28"/>
      <c r="B28"/>
      <c r="D28"/>
      <c r="G28" t="s">
        <v>169</v>
      </c>
      <c r="H28" s="20"/>
      <c r="I28" s="20"/>
      <c r="J28" s="20"/>
      <c r="K28" s="20"/>
      <c r="L28" s="20"/>
      <c r="Q28" s="83">
        <v>0</v>
      </c>
      <c r="Y28" s="20"/>
      <c r="AF28" s="23" t="s">
        <v>174</v>
      </c>
      <c r="AG28">
        <v>3</v>
      </c>
      <c r="AH28" s="23"/>
      <c r="AI28" s="23" t="s">
        <v>174</v>
      </c>
      <c r="AJ28">
        <v>3</v>
      </c>
      <c r="AP28" s="47"/>
      <c r="AQ28" s="48"/>
      <c r="AR28" s="48"/>
      <c r="AS28" s="48"/>
      <c r="AT28" s="48"/>
      <c r="AU28" s="48"/>
      <c r="AV28" s="73" t="s">
        <v>167</v>
      </c>
      <c r="AW28" s="49"/>
      <c r="AX28" s="49"/>
      <c r="AY28" s="49"/>
      <c r="AZ28" s="49"/>
      <c r="BA28" s="49"/>
      <c r="BB28" s="48"/>
      <c r="BC28" s="48"/>
      <c r="BD28" s="48"/>
      <c r="BE28" s="48"/>
      <c r="BF28" s="95">
        <v>0</v>
      </c>
      <c r="BG28" s="48"/>
      <c r="BH28" s="48"/>
      <c r="BI28" s="48"/>
      <c r="BJ28" s="48"/>
      <c r="BK28" s="48"/>
      <c r="BL28" s="48"/>
      <c r="BM28" s="48"/>
      <c r="BN28" s="49"/>
      <c r="BO28" s="48"/>
      <c r="BP28" s="48"/>
      <c r="BQ28" s="50"/>
      <c r="BT28" s="23" t="s">
        <v>240</v>
      </c>
      <c r="BU28">
        <v>6</v>
      </c>
      <c r="BV28" s="23"/>
      <c r="BW28" s="23" t="s">
        <v>240</v>
      </c>
      <c r="BX28">
        <v>6</v>
      </c>
    </row>
    <row r="29" spans="1:76" ht="16" x14ac:dyDescent="0.35">
      <c r="A29"/>
      <c r="B29"/>
      <c r="D29"/>
      <c r="G29" t="s">
        <v>184</v>
      </c>
      <c r="H29" s="20"/>
      <c r="I29" s="20"/>
      <c r="J29" s="20"/>
      <c r="K29" s="20"/>
      <c r="L29" s="20"/>
      <c r="Q29" s="83">
        <v>2</v>
      </c>
      <c r="Y29" s="20"/>
      <c r="AF29" s="23" t="s">
        <v>168</v>
      </c>
      <c r="AG29">
        <v>3</v>
      </c>
      <c r="AH29" s="23"/>
      <c r="AI29" s="23" t="s">
        <v>168</v>
      </c>
      <c r="AJ29">
        <v>3</v>
      </c>
      <c r="AP29" s="51"/>
      <c r="AQ29" s="52"/>
      <c r="AR29" s="52"/>
      <c r="AS29" s="52"/>
      <c r="AT29" s="52"/>
      <c r="AU29" s="52"/>
      <c r="AV29" s="94" t="s">
        <v>174</v>
      </c>
      <c r="AW29" s="53"/>
      <c r="AX29" s="53"/>
      <c r="AY29" s="53"/>
      <c r="AZ29" s="53"/>
      <c r="BA29" s="53"/>
      <c r="BB29" s="52"/>
      <c r="BC29" s="52"/>
      <c r="BD29" s="52"/>
      <c r="BE29" s="52"/>
      <c r="BF29" s="96">
        <v>0</v>
      </c>
      <c r="BG29" s="52"/>
      <c r="BH29" s="52"/>
      <c r="BI29" s="52"/>
      <c r="BJ29" s="52"/>
      <c r="BK29" s="52"/>
      <c r="BL29" s="52"/>
      <c r="BM29" s="52"/>
      <c r="BN29" s="53"/>
      <c r="BO29" s="52"/>
      <c r="BP29" s="52"/>
      <c r="BQ29" s="54"/>
      <c r="BT29" s="23" t="s">
        <v>174</v>
      </c>
      <c r="BU29">
        <v>5</v>
      </c>
      <c r="BV29" s="23"/>
      <c r="BW29" s="23" t="s">
        <v>174</v>
      </c>
      <c r="BX29">
        <v>5</v>
      </c>
    </row>
    <row r="30" spans="1:76" ht="16" x14ac:dyDescent="0.35">
      <c r="A30"/>
      <c r="B30"/>
      <c r="D30"/>
      <c r="G30" t="s">
        <v>165</v>
      </c>
      <c r="H30" s="20"/>
      <c r="I30" s="20"/>
      <c r="J30" s="20"/>
      <c r="K30" s="20"/>
      <c r="L30" s="20"/>
      <c r="Q30" s="83">
        <v>0</v>
      </c>
      <c r="Y30" s="20"/>
      <c r="AF30" s="23" t="s">
        <v>242</v>
      </c>
      <c r="AG30">
        <v>2</v>
      </c>
      <c r="AH30" s="23"/>
      <c r="AI30" s="23" t="s">
        <v>242</v>
      </c>
      <c r="AJ30">
        <v>2</v>
      </c>
      <c r="AP30" s="47"/>
      <c r="AQ30" s="48"/>
      <c r="AR30" s="48"/>
      <c r="AS30" s="48"/>
      <c r="AT30" s="48"/>
      <c r="AU30" s="48"/>
      <c r="AV30" s="73" t="s">
        <v>189</v>
      </c>
      <c r="AW30" s="49"/>
      <c r="AX30" s="49"/>
      <c r="AY30" s="49"/>
      <c r="AZ30" s="49"/>
      <c r="BA30" s="49"/>
      <c r="BB30" s="48"/>
      <c r="BC30" s="48"/>
      <c r="BD30" s="48"/>
      <c r="BE30" s="48"/>
      <c r="BF30" s="95">
        <v>0</v>
      </c>
      <c r="BG30" s="48"/>
      <c r="BH30" s="48"/>
      <c r="BI30" s="48"/>
      <c r="BJ30" s="48"/>
      <c r="BK30" s="48"/>
      <c r="BL30" s="48"/>
      <c r="BM30" s="48"/>
      <c r="BN30" s="49"/>
      <c r="BO30" s="48"/>
      <c r="BP30" s="48"/>
      <c r="BQ30" s="50"/>
      <c r="BT30" s="23" t="s">
        <v>177</v>
      </c>
      <c r="BU30">
        <v>4</v>
      </c>
      <c r="BV30" s="23"/>
      <c r="BW30" s="23" t="s">
        <v>177</v>
      </c>
      <c r="BX30">
        <v>4</v>
      </c>
    </row>
    <row r="31" spans="1:76" ht="16" x14ac:dyDescent="0.35">
      <c r="A31"/>
      <c r="B31"/>
      <c r="D31"/>
      <c r="G31" t="s">
        <v>178</v>
      </c>
      <c r="H31" s="20"/>
      <c r="I31" s="20"/>
      <c r="J31" s="20"/>
      <c r="K31" s="20"/>
      <c r="L31" s="20"/>
      <c r="Q31" s="83">
        <v>0</v>
      </c>
      <c r="Y31" s="20"/>
      <c r="AF31" s="23" t="s">
        <v>239</v>
      </c>
      <c r="AG31">
        <v>2</v>
      </c>
      <c r="AH31" s="23"/>
      <c r="AI31" s="23" t="s">
        <v>239</v>
      </c>
      <c r="AJ31">
        <v>2</v>
      </c>
      <c r="AP31" s="51"/>
      <c r="AQ31" s="52"/>
      <c r="AR31" s="52"/>
      <c r="AS31" s="52"/>
      <c r="AT31" s="52"/>
      <c r="AU31" s="52"/>
      <c r="AV31" s="94" t="s">
        <v>189</v>
      </c>
      <c r="AW31" s="53"/>
      <c r="AX31" s="53"/>
      <c r="AY31" s="53"/>
      <c r="AZ31" s="53"/>
      <c r="BA31" s="53"/>
      <c r="BB31" s="52"/>
      <c r="BC31" s="52"/>
      <c r="BD31" s="52"/>
      <c r="BE31" s="52"/>
      <c r="BF31" s="96">
        <v>0</v>
      </c>
      <c r="BG31" s="52"/>
      <c r="BH31" s="52"/>
      <c r="BI31" s="52"/>
      <c r="BJ31" s="52"/>
      <c r="BK31" s="52"/>
      <c r="BL31" s="52"/>
      <c r="BM31" s="52"/>
      <c r="BN31" s="53"/>
      <c r="BO31" s="52"/>
      <c r="BP31" s="52"/>
      <c r="BQ31" s="54"/>
      <c r="BT31" s="23" t="s">
        <v>216</v>
      </c>
      <c r="BU31">
        <v>4</v>
      </c>
      <c r="BV31" s="23"/>
      <c r="BW31" s="23" t="s">
        <v>216</v>
      </c>
      <c r="BX31">
        <v>4</v>
      </c>
    </row>
    <row r="32" spans="1:76" ht="16" x14ac:dyDescent="0.35">
      <c r="A32"/>
      <c r="B32"/>
      <c r="D32"/>
      <c r="G32" t="s">
        <v>183</v>
      </c>
      <c r="H32" s="20"/>
      <c r="I32" s="20"/>
      <c r="J32" s="20"/>
      <c r="K32" s="20"/>
      <c r="L32" s="20"/>
      <c r="Q32" s="83">
        <v>0</v>
      </c>
      <c r="Y32" s="20"/>
      <c r="AF32" s="23" t="s">
        <v>211</v>
      </c>
      <c r="AG32">
        <v>2</v>
      </c>
      <c r="AH32" s="23"/>
      <c r="AI32" s="23" t="s">
        <v>211</v>
      </c>
      <c r="AJ32">
        <v>2</v>
      </c>
      <c r="AP32" s="47"/>
      <c r="AQ32" s="48"/>
      <c r="AR32" s="48"/>
      <c r="AS32" s="48"/>
      <c r="AT32" s="48"/>
      <c r="AU32" s="48"/>
      <c r="AV32" s="73" t="s">
        <v>183</v>
      </c>
      <c r="AW32" s="49"/>
      <c r="AX32" s="49"/>
      <c r="AY32" s="49"/>
      <c r="AZ32" s="49"/>
      <c r="BA32" s="49"/>
      <c r="BB32" s="48"/>
      <c r="BC32" s="48"/>
      <c r="BD32" s="48"/>
      <c r="BE32" s="48"/>
      <c r="BF32" s="95">
        <v>0</v>
      </c>
      <c r="BG32" s="48"/>
      <c r="BH32" s="48"/>
      <c r="BI32" s="48"/>
      <c r="BJ32" s="48"/>
      <c r="BK32" s="48"/>
      <c r="BL32" s="48"/>
      <c r="BM32" s="48"/>
      <c r="BN32" s="49"/>
      <c r="BO32" s="48"/>
      <c r="BP32" s="48"/>
      <c r="BQ32" s="50"/>
      <c r="BT32" s="23" t="s">
        <v>211</v>
      </c>
      <c r="BU32">
        <v>4</v>
      </c>
      <c r="BV32" s="23"/>
      <c r="BW32" s="23" t="s">
        <v>211</v>
      </c>
      <c r="BX32">
        <v>4</v>
      </c>
    </row>
    <row r="33" spans="1:76" ht="16" x14ac:dyDescent="0.35">
      <c r="A33"/>
      <c r="B33"/>
      <c r="D33"/>
      <c r="G33" t="s">
        <v>183</v>
      </c>
      <c r="H33" s="20"/>
      <c r="I33" s="20"/>
      <c r="J33" s="20"/>
      <c r="K33" s="20"/>
      <c r="L33" s="20"/>
      <c r="Q33" s="83">
        <v>0</v>
      </c>
      <c r="Y33" s="20"/>
      <c r="AF33" s="23" t="s">
        <v>223</v>
      </c>
      <c r="AG33">
        <v>2</v>
      </c>
      <c r="AH33" s="23"/>
      <c r="AI33" s="23" t="s">
        <v>223</v>
      </c>
      <c r="AJ33">
        <v>2</v>
      </c>
      <c r="AP33" s="51"/>
      <c r="AQ33" s="52"/>
      <c r="AR33" s="52"/>
      <c r="AS33" s="52"/>
      <c r="AT33" s="52"/>
      <c r="AU33" s="52"/>
      <c r="AV33" s="94" t="s">
        <v>167</v>
      </c>
      <c r="AW33" s="53"/>
      <c r="AX33" s="53"/>
      <c r="AY33" s="53"/>
      <c r="AZ33" s="53"/>
      <c r="BA33" s="53"/>
      <c r="BB33" s="52"/>
      <c r="BC33" s="52"/>
      <c r="BD33" s="52"/>
      <c r="BE33" s="52"/>
      <c r="BF33" s="96">
        <v>0</v>
      </c>
      <c r="BG33" s="52"/>
      <c r="BH33" s="52"/>
      <c r="BI33" s="52"/>
      <c r="BJ33" s="52"/>
      <c r="BK33" s="52"/>
      <c r="BL33" s="52"/>
      <c r="BM33" s="52"/>
      <c r="BN33" s="53"/>
      <c r="BO33" s="52"/>
      <c r="BP33" s="52"/>
      <c r="BQ33" s="54"/>
      <c r="BT33" s="23" t="s">
        <v>225</v>
      </c>
      <c r="BU33">
        <v>3</v>
      </c>
      <c r="BV33" s="23"/>
      <c r="BW33" s="23" t="s">
        <v>225</v>
      </c>
      <c r="BX33">
        <v>3</v>
      </c>
    </row>
    <row r="34" spans="1:76" ht="16" x14ac:dyDescent="0.35">
      <c r="A34"/>
      <c r="B34"/>
      <c r="D34"/>
      <c r="G34" t="s">
        <v>165</v>
      </c>
      <c r="H34" s="20"/>
      <c r="I34" s="20"/>
      <c r="J34" s="20"/>
      <c r="K34" s="20"/>
      <c r="L34" s="20"/>
      <c r="Q34" s="83">
        <v>0</v>
      </c>
      <c r="Y34" s="20"/>
      <c r="AF34" s="23" t="s">
        <v>186</v>
      </c>
      <c r="AG34">
        <v>2</v>
      </c>
      <c r="AI34" s="23" t="s">
        <v>186</v>
      </c>
      <c r="AJ34">
        <v>2</v>
      </c>
      <c r="AP34" s="47"/>
      <c r="AQ34" s="48"/>
      <c r="AR34" s="48"/>
      <c r="AS34" s="48"/>
      <c r="AT34" s="48"/>
      <c r="AU34" s="48"/>
      <c r="AV34" s="73" t="s">
        <v>168</v>
      </c>
      <c r="AW34" s="49"/>
      <c r="AX34" s="49"/>
      <c r="AY34" s="49"/>
      <c r="AZ34" s="49"/>
      <c r="BA34" s="49"/>
      <c r="BB34" s="48"/>
      <c r="BC34" s="48"/>
      <c r="BD34" s="48"/>
      <c r="BE34" s="48"/>
      <c r="BF34" s="95">
        <v>0</v>
      </c>
      <c r="BG34" s="48"/>
      <c r="BH34" s="48"/>
      <c r="BI34" s="48"/>
      <c r="BJ34" s="48"/>
      <c r="BK34" s="48"/>
      <c r="BL34" s="48"/>
      <c r="BM34" s="48"/>
      <c r="BN34" s="49"/>
      <c r="BO34" s="48"/>
      <c r="BP34" s="48"/>
      <c r="BQ34" s="50"/>
      <c r="BT34" s="23" t="s">
        <v>223</v>
      </c>
      <c r="BU34">
        <v>3</v>
      </c>
      <c r="BV34" s="23"/>
      <c r="BW34" s="23" t="s">
        <v>223</v>
      </c>
      <c r="BX34">
        <v>3</v>
      </c>
    </row>
    <row r="35" spans="1:76" ht="16" x14ac:dyDescent="0.35">
      <c r="A35"/>
      <c r="B35"/>
      <c r="D35"/>
      <c r="G35" t="s">
        <v>167</v>
      </c>
      <c r="H35" s="20"/>
      <c r="I35" s="20"/>
      <c r="J35" s="20"/>
      <c r="K35" s="20"/>
      <c r="L35" s="20"/>
      <c r="Q35" s="83">
        <v>2</v>
      </c>
      <c r="Y35" s="20"/>
      <c r="AF35" s="23" t="s">
        <v>177</v>
      </c>
      <c r="AG35">
        <v>2</v>
      </c>
      <c r="AI35" s="23" t="s">
        <v>177</v>
      </c>
      <c r="AJ35">
        <v>2</v>
      </c>
      <c r="AP35" s="51"/>
      <c r="AQ35" s="52"/>
      <c r="AR35" s="52"/>
      <c r="AS35" s="52"/>
      <c r="AT35" s="52"/>
      <c r="AU35" s="52"/>
      <c r="AV35" s="94" t="s">
        <v>167</v>
      </c>
      <c r="AW35" s="53"/>
      <c r="AX35" s="53"/>
      <c r="AY35" s="53"/>
      <c r="AZ35" s="53"/>
      <c r="BA35" s="53"/>
      <c r="BB35" s="52"/>
      <c r="BC35" s="52"/>
      <c r="BD35" s="52"/>
      <c r="BE35" s="52"/>
      <c r="BF35" s="96">
        <v>0</v>
      </c>
      <c r="BG35" s="52"/>
      <c r="BH35" s="52"/>
      <c r="BI35" s="52"/>
      <c r="BJ35" s="52"/>
      <c r="BK35" s="52"/>
      <c r="BL35" s="52"/>
      <c r="BM35" s="52"/>
      <c r="BN35" s="53"/>
      <c r="BO35" s="52"/>
      <c r="BP35" s="52"/>
      <c r="BQ35" s="54"/>
      <c r="BT35" s="23" t="s">
        <v>186</v>
      </c>
      <c r="BU35">
        <v>3</v>
      </c>
      <c r="BV35" s="23"/>
      <c r="BW35" s="23" t="s">
        <v>186</v>
      </c>
      <c r="BX35">
        <v>3</v>
      </c>
    </row>
    <row r="36" spans="1:76" ht="16" x14ac:dyDescent="0.35">
      <c r="A36"/>
      <c r="B36"/>
      <c r="D36"/>
      <c r="G36" t="s">
        <v>178</v>
      </c>
      <c r="H36" s="20"/>
      <c r="I36" s="20"/>
      <c r="J36" s="20"/>
      <c r="K36" s="20"/>
      <c r="L36" s="20"/>
      <c r="Q36" s="83">
        <v>1</v>
      </c>
      <c r="Y36" s="20"/>
      <c r="AF36" s="23" t="s">
        <v>237</v>
      </c>
      <c r="AG36">
        <v>1</v>
      </c>
      <c r="AI36" s="23" t="s">
        <v>237</v>
      </c>
      <c r="AJ36">
        <v>1</v>
      </c>
      <c r="AP36" s="47"/>
      <c r="AQ36" s="48"/>
      <c r="AR36" s="48"/>
      <c r="AS36" s="48"/>
      <c r="AT36" s="48"/>
      <c r="AU36" s="48"/>
      <c r="AV36" s="73" t="s">
        <v>189</v>
      </c>
      <c r="AW36" s="49"/>
      <c r="AX36" s="49"/>
      <c r="AY36" s="49"/>
      <c r="AZ36" s="49"/>
      <c r="BA36" s="49"/>
      <c r="BB36" s="48"/>
      <c r="BC36" s="48"/>
      <c r="BD36" s="48"/>
      <c r="BE36" s="48"/>
      <c r="BF36" s="95">
        <v>0</v>
      </c>
      <c r="BG36" s="48"/>
      <c r="BH36" s="48"/>
      <c r="BI36" s="48"/>
      <c r="BJ36" s="48"/>
      <c r="BK36" s="48"/>
      <c r="BL36" s="48"/>
      <c r="BM36" s="48"/>
      <c r="BN36" s="49"/>
      <c r="BO36" s="48"/>
      <c r="BP36" s="48"/>
      <c r="BQ36" s="50"/>
      <c r="BT36" s="23" t="s">
        <v>169</v>
      </c>
      <c r="BU36">
        <v>3</v>
      </c>
      <c r="BV36" s="23"/>
      <c r="BW36" s="23" t="s">
        <v>169</v>
      </c>
      <c r="BX36">
        <v>3</v>
      </c>
    </row>
    <row r="37" spans="1:76" ht="16" x14ac:dyDescent="0.35">
      <c r="A37"/>
      <c r="B37"/>
      <c r="D37"/>
      <c r="G37" t="s">
        <v>178</v>
      </c>
      <c r="H37" s="20"/>
      <c r="I37" s="20"/>
      <c r="J37" s="20"/>
      <c r="K37" s="20"/>
      <c r="L37" s="20"/>
      <c r="Q37" s="83">
        <v>0</v>
      </c>
      <c r="Y37" s="20"/>
      <c r="AF37" s="23" t="s">
        <v>170</v>
      </c>
      <c r="AG37">
        <v>1</v>
      </c>
      <c r="AI37" s="23" t="s">
        <v>170</v>
      </c>
      <c r="AJ37">
        <v>1</v>
      </c>
      <c r="AP37" s="51"/>
      <c r="AQ37" s="52"/>
      <c r="AR37" s="52"/>
      <c r="AS37" s="52"/>
      <c r="AT37" s="52"/>
      <c r="AU37" s="52"/>
      <c r="AV37" s="94" t="s">
        <v>169</v>
      </c>
      <c r="AW37" s="53"/>
      <c r="AX37" s="53"/>
      <c r="AY37" s="53"/>
      <c r="AZ37" s="53"/>
      <c r="BA37" s="53"/>
      <c r="BB37" s="52"/>
      <c r="BC37" s="52"/>
      <c r="BD37" s="52"/>
      <c r="BE37" s="52"/>
      <c r="BF37" s="96">
        <v>0</v>
      </c>
      <c r="BG37" s="52"/>
      <c r="BH37" s="52"/>
      <c r="BI37" s="52"/>
      <c r="BJ37" s="52"/>
      <c r="BK37" s="52"/>
      <c r="BL37" s="52"/>
      <c r="BM37" s="52"/>
      <c r="BN37" s="53"/>
      <c r="BO37" s="52"/>
      <c r="BP37" s="52"/>
      <c r="BQ37" s="54"/>
      <c r="BT37" s="23" t="s">
        <v>188</v>
      </c>
      <c r="BU37">
        <v>2</v>
      </c>
      <c r="BV37" s="23"/>
      <c r="BW37" s="23" t="s">
        <v>188</v>
      </c>
      <c r="BX37">
        <v>2</v>
      </c>
    </row>
    <row r="38" spans="1:76" ht="16" x14ac:dyDescent="0.35">
      <c r="A38"/>
      <c r="B38"/>
      <c r="D38"/>
      <c r="G38" t="s">
        <v>175</v>
      </c>
      <c r="H38" s="20"/>
      <c r="I38" s="20"/>
      <c r="J38" s="20"/>
      <c r="K38" s="20"/>
      <c r="L38" s="20"/>
      <c r="Q38" s="83">
        <v>0</v>
      </c>
      <c r="Y38" s="20"/>
      <c r="AF38" s="23" t="s">
        <v>227</v>
      </c>
      <c r="AG38">
        <v>1</v>
      </c>
      <c r="AI38" s="23" t="s">
        <v>227</v>
      </c>
      <c r="AJ38">
        <v>1</v>
      </c>
      <c r="AP38" s="47"/>
      <c r="AQ38" s="48"/>
      <c r="AR38" s="48"/>
      <c r="AS38" s="48"/>
      <c r="AT38" s="48"/>
      <c r="AU38" s="48"/>
      <c r="AV38" s="73" t="s">
        <v>204</v>
      </c>
      <c r="AW38" s="49"/>
      <c r="AX38" s="49"/>
      <c r="AY38" s="49"/>
      <c r="AZ38" s="49"/>
      <c r="BA38" s="49"/>
      <c r="BB38" s="48"/>
      <c r="BC38" s="48"/>
      <c r="BD38" s="48"/>
      <c r="BE38" s="48"/>
      <c r="BF38" s="95">
        <v>0</v>
      </c>
      <c r="BG38" s="48"/>
      <c r="BH38" s="48"/>
      <c r="BI38" s="48"/>
      <c r="BJ38" s="48"/>
      <c r="BK38" s="48"/>
      <c r="BL38" s="48"/>
      <c r="BM38" s="48"/>
      <c r="BN38" s="49"/>
      <c r="BO38" s="48"/>
      <c r="BP38" s="48"/>
      <c r="BQ38" s="50"/>
      <c r="BT38" s="23" t="s">
        <v>170</v>
      </c>
      <c r="BU38">
        <v>2</v>
      </c>
      <c r="BV38" s="23"/>
      <c r="BW38" s="23" t="s">
        <v>170</v>
      </c>
      <c r="BX38">
        <v>2</v>
      </c>
    </row>
    <row r="39" spans="1:76" ht="16" x14ac:dyDescent="0.35">
      <c r="A39"/>
      <c r="B39"/>
      <c r="D39"/>
      <c r="G39" t="s">
        <v>176</v>
      </c>
      <c r="H39" s="20"/>
      <c r="I39" s="20"/>
      <c r="J39" s="20"/>
      <c r="K39" s="20"/>
      <c r="L39" s="20"/>
      <c r="Q39" s="83">
        <v>0</v>
      </c>
      <c r="Y39" s="20"/>
      <c r="AF39" s="23" t="s">
        <v>236</v>
      </c>
      <c r="AG39">
        <v>1</v>
      </c>
      <c r="AI39" s="23" t="s">
        <v>236</v>
      </c>
      <c r="AJ39">
        <v>1</v>
      </c>
      <c r="AP39" s="51"/>
      <c r="AQ39" s="52"/>
      <c r="AR39" s="52"/>
      <c r="AS39" s="52"/>
      <c r="AT39" s="52"/>
      <c r="AU39" s="52"/>
      <c r="AV39" s="94" t="s">
        <v>180</v>
      </c>
      <c r="AW39" s="53"/>
      <c r="AX39" s="53"/>
      <c r="AY39" s="53"/>
      <c r="AZ39" s="53"/>
      <c r="BA39" s="53"/>
      <c r="BB39" s="52"/>
      <c r="BC39" s="52"/>
      <c r="BD39" s="52"/>
      <c r="BE39" s="52"/>
      <c r="BF39" s="96">
        <v>0</v>
      </c>
      <c r="BG39" s="52"/>
      <c r="BH39" s="52"/>
      <c r="BI39" s="52"/>
      <c r="BJ39" s="52"/>
      <c r="BK39" s="52"/>
      <c r="BL39" s="52"/>
      <c r="BM39" s="52"/>
      <c r="BN39" s="53"/>
      <c r="BO39" s="52"/>
      <c r="BP39" s="52"/>
      <c r="BQ39" s="54"/>
      <c r="BT39" s="23" t="s">
        <v>218</v>
      </c>
      <c r="BU39">
        <v>2</v>
      </c>
      <c r="BV39" s="23"/>
      <c r="BW39" s="23" t="s">
        <v>218</v>
      </c>
      <c r="BX39">
        <v>2</v>
      </c>
    </row>
    <row r="40" spans="1:76" ht="16" x14ac:dyDescent="0.35">
      <c r="A40"/>
      <c r="B40"/>
      <c r="D40"/>
      <c r="G40" t="s">
        <v>176</v>
      </c>
      <c r="H40" s="20"/>
      <c r="I40" s="20"/>
      <c r="J40" s="20"/>
      <c r="K40" s="20"/>
      <c r="L40" s="20"/>
      <c r="Q40" s="83">
        <v>0</v>
      </c>
      <c r="Y40" s="20"/>
      <c r="AF40" s="23" t="s">
        <v>169</v>
      </c>
      <c r="AG40">
        <v>1</v>
      </c>
      <c r="AI40" s="23" t="s">
        <v>169</v>
      </c>
      <c r="AJ40">
        <v>1</v>
      </c>
      <c r="AP40" s="47"/>
      <c r="AQ40" s="48"/>
      <c r="AR40" s="48"/>
      <c r="AS40" s="48"/>
      <c r="AT40" s="48"/>
      <c r="AU40" s="48"/>
      <c r="AV40" s="73" t="s">
        <v>167</v>
      </c>
      <c r="AW40" s="49"/>
      <c r="AX40" s="49"/>
      <c r="AY40" s="49"/>
      <c r="AZ40" s="49"/>
      <c r="BA40" s="49"/>
      <c r="BB40" s="48"/>
      <c r="BC40" s="48"/>
      <c r="BD40" s="48"/>
      <c r="BE40" s="48"/>
      <c r="BF40" s="95">
        <v>0</v>
      </c>
      <c r="BG40" s="48"/>
      <c r="BH40" s="48"/>
      <c r="BI40" s="48"/>
      <c r="BJ40" s="48"/>
      <c r="BK40" s="48"/>
      <c r="BL40" s="48"/>
      <c r="BM40" s="48"/>
      <c r="BN40" s="49"/>
      <c r="BO40" s="48"/>
      <c r="BP40" s="48"/>
      <c r="BQ40" s="50"/>
      <c r="BT40" s="23" t="s">
        <v>204</v>
      </c>
      <c r="BU40">
        <v>2</v>
      </c>
      <c r="BV40" s="23"/>
      <c r="BW40" s="23" t="s">
        <v>204</v>
      </c>
      <c r="BX40">
        <v>2</v>
      </c>
    </row>
    <row r="41" spans="1:76" ht="16" x14ac:dyDescent="0.35">
      <c r="A41"/>
      <c r="B41"/>
      <c r="D41"/>
      <c r="G41" t="s">
        <v>167</v>
      </c>
      <c r="H41" s="20"/>
      <c r="I41" s="20"/>
      <c r="J41" s="20"/>
      <c r="K41" s="20"/>
      <c r="L41" s="20"/>
      <c r="Q41" s="83">
        <v>1</v>
      </c>
      <c r="Y41" s="20"/>
      <c r="AF41" s="23" t="s">
        <v>187</v>
      </c>
      <c r="AG41">
        <v>326</v>
      </c>
      <c r="AI41" s="23"/>
      <c r="AJ41"/>
      <c r="AP41" s="51"/>
      <c r="AQ41" s="52"/>
      <c r="AR41" s="52"/>
      <c r="AS41" s="52"/>
      <c r="AT41" s="52"/>
      <c r="AU41" s="52"/>
      <c r="AV41" s="94" t="s">
        <v>216</v>
      </c>
      <c r="AW41" s="53"/>
      <c r="AX41" s="53"/>
      <c r="AY41" s="53"/>
      <c r="AZ41" s="53"/>
      <c r="BA41" s="53"/>
      <c r="BB41" s="52"/>
      <c r="BC41" s="52"/>
      <c r="BD41" s="52"/>
      <c r="BE41" s="52"/>
      <c r="BF41" s="96">
        <v>8</v>
      </c>
      <c r="BG41" s="52"/>
      <c r="BH41" s="52"/>
      <c r="BI41" s="52"/>
      <c r="BJ41" s="52"/>
      <c r="BK41" s="52"/>
      <c r="BL41" s="52"/>
      <c r="BM41" s="52"/>
      <c r="BN41" s="53"/>
      <c r="BO41" s="52"/>
      <c r="BP41" s="52"/>
      <c r="BQ41" s="54"/>
      <c r="BT41" s="23" t="s">
        <v>227</v>
      </c>
      <c r="BU41">
        <v>2</v>
      </c>
      <c r="BV41" s="23"/>
      <c r="BW41" s="23" t="s">
        <v>227</v>
      </c>
      <c r="BX41">
        <v>2</v>
      </c>
    </row>
    <row r="42" spans="1:76" ht="16" x14ac:dyDescent="0.35">
      <c r="A42"/>
      <c r="B42"/>
      <c r="D42"/>
      <c r="G42" t="s">
        <v>183</v>
      </c>
      <c r="H42" s="20"/>
      <c r="I42" s="20"/>
      <c r="J42" s="20"/>
      <c r="K42" s="20"/>
      <c r="L42" s="20"/>
      <c r="Q42" s="83">
        <v>0</v>
      </c>
      <c r="Y42" s="20"/>
      <c r="AF42"/>
      <c r="AG42"/>
      <c r="AI42" s="23"/>
      <c r="AJ42"/>
      <c r="AP42" s="47"/>
      <c r="AQ42" s="48"/>
      <c r="AR42" s="48"/>
      <c r="AS42" s="48"/>
      <c r="AT42" s="48"/>
      <c r="AU42" s="48"/>
      <c r="AV42" s="73" t="s">
        <v>174</v>
      </c>
      <c r="AW42" s="49"/>
      <c r="AX42" s="49"/>
      <c r="AY42" s="49"/>
      <c r="AZ42" s="49"/>
      <c r="BA42" s="49"/>
      <c r="BB42" s="48"/>
      <c r="BC42" s="48"/>
      <c r="BD42" s="48"/>
      <c r="BE42" s="48"/>
      <c r="BF42" s="95">
        <v>3</v>
      </c>
      <c r="BG42" s="48"/>
      <c r="BH42" s="48"/>
      <c r="BI42" s="48"/>
      <c r="BJ42" s="48"/>
      <c r="BK42" s="48"/>
      <c r="BL42" s="48"/>
      <c r="BM42" s="48"/>
      <c r="BN42" s="49"/>
      <c r="BO42" s="48"/>
      <c r="BP42" s="48"/>
      <c r="BQ42" s="50"/>
      <c r="BT42" s="23" t="s">
        <v>239</v>
      </c>
      <c r="BU42">
        <v>2</v>
      </c>
      <c r="BV42" s="23"/>
      <c r="BW42" s="23" t="s">
        <v>239</v>
      </c>
      <c r="BX42">
        <v>2</v>
      </c>
    </row>
    <row r="43" spans="1:76" ht="16" x14ac:dyDescent="0.35">
      <c r="A43"/>
      <c r="B43"/>
      <c r="D43"/>
      <c r="G43" t="s">
        <v>174</v>
      </c>
      <c r="H43" s="20"/>
      <c r="I43" s="20"/>
      <c r="J43" s="20"/>
      <c r="K43" s="20"/>
      <c r="L43" s="20"/>
      <c r="Q43" s="83">
        <v>0</v>
      </c>
      <c r="Y43" s="20"/>
      <c r="AF43"/>
      <c r="AG43" t="s">
        <v>244</v>
      </c>
      <c r="AH43" s="19" t="s">
        <v>245</v>
      </c>
      <c r="AI43" s="23" t="s">
        <v>246</v>
      </c>
      <c r="AJ43" t="s">
        <v>247</v>
      </c>
      <c r="AP43" s="51"/>
      <c r="AQ43" s="52"/>
      <c r="AR43" s="52"/>
      <c r="AS43" s="52"/>
      <c r="AT43" s="52"/>
      <c r="AU43" s="52"/>
      <c r="AV43" s="94" t="s">
        <v>175</v>
      </c>
      <c r="AW43" s="53"/>
      <c r="AX43" s="53"/>
      <c r="AY43" s="53"/>
      <c r="AZ43" s="53"/>
      <c r="BA43" s="53"/>
      <c r="BB43" s="52"/>
      <c r="BC43" s="52"/>
      <c r="BD43" s="52"/>
      <c r="BE43" s="52"/>
      <c r="BF43" s="96">
        <v>2</v>
      </c>
      <c r="BG43" s="52"/>
      <c r="BH43" s="52"/>
      <c r="BI43" s="52"/>
      <c r="BJ43" s="52"/>
      <c r="BK43" s="52"/>
      <c r="BL43" s="52"/>
      <c r="BM43" s="52"/>
      <c r="BN43" s="53"/>
      <c r="BO43" s="52"/>
      <c r="BP43" s="52"/>
      <c r="BQ43" s="54"/>
      <c r="BT43" s="23" t="s">
        <v>242</v>
      </c>
      <c r="BU43">
        <v>2</v>
      </c>
      <c r="BV43" s="23"/>
      <c r="BW43" s="23" t="s">
        <v>242</v>
      </c>
      <c r="BX43">
        <v>2</v>
      </c>
    </row>
    <row r="44" spans="1:76" ht="16" x14ac:dyDescent="0.35">
      <c r="A44"/>
      <c r="B44"/>
      <c r="D44"/>
      <c r="G44" t="s">
        <v>175</v>
      </c>
      <c r="H44" s="20"/>
      <c r="I44" s="20"/>
      <c r="J44" s="20"/>
      <c r="K44" s="20"/>
      <c r="L44" s="20"/>
      <c r="Q44" s="83">
        <v>0</v>
      </c>
      <c r="Y44" s="20"/>
      <c r="AF44" s="159" t="s">
        <v>39</v>
      </c>
      <c r="AG44" s="167" t="s">
        <v>41</v>
      </c>
      <c r="AH44" s="167" t="s">
        <v>43</v>
      </c>
      <c r="AI44" s="167" t="s">
        <v>45</v>
      </c>
      <c r="AJ44" s="167" t="s">
        <v>47</v>
      </c>
      <c r="AP44" s="47"/>
      <c r="AQ44" s="48"/>
      <c r="AR44" s="48"/>
      <c r="AS44" s="48"/>
      <c r="AT44" s="48"/>
      <c r="AU44" s="48"/>
      <c r="AV44" s="73" t="s">
        <v>175</v>
      </c>
      <c r="AW44" s="49"/>
      <c r="AX44" s="49"/>
      <c r="AY44" s="49"/>
      <c r="AZ44" s="49"/>
      <c r="BA44" s="49"/>
      <c r="BB44" s="48"/>
      <c r="BC44" s="48"/>
      <c r="BD44" s="48"/>
      <c r="BE44" s="48"/>
      <c r="BF44" s="95">
        <v>2</v>
      </c>
      <c r="BG44" s="48"/>
      <c r="BH44" s="48"/>
      <c r="BI44" s="48"/>
      <c r="BJ44" s="48"/>
      <c r="BK44" s="48"/>
      <c r="BL44" s="48"/>
      <c r="BM44" s="48"/>
      <c r="BN44" s="49"/>
      <c r="BO44" s="48"/>
      <c r="BP44" s="48"/>
      <c r="BQ44" s="50"/>
      <c r="BT44" s="23" t="s">
        <v>217</v>
      </c>
      <c r="BU44">
        <v>2</v>
      </c>
      <c r="BV44" s="23"/>
      <c r="BW44" s="23" t="s">
        <v>217</v>
      </c>
      <c r="BX44">
        <v>2</v>
      </c>
    </row>
    <row r="45" spans="1:76" ht="16" x14ac:dyDescent="0.35">
      <c r="A45"/>
      <c r="B45"/>
      <c r="D45"/>
      <c r="G45" t="s">
        <v>167</v>
      </c>
      <c r="H45" s="20"/>
      <c r="I45" s="20"/>
      <c r="J45" s="20"/>
      <c r="K45" s="20"/>
      <c r="L45" s="20"/>
      <c r="Q45" s="83">
        <v>0</v>
      </c>
      <c r="Y45" s="20"/>
      <c r="AF45" s="159"/>
      <c r="AG45" s="167"/>
      <c r="AH45" s="167"/>
      <c r="AI45" s="167"/>
      <c r="AJ45" s="167"/>
      <c r="AP45" s="51"/>
      <c r="AQ45" s="52"/>
      <c r="AR45" s="52"/>
      <c r="AS45" s="52"/>
      <c r="AT45" s="52"/>
      <c r="AU45" s="52"/>
      <c r="AV45" s="94" t="s">
        <v>180</v>
      </c>
      <c r="AW45" s="53"/>
      <c r="AX45" s="53"/>
      <c r="AY45" s="53"/>
      <c r="AZ45" s="53"/>
      <c r="BA45" s="53"/>
      <c r="BB45" s="52"/>
      <c r="BC45" s="52"/>
      <c r="BD45" s="52"/>
      <c r="BE45" s="52"/>
      <c r="BF45" s="96">
        <v>0</v>
      </c>
      <c r="BG45" s="52"/>
      <c r="BH45" s="52"/>
      <c r="BI45" s="52"/>
      <c r="BJ45" s="52"/>
      <c r="BK45" s="52"/>
      <c r="BL45" s="52"/>
      <c r="BM45" s="52"/>
      <c r="BN45" s="53"/>
      <c r="BO45" s="52"/>
      <c r="BP45" s="52"/>
      <c r="BQ45" s="54"/>
      <c r="BT45" s="23" t="s">
        <v>236</v>
      </c>
      <c r="BU45">
        <v>1</v>
      </c>
      <c r="BV45" s="23"/>
      <c r="BW45" s="23" t="s">
        <v>236</v>
      </c>
      <c r="BX45">
        <v>1</v>
      </c>
    </row>
    <row r="46" spans="1:76" ht="16" x14ac:dyDescent="0.35">
      <c r="A46"/>
      <c r="B46"/>
      <c r="D46"/>
      <c r="G46" t="s">
        <v>180</v>
      </c>
      <c r="H46" s="20"/>
      <c r="I46" s="20"/>
      <c r="J46" s="20"/>
      <c r="K46" s="20"/>
      <c r="L46" s="20"/>
      <c r="Q46" s="83">
        <v>0</v>
      </c>
      <c r="Y46" s="20"/>
      <c r="AF46" s="159"/>
      <c r="AG46" s="167"/>
      <c r="AH46" s="167"/>
      <c r="AI46" s="167"/>
      <c r="AJ46" s="167"/>
      <c r="AP46" s="47"/>
      <c r="AQ46" s="48"/>
      <c r="AR46" s="48"/>
      <c r="AS46" s="48"/>
      <c r="AT46" s="48"/>
      <c r="AU46" s="48"/>
      <c r="AV46" s="73" t="s">
        <v>175</v>
      </c>
      <c r="AW46" s="49"/>
      <c r="AX46" s="49"/>
      <c r="AY46" s="49"/>
      <c r="AZ46" s="49"/>
      <c r="BA46" s="49"/>
      <c r="BB46" s="48"/>
      <c r="BC46" s="48"/>
      <c r="BD46" s="48"/>
      <c r="BE46" s="48"/>
      <c r="BF46" s="95">
        <v>0</v>
      </c>
      <c r="BG46" s="48"/>
      <c r="BH46" s="48"/>
      <c r="BI46" s="48"/>
      <c r="BJ46" s="48"/>
      <c r="BK46" s="48"/>
      <c r="BL46" s="48"/>
      <c r="BM46" s="48"/>
      <c r="BN46" s="49"/>
      <c r="BO46" s="48"/>
      <c r="BP46" s="48"/>
      <c r="BQ46" s="50"/>
      <c r="BT46" s="23" t="s">
        <v>185</v>
      </c>
      <c r="BU46">
        <v>1</v>
      </c>
      <c r="BV46" s="23"/>
      <c r="BW46" s="23" t="s">
        <v>185</v>
      </c>
      <c r="BX46">
        <v>1</v>
      </c>
    </row>
    <row r="47" spans="1:76" ht="16" x14ac:dyDescent="0.35">
      <c r="A47"/>
      <c r="B47"/>
      <c r="D47"/>
      <c r="G47" t="s">
        <v>183</v>
      </c>
      <c r="H47" s="20"/>
      <c r="I47" s="20"/>
      <c r="J47" s="20"/>
      <c r="K47" s="20"/>
      <c r="L47" s="20"/>
      <c r="Q47" s="83">
        <v>0</v>
      </c>
      <c r="Y47" s="20"/>
      <c r="AF47" s="108" t="s">
        <v>54</v>
      </c>
      <c r="AG47" s="19">
        <v>120</v>
      </c>
      <c r="AH47" s="19">
        <v>113</v>
      </c>
      <c r="AI47" s="19">
        <v>3</v>
      </c>
      <c r="AJ47" s="19">
        <v>0</v>
      </c>
      <c r="AP47" s="51"/>
      <c r="AQ47" s="52"/>
      <c r="AR47" s="52"/>
      <c r="AS47" s="52"/>
      <c r="AT47" s="52"/>
      <c r="AU47" s="52"/>
      <c r="AV47" s="94" t="s">
        <v>175</v>
      </c>
      <c r="AW47" s="53"/>
      <c r="AX47" s="53"/>
      <c r="AY47" s="53"/>
      <c r="AZ47" s="53"/>
      <c r="BA47" s="53"/>
      <c r="BB47" s="52"/>
      <c r="BC47" s="52"/>
      <c r="BD47" s="52"/>
      <c r="BE47" s="52"/>
      <c r="BF47" s="96">
        <v>0</v>
      </c>
      <c r="BG47" s="52"/>
      <c r="BH47" s="52"/>
      <c r="BI47" s="52"/>
      <c r="BJ47" s="52"/>
      <c r="BK47" s="52"/>
      <c r="BL47" s="52"/>
      <c r="BM47" s="52"/>
      <c r="BN47" s="53"/>
      <c r="BO47" s="52"/>
      <c r="BP47" s="52"/>
      <c r="BQ47" s="54"/>
      <c r="BT47" s="23" t="s">
        <v>237</v>
      </c>
      <c r="BU47">
        <v>1</v>
      </c>
      <c r="BV47" s="23"/>
      <c r="BW47" s="23" t="s">
        <v>237</v>
      </c>
      <c r="BX47">
        <v>1</v>
      </c>
    </row>
    <row r="48" spans="1:76" ht="16" x14ac:dyDescent="0.35">
      <c r="A48"/>
      <c r="B48"/>
      <c r="D48"/>
      <c r="G48" t="s">
        <v>180</v>
      </c>
      <c r="H48" s="20"/>
      <c r="I48" s="20"/>
      <c r="J48" s="20"/>
      <c r="K48" s="20"/>
      <c r="L48" s="20"/>
      <c r="Q48" s="83">
        <v>0</v>
      </c>
      <c r="Y48" s="20"/>
      <c r="AF48" s="108" t="s">
        <v>55</v>
      </c>
      <c r="AG48" s="19">
        <v>99</v>
      </c>
      <c r="AH48" s="19">
        <v>99</v>
      </c>
      <c r="AI48" s="19">
        <v>99</v>
      </c>
      <c r="AJ48" s="19">
        <v>99</v>
      </c>
      <c r="AP48" s="47"/>
      <c r="AQ48" s="48"/>
      <c r="AR48" s="48"/>
      <c r="AS48" s="48"/>
      <c r="AT48" s="48"/>
      <c r="AU48" s="48"/>
      <c r="AV48" s="73" t="s">
        <v>180</v>
      </c>
      <c r="AW48" s="49"/>
      <c r="AX48" s="49"/>
      <c r="AY48" s="49"/>
      <c r="AZ48" s="49"/>
      <c r="BA48" s="49"/>
      <c r="BB48" s="48"/>
      <c r="BC48" s="48"/>
      <c r="BD48" s="48"/>
      <c r="BE48" s="48"/>
      <c r="BF48" s="95">
        <v>0</v>
      </c>
      <c r="BG48" s="48"/>
      <c r="BH48" s="48"/>
      <c r="BI48" s="48"/>
      <c r="BJ48" s="48"/>
      <c r="BK48" s="48"/>
      <c r="BL48" s="48"/>
      <c r="BM48" s="48"/>
      <c r="BN48" s="49"/>
      <c r="BO48" s="48"/>
      <c r="BP48" s="48"/>
      <c r="BQ48" s="50"/>
      <c r="BT48" s="23" t="s">
        <v>187</v>
      </c>
      <c r="BU48">
        <v>924</v>
      </c>
      <c r="BV48" s="23"/>
      <c r="BW48" s="23"/>
      <c r="BX48"/>
    </row>
    <row r="49" spans="1:76" ht="16" x14ac:dyDescent="0.35">
      <c r="A49"/>
      <c r="B49"/>
      <c r="D49"/>
      <c r="G49" t="s">
        <v>174</v>
      </c>
      <c r="H49" s="20"/>
      <c r="I49" s="20"/>
      <c r="J49" s="20"/>
      <c r="K49" s="20"/>
      <c r="L49" s="20"/>
      <c r="Q49" s="83">
        <v>0</v>
      </c>
      <c r="Y49" s="20"/>
      <c r="AF49" s="171" t="s">
        <v>15</v>
      </c>
      <c r="AG49" s="190">
        <f>SUM(AG47:AG48)</f>
        <v>219</v>
      </c>
      <c r="AH49" s="189">
        <f t="shared" ref="AH49:AJ49" si="0">SUM(AH47:AH48)</f>
        <v>212</v>
      </c>
      <c r="AI49" s="189">
        <f t="shared" si="0"/>
        <v>102</v>
      </c>
      <c r="AJ49" s="189">
        <f t="shared" si="0"/>
        <v>99</v>
      </c>
      <c r="AP49" s="51"/>
      <c r="AQ49" s="52"/>
      <c r="AR49" s="52"/>
      <c r="AS49" s="52"/>
      <c r="AT49" s="52"/>
      <c r="AU49" s="52"/>
      <c r="AV49" s="94" t="s">
        <v>175</v>
      </c>
      <c r="AW49" s="53"/>
      <c r="AX49" s="53"/>
      <c r="AY49" s="53"/>
      <c r="AZ49" s="53"/>
      <c r="BA49" s="53"/>
      <c r="BB49" s="52"/>
      <c r="BC49" s="52"/>
      <c r="BD49" s="52"/>
      <c r="BE49" s="52"/>
      <c r="BF49" s="96">
        <v>0</v>
      </c>
      <c r="BG49" s="52"/>
      <c r="BH49" s="52"/>
      <c r="BI49" s="52"/>
      <c r="BJ49" s="52"/>
      <c r="BK49" s="52"/>
      <c r="BL49" s="52"/>
      <c r="BM49" s="52"/>
      <c r="BN49" s="53"/>
      <c r="BO49" s="52"/>
      <c r="BP49" s="52"/>
      <c r="BQ49" s="54"/>
      <c r="BT49"/>
      <c r="BU49"/>
      <c r="BV49" s="23"/>
      <c r="BW49" s="23"/>
      <c r="BX49"/>
    </row>
    <row r="50" spans="1:76" ht="16" x14ac:dyDescent="0.35">
      <c r="A50"/>
      <c r="B50"/>
      <c r="D50"/>
      <c r="G50" t="s">
        <v>205</v>
      </c>
      <c r="H50" s="20"/>
      <c r="I50" s="20"/>
      <c r="J50" s="20"/>
      <c r="K50" s="20"/>
      <c r="L50" s="20"/>
      <c r="Q50" s="83">
        <v>3</v>
      </c>
      <c r="Y50" s="20"/>
      <c r="AF50" s="171"/>
      <c r="AG50" s="191">
        <v>924</v>
      </c>
      <c r="AH50" s="189">
        <v>924</v>
      </c>
      <c r="AI50" s="189">
        <v>924</v>
      </c>
      <c r="AJ50" s="189">
        <v>924</v>
      </c>
      <c r="AP50" s="47"/>
      <c r="AQ50" s="48"/>
      <c r="AR50" s="48"/>
      <c r="AS50" s="48"/>
      <c r="AT50" s="48"/>
      <c r="AU50" s="48"/>
      <c r="AV50" s="73" t="s">
        <v>175</v>
      </c>
      <c r="AW50" s="49"/>
      <c r="AX50" s="49"/>
      <c r="AY50" s="49"/>
      <c r="AZ50" s="49"/>
      <c r="BA50" s="49"/>
      <c r="BB50" s="48"/>
      <c r="BC50" s="48"/>
      <c r="BD50" s="48"/>
      <c r="BE50" s="48"/>
      <c r="BF50" s="95">
        <v>0</v>
      </c>
      <c r="BG50" s="48"/>
      <c r="BH50" s="48"/>
      <c r="BI50" s="48"/>
      <c r="BJ50" s="48"/>
      <c r="BK50" s="48"/>
      <c r="BL50" s="48"/>
      <c r="BM50" s="48"/>
      <c r="BN50" s="49"/>
      <c r="BO50" s="48"/>
      <c r="BP50" s="48"/>
      <c r="BQ50" s="50"/>
      <c r="BT50"/>
      <c r="BU50"/>
      <c r="BV50" s="23"/>
      <c r="BW50" s="23"/>
      <c r="BX50"/>
    </row>
    <row r="51" spans="1:76" ht="16" x14ac:dyDescent="0.35">
      <c r="A51"/>
      <c r="B51"/>
      <c r="D51"/>
      <c r="G51" t="s">
        <v>205</v>
      </c>
      <c r="H51" s="20"/>
      <c r="I51" s="20"/>
      <c r="J51" s="20"/>
      <c r="K51" s="20"/>
      <c r="L51" s="20"/>
      <c r="Q51" s="83">
        <v>3</v>
      </c>
      <c r="Y51" s="20"/>
      <c r="AP51" s="51"/>
      <c r="AQ51" s="52"/>
      <c r="AR51" s="52"/>
      <c r="AS51" s="52"/>
      <c r="AT51" s="52"/>
      <c r="AU51" s="52"/>
      <c r="AV51" s="94" t="s">
        <v>176</v>
      </c>
      <c r="AW51" s="53"/>
      <c r="AX51" s="53"/>
      <c r="AY51" s="53"/>
      <c r="AZ51" s="53"/>
      <c r="BA51" s="53"/>
      <c r="BB51" s="52"/>
      <c r="BC51" s="52"/>
      <c r="BD51" s="52"/>
      <c r="BE51" s="52"/>
      <c r="BF51" s="96">
        <v>1</v>
      </c>
      <c r="BG51" s="52"/>
      <c r="BH51" s="52"/>
      <c r="BI51" s="52"/>
      <c r="BJ51" s="52"/>
      <c r="BK51" s="52"/>
      <c r="BL51" s="52"/>
      <c r="BM51" s="52"/>
      <c r="BN51" s="53"/>
      <c r="BO51" s="52"/>
      <c r="BP51" s="52"/>
      <c r="BQ51" s="54"/>
      <c r="BT51"/>
      <c r="BU51"/>
      <c r="BV51" s="23"/>
      <c r="BW51" s="23"/>
      <c r="BX51"/>
    </row>
    <row r="52" spans="1:76" ht="16" x14ac:dyDescent="0.35">
      <c r="A52"/>
      <c r="B52"/>
      <c r="D52"/>
      <c r="G52" t="s">
        <v>184</v>
      </c>
      <c r="H52" s="20"/>
      <c r="I52" s="20"/>
      <c r="J52" s="20"/>
      <c r="K52" s="20"/>
      <c r="L52" s="20"/>
      <c r="Q52" s="83">
        <v>0</v>
      </c>
      <c r="Y52" s="20"/>
      <c r="AG52" s="19">
        <v>924</v>
      </c>
      <c r="AP52" s="47"/>
      <c r="AQ52" s="48"/>
      <c r="AR52" s="48"/>
      <c r="AS52" s="48"/>
      <c r="AT52" s="48"/>
      <c r="AU52" s="48"/>
      <c r="AV52" s="73" t="s">
        <v>173</v>
      </c>
      <c r="AW52" s="49"/>
      <c r="AX52" s="49"/>
      <c r="AY52" s="49"/>
      <c r="AZ52" s="49"/>
      <c r="BA52" s="49"/>
      <c r="BB52" s="48"/>
      <c r="BC52" s="48"/>
      <c r="BD52" s="48"/>
      <c r="BE52" s="48"/>
      <c r="BF52" s="95">
        <v>1</v>
      </c>
      <c r="BG52" s="48"/>
      <c r="BH52" s="48"/>
      <c r="BI52" s="48"/>
      <c r="BJ52" s="48"/>
      <c r="BK52" s="48"/>
      <c r="BL52" s="48"/>
      <c r="BM52" s="48"/>
      <c r="BN52" s="49"/>
      <c r="BO52" s="48"/>
      <c r="BP52" s="48"/>
      <c r="BQ52" s="50"/>
      <c r="BT52"/>
      <c r="BU52"/>
      <c r="BV52" s="23"/>
      <c r="BW52" s="23"/>
      <c r="BX52"/>
    </row>
    <row r="53" spans="1:76" ht="16" x14ac:dyDescent="0.35">
      <c r="A53"/>
      <c r="B53"/>
      <c r="D53"/>
      <c r="G53" t="s">
        <v>176</v>
      </c>
      <c r="H53" s="20"/>
      <c r="I53" s="20"/>
      <c r="J53" s="20"/>
      <c r="K53" s="20"/>
      <c r="L53" s="20"/>
      <c r="Q53" s="83">
        <v>0</v>
      </c>
      <c r="Y53" s="20"/>
      <c r="AG53" s="19">
        <v>792</v>
      </c>
      <c r="AP53" s="51"/>
      <c r="AQ53" s="52"/>
      <c r="AR53" s="52"/>
      <c r="AS53" s="52"/>
      <c r="AT53" s="52"/>
      <c r="AU53" s="52"/>
      <c r="AV53" s="94" t="s">
        <v>216</v>
      </c>
      <c r="AW53" s="53"/>
      <c r="AX53" s="53"/>
      <c r="AY53" s="53"/>
      <c r="AZ53" s="53"/>
      <c r="BA53" s="53"/>
      <c r="BB53" s="52"/>
      <c r="BC53" s="52"/>
      <c r="BD53" s="52"/>
      <c r="BE53" s="52"/>
      <c r="BF53" s="96">
        <v>1</v>
      </c>
      <c r="BG53" s="52"/>
      <c r="BH53" s="52"/>
      <c r="BI53" s="52"/>
      <c r="BJ53" s="52"/>
      <c r="BK53" s="52"/>
      <c r="BL53" s="52"/>
      <c r="BM53" s="52"/>
      <c r="BN53" s="53"/>
      <c r="BO53" s="52"/>
      <c r="BP53" s="52"/>
      <c r="BQ53" s="54"/>
      <c r="BT53"/>
      <c r="BU53"/>
      <c r="BV53" s="23"/>
      <c r="BW53" s="23"/>
      <c r="BX53"/>
    </row>
    <row r="54" spans="1:76" ht="16" x14ac:dyDescent="0.35">
      <c r="A54"/>
      <c r="B54"/>
      <c r="D54"/>
      <c r="G54" t="s">
        <v>180</v>
      </c>
      <c r="H54" s="20"/>
      <c r="I54" s="20"/>
      <c r="J54" s="20"/>
      <c r="K54" s="20"/>
      <c r="L54" s="20"/>
      <c r="Q54" s="83">
        <v>0</v>
      </c>
      <c r="Y54" s="20"/>
      <c r="AG54" s="19">
        <v>61</v>
      </c>
      <c r="AP54" s="47"/>
      <c r="AQ54" s="48"/>
      <c r="AR54" s="48"/>
      <c r="AS54" s="48"/>
      <c r="AT54" s="48"/>
      <c r="AU54" s="48"/>
      <c r="AV54" s="73" t="s">
        <v>204</v>
      </c>
      <c r="AW54" s="49"/>
      <c r="AX54" s="49"/>
      <c r="AY54" s="49"/>
      <c r="AZ54" s="49"/>
      <c r="BA54" s="49"/>
      <c r="BB54" s="48"/>
      <c r="BC54" s="48"/>
      <c r="BD54" s="48"/>
      <c r="BE54" s="48"/>
      <c r="BF54" s="95">
        <v>0</v>
      </c>
      <c r="BG54" s="48"/>
      <c r="BH54" s="48"/>
      <c r="BI54" s="48"/>
      <c r="BJ54" s="48"/>
      <c r="BK54" s="48"/>
      <c r="BL54" s="48"/>
      <c r="BM54" s="48"/>
      <c r="BN54" s="49"/>
      <c r="BO54" s="48"/>
      <c r="BP54" s="48"/>
      <c r="BQ54" s="50"/>
      <c r="BT54"/>
      <c r="BU54"/>
      <c r="BV54" s="23"/>
      <c r="BW54" s="23"/>
      <c r="BX54"/>
    </row>
    <row r="55" spans="1:76" ht="16" x14ac:dyDescent="0.35">
      <c r="A55"/>
      <c r="B55"/>
      <c r="D55"/>
      <c r="G55" t="s">
        <v>180</v>
      </c>
      <c r="H55" s="20"/>
      <c r="I55" s="20"/>
      <c r="J55" s="20"/>
      <c r="K55" s="20"/>
      <c r="L55" s="20"/>
      <c r="Q55" s="83">
        <v>0</v>
      </c>
      <c r="Y55" s="20"/>
      <c r="AG55" s="19">
        <v>71</v>
      </c>
      <c r="AP55" s="51"/>
      <c r="AQ55" s="52"/>
      <c r="AR55" s="52"/>
      <c r="AS55" s="52"/>
      <c r="AT55" s="52"/>
      <c r="AU55" s="52"/>
      <c r="AV55" s="94" t="s">
        <v>167</v>
      </c>
      <c r="AW55" s="53"/>
      <c r="AX55" s="53"/>
      <c r="AY55" s="53"/>
      <c r="AZ55" s="53"/>
      <c r="BA55" s="53"/>
      <c r="BB55" s="52"/>
      <c r="BC55" s="52"/>
      <c r="BD55" s="52"/>
      <c r="BE55" s="52"/>
      <c r="BF55" s="96">
        <v>0</v>
      </c>
      <c r="BG55" s="52"/>
      <c r="BH55" s="52"/>
      <c r="BI55" s="52"/>
      <c r="BJ55" s="52"/>
      <c r="BK55" s="52"/>
      <c r="BL55" s="52"/>
      <c r="BM55" s="52"/>
      <c r="BN55" s="53"/>
      <c r="BO55" s="52"/>
      <c r="BP55" s="52"/>
      <c r="BQ55" s="54"/>
      <c r="BT55"/>
      <c r="BU55"/>
      <c r="BW55" s="23"/>
      <c r="BX55"/>
    </row>
    <row r="56" spans="1:76" ht="16" x14ac:dyDescent="0.35">
      <c r="A56"/>
      <c r="B56"/>
      <c r="D56"/>
      <c r="G56" t="s">
        <v>175</v>
      </c>
      <c r="H56" s="20"/>
      <c r="I56" s="20"/>
      <c r="J56" s="20"/>
      <c r="K56" s="20"/>
      <c r="L56" s="20"/>
      <c r="Q56" s="83">
        <v>0</v>
      </c>
      <c r="Y56" s="20"/>
      <c r="AP56" s="47"/>
      <c r="AQ56" s="48"/>
      <c r="AR56" s="48"/>
      <c r="AS56" s="48"/>
      <c r="AT56" s="48"/>
      <c r="AU56" s="48"/>
      <c r="AV56" s="73" t="s">
        <v>177</v>
      </c>
      <c r="AW56" s="49"/>
      <c r="AX56" s="49"/>
      <c r="AY56" s="49"/>
      <c r="AZ56" s="49"/>
      <c r="BA56" s="49"/>
      <c r="BB56" s="48"/>
      <c r="BC56" s="48"/>
      <c r="BD56" s="48"/>
      <c r="BE56" s="48"/>
      <c r="BF56" s="95">
        <v>0</v>
      </c>
      <c r="BG56" s="48"/>
      <c r="BH56" s="48"/>
      <c r="BI56" s="48"/>
      <c r="BJ56" s="48"/>
      <c r="BK56" s="48"/>
      <c r="BL56" s="48"/>
      <c r="BM56" s="48"/>
      <c r="BN56" s="49"/>
      <c r="BO56" s="48"/>
      <c r="BP56" s="48"/>
      <c r="BQ56" s="50"/>
      <c r="BT56"/>
      <c r="BU56"/>
      <c r="BW56" s="23"/>
      <c r="BX56"/>
    </row>
    <row r="57" spans="1:76" ht="16" x14ac:dyDescent="0.35">
      <c r="A57"/>
      <c r="B57"/>
      <c r="D57"/>
      <c r="G57" t="s">
        <v>175</v>
      </c>
      <c r="H57" s="20"/>
      <c r="I57" s="20"/>
      <c r="J57" s="20"/>
      <c r="K57" s="20"/>
      <c r="L57" s="20"/>
      <c r="Q57" s="83">
        <v>0</v>
      </c>
      <c r="Y57" s="20"/>
      <c r="AI57" s="19">
        <v>0</v>
      </c>
      <c r="AP57" s="51"/>
      <c r="AQ57" s="52"/>
      <c r="AR57" s="52"/>
      <c r="AS57" s="52"/>
      <c r="AT57" s="52"/>
      <c r="AU57" s="52"/>
      <c r="AV57" s="94" t="s">
        <v>184</v>
      </c>
      <c r="AW57" s="53"/>
      <c r="AX57" s="53"/>
      <c r="AY57" s="53"/>
      <c r="AZ57" s="53"/>
      <c r="BA57" s="53"/>
      <c r="BB57" s="52"/>
      <c r="BC57" s="52"/>
      <c r="BD57" s="52"/>
      <c r="BE57" s="52"/>
      <c r="BF57" s="96">
        <v>0</v>
      </c>
      <c r="BG57" s="52"/>
      <c r="BH57" s="52"/>
      <c r="BI57" s="52"/>
      <c r="BJ57" s="52"/>
      <c r="BK57" s="52"/>
      <c r="BL57" s="52"/>
      <c r="BM57" s="52"/>
      <c r="BN57" s="53"/>
      <c r="BO57" s="52"/>
      <c r="BP57" s="52"/>
      <c r="BQ57" s="54"/>
      <c r="BT57"/>
      <c r="BU57"/>
      <c r="BW57" s="23"/>
      <c r="BX57"/>
    </row>
    <row r="58" spans="1:76" ht="16" x14ac:dyDescent="0.35">
      <c r="A58"/>
      <c r="B58"/>
      <c r="D58"/>
      <c r="G58" t="s">
        <v>175</v>
      </c>
      <c r="H58" s="20"/>
      <c r="I58" s="20"/>
      <c r="J58" s="20"/>
      <c r="K58" s="20"/>
      <c r="L58" s="20"/>
      <c r="Q58" s="83">
        <v>0</v>
      </c>
      <c r="Y58" s="20"/>
      <c r="AP58" s="47"/>
      <c r="AQ58" s="48"/>
      <c r="AR58" s="48"/>
      <c r="AS58" s="48"/>
      <c r="AT58" s="48"/>
      <c r="AU58" s="48"/>
      <c r="AV58" s="73" t="s">
        <v>175</v>
      </c>
      <c r="AW58" s="49"/>
      <c r="AX58" s="49"/>
      <c r="AY58" s="49"/>
      <c r="AZ58" s="49"/>
      <c r="BA58" s="49"/>
      <c r="BB58" s="48"/>
      <c r="BC58" s="48"/>
      <c r="BD58" s="48"/>
      <c r="BE58" s="48"/>
      <c r="BF58" s="95">
        <v>0</v>
      </c>
      <c r="BG58" s="48"/>
      <c r="BH58" s="48"/>
      <c r="BI58" s="48"/>
      <c r="BJ58" s="48"/>
      <c r="BK58" s="48"/>
      <c r="BL58" s="48"/>
      <c r="BM58" s="48"/>
      <c r="BN58" s="49"/>
      <c r="BO58" s="48"/>
      <c r="BP58" s="48"/>
      <c r="BQ58" s="50"/>
      <c r="BT58"/>
      <c r="BU58"/>
      <c r="BW58" s="23"/>
      <c r="BX58"/>
    </row>
    <row r="59" spans="1:76" ht="16" x14ac:dyDescent="0.35">
      <c r="A59"/>
      <c r="B59"/>
      <c r="D59"/>
      <c r="G59" t="s">
        <v>168</v>
      </c>
      <c r="H59" s="20"/>
      <c r="I59" s="20"/>
      <c r="J59" s="20"/>
      <c r="K59" s="20"/>
      <c r="L59" s="20"/>
      <c r="Q59" s="83">
        <v>0</v>
      </c>
      <c r="Y59" s="20"/>
      <c r="AP59" s="51"/>
      <c r="AQ59" s="52"/>
      <c r="AR59" s="52"/>
      <c r="AS59" s="52"/>
      <c r="AT59" s="52"/>
      <c r="AU59" s="52"/>
      <c r="AV59" s="94" t="s">
        <v>167</v>
      </c>
      <c r="AW59" s="53"/>
      <c r="AX59" s="53"/>
      <c r="AY59" s="53"/>
      <c r="AZ59" s="53"/>
      <c r="BA59" s="53"/>
      <c r="BB59" s="52"/>
      <c r="BC59" s="52"/>
      <c r="BD59" s="52"/>
      <c r="BE59" s="52"/>
      <c r="BF59" s="96">
        <v>0</v>
      </c>
      <c r="BG59" s="52"/>
      <c r="BH59" s="52"/>
      <c r="BI59" s="52"/>
      <c r="BJ59" s="52"/>
      <c r="BK59" s="52"/>
      <c r="BL59" s="52"/>
      <c r="BM59" s="52"/>
      <c r="BN59" s="53"/>
      <c r="BO59" s="52"/>
      <c r="BP59" s="52"/>
      <c r="BQ59" s="54"/>
      <c r="BT59"/>
      <c r="BU59"/>
      <c r="BW59" s="23"/>
      <c r="BX59"/>
    </row>
    <row r="60" spans="1:76" ht="16" x14ac:dyDescent="0.35">
      <c r="A60"/>
      <c r="B60"/>
      <c r="D60"/>
      <c r="G60" t="s">
        <v>189</v>
      </c>
      <c r="H60" s="20"/>
      <c r="I60" s="20"/>
      <c r="J60" s="20"/>
      <c r="K60" s="20"/>
      <c r="L60" s="20"/>
      <c r="Q60" s="83">
        <v>0</v>
      </c>
      <c r="Y60" s="20"/>
      <c r="AP60" s="47"/>
      <c r="AQ60" s="48"/>
      <c r="AR60" s="48"/>
      <c r="AS60" s="48"/>
      <c r="AT60" s="48"/>
      <c r="AU60" s="48"/>
      <c r="AV60" s="73" t="s">
        <v>173</v>
      </c>
      <c r="AW60" s="49"/>
      <c r="AX60" s="49"/>
      <c r="AY60" s="49"/>
      <c r="AZ60" s="49"/>
      <c r="BA60" s="49"/>
      <c r="BB60" s="48"/>
      <c r="BC60" s="48"/>
      <c r="BD60" s="48"/>
      <c r="BE60" s="48"/>
      <c r="BF60" s="95">
        <v>0</v>
      </c>
      <c r="BG60" s="48"/>
      <c r="BH60" s="48"/>
      <c r="BI60" s="48"/>
      <c r="BJ60" s="48"/>
      <c r="BK60" s="48"/>
      <c r="BL60" s="48"/>
      <c r="BM60" s="48"/>
      <c r="BN60" s="49"/>
      <c r="BO60" s="48"/>
      <c r="BP60" s="48"/>
      <c r="BQ60" s="50"/>
      <c r="BT60"/>
      <c r="BU60"/>
      <c r="BW60" s="23"/>
      <c r="BX60"/>
    </row>
    <row r="61" spans="1:76" ht="16" x14ac:dyDescent="0.35">
      <c r="A61"/>
      <c r="B61"/>
      <c r="D61"/>
      <c r="G61" t="s">
        <v>175</v>
      </c>
      <c r="H61" s="20"/>
      <c r="I61" s="20"/>
      <c r="J61" s="20"/>
      <c r="K61" s="20"/>
      <c r="L61" s="20"/>
      <c r="Q61" s="83">
        <v>0</v>
      </c>
      <c r="Y61" s="20"/>
      <c r="AP61" s="51"/>
      <c r="AQ61" s="52"/>
      <c r="AR61" s="52"/>
      <c r="AS61" s="52"/>
      <c r="AT61" s="52"/>
      <c r="AU61" s="52"/>
      <c r="AV61" s="94" t="s">
        <v>175</v>
      </c>
      <c r="AW61" s="53"/>
      <c r="AX61" s="53"/>
      <c r="AY61" s="53"/>
      <c r="AZ61" s="53"/>
      <c r="BA61" s="53"/>
      <c r="BB61" s="52"/>
      <c r="BC61" s="52"/>
      <c r="BD61" s="52"/>
      <c r="BE61" s="52"/>
      <c r="BF61" s="96">
        <v>0</v>
      </c>
      <c r="BG61" s="52"/>
      <c r="BH61" s="52"/>
      <c r="BI61" s="52"/>
      <c r="BJ61" s="52"/>
      <c r="BK61" s="52"/>
      <c r="BL61" s="52"/>
      <c r="BM61" s="52"/>
      <c r="BN61" s="53"/>
      <c r="BO61" s="52"/>
      <c r="BP61" s="52"/>
      <c r="BQ61" s="54"/>
      <c r="BT61"/>
      <c r="BU61"/>
    </row>
    <row r="62" spans="1:76" ht="16" x14ac:dyDescent="0.35">
      <c r="A62"/>
      <c r="B62"/>
      <c r="D62"/>
      <c r="G62" t="s">
        <v>175</v>
      </c>
      <c r="H62" s="20"/>
      <c r="I62" s="20"/>
      <c r="J62" s="20"/>
      <c r="K62" s="20"/>
      <c r="L62" s="20"/>
      <c r="Q62" s="83">
        <v>0</v>
      </c>
      <c r="Y62" s="20"/>
      <c r="AP62" s="47"/>
      <c r="AQ62" s="48"/>
      <c r="AR62" s="48"/>
      <c r="AS62" s="48"/>
      <c r="AT62" s="48"/>
      <c r="AU62" s="48"/>
      <c r="AV62" s="73" t="s">
        <v>173</v>
      </c>
      <c r="AW62" s="49"/>
      <c r="AX62" s="49"/>
      <c r="AY62" s="49"/>
      <c r="AZ62" s="49"/>
      <c r="BA62" s="49"/>
      <c r="BB62" s="48"/>
      <c r="BC62" s="48"/>
      <c r="BD62" s="48"/>
      <c r="BE62" s="48"/>
      <c r="BF62" s="95">
        <v>0</v>
      </c>
      <c r="BG62" s="48"/>
      <c r="BH62" s="48"/>
      <c r="BI62" s="48"/>
      <c r="BJ62" s="48"/>
      <c r="BK62" s="48"/>
      <c r="BL62" s="48"/>
      <c r="BM62" s="48"/>
      <c r="BN62" s="49"/>
      <c r="BO62" s="48"/>
      <c r="BP62" s="48"/>
      <c r="BQ62" s="50"/>
    </row>
    <row r="63" spans="1:76" ht="16" x14ac:dyDescent="0.35">
      <c r="A63"/>
      <c r="B63"/>
      <c r="D63"/>
      <c r="G63" t="s">
        <v>184</v>
      </c>
      <c r="H63" s="20"/>
      <c r="I63" s="20"/>
      <c r="J63" s="20"/>
      <c r="K63" s="20"/>
      <c r="L63" s="20"/>
      <c r="Q63" s="83">
        <v>0</v>
      </c>
      <c r="Y63" s="20"/>
      <c r="AP63" s="51"/>
      <c r="AQ63" s="52"/>
      <c r="AR63" s="52"/>
      <c r="AS63" s="52"/>
      <c r="AT63" s="52"/>
      <c r="AU63" s="52"/>
      <c r="AV63" s="94" t="s">
        <v>167</v>
      </c>
      <c r="AW63" s="53"/>
      <c r="AX63" s="53"/>
      <c r="AY63" s="53"/>
      <c r="AZ63" s="53"/>
      <c r="BA63" s="53"/>
      <c r="BB63" s="52"/>
      <c r="BC63" s="52"/>
      <c r="BD63" s="52"/>
      <c r="BE63" s="52"/>
      <c r="BF63" s="96">
        <v>0</v>
      </c>
      <c r="BG63" s="52"/>
      <c r="BH63" s="52"/>
      <c r="BI63" s="52"/>
      <c r="BJ63" s="52"/>
      <c r="BK63" s="52"/>
      <c r="BL63" s="52"/>
      <c r="BM63" s="52"/>
      <c r="BN63" s="53"/>
      <c r="BO63" s="52"/>
      <c r="BP63" s="52"/>
      <c r="BQ63" s="54"/>
    </row>
    <row r="64" spans="1:76" ht="16" x14ac:dyDescent="0.35">
      <c r="A64"/>
      <c r="B64"/>
      <c r="D64"/>
      <c r="G64" t="s">
        <v>180</v>
      </c>
      <c r="H64" s="20"/>
      <c r="I64" s="20"/>
      <c r="J64" s="20"/>
      <c r="K64" s="20"/>
      <c r="L64" s="20"/>
      <c r="Q64" s="83">
        <v>0</v>
      </c>
      <c r="Y64" s="20"/>
      <c r="AP64" s="47"/>
      <c r="AQ64" s="48"/>
      <c r="AR64" s="48"/>
      <c r="AS64" s="48"/>
      <c r="AT64" s="48"/>
      <c r="AU64" s="48"/>
      <c r="AV64" s="73" t="s">
        <v>175</v>
      </c>
      <c r="AW64" s="49"/>
      <c r="AX64" s="49"/>
      <c r="AY64" s="49"/>
      <c r="AZ64" s="49"/>
      <c r="BA64" s="49"/>
      <c r="BB64" s="48"/>
      <c r="BC64" s="48"/>
      <c r="BD64" s="48"/>
      <c r="BE64" s="48"/>
      <c r="BF64" s="95">
        <v>0</v>
      </c>
      <c r="BG64" s="48"/>
      <c r="BH64" s="48"/>
      <c r="BI64" s="48"/>
      <c r="BJ64" s="48"/>
      <c r="BK64" s="48"/>
      <c r="BL64" s="48"/>
      <c r="BM64" s="48"/>
      <c r="BN64" s="49"/>
      <c r="BO64" s="48"/>
      <c r="BP64" s="48"/>
      <c r="BQ64" s="50"/>
    </row>
    <row r="65" spans="1:69" ht="16" x14ac:dyDescent="0.35">
      <c r="A65"/>
      <c r="B65"/>
      <c r="D65"/>
      <c r="G65" t="s">
        <v>183</v>
      </c>
      <c r="H65" s="20"/>
      <c r="I65" s="20"/>
      <c r="J65" s="20"/>
      <c r="K65" s="20"/>
      <c r="L65" s="20"/>
      <c r="Q65" s="83">
        <v>0</v>
      </c>
      <c r="Y65" s="20"/>
      <c r="AP65" s="51"/>
      <c r="AQ65" s="52"/>
      <c r="AR65" s="52"/>
      <c r="AS65" s="52"/>
      <c r="AT65" s="52"/>
      <c r="AU65" s="52"/>
      <c r="AV65" s="94" t="s">
        <v>173</v>
      </c>
      <c r="AW65" s="53"/>
      <c r="AX65" s="53"/>
      <c r="AY65" s="53"/>
      <c r="AZ65" s="53"/>
      <c r="BA65" s="53"/>
      <c r="BB65" s="52"/>
      <c r="BC65" s="52"/>
      <c r="BD65" s="52"/>
      <c r="BE65" s="52"/>
      <c r="BF65" s="96">
        <v>0</v>
      </c>
      <c r="BG65" s="52"/>
      <c r="BH65" s="52"/>
      <c r="BI65" s="52"/>
      <c r="BJ65" s="52"/>
      <c r="BK65" s="52"/>
      <c r="BL65" s="52"/>
      <c r="BM65" s="52"/>
      <c r="BN65" s="53"/>
      <c r="BO65" s="52"/>
      <c r="BP65" s="52"/>
      <c r="BQ65" s="54"/>
    </row>
    <row r="66" spans="1:69" ht="16" x14ac:dyDescent="0.35">
      <c r="A66"/>
      <c r="B66"/>
      <c r="D66"/>
      <c r="G66" t="s">
        <v>165</v>
      </c>
      <c r="H66" s="20"/>
      <c r="I66" s="20"/>
      <c r="J66" s="20"/>
      <c r="K66" s="20"/>
      <c r="L66" s="20"/>
      <c r="Q66" s="83">
        <v>0</v>
      </c>
      <c r="Y66" s="20"/>
      <c r="AP66" s="47"/>
      <c r="AQ66" s="48"/>
      <c r="AR66" s="48"/>
      <c r="AS66" s="48"/>
      <c r="AT66" s="48"/>
      <c r="AU66" s="48"/>
      <c r="AV66" s="73" t="s">
        <v>176</v>
      </c>
      <c r="AW66" s="49"/>
      <c r="AX66" s="49"/>
      <c r="AY66" s="49"/>
      <c r="AZ66" s="49"/>
      <c r="BA66" s="49"/>
      <c r="BB66" s="48"/>
      <c r="BC66" s="48"/>
      <c r="BD66" s="48"/>
      <c r="BE66" s="48"/>
      <c r="BF66" s="95">
        <v>0</v>
      </c>
      <c r="BG66" s="48"/>
      <c r="BH66" s="48"/>
      <c r="BI66" s="48"/>
      <c r="BJ66" s="48"/>
      <c r="BK66" s="48"/>
      <c r="BL66" s="48"/>
      <c r="BM66" s="48"/>
      <c r="BN66" s="49"/>
      <c r="BO66" s="48"/>
      <c r="BP66" s="48"/>
      <c r="BQ66" s="50"/>
    </row>
    <row r="67" spans="1:69" ht="16" x14ac:dyDescent="0.35">
      <c r="A67"/>
      <c r="B67"/>
      <c r="D67"/>
      <c r="G67" t="s">
        <v>176</v>
      </c>
      <c r="H67" s="20"/>
      <c r="I67" s="20"/>
      <c r="J67" s="20"/>
      <c r="K67" s="20"/>
      <c r="L67" s="20"/>
      <c r="Q67" s="83">
        <v>0</v>
      </c>
      <c r="Y67" s="20"/>
      <c r="AP67" s="51"/>
      <c r="AQ67" s="52"/>
      <c r="AR67" s="52"/>
      <c r="AS67" s="52"/>
      <c r="AT67" s="52"/>
      <c r="AU67" s="52"/>
      <c r="AV67" s="94" t="s">
        <v>175</v>
      </c>
      <c r="AW67" s="53"/>
      <c r="AX67" s="53"/>
      <c r="AY67" s="53"/>
      <c r="AZ67" s="53"/>
      <c r="BA67" s="53"/>
      <c r="BB67" s="52"/>
      <c r="BC67" s="52"/>
      <c r="BD67" s="52"/>
      <c r="BE67" s="52"/>
      <c r="BF67" s="96">
        <v>0</v>
      </c>
      <c r="BG67" s="52"/>
      <c r="BH67" s="52"/>
      <c r="BI67" s="52"/>
      <c r="BJ67" s="52"/>
      <c r="BK67" s="52"/>
      <c r="BL67" s="52"/>
      <c r="BM67" s="52"/>
      <c r="BN67" s="53"/>
      <c r="BO67" s="52"/>
      <c r="BP67" s="52"/>
      <c r="BQ67" s="54"/>
    </row>
    <row r="68" spans="1:69" ht="16" x14ac:dyDescent="0.35">
      <c r="A68"/>
      <c r="B68"/>
      <c r="D68"/>
      <c r="G68" t="s">
        <v>170</v>
      </c>
      <c r="H68" s="20"/>
      <c r="I68" s="20"/>
      <c r="J68" s="20"/>
      <c r="K68" s="20"/>
      <c r="L68" s="20"/>
      <c r="Q68" s="83">
        <v>1</v>
      </c>
      <c r="Y68" s="20"/>
      <c r="AP68" s="47"/>
      <c r="AQ68" s="48"/>
      <c r="AR68" s="48"/>
      <c r="AS68" s="48"/>
      <c r="AT68" s="48"/>
      <c r="AU68" s="48"/>
      <c r="AV68" s="73" t="s">
        <v>178</v>
      </c>
      <c r="AW68" s="49"/>
      <c r="AX68" s="49"/>
      <c r="AY68" s="49"/>
      <c r="AZ68" s="49"/>
      <c r="BA68" s="49"/>
      <c r="BB68" s="48"/>
      <c r="BC68" s="48"/>
      <c r="BD68" s="48"/>
      <c r="BE68" s="48"/>
      <c r="BF68" s="95">
        <v>0</v>
      </c>
      <c r="BG68" s="48"/>
      <c r="BH68" s="48"/>
      <c r="BI68" s="48"/>
      <c r="BJ68" s="48"/>
      <c r="BK68" s="48"/>
      <c r="BL68" s="48"/>
      <c r="BM68" s="48"/>
      <c r="BN68" s="49"/>
      <c r="BO68" s="48"/>
      <c r="BP68" s="48"/>
      <c r="BQ68" s="50"/>
    </row>
    <row r="69" spans="1:69" ht="16" x14ac:dyDescent="0.35">
      <c r="A69"/>
      <c r="B69"/>
      <c r="D69"/>
      <c r="G69" t="s">
        <v>175</v>
      </c>
      <c r="H69" s="20"/>
      <c r="I69" s="20"/>
      <c r="J69" s="20"/>
      <c r="K69" s="20"/>
      <c r="L69" s="20"/>
      <c r="Q69" s="83">
        <v>0</v>
      </c>
      <c r="Y69" s="20"/>
      <c r="AP69" s="51"/>
      <c r="AQ69" s="52"/>
      <c r="AR69" s="52"/>
      <c r="AS69" s="52"/>
      <c r="AT69" s="52"/>
      <c r="AU69" s="52"/>
      <c r="AV69" s="94" t="s">
        <v>175</v>
      </c>
      <c r="AW69" s="53"/>
      <c r="AX69" s="53"/>
      <c r="AY69" s="53"/>
      <c r="AZ69" s="53"/>
      <c r="BA69" s="53"/>
      <c r="BB69" s="52"/>
      <c r="BC69" s="52"/>
      <c r="BD69" s="52"/>
      <c r="BE69" s="52"/>
      <c r="BF69" s="96">
        <v>0</v>
      </c>
      <c r="BG69" s="52"/>
      <c r="BH69" s="52"/>
      <c r="BI69" s="52"/>
      <c r="BJ69" s="52"/>
      <c r="BK69" s="52"/>
      <c r="BL69" s="52"/>
      <c r="BM69" s="52"/>
      <c r="BN69" s="53"/>
      <c r="BO69" s="52"/>
      <c r="BP69" s="52"/>
      <c r="BQ69" s="54"/>
    </row>
    <row r="70" spans="1:69" ht="16" x14ac:dyDescent="0.35">
      <c r="A70"/>
      <c r="B70"/>
      <c r="D70"/>
      <c r="G70" t="s">
        <v>183</v>
      </c>
      <c r="H70" s="20"/>
      <c r="I70" s="20"/>
      <c r="J70" s="20"/>
      <c r="K70" s="20"/>
      <c r="L70" s="20"/>
      <c r="Q70" s="83">
        <v>0</v>
      </c>
      <c r="Y70" s="20"/>
      <c r="AP70" s="47"/>
      <c r="AQ70" s="48"/>
      <c r="AR70" s="48"/>
      <c r="AS70" s="48"/>
      <c r="AT70" s="48"/>
      <c r="AU70" s="48"/>
      <c r="AV70" s="73" t="s">
        <v>167</v>
      </c>
      <c r="AW70" s="49"/>
      <c r="AX70" s="49"/>
      <c r="AY70" s="49"/>
      <c r="AZ70" s="49"/>
      <c r="BA70" s="49"/>
      <c r="BB70" s="48"/>
      <c r="BC70" s="48"/>
      <c r="BD70" s="48"/>
      <c r="BE70" s="48"/>
      <c r="BF70" s="95">
        <v>0</v>
      </c>
      <c r="BG70" s="48"/>
      <c r="BH70" s="48"/>
      <c r="BI70" s="48"/>
      <c r="BJ70" s="48"/>
      <c r="BK70" s="48"/>
      <c r="BL70" s="48"/>
      <c r="BM70" s="48"/>
      <c r="BN70" s="49"/>
      <c r="BO70" s="48"/>
      <c r="BP70" s="48"/>
      <c r="BQ70" s="50"/>
    </row>
    <row r="71" spans="1:69" ht="16" x14ac:dyDescent="0.35">
      <c r="A71"/>
      <c r="B71"/>
      <c r="D71"/>
      <c r="G71" t="s">
        <v>183</v>
      </c>
      <c r="H71" s="20"/>
      <c r="I71" s="20"/>
      <c r="J71" s="20"/>
      <c r="K71" s="20"/>
      <c r="L71" s="20"/>
      <c r="Q71" s="83">
        <v>0</v>
      </c>
      <c r="Y71" s="20"/>
      <c r="AP71" s="51"/>
      <c r="AQ71" s="52"/>
      <c r="AR71" s="52"/>
      <c r="AS71" s="52"/>
      <c r="AT71" s="52"/>
      <c r="AU71" s="52"/>
      <c r="AV71" s="94" t="s">
        <v>168</v>
      </c>
      <c r="AW71" s="53"/>
      <c r="AX71" s="53"/>
      <c r="AY71" s="53"/>
      <c r="AZ71" s="53"/>
      <c r="BA71" s="53"/>
      <c r="BB71" s="52"/>
      <c r="BC71" s="52"/>
      <c r="BD71" s="52"/>
      <c r="BE71" s="52"/>
      <c r="BF71" s="96">
        <v>0</v>
      </c>
      <c r="BG71" s="52"/>
      <c r="BH71" s="52"/>
      <c r="BI71" s="52"/>
      <c r="BJ71" s="52"/>
      <c r="BK71" s="52"/>
      <c r="BL71" s="52"/>
      <c r="BM71" s="52"/>
      <c r="BN71" s="53"/>
      <c r="BO71" s="52"/>
      <c r="BP71" s="52"/>
      <c r="BQ71" s="54"/>
    </row>
    <row r="72" spans="1:69" ht="16" x14ac:dyDescent="0.35">
      <c r="A72"/>
      <c r="B72"/>
      <c r="D72"/>
      <c r="G72" t="s">
        <v>189</v>
      </c>
      <c r="H72" s="20"/>
      <c r="I72" s="20"/>
      <c r="J72" s="20"/>
      <c r="K72" s="20"/>
      <c r="L72" s="20"/>
      <c r="Q72" s="83">
        <v>0</v>
      </c>
      <c r="Y72" s="20"/>
      <c r="AP72" s="47"/>
      <c r="AQ72" s="48"/>
      <c r="AR72" s="48"/>
      <c r="AS72" s="48"/>
      <c r="AT72" s="48"/>
      <c r="AU72" s="48"/>
      <c r="AV72" s="73" t="s">
        <v>168</v>
      </c>
      <c r="AW72" s="49"/>
      <c r="AX72" s="49"/>
      <c r="AY72" s="49"/>
      <c r="AZ72" s="49"/>
      <c r="BA72" s="49"/>
      <c r="BB72" s="48"/>
      <c r="BC72" s="48"/>
      <c r="BD72" s="48"/>
      <c r="BE72" s="48"/>
      <c r="BF72" s="95">
        <v>0</v>
      </c>
      <c r="BG72" s="48"/>
      <c r="BH72" s="48"/>
      <c r="BI72" s="48"/>
      <c r="BJ72" s="48"/>
      <c r="BK72" s="48"/>
      <c r="BL72" s="48"/>
      <c r="BM72" s="48"/>
      <c r="BN72" s="49"/>
      <c r="BO72" s="48"/>
      <c r="BP72" s="48"/>
      <c r="BQ72" s="50"/>
    </row>
    <row r="73" spans="1:69" ht="16" x14ac:dyDescent="0.35">
      <c r="A73"/>
      <c r="B73"/>
      <c r="D73"/>
      <c r="G73" t="s">
        <v>167</v>
      </c>
      <c r="H73" s="20"/>
      <c r="I73" s="20"/>
      <c r="J73" s="20"/>
      <c r="K73" s="20"/>
      <c r="L73" s="20"/>
      <c r="Q73" s="83">
        <v>0</v>
      </c>
      <c r="Y73" s="20"/>
      <c r="AP73" s="51"/>
      <c r="AQ73" s="52"/>
      <c r="AR73" s="52"/>
      <c r="AS73" s="52"/>
      <c r="AT73" s="52"/>
      <c r="AU73" s="52"/>
      <c r="AV73" s="94" t="s">
        <v>173</v>
      </c>
      <c r="AW73" s="53"/>
      <c r="AX73" s="53"/>
      <c r="AY73" s="53"/>
      <c r="AZ73" s="53"/>
      <c r="BA73" s="53"/>
      <c r="BB73" s="52"/>
      <c r="BC73" s="52"/>
      <c r="BD73" s="52"/>
      <c r="BE73" s="52"/>
      <c r="BF73" s="96">
        <v>0</v>
      </c>
      <c r="BG73" s="52"/>
      <c r="BH73" s="52"/>
      <c r="BI73" s="52"/>
      <c r="BJ73" s="52"/>
      <c r="BK73" s="52"/>
      <c r="BL73" s="52"/>
      <c r="BM73" s="52"/>
      <c r="BN73" s="53"/>
      <c r="BO73" s="52"/>
      <c r="BP73" s="52"/>
      <c r="BQ73" s="54"/>
    </row>
    <row r="74" spans="1:69" ht="16" x14ac:dyDescent="0.35">
      <c r="A74"/>
      <c r="B74"/>
      <c r="D74"/>
      <c r="G74" t="s">
        <v>180</v>
      </c>
      <c r="H74" s="20"/>
      <c r="I74" s="20"/>
      <c r="J74" s="20"/>
      <c r="K74" s="20"/>
      <c r="L74" s="20"/>
      <c r="Q74" s="83">
        <v>0</v>
      </c>
      <c r="Y74" s="20"/>
      <c r="AP74" s="47"/>
      <c r="AQ74" s="48"/>
      <c r="AR74" s="48"/>
      <c r="AS74" s="48"/>
      <c r="AT74" s="48"/>
      <c r="AU74" s="48"/>
      <c r="AV74" s="73" t="s">
        <v>183</v>
      </c>
      <c r="AW74" s="49"/>
      <c r="AX74" s="49"/>
      <c r="AY74" s="49"/>
      <c r="AZ74" s="49"/>
      <c r="BA74" s="49"/>
      <c r="BB74" s="48"/>
      <c r="BC74" s="48"/>
      <c r="BD74" s="48"/>
      <c r="BE74" s="48"/>
      <c r="BF74" s="95">
        <v>0</v>
      </c>
      <c r="BG74" s="48"/>
      <c r="BH74" s="48"/>
      <c r="BI74" s="48"/>
      <c r="BJ74" s="48"/>
      <c r="BK74" s="48"/>
      <c r="BL74" s="48"/>
      <c r="BM74" s="48"/>
      <c r="BN74" s="49"/>
      <c r="BO74" s="48"/>
      <c r="BP74" s="48"/>
      <c r="BQ74" s="50"/>
    </row>
    <row r="75" spans="1:69" ht="16" x14ac:dyDescent="0.35">
      <c r="A75"/>
      <c r="B75"/>
      <c r="D75"/>
      <c r="G75" t="s">
        <v>167</v>
      </c>
      <c r="H75" s="20"/>
      <c r="I75" s="20"/>
      <c r="J75" s="20"/>
      <c r="K75" s="20"/>
      <c r="L75" s="20"/>
      <c r="Q75" s="83">
        <v>2</v>
      </c>
      <c r="Y75" s="20"/>
      <c r="AP75" s="51"/>
      <c r="AQ75" s="52"/>
      <c r="AR75" s="52"/>
      <c r="AS75" s="52"/>
      <c r="AT75" s="52"/>
      <c r="AU75" s="52"/>
      <c r="AV75" s="94" t="s">
        <v>180</v>
      </c>
      <c r="AW75" s="53"/>
      <c r="AX75" s="53"/>
      <c r="AY75" s="53"/>
      <c r="AZ75" s="53"/>
      <c r="BA75" s="53"/>
      <c r="BB75" s="52"/>
      <c r="BC75" s="52"/>
      <c r="BD75" s="52"/>
      <c r="BE75" s="52"/>
      <c r="BF75" s="96">
        <v>0</v>
      </c>
      <c r="BG75" s="52"/>
      <c r="BH75" s="52"/>
      <c r="BI75" s="52"/>
      <c r="BJ75" s="52"/>
      <c r="BK75" s="52"/>
      <c r="BL75" s="52"/>
      <c r="BM75" s="52"/>
      <c r="BN75" s="53"/>
      <c r="BO75" s="52"/>
      <c r="BP75" s="52"/>
      <c r="BQ75" s="54"/>
    </row>
    <row r="76" spans="1:69" ht="16" x14ac:dyDescent="0.35">
      <c r="A76"/>
      <c r="B76"/>
      <c r="D76"/>
      <c r="G76" t="s">
        <v>189</v>
      </c>
      <c r="H76" s="20"/>
      <c r="I76" s="20"/>
      <c r="J76" s="20"/>
      <c r="K76" s="20"/>
      <c r="L76" s="20"/>
      <c r="Q76" s="83">
        <v>0</v>
      </c>
      <c r="Y76" s="20"/>
      <c r="AP76" s="47"/>
      <c r="AQ76" s="48"/>
      <c r="AR76" s="48"/>
      <c r="AS76" s="48"/>
      <c r="AT76" s="48"/>
      <c r="AU76" s="48"/>
      <c r="AV76" s="73" t="s">
        <v>175</v>
      </c>
      <c r="AW76" s="49"/>
      <c r="AX76" s="49"/>
      <c r="AY76" s="49"/>
      <c r="AZ76" s="49"/>
      <c r="BA76" s="49"/>
      <c r="BB76" s="48"/>
      <c r="BC76" s="48"/>
      <c r="BD76" s="48"/>
      <c r="BE76" s="48"/>
      <c r="BF76" s="95">
        <v>0</v>
      </c>
      <c r="BG76" s="48"/>
      <c r="BH76" s="48"/>
      <c r="BI76" s="48"/>
      <c r="BJ76" s="48"/>
      <c r="BK76" s="48"/>
      <c r="BL76" s="48"/>
      <c r="BM76" s="48"/>
      <c r="BN76" s="49"/>
      <c r="BO76" s="48"/>
      <c r="BP76" s="48"/>
      <c r="BQ76" s="50"/>
    </row>
    <row r="77" spans="1:69" ht="16" x14ac:dyDescent="0.35">
      <c r="A77"/>
      <c r="B77"/>
      <c r="D77"/>
      <c r="G77" t="s">
        <v>177</v>
      </c>
      <c r="H77" s="20"/>
      <c r="I77" s="20"/>
      <c r="J77" s="20"/>
      <c r="K77" s="20"/>
      <c r="L77" s="20"/>
      <c r="Q77" s="83">
        <v>0</v>
      </c>
      <c r="Y77" s="20"/>
      <c r="AP77" s="51"/>
      <c r="AQ77" s="52"/>
      <c r="AR77" s="52"/>
      <c r="AS77" s="52"/>
      <c r="AT77" s="52"/>
      <c r="AU77" s="52"/>
      <c r="AV77" s="94" t="s">
        <v>167</v>
      </c>
      <c r="AW77" s="53"/>
      <c r="AX77" s="53"/>
      <c r="AY77" s="53"/>
      <c r="AZ77" s="53"/>
      <c r="BA77" s="53"/>
      <c r="BB77" s="52"/>
      <c r="BC77" s="52"/>
      <c r="BD77" s="52"/>
      <c r="BE77" s="52"/>
      <c r="BF77" s="96">
        <v>3</v>
      </c>
      <c r="BG77" s="52"/>
      <c r="BH77" s="52"/>
      <c r="BI77" s="52"/>
      <c r="BJ77" s="52"/>
      <c r="BK77" s="52"/>
      <c r="BL77" s="52"/>
      <c r="BM77" s="52"/>
      <c r="BN77" s="53"/>
      <c r="BO77" s="52"/>
      <c r="BP77" s="52"/>
      <c r="BQ77" s="54"/>
    </row>
    <row r="78" spans="1:69" ht="16" x14ac:dyDescent="0.35">
      <c r="A78"/>
      <c r="B78"/>
      <c r="D78"/>
      <c r="G78" t="s">
        <v>167</v>
      </c>
      <c r="H78" s="20"/>
      <c r="I78" s="20"/>
      <c r="J78" s="20"/>
      <c r="K78" s="20"/>
      <c r="L78" s="20"/>
      <c r="Q78" s="83">
        <v>1</v>
      </c>
      <c r="Y78" s="20"/>
      <c r="AP78" s="47"/>
      <c r="AQ78" s="48"/>
      <c r="AR78" s="48"/>
      <c r="AS78" s="48"/>
      <c r="AT78" s="48"/>
      <c r="AU78" s="48"/>
      <c r="AV78" s="73" t="s">
        <v>167</v>
      </c>
      <c r="AW78" s="49"/>
      <c r="AX78" s="49"/>
      <c r="AY78" s="49"/>
      <c r="AZ78" s="49"/>
      <c r="BA78" s="49"/>
      <c r="BB78" s="48"/>
      <c r="BC78" s="48"/>
      <c r="BD78" s="48"/>
      <c r="BE78" s="48"/>
      <c r="BF78" s="95">
        <v>0</v>
      </c>
      <c r="BG78" s="48"/>
      <c r="BH78" s="48"/>
      <c r="BI78" s="48"/>
      <c r="BJ78" s="48"/>
      <c r="BK78" s="48"/>
      <c r="BL78" s="48"/>
      <c r="BM78" s="48"/>
      <c r="BN78" s="49"/>
      <c r="BO78" s="48"/>
      <c r="BP78" s="48"/>
      <c r="BQ78" s="50"/>
    </row>
    <row r="79" spans="1:69" ht="16" x14ac:dyDescent="0.35">
      <c r="A79"/>
      <c r="B79"/>
      <c r="D79"/>
      <c r="G79" t="s">
        <v>167</v>
      </c>
      <c r="H79" s="20"/>
      <c r="I79" s="20"/>
      <c r="J79" s="20"/>
      <c r="K79" s="20"/>
      <c r="L79" s="20"/>
      <c r="Q79" s="83">
        <v>0</v>
      </c>
      <c r="Y79" s="20"/>
      <c r="AP79" s="51"/>
      <c r="AQ79" s="52"/>
      <c r="AR79" s="52"/>
      <c r="AS79" s="52"/>
      <c r="AT79" s="52"/>
      <c r="AU79" s="52"/>
      <c r="AV79" s="94" t="s">
        <v>167</v>
      </c>
      <c r="AW79" s="53"/>
      <c r="AX79" s="53"/>
      <c r="AY79" s="53"/>
      <c r="AZ79" s="53"/>
      <c r="BA79" s="53"/>
      <c r="BB79" s="52"/>
      <c r="BC79" s="52"/>
      <c r="BD79" s="52"/>
      <c r="BE79" s="52"/>
      <c r="BF79" s="96">
        <v>0</v>
      </c>
      <c r="BG79" s="52"/>
      <c r="BH79" s="52"/>
      <c r="BI79" s="52"/>
      <c r="BJ79" s="52"/>
      <c r="BK79" s="52"/>
      <c r="BL79" s="52"/>
      <c r="BM79" s="52"/>
      <c r="BN79" s="53"/>
      <c r="BO79" s="52"/>
      <c r="BP79" s="52"/>
      <c r="BQ79" s="54"/>
    </row>
    <row r="80" spans="1:69" ht="16" x14ac:dyDescent="0.35">
      <c r="A80"/>
      <c r="B80"/>
      <c r="D80"/>
      <c r="G80" t="s">
        <v>189</v>
      </c>
      <c r="H80" s="20"/>
      <c r="I80" s="20"/>
      <c r="J80" s="20"/>
      <c r="K80" s="20"/>
      <c r="L80" s="20"/>
      <c r="Q80" s="83">
        <v>0</v>
      </c>
      <c r="Y80" s="20"/>
      <c r="AP80" s="47"/>
      <c r="AQ80" s="48"/>
      <c r="AR80" s="48"/>
      <c r="AS80" s="48"/>
      <c r="AT80" s="48"/>
      <c r="AU80" s="48"/>
      <c r="AV80" s="73" t="s">
        <v>176</v>
      </c>
      <c r="AW80" s="49"/>
      <c r="AX80" s="49"/>
      <c r="AY80" s="49"/>
      <c r="AZ80" s="49"/>
      <c r="BA80" s="49"/>
      <c r="BB80" s="48"/>
      <c r="BC80" s="48"/>
      <c r="BD80" s="48"/>
      <c r="BE80" s="48"/>
      <c r="BF80" s="95">
        <v>0</v>
      </c>
      <c r="BG80" s="48"/>
      <c r="BH80" s="48"/>
      <c r="BI80" s="48"/>
      <c r="BJ80" s="48"/>
      <c r="BK80" s="48"/>
      <c r="BL80" s="48"/>
      <c r="BM80" s="48"/>
      <c r="BN80" s="49"/>
      <c r="BO80" s="48"/>
      <c r="BP80" s="48"/>
      <c r="BQ80" s="50"/>
    </row>
    <row r="81" spans="1:69" ht="16" x14ac:dyDescent="0.35">
      <c r="A81"/>
      <c r="B81"/>
      <c r="D81"/>
      <c r="G81" t="s">
        <v>183</v>
      </c>
      <c r="H81" s="20"/>
      <c r="I81" s="20"/>
      <c r="J81" s="20"/>
      <c r="K81" s="20"/>
      <c r="L81" s="20"/>
      <c r="Q81" s="83">
        <v>0</v>
      </c>
      <c r="Y81" s="20"/>
      <c r="AP81" s="51"/>
      <c r="AQ81" s="52"/>
      <c r="AR81" s="52"/>
      <c r="AS81" s="52"/>
      <c r="AT81" s="52"/>
      <c r="AU81" s="52"/>
      <c r="AV81" s="94" t="s">
        <v>217</v>
      </c>
      <c r="AW81" s="53"/>
      <c r="AX81" s="53"/>
      <c r="AY81" s="53"/>
      <c r="AZ81" s="53"/>
      <c r="BA81" s="53"/>
      <c r="BB81" s="52"/>
      <c r="BC81" s="52"/>
      <c r="BD81" s="52"/>
      <c r="BE81" s="52"/>
      <c r="BF81" s="96">
        <v>0</v>
      </c>
      <c r="BG81" s="52"/>
      <c r="BH81" s="52"/>
      <c r="BI81" s="52"/>
      <c r="BJ81" s="52"/>
      <c r="BK81" s="52"/>
      <c r="BL81" s="52"/>
      <c r="BM81" s="52"/>
      <c r="BN81" s="53"/>
      <c r="BO81" s="52"/>
      <c r="BP81" s="52"/>
      <c r="BQ81" s="54"/>
    </row>
    <row r="82" spans="1:69" ht="16" x14ac:dyDescent="0.35">
      <c r="A82"/>
      <c r="B82"/>
      <c r="D82"/>
      <c r="G82" t="s">
        <v>173</v>
      </c>
      <c r="H82" s="20"/>
      <c r="I82" s="20"/>
      <c r="J82" s="20"/>
      <c r="K82" s="20"/>
      <c r="L82" s="20"/>
      <c r="Q82" s="83">
        <v>0</v>
      </c>
      <c r="Y82" s="20"/>
      <c r="AP82" s="47"/>
      <c r="AQ82" s="48"/>
      <c r="AR82" s="48"/>
      <c r="AS82" s="48"/>
      <c r="AT82" s="48"/>
      <c r="AU82" s="48"/>
      <c r="AV82" s="73" t="s">
        <v>176</v>
      </c>
      <c r="AW82" s="49"/>
      <c r="AX82" s="49"/>
      <c r="AY82" s="49"/>
      <c r="AZ82" s="49"/>
      <c r="BA82" s="49"/>
      <c r="BB82" s="48"/>
      <c r="BC82" s="48"/>
      <c r="BD82" s="48"/>
      <c r="BE82" s="48"/>
      <c r="BF82" s="95">
        <v>1</v>
      </c>
      <c r="BG82" s="48"/>
      <c r="BH82" s="48"/>
      <c r="BI82" s="48"/>
      <c r="BJ82" s="48"/>
      <c r="BK82" s="48"/>
      <c r="BL82" s="48"/>
      <c r="BM82" s="48"/>
      <c r="BN82" s="49"/>
      <c r="BO82" s="48"/>
      <c r="BP82" s="48"/>
      <c r="BQ82" s="50"/>
    </row>
    <row r="83" spans="1:69" ht="16" x14ac:dyDescent="0.35">
      <c r="A83"/>
      <c r="B83"/>
      <c r="D83"/>
      <c r="G83" t="s">
        <v>167</v>
      </c>
      <c r="H83" s="20"/>
      <c r="I83" s="20"/>
      <c r="J83" s="20"/>
      <c r="K83" s="20"/>
      <c r="L83" s="20"/>
      <c r="Q83" s="83">
        <v>0</v>
      </c>
      <c r="Y83" s="20"/>
      <c r="AP83" s="51"/>
      <c r="AQ83" s="52"/>
      <c r="AR83" s="52"/>
      <c r="AS83" s="52"/>
      <c r="AT83" s="52"/>
      <c r="AU83" s="52"/>
      <c r="AV83" s="94" t="s">
        <v>178</v>
      </c>
      <c r="AW83" s="53"/>
      <c r="AX83" s="53"/>
      <c r="AY83" s="53"/>
      <c r="AZ83" s="53"/>
      <c r="BA83" s="53"/>
      <c r="BB83" s="52"/>
      <c r="BC83" s="52"/>
      <c r="BD83" s="52"/>
      <c r="BE83" s="52"/>
      <c r="BF83" s="96">
        <v>1</v>
      </c>
      <c r="BG83" s="52"/>
      <c r="BH83" s="52"/>
      <c r="BI83" s="52"/>
      <c r="BJ83" s="52"/>
      <c r="BK83" s="52"/>
      <c r="BL83" s="52"/>
      <c r="BM83" s="52"/>
      <c r="BN83" s="53"/>
      <c r="BO83" s="52"/>
      <c r="BP83" s="52"/>
      <c r="BQ83" s="54"/>
    </row>
    <row r="84" spans="1:69" ht="16" x14ac:dyDescent="0.35">
      <c r="A84"/>
      <c r="B84"/>
      <c r="D84"/>
      <c r="G84" t="s">
        <v>180</v>
      </c>
      <c r="H84" s="20"/>
      <c r="I84" s="20"/>
      <c r="J84" s="20"/>
      <c r="K84" s="20"/>
      <c r="L84" s="20"/>
      <c r="Q84" s="83">
        <v>0</v>
      </c>
      <c r="Y84" s="20"/>
      <c r="AP84" s="47"/>
      <c r="AQ84" s="48"/>
      <c r="AR84" s="48"/>
      <c r="AS84" s="48"/>
      <c r="AT84" s="48"/>
      <c r="AU84" s="48"/>
      <c r="AV84" s="73" t="s">
        <v>175</v>
      </c>
      <c r="AW84" s="49"/>
      <c r="AX84" s="49"/>
      <c r="AY84" s="49"/>
      <c r="AZ84" s="49"/>
      <c r="BA84" s="49"/>
      <c r="BB84" s="48"/>
      <c r="BC84" s="48"/>
      <c r="BD84" s="48"/>
      <c r="BE84" s="48"/>
      <c r="BF84" s="95">
        <v>0</v>
      </c>
      <c r="BG84" s="48"/>
      <c r="BH84" s="48"/>
      <c r="BI84" s="48"/>
      <c r="BJ84" s="48"/>
      <c r="BK84" s="48"/>
      <c r="BL84" s="48"/>
      <c r="BM84" s="48"/>
      <c r="BN84" s="49"/>
      <c r="BO84" s="48"/>
      <c r="BP84" s="48"/>
      <c r="BQ84" s="50"/>
    </row>
    <row r="85" spans="1:69" ht="16" x14ac:dyDescent="0.35">
      <c r="A85"/>
      <c r="B85"/>
      <c r="D85"/>
      <c r="G85" t="s">
        <v>189</v>
      </c>
      <c r="H85" s="20"/>
      <c r="I85" s="20"/>
      <c r="J85" s="20"/>
      <c r="K85" s="20"/>
      <c r="L85" s="20"/>
      <c r="Q85" s="83">
        <v>0</v>
      </c>
      <c r="Y85" s="20"/>
      <c r="AP85" s="51"/>
      <c r="AQ85" s="52"/>
      <c r="AR85" s="52"/>
      <c r="AS85" s="52"/>
      <c r="AT85" s="52"/>
      <c r="AU85" s="52"/>
      <c r="AV85" s="94" t="s">
        <v>178</v>
      </c>
      <c r="AW85" s="53"/>
      <c r="AX85" s="53"/>
      <c r="AY85" s="53"/>
      <c r="AZ85" s="53"/>
      <c r="BA85" s="53"/>
      <c r="BB85" s="52"/>
      <c r="BC85" s="52"/>
      <c r="BD85" s="52"/>
      <c r="BE85" s="52"/>
      <c r="BF85" s="96">
        <v>0</v>
      </c>
      <c r="BG85" s="52"/>
      <c r="BH85" s="52"/>
      <c r="BI85" s="52"/>
      <c r="BJ85" s="52"/>
      <c r="BK85" s="52"/>
      <c r="BL85" s="52"/>
      <c r="BM85" s="52"/>
      <c r="BN85" s="53"/>
      <c r="BO85" s="52"/>
      <c r="BP85" s="52"/>
      <c r="BQ85" s="54"/>
    </row>
    <row r="86" spans="1:69" ht="16" x14ac:dyDescent="0.35">
      <c r="A86"/>
      <c r="B86"/>
      <c r="D86"/>
      <c r="G86" t="s">
        <v>167</v>
      </c>
      <c r="H86" s="20"/>
      <c r="I86" s="20"/>
      <c r="J86" s="20"/>
      <c r="K86" s="20"/>
      <c r="L86" s="20"/>
      <c r="Q86" s="83">
        <v>0</v>
      </c>
      <c r="Y86" s="20"/>
      <c r="AP86" s="47"/>
      <c r="AQ86" s="48"/>
      <c r="AR86" s="48"/>
      <c r="AS86" s="48"/>
      <c r="AT86" s="48"/>
      <c r="AU86" s="48"/>
      <c r="AV86" s="73" t="s">
        <v>176</v>
      </c>
      <c r="AW86" s="49"/>
      <c r="AX86" s="49"/>
      <c r="AY86" s="49"/>
      <c r="AZ86" s="49"/>
      <c r="BA86" s="49"/>
      <c r="BB86" s="48"/>
      <c r="BC86" s="48"/>
      <c r="BD86" s="48"/>
      <c r="BE86" s="48"/>
      <c r="BF86" s="95">
        <v>0</v>
      </c>
      <c r="BG86" s="48"/>
      <c r="BH86" s="48"/>
      <c r="BI86" s="48"/>
      <c r="BJ86" s="48"/>
      <c r="BK86" s="48"/>
      <c r="BL86" s="48"/>
      <c r="BM86" s="48"/>
      <c r="BN86" s="49"/>
      <c r="BO86" s="48"/>
      <c r="BP86" s="48"/>
      <c r="BQ86" s="50"/>
    </row>
    <row r="87" spans="1:69" ht="16" x14ac:dyDescent="0.35">
      <c r="A87"/>
      <c r="B87"/>
      <c r="D87"/>
      <c r="G87" t="s">
        <v>173</v>
      </c>
      <c r="H87" s="20"/>
      <c r="I87" s="20"/>
      <c r="J87" s="20"/>
      <c r="K87" s="20"/>
      <c r="L87" s="20"/>
      <c r="Q87" s="83">
        <v>17</v>
      </c>
      <c r="Y87" s="20"/>
      <c r="AP87" s="51"/>
      <c r="AQ87" s="52"/>
      <c r="AR87" s="52"/>
      <c r="AS87" s="52"/>
      <c r="AT87" s="52"/>
      <c r="AU87" s="52"/>
      <c r="AV87" s="94" t="s">
        <v>180</v>
      </c>
      <c r="AW87" s="53"/>
      <c r="AX87" s="53"/>
      <c r="AY87" s="53"/>
      <c r="AZ87" s="53"/>
      <c r="BA87" s="53"/>
      <c r="BB87" s="52"/>
      <c r="BC87" s="52"/>
      <c r="BD87" s="52"/>
      <c r="BE87" s="52"/>
      <c r="BF87" s="96">
        <v>0</v>
      </c>
      <c r="BG87" s="52"/>
      <c r="BH87" s="52"/>
      <c r="BI87" s="52"/>
      <c r="BJ87" s="52"/>
      <c r="BK87" s="52"/>
      <c r="BL87" s="52"/>
      <c r="BM87" s="52"/>
      <c r="BN87" s="53"/>
      <c r="BO87" s="52"/>
      <c r="BP87" s="52"/>
      <c r="BQ87" s="54"/>
    </row>
    <row r="88" spans="1:69" ht="16" x14ac:dyDescent="0.35">
      <c r="A88"/>
      <c r="B88"/>
      <c r="D88"/>
      <c r="G88" t="s">
        <v>184</v>
      </c>
      <c r="H88" s="20"/>
      <c r="I88" s="20"/>
      <c r="J88" s="20"/>
      <c r="K88" s="20"/>
      <c r="L88" s="20"/>
      <c r="Q88" s="83">
        <v>1</v>
      </c>
      <c r="Y88" s="20"/>
      <c r="AP88" s="47"/>
      <c r="AQ88" s="48"/>
      <c r="AR88" s="48"/>
      <c r="AS88" s="48"/>
      <c r="AT88" s="48"/>
      <c r="AU88" s="48"/>
      <c r="AV88" s="73" t="s">
        <v>178</v>
      </c>
      <c r="AW88" s="49"/>
      <c r="AX88" s="49"/>
      <c r="AY88" s="49"/>
      <c r="AZ88" s="49"/>
      <c r="BA88" s="49"/>
      <c r="BB88" s="48"/>
      <c r="BC88" s="48"/>
      <c r="BD88" s="48"/>
      <c r="BE88" s="48"/>
      <c r="BF88" s="95">
        <v>0</v>
      </c>
      <c r="BG88" s="48"/>
      <c r="BH88" s="48"/>
      <c r="BI88" s="48"/>
      <c r="BJ88" s="48"/>
      <c r="BK88" s="48"/>
      <c r="BL88" s="48"/>
      <c r="BM88" s="48"/>
      <c r="BN88" s="49"/>
      <c r="BO88" s="48"/>
      <c r="BP88" s="48"/>
      <c r="BQ88" s="50"/>
    </row>
    <row r="89" spans="1:69" ht="16" x14ac:dyDescent="0.35">
      <c r="A89"/>
      <c r="B89"/>
      <c r="D89"/>
      <c r="G89" t="s">
        <v>174</v>
      </c>
      <c r="H89" s="20"/>
      <c r="I89" s="20"/>
      <c r="J89" s="20"/>
      <c r="K89" s="20"/>
      <c r="L89" s="20"/>
      <c r="Q89" s="83">
        <v>0</v>
      </c>
      <c r="Y89" s="20"/>
      <c r="AP89" s="51"/>
      <c r="AQ89" s="52"/>
      <c r="AR89" s="52"/>
      <c r="AS89" s="52"/>
      <c r="AT89" s="52"/>
      <c r="AU89" s="52"/>
      <c r="AV89" s="94" t="s">
        <v>180</v>
      </c>
      <c r="AW89" s="53"/>
      <c r="AX89" s="53"/>
      <c r="AY89" s="53"/>
      <c r="AZ89" s="53"/>
      <c r="BA89" s="53"/>
      <c r="BB89" s="52"/>
      <c r="BC89" s="52"/>
      <c r="BD89" s="52"/>
      <c r="BE89" s="52"/>
      <c r="BF89" s="96">
        <v>0</v>
      </c>
      <c r="BG89" s="52"/>
      <c r="BH89" s="52"/>
      <c r="BI89" s="52"/>
      <c r="BJ89" s="52"/>
      <c r="BK89" s="52"/>
      <c r="BL89" s="52"/>
      <c r="BM89" s="52"/>
      <c r="BN89" s="53"/>
      <c r="BO89" s="52"/>
      <c r="BP89" s="52"/>
      <c r="BQ89" s="54"/>
    </row>
    <row r="90" spans="1:69" ht="16" x14ac:dyDescent="0.35">
      <c r="A90"/>
      <c r="B90"/>
      <c r="D90"/>
      <c r="G90" t="s">
        <v>176</v>
      </c>
      <c r="H90" s="20"/>
      <c r="I90" s="20"/>
      <c r="J90" s="20"/>
      <c r="K90" s="20"/>
      <c r="L90" s="20"/>
      <c r="Q90" s="83">
        <v>17</v>
      </c>
      <c r="Y90" s="20"/>
      <c r="AP90" s="47"/>
      <c r="AQ90" s="48"/>
      <c r="AR90" s="48"/>
      <c r="AS90" s="48"/>
      <c r="AT90" s="48"/>
      <c r="AU90" s="48"/>
      <c r="AV90" s="73" t="s">
        <v>180</v>
      </c>
      <c r="AW90" s="49"/>
      <c r="AX90" s="49"/>
      <c r="AY90" s="49"/>
      <c r="AZ90" s="49"/>
      <c r="BA90" s="49"/>
      <c r="BB90" s="48"/>
      <c r="BC90" s="48"/>
      <c r="BD90" s="48"/>
      <c r="BE90" s="48"/>
      <c r="BF90" s="95">
        <v>0</v>
      </c>
      <c r="BG90" s="48"/>
      <c r="BH90" s="48"/>
      <c r="BI90" s="48"/>
      <c r="BJ90" s="48"/>
      <c r="BK90" s="48"/>
      <c r="BL90" s="48"/>
      <c r="BM90" s="48"/>
      <c r="BN90" s="49"/>
      <c r="BO90" s="48"/>
      <c r="BP90" s="48"/>
      <c r="BQ90" s="50"/>
    </row>
    <row r="91" spans="1:69" ht="16" x14ac:dyDescent="0.35">
      <c r="A91"/>
      <c r="B91"/>
      <c r="D91"/>
      <c r="G91" t="s">
        <v>167</v>
      </c>
      <c r="H91" s="20"/>
      <c r="I91" s="20"/>
      <c r="J91" s="20"/>
      <c r="K91" s="20"/>
      <c r="L91" s="20"/>
      <c r="Q91" s="83">
        <v>1</v>
      </c>
      <c r="Y91" s="20"/>
      <c r="AP91" s="51"/>
      <c r="AQ91" s="52"/>
      <c r="AR91" s="52"/>
      <c r="AS91" s="52"/>
      <c r="AT91" s="52"/>
      <c r="AU91" s="52"/>
      <c r="AV91" s="94" t="s">
        <v>176</v>
      </c>
      <c r="AW91" s="53"/>
      <c r="AX91" s="53"/>
      <c r="AY91" s="53"/>
      <c r="AZ91" s="53"/>
      <c r="BA91" s="53"/>
      <c r="BB91" s="52"/>
      <c r="BC91" s="52"/>
      <c r="BD91" s="52"/>
      <c r="BE91" s="52"/>
      <c r="BF91" s="96">
        <v>0</v>
      </c>
      <c r="BG91" s="52"/>
      <c r="BH91" s="52"/>
      <c r="BI91" s="52"/>
      <c r="BJ91" s="52"/>
      <c r="BK91" s="52"/>
      <c r="BL91" s="52"/>
      <c r="BM91" s="52"/>
      <c r="BN91" s="53"/>
      <c r="BO91" s="52"/>
      <c r="BP91" s="52"/>
      <c r="BQ91" s="54"/>
    </row>
    <row r="92" spans="1:69" ht="16" x14ac:dyDescent="0.35">
      <c r="A92"/>
      <c r="B92"/>
      <c r="D92"/>
      <c r="G92" t="s">
        <v>175</v>
      </c>
      <c r="H92" s="20"/>
      <c r="I92" s="20"/>
      <c r="J92" s="20"/>
      <c r="K92" s="20"/>
      <c r="L92" s="20"/>
      <c r="Q92" s="83">
        <v>0</v>
      </c>
      <c r="Y92" s="20"/>
      <c r="AP92" s="47"/>
      <c r="AQ92" s="48"/>
      <c r="AR92" s="48"/>
      <c r="AS92" s="48"/>
      <c r="AT92" s="48"/>
      <c r="AU92" s="48"/>
      <c r="AV92" s="73" t="s">
        <v>167</v>
      </c>
      <c r="AW92" s="49"/>
      <c r="AX92" s="49"/>
      <c r="AY92" s="49"/>
      <c r="AZ92" s="49"/>
      <c r="BA92" s="49"/>
      <c r="BB92" s="48"/>
      <c r="BC92" s="48"/>
      <c r="BD92" s="48"/>
      <c r="BE92" s="48"/>
      <c r="BF92" s="95">
        <v>0</v>
      </c>
      <c r="BG92" s="48"/>
      <c r="BH92" s="48"/>
      <c r="BI92" s="48"/>
      <c r="BJ92" s="48"/>
      <c r="BK92" s="48"/>
      <c r="BL92" s="48"/>
      <c r="BM92" s="48"/>
      <c r="BN92" s="49"/>
      <c r="BO92" s="48"/>
      <c r="BP92" s="48"/>
      <c r="BQ92" s="50"/>
    </row>
    <row r="93" spans="1:69" ht="16" x14ac:dyDescent="0.35">
      <c r="A93"/>
      <c r="B93"/>
      <c r="D93"/>
      <c r="G93" t="s">
        <v>189</v>
      </c>
      <c r="H93" s="20"/>
      <c r="I93" s="20"/>
      <c r="J93" s="20"/>
      <c r="K93" s="20"/>
      <c r="L93" s="20"/>
      <c r="Q93" s="83">
        <v>0</v>
      </c>
      <c r="Y93" s="20"/>
      <c r="AP93" s="51"/>
      <c r="AQ93" s="52"/>
      <c r="AR93" s="52"/>
      <c r="AS93" s="52"/>
      <c r="AT93" s="52"/>
      <c r="AU93" s="52"/>
      <c r="AV93" s="94" t="s">
        <v>175</v>
      </c>
      <c r="AW93" s="53"/>
      <c r="AX93" s="53"/>
      <c r="AY93" s="53"/>
      <c r="AZ93" s="53"/>
      <c r="BA93" s="53"/>
      <c r="BB93" s="52"/>
      <c r="BC93" s="52"/>
      <c r="BD93" s="52"/>
      <c r="BE93" s="52"/>
      <c r="BF93" s="96">
        <v>0</v>
      </c>
      <c r="BG93" s="52"/>
      <c r="BH93" s="52"/>
      <c r="BI93" s="52"/>
      <c r="BJ93" s="52"/>
      <c r="BK93" s="52"/>
      <c r="BL93" s="52"/>
      <c r="BM93" s="52"/>
      <c r="BN93" s="53"/>
      <c r="BO93" s="52"/>
      <c r="BP93" s="52"/>
      <c r="BQ93" s="54"/>
    </row>
    <row r="94" spans="1:69" ht="16" x14ac:dyDescent="0.35">
      <c r="A94"/>
      <c r="B94"/>
      <c r="D94"/>
      <c r="G94" t="s">
        <v>167</v>
      </c>
      <c r="H94" s="20"/>
      <c r="I94" s="20"/>
      <c r="J94" s="20"/>
      <c r="K94" s="20"/>
      <c r="L94" s="20"/>
      <c r="Q94" s="83">
        <v>0</v>
      </c>
      <c r="Y94" s="20"/>
      <c r="AP94" s="47"/>
      <c r="AQ94" s="48"/>
      <c r="AR94" s="48"/>
      <c r="AS94" s="48"/>
      <c r="AT94" s="48"/>
      <c r="AU94" s="48"/>
      <c r="AV94" s="73" t="s">
        <v>170</v>
      </c>
      <c r="AW94" s="49"/>
      <c r="AX94" s="49"/>
      <c r="AY94" s="49"/>
      <c r="AZ94" s="49"/>
      <c r="BA94" s="49"/>
      <c r="BB94" s="48"/>
      <c r="BC94" s="48"/>
      <c r="BD94" s="48"/>
      <c r="BE94" s="48"/>
      <c r="BF94" s="95">
        <v>3</v>
      </c>
      <c r="BG94" s="48"/>
      <c r="BH94" s="48"/>
      <c r="BI94" s="48"/>
      <c r="BJ94" s="48"/>
      <c r="BK94" s="48"/>
      <c r="BL94" s="48"/>
      <c r="BM94" s="48"/>
      <c r="BN94" s="49"/>
      <c r="BO94" s="48"/>
      <c r="BP94" s="48"/>
      <c r="BQ94" s="50"/>
    </row>
    <row r="95" spans="1:69" ht="16" x14ac:dyDescent="0.35">
      <c r="A95"/>
      <c r="B95"/>
      <c r="D95"/>
      <c r="G95" t="s">
        <v>176</v>
      </c>
      <c r="H95" s="20"/>
      <c r="I95" s="20"/>
      <c r="J95" s="20"/>
      <c r="K95" s="20"/>
      <c r="L95" s="20"/>
      <c r="Q95" s="83">
        <v>0</v>
      </c>
      <c r="Y95" s="20"/>
      <c r="AP95" s="51"/>
      <c r="AQ95" s="52"/>
      <c r="AR95" s="52"/>
      <c r="AS95" s="52"/>
      <c r="AT95" s="52"/>
      <c r="AU95" s="52"/>
      <c r="AV95" s="94" t="s">
        <v>167</v>
      </c>
      <c r="AW95" s="53"/>
      <c r="AX95" s="53"/>
      <c r="AY95" s="53"/>
      <c r="AZ95" s="53"/>
      <c r="BA95" s="53"/>
      <c r="BB95" s="52"/>
      <c r="BC95" s="52"/>
      <c r="BD95" s="52"/>
      <c r="BE95" s="52"/>
      <c r="BF95" s="96">
        <v>0</v>
      </c>
      <c r="BG95" s="52"/>
      <c r="BH95" s="52"/>
      <c r="BI95" s="52"/>
      <c r="BJ95" s="52"/>
      <c r="BK95" s="52"/>
      <c r="BL95" s="52"/>
      <c r="BM95" s="52"/>
      <c r="BN95" s="53"/>
      <c r="BO95" s="52"/>
      <c r="BP95" s="52"/>
      <c r="BQ95" s="54"/>
    </row>
    <row r="96" spans="1:69" ht="16" x14ac:dyDescent="0.35">
      <c r="A96"/>
      <c r="B96"/>
      <c r="D96"/>
      <c r="G96" t="s">
        <v>168</v>
      </c>
      <c r="H96" s="20"/>
      <c r="I96" s="20"/>
      <c r="J96" s="20"/>
      <c r="K96" s="20"/>
      <c r="L96" s="20"/>
      <c r="Q96" s="83">
        <v>0</v>
      </c>
      <c r="Y96" s="20"/>
      <c r="AP96" s="47"/>
      <c r="AQ96" s="48"/>
      <c r="AR96" s="48"/>
      <c r="AS96" s="48"/>
      <c r="AT96" s="48"/>
      <c r="AU96" s="48"/>
      <c r="AV96" s="73" t="s">
        <v>176</v>
      </c>
      <c r="AW96" s="49"/>
      <c r="AX96" s="49"/>
      <c r="AY96" s="49"/>
      <c r="AZ96" s="49"/>
      <c r="BA96" s="49"/>
      <c r="BB96" s="48"/>
      <c r="BC96" s="48"/>
      <c r="BD96" s="48"/>
      <c r="BE96" s="48"/>
      <c r="BF96" s="95">
        <v>0</v>
      </c>
      <c r="BG96" s="48"/>
      <c r="BH96" s="48"/>
      <c r="BI96" s="48"/>
      <c r="BJ96" s="48"/>
      <c r="BK96" s="48"/>
      <c r="BL96" s="48"/>
      <c r="BM96" s="48"/>
      <c r="BN96" s="49"/>
      <c r="BO96" s="48"/>
      <c r="BP96" s="48"/>
      <c r="BQ96" s="50"/>
    </row>
    <row r="97" spans="1:69" ht="16" x14ac:dyDescent="0.35">
      <c r="A97"/>
      <c r="B97"/>
      <c r="D97"/>
      <c r="G97" t="s">
        <v>189</v>
      </c>
      <c r="H97" s="20"/>
      <c r="I97" s="20"/>
      <c r="J97" s="20"/>
      <c r="K97" s="20"/>
      <c r="L97" s="20"/>
      <c r="Q97" s="83">
        <v>0</v>
      </c>
      <c r="Y97" s="20"/>
      <c r="AP97" s="51"/>
      <c r="AQ97" s="52"/>
      <c r="AR97" s="52"/>
      <c r="AS97" s="52"/>
      <c r="AT97" s="52"/>
      <c r="AU97" s="52"/>
      <c r="AV97" s="94" t="s">
        <v>167</v>
      </c>
      <c r="AW97" s="53"/>
      <c r="AX97" s="53"/>
      <c r="AY97" s="53"/>
      <c r="AZ97" s="53"/>
      <c r="BA97" s="53"/>
      <c r="BB97" s="52"/>
      <c r="BC97" s="52"/>
      <c r="BD97" s="52"/>
      <c r="BE97" s="52"/>
      <c r="BF97" s="96">
        <v>0</v>
      </c>
      <c r="BG97" s="52"/>
      <c r="BH97" s="52"/>
      <c r="BI97" s="52"/>
      <c r="BJ97" s="52"/>
      <c r="BK97" s="52"/>
      <c r="BL97" s="52"/>
      <c r="BM97" s="52"/>
      <c r="BN97" s="53"/>
      <c r="BO97" s="52"/>
      <c r="BP97" s="52"/>
      <c r="BQ97" s="54"/>
    </row>
    <row r="98" spans="1:69" ht="16" x14ac:dyDescent="0.35">
      <c r="A98"/>
      <c r="B98"/>
      <c r="D98"/>
      <c r="G98" t="s">
        <v>205</v>
      </c>
      <c r="H98" s="20"/>
      <c r="I98" s="20"/>
      <c r="J98" s="20"/>
      <c r="K98" s="20"/>
      <c r="L98" s="20"/>
      <c r="Q98" s="83">
        <v>0</v>
      </c>
      <c r="Y98" s="20"/>
      <c r="AP98" s="47"/>
      <c r="AQ98" s="48"/>
      <c r="AR98" s="48"/>
      <c r="AS98" s="48"/>
      <c r="AT98" s="48"/>
      <c r="AU98" s="48"/>
      <c r="AV98" s="73" t="s">
        <v>175</v>
      </c>
      <c r="AW98" s="49"/>
      <c r="AX98" s="49"/>
      <c r="AY98" s="49"/>
      <c r="AZ98" s="49"/>
      <c r="BA98" s="49"/>
      <c r="BB98" s="48"/>
      <c r="BC98" s="48"/>
      <c r="BD98" s="48"/>
      <c r="BE98" s="48"/>
      <c r="BF98" s="95">
        <v>0</v>
      </c>
      <c r="BG98" s="48"/>
      <c r="BH98" s="48"/>
      <c r="BI98" s="48"/>
      <c r="BJ98" s="48"/>
      <c r="BK98" s="48"/>
      <c r="BL98" s="48"/>
      <c r="BM98" s="48"/>
      <c r="BN98" s="49"/>
      <c r="BO98" s="48"/>
      <c r="BP98" s="48"/>
      <c r="BQ98" s="50"/>
    </row>
    <row r="99" spans="1:69" ht="16" x14ac:dyDescent="0.35">
      <c r="A99"/>
      <c r="B99"/>
      <c r="D99"/>
      <c r="G99" t="s">
        <v>175</v>
      </c>
      <c r="H99" s="20"/>
      <c r="I99" s="20"/>
      <c r="J99" s="20"/>
      <c r="K99" s="20"/>
      <c r="L99" s="20"/>
      <c r="Q99" s="83">
        <v>0</v>
      </c>
      <c r="Y99" s="20"/>
      <c r="AP99" s="51"/>
      <c r="AQ99" s="52"/>
      <c r="AR99" s="52"/>
      <c r="AS99" s="52"/>
      <c r="AT99" s="52"/>
      <c r="AU99" s="52"/>
      <c r="AV99" s="94" t="s">
        <v>167</v>
      </c>
      <c r="AW99" s="53"/>
      <c r="AX99" s="53"/>
      <c r="AY99" s="53"/>
      <c r="AZ99" s="53"/>
      <c r="BA99" s="53"/>
      <c r="BB99" s="52"/>
      <c r="BC99" s="52"/>
      <c r="BD99" s="52"/>
      <c r="BE99" s="52"/>
      <c r="BF99" s="96">
        <v>0</v>
      </c>
      <c r="BG99" s="52"/>
      <c r="BH99" s="52"/>
      <c r="BI99" s="52"/>
      <c r="BJ99" s="52"/>
      <c r="BK99" s="52"/>
      <c r="BL99" s="52"/>
      <c r="BM99" s="52"/>
      <c r="BN99" s="53"/>
      <c r="BO99" s="52"/>
      <c r="BP99" s="52"/>
      <c r="BQ99" s="54"/>
    </row>
    <row r="100" spans="1:69" ht="16" x14ac:dyDescent="0.35">
      <c r="A100"/>
      <c r="B100"/>
      <c r="D100"/>
      <c r="G100" t="s">
        <v>183</v>
      </c>
      <c r="H100" s="20"/>
      <c r="I100" s="20"/>
      <c r="J100" s="20"/>
      <c r="K100" s="20"/>
      <c r="L100" s="20"/>
      <c r="Q100" s="83">
        <v>0</v>
      </c>
      <c r="Y100" s="20"/>
      <c r="AP100" s="47"/>
      <c r="AQ100" s="48"/>
      <c r="AR100" s="48"/>
      <c r="AS100" s="48"/>
      <c r="AT100" s="48"/>
      <c r="AU100" s="48"/>
      <c r="AV100" s="73" t="s">
        <v>189</v>
      </c>
      <c r="AW100" s="49"/>
      <c r="AX100" s="49"/>
      <c r="AY100" s="49"/>
      <c r="AZ100" s="49"/>
      <c r="BA100" s="49"/>
      <c r="BB100" s="48"/>
      <c r="BC100" s="48"/>
      <c r="BD100" s="48"/>
      <c r="BE100" s="48"/>
      <c r="BF100" s="95">
        <v>0</v>
      </c>
      <c r="BG100" s="48"/>
      <c r="BH100" s="48"/>
      <c r="BI100" s="48"/>
      <c r="BJ100" s="48"/>
      <c r="BK100" s="48"/>
      <c r="BL100" s="48"/>
      <c r="BM100" s="48"/>
      <c r="BN100" s="49"/>
      <c r="BO100" s="48"/>
      <c r="BP100" s="48"/>
      <c r="BQ100" s="50"/>
    </row>
    <row r="101" spans="1:69" ht="16" x14ac:dyDescent="0.35">
      <c r="A101"/>
      <c r="B101"/>
      <c r="D101"/>
      <c r="G101" t="s">
        <v>205</v>
      </c>
      <c r="H101" s="20"/>
      <c r="I101" s="20"/>
      <c r="J101" s="20"/>
      <c r="K101" s="20"/>
      <c r="L101" s="20"/>
      <c r="Q101" s="83">
        <v>0</v>
      </c>
      <c r="Y101" s="20"/>
      <c r="AP101" s="51"/>
      <c r="AQ101" s="52"/>
      <c r="AR101" s="52"/>
      <c r="AS101" s="52"/>
      <c r="AT101" s="52"/>
      <c r="AU101" s="52"/>
      <c r="AV101" s="94" t="s">
        <v>176</v>
      </c>
      <c r="AW101" s="53"/>
      <c r="AX101" s="53"/>
      <c r="AY101" s="53"/>
      <c r="AZ101" s="53"/>
      <c r="BA101" s="53"/>
      <c r="BB101" s="52"/>
      <c r="BC101" s="52"/>
      <c r="BD101" s="52"/>
      <c r="BE101" s="52"/>
      <c r="BF101" s="96">
        <v>5</v>
      </c>
      <c r="BG101" s="52"/>
      <c r="BH101" s="52"/>
      <c r="BI101" s="52"/>
      <c r="BJ101" s="52"/>
      <c r="BK101" s="52"/>
      <c r="BL101" s="52"/>
      <c r="BM101" s="52"/>
      <c r="BN101" s="53"/>
      <c r="BO101" s="52"/>
      <c r="BP101" s="52"/>
      <c r="BQ101" s="54"/>
    </row>
    <row r="102" spans="1:69" ht="16" x14ac:dyDescent="0.35">
      <c r="A102"/>
      <c r="B102"/>
      <c r="D102"/>
      <c r="G102" t="s">
        <v>175</v>
      </c>
      <c r="H102" s="20"/>
      <c r="I102" s="20"/>
      <c r="J102" s="20"/>
      <c r="K102" s="20"/>
      <c r="L102" s="20"/>
      <c r="Q102" s="83">
        <v>0</v>
      </c>
      <c r="Y102" s="20"/>
      <c r="AP102" s="47"/>
      <c r="AQ102" s="48"/>
      <c r="AR102" s="48"/>
      <c r="AS102" s="48"/>
      <c r="AT102" s="48"/>
      <c r="AU102" s="48"/>
      <c r="AV102" s="73" t="s">
        <v>165</v>
      </c>
      <c r="AW102" s="49"/>
      <c r="AX102" s="49"/>
      <c r="AY102" s="49"/>
      <c r="AZ102" s="49"/>
      <c r="BA102" s="49"/>
      <c r="BB102" s="48"/>
      <c r="BC102" s="48"/>
      <c r="BD102" s="48"/>
      <c r="BE102" s="48"/>
      <c r="BF102" s="95">
        <v>2</v>
      </c>
      <c r="BG102" s="48"/>
      <c r="BH102" s="48"/>
      <c r="BI102" s="48"/>
      <c r="BJ102" s="48"/>
      <c r="BK102" s="48"/>
      <c r="BL102" s="48"/>
      <c r="BM102" s="48"/>
      <c r="BN102" s="49"/>
      <c r="BO102" s="48"/>
      <c r="BP102" s="48"/>
      <c r="BQ102" s="50"/>
    </row>
    <row r="103" spans="1:69" ht="16" x14ac:dyDescent="0.35">
      <c r="A103"/>
      <c r="B103"/>
      <c r="D103"/>
      <c r="G103" t="s">
        <v>209</v>
      </c>
      <c r="H103" s="20"/>
      <c r="I103" s="20"/>
      <c r="J103" s="20"/>
      <c r="K103" s="20"/>
      <c r="L103" s="20"/>
      <c r="Q103" s="83">
        <v>2</v>
      </c>
      <c r="Y103" s="20"/>
      <c r="AP103" s="51"/>
      <c r="AQ103" s="52"/>
      <c r="AR103" s="52"/>
      <c r="AS103" s="52"/>
      <c r="AT103" s="52"/>
      <c r="AU103" s="52"/>
      <c r="AV103" s="94" t="s">
        <v>173</v>
      </c>
      <c r="AW103" s="53"/>
      <c r="AX103" s="53"/>
      <c r="AY103" s="53"/>
      <c r="AZ103" s="53"/>
      <c r="BA103" s="53"/>
      <c r="BB103" s="52"/>
      <c r="BC103" s="52"/>
      <c r="BD103" s="52"/>
      <c r="BE103" s="52"/>
      <c r="BF103" s="96">
        <v>1</v>
      </c>
      <c r="BG103" s="52"/>
      <c r="BH103" s="52"/>
      <c r="BI103" s="52"/>
      <c r="BJ103" s="52"/>
      <c r="BK103" s="52"/>
      <c r="BL103" s="52"/>
      <c r="BM103" s="52"/>
      <c r="BN103" s="53"/>
      <c r="BO103" s="52"/>
      <c r="BP103" s="52"/>
      <c r="BQ103" s="54"/>
    </row>
    <row r="104" spans="1:69" ht="16" x14ac:dyDescent="0.35">
      <c r="A104"/>
      <c r="B104"/>
      <c r="D104"/>
      <c r="G104" t="s">
        <v>208</v>
      </c>
      <c r="H104" s="20"/>
      <c r="I104" s="20"/>
      <c r="J104" s="20"/>
      <c r="K104" s="20"/>
      <c r="L104" s="20"/>
      <c r="Q104" s="83">
        <v>1</v>
      </c>
      <c r="Y104" s="20"/>
      <c r="AP104" s="47"/>
      <c r="AQ104" s="48"/>
      <c r="AR104" s="48"/>
      <c r="AS104" s="48"/>
      <c r="AT104" s="48"/>
      <c r="AU104" s="48"/>
      <c r="AV104" s="73" t="s">
        <v>176</v>
      </c>
      <c r="AW104" s="49"/>
      <c r="AX104" s="49"/>
      <c r="AY104" s="49"/>
      <c r="AZ104" s="49"/>
      <c r="BA104" s="49"/>
      <c r="BB104" s="48"/>
      <c r="BC104" s="48"/>
      <c r="BD104" s="48"/>
      <c r="BE104" s="48"/>
      <c r="BF104" s="95">
        <v>0</v>
      </c>
      <c r="BG104" s="48"/>
      <c r="BH104" s="48"/>
      <c r="BI104" s="48"/>
      <c r="BJ104" s="48"/>
      <c r="BK104" s="48"/>
      <c r="BL104" s="48"/>
      <c r="BM104" s="48"/>
      <c r="BN104" s="49"/>
      <c r="BO104" s="48"/>
      <c r="BP104" s="48"/>
      <c r="BQ104" s="50"/>
    </row>
    <row r="105" spans="1:69" ht="16" x14ac:dyDescent="0.35">
      <c r="A105"/>
      <c r="B105"/>
      <c r="D105"/>
      <c r="G105" t="s">
        <v>207</v>
      </c>
      <c r="H105" s="20"/>
      <c r="I105" s="20"/>
      <c r="J105" s="20"/>
      <c r="K105" s="20"/>
      <c r="L105" s="20"/>
      <c r="Q105" s="83">
        <v>1</v>
      </c>
      <c r="Y105" s="20"/>
      <c r="AP105" s="51"/>
      <c r="AQ105" s="52"/>
      <c r="AR105" s="52"/>
      <c r="AS105" s="52"/>
      <c r="AT105" s="52"/>
      <c r="AU105" s="52"/>
      <c r="AV105" s="94" t="s">
        <v>175</v>
      </c>
      <c r="AW105" s="53"/>
      <c r="AX105" s="53"/>
      <c r="AY105" s="53"/>
      <c r="AZ105" s="53"/>
      <c r="BA105" s="53"/>
      <c r="BB105" s="52"/>
      <c r="BC105" s="52"/>
      <c r="BD105" s="52"/>
      <c r="BE105" s="52"/>
      <c r="BF105" s="96">
        <v>0</v>
      </c>
      <c r="BG105" s="52"/>
      <c r="BH105" s="52"/>
      <c r="BI105" s="52"/>
      <c r="BJ105" s="52"/>
      <c r="BK105" s="52"/>
      <c r="BL105" s="52"/>
      <c r="BM105" s="52"/>
      <c r="BN105" s="53"/>
      <c r="BO105" s="52"/>
      <c r="BP105" s="52"/>
      <c r="BQ105" s="54"/>
    </row>
    <row r="106" spans="1:69" ht="16" x14ac:dyDescent="0.35">
      <c r="A106"/>
      <c r="B106"/>
      <c r="D106"/>
      <c r="G106" t="s">
        <v>207</v>
      </c>
      <c r="H106" s="20"/>
      <c r="I106" s="20"/>
      <c r="J106" s="20"/>
      <c r="K106" s="20"/>
      <c r="L106" s="20"/>
      <c r="Q106" s="83">
        <v>1</v>
      </c>
      <c r="Y106" s="20"/>
      <c r="AP106" s="47"/>
      <c r="AQ106" s="48"/>
      <c r="AR106" s="48"/>
      <c r="AS106" s="48"/>
      <c r="AT106" s="48"/>
      <c r="AU106" s="48"/>
      <c r="AV106" s="73" t="s">
        <v>205</v>
      </c>
      <c r="AW106" s="49"/>
      <c r="AX106" s="49"/>
      <c r="AY106" s="49"/>
      <c r="AZ106" s="49"/>
      <c r="BA106" s="49"/>
      <c r="BB106" s="48"/>
      <c r="BC106" s="48"/>
      <c r="BD106" s="48"/>
      <c r="BE106" s="48"/>
      <c r="BF106" s="95">
        <v>0</v>
      </c>
      <c r="BG106" s="48"/>
      <c r="BH106" s="48"/>
      <c r="BI106" s="48"/>
      <c r="BJ106" s="48"/>
      <c r="BK106" s="48"/>
      <c r="BL106" s="48"/>
      <c r="BM106" s="48"/>
      <c r="BN106" s="49"/>
      <c r="BO106" s="48"/>
      <c r="BP106" s="48"/>
      <c r="BQ106" s="50"/>
    </row>
    <row r="107" spans="1:69" ht="16" x14ac:dyDescent="0.35">
      <c r="A107"/>
      <c r="B107"/>
      <c r="D107"/>
      <c r="G107" t="s">
        <v>207</v>
      </c>
      <c r="H107" s="20"/>
      <c r="I107" s="20"/>
      <c r="J107" s="20"/>
      <c r="K107" s="20"/>
      <c r="L107" s="20"/>
      <c r="Q107" s="83">
        <v>0</v>
      </c>
      <c r="Y107" s="20"/>
      <c r="AP107" s="51"/>
      <c r="AQ107" s="52"/>
      <c r="AR107" s="52"/>
      <c r="AS107" s="52"/>
      <c r="AT107" s="52"/>
      <c r="AU107" s="52"/>
      <c r="AV107" s="94" t="s">
        <v>167</v>
      </c>
      <c r="AW107" s="53"/>
      <c r="AX107" s="53"/>
      <c r="AY107" s="53"/>
      <c r="AZ107" s="53"/>
      <c r="BA107" s="53"/>
      <c r="BB107" s="52"/>
      <c r="BC107" s="52"/>
      <c r="BD107" s="52"/>
      <c r="BE107" s="52"/>
      <c r="BF107" s="96">
        <v>0</v>
      </c>
      <c r="BG107" s="52"/>
      <c r="BH107" s="52"/>
      <c r="BI107" s="52"/>
      <c r="BJ107" s="52"/>
      <c r="BK107" s="52"/>
      <c r="BL107" s="52"/>
      <c r="BM107" s="52"/>
      <c r="BN107" s="53"/>
      <c r="BO107" s="52"/>
      <c r="BP107" s="52"/>
      <c r="BQ107" s="54"/>
    </row>
    <row r="108" spans="1:69" ht="16" x14ac:dyDescent="0.35">
      <c r="A108"/>
      <c r="B108"/>
      <c r="D108"/>
      <c r="G108" t="s">
        <v>236</v>
      </c>
      <c r="H108" s="20"/>
      <c r="I108" s="20"/>
      <c r="J108" s="20"/>
      <c r="K108" s="20"/>
      <c r="L108" s="20"/>
      <c r="Q108" s="83">
        <v>1</v>
      </c>
      <c r="Y108" s="20"/>
      <c r="AP108" s="47"/>
      <c r="AQ108" s="48"/>
      <c r="AR108" s="48"/>
      <c r="AS108" s="48"/>
      <c r="AT108" s="48"/>
      <c r="AU108" s="48"/>
      <c r="AV108" s="73" t="s">
        <v>167</v>
      </c>
      <c r="AW108" s="49"/>
      <c r="AX108" s="49"/>
      <c r="AY108" s="49"/>
      <c r="AZ108" s="49"/>
      <c r="BA108" s="49"/>
      <c r="BB108" s="48"/>
      <c r="BC108" s="48"/>
      <c r="BD108" s="48"/>
      <c r="BE108" s="48"/>
      <c r="BF108" s="95">
        <v>0</v>
      </c>
      <c r="BG108" s="48"/>
      <c r="BH108" s="48"/>
      <c r="BI108" s="48"/>
      <c r="BJ108" s="48"/>
      <c r="BK108" s="48"/>
      <c r="BL108" s="48"/>
      <c r="BM108" s="48"/>
      <c r="BN108" s="49"/>
      <c r="BO108" s="48"/>
      <c r="BP108" s="48"/>
      <c r="BQ108" s="50"/>
    </row>
    <row r="109" spans="1:69" ht="16" x14ac:dyDescent="0.35">
      <c r="A109"/>
      <c r="B109"/>
      <c r="D109"/>
      <c r="G109" t="s">
        <v>207</v>
      </c>
      <c r="H109" s="20"/>
      <c r="I109" s="20"/>
      <c r="J109" s="20"/>
      <c r="K109" s="20"/>
      <c r="L109" s="20"/>
      <c r="Q109" s="83">
        <v>0</v>
      </c>
      <c r="Y109" s="20"/>
      <c r="AP109" s="51"/>
      <c r="AQ109" s="52"/>
      <c r="AR109" s="52"/>
      <c r="AS109" s="52"/>
      <c r="AT109" s="52"/>
      <c r="AU109" s="52"/>
      <c r="AV109" s="94" t="s">
        <v>167</v>
      </c>
      <c r="AW109" s="53"/>
      <c r="AX109" s="53"/>
      <c r="AY109" s="53"/>
      <c r="AZ109" s="53"/>
      <c r="BA109" s="53"/>
      <c r="BB109" s="52"/>
      <c r="BC109" s="52"/>
      <c r="BD109" s="52"/>
      <c r="BE109" s="52"/>
      <c r="BF109" s="96">
        <v>0</v>
      </c>
      <c r="BG109" s="52"/>
      <c r="BH109" s="52"/>
      <c r="BI109" s="52"/>
      <c r="BJ109" s="52"/>
      <c r="BK109" s="52"/>
      <c r="BL109" s="52"/>
      <c r="BM109" s="52"/>
      <c r="BN109" s="53"/>
      <c r="BO109" s="52"/>
      <c r="BP109" s="52"/>
      <c r="BQ109" s="54"/>
    </row>
    <row r="110" spans="1:69" ht="16" x14ac:dyDescent="0.35">
      <c r="A110"/>
      <c r="B110"/>
      <c r="D110"/>
      <c r="G110" t="s">
        <v>208</v>
      </c>
      <c r="H110" s="20"/>
      <c r="I110" s="20"/>
      <c r="J110" s="20"/>
      <c r="K110" s="20"/>
      <c r="L110" s="20"/>
      <c r="Q110" s="83">
        <v>1</v>
      </c>
      <c r="Y110" s="20"/>
      <c r="AP110" s="47"/>
      <c r="AQ110" s="48"/>
      <c r="AR110" s="48"/>
      <c r="AS110" s="48"/>
      <c r="AT110" s="48"/>
      <c r="AU110" s="48"/>
      <c r="AV110" s="73" t="s">
        <v>167</v>
      </c>
      <c r="AW110" s="49"/>
      <c r="AX110" s="49"/>
      <c r="AY110" s="49"/>
      <c r="AZ110" s="49"/>
      <c r="BA110" s="49"/>
      <c r="BB110" s="48"/>
      <c r="BC110" s="48"/>
      <c r="BD110" s="48"/>
      <c r="BE110" s="48"/>
      <c r="BF110" s="95">
        <v>0</v>
      </c>
      <c r="BG110" s="48"/>
      <c r="BH110" s="48"/>
      <c r="BI110" s="48"/>
      <c r="BJ110" s="48"/>
      <c r="BK110" s="48"/>
      <c r="BL110" s="48"/>
      <c r="BM110" s="48"/>
      <c r="BN110" s="49"/>
      <c r="BO110" s="48"/>
      <c r="BP110" s="48"/>
      <c r="BQ110" s="50"/>
    </row>
    <row r="111" spans="1:69" ht="16" x14ac:dyDescent="0.35">
      <c r="A111"/>
      <c r="B111"/>
      <c r="D111"/>
      <c r="G111" t="s">
        <v>207</v>
      </c>
      <c r="H111" s="20"/>
      <c r="I111" s="20"/>
      <c r="J111" s="20"/>
      <c r="K111" s="20"/>
      <c r="L111" s="20"/>
      <c r="Q111" s="83">
        <v>1</v>
      </c>
      <c r="Y111" s="20"/>
      <c r="AP111" s="51"/>
      <c r="AQ111" s="52"/>
      <c r="AR111" s="52"/>
      <c r="AS111" s="52"/>
      <c r="AT111" s="52"/>
      <c r="AU111" s="52"/>
      <c r="AV111" s="94" t="s">
        <v>180</v>
      </c>
      <c r="AW111" s="53"/>
      <c r="AX111" s="53"/>
      <c r="AY111" s="53"/>
      <c r="AZ111" s="53"/>
      <c r="BA111" s="53"/>
      <c r="BB111" s="52"/>
      <c r="BC111" s="52"/>
      <c r="BD111" s="52"/>
      <c r="BE111" s="52"/>
      <c r="BF111" s="96">
        <v>0</v>
      </c>
      <c r="BG111" s="52"/>
      <c r="BH111" s="52"/>
      <c r="BI111" s="52"/>
      <c r="BJ111" s="52"/>
      <c r="BK111" s="52"/>
      <c r="BL111" s="52"/>
      <c r="BM111" s="52"/>
      <c r="BN111" s="53"/>
      <c r="BO111" s="52"/>
      <c r="BP111" s="52"/>
      <c r="BQ111" s="54"/>
    </row>
    <row r="112" spans="1:69" ht="16" x14ac:dyDescent="0.35">
      <c r="A112"/>
      <c r="B112"/>
      <c r="D112"/>
      <c r="G112" t="s">
        <v>207</v>
      </c>
      <c r="H112" s="20"/>
      <c r="I112" s="20"/>
      <c r="J112" s="20"/>
      <c r="K112" s="20"/>
      <c r="L112" s="20"/>
      <c r="Q112" s="83">
        <v>1</v>
      </c>
      <c r="Y112" s="20"/>
      <c r="AP112" s="47"/>
      <c r="AQ112" s="48"/>
      <c r="AR112" s="48"/>
      <c r="AS112" s="48"/>
      <c r="AT112" s="48"/>
      <c r="AU112" s="48"/>
      <c r="AV112" s="73" t="s">
        <v>167</v>
      </c>
      <c r="AW112" s="49"/>
      <c r="AX112" s="49"/>
      <c r="AY112" s="49"/>
      <c r="AZ112" s="49"/>
      <c r="BA112" s="49"/>
      <c r="BB112" s="48"/>
      <c r="BC112" s="48"/>
      <c r="BD112" s="48"/>
      <c r="BE112" s="48"/>
      <c r="BF112" s="95">
        <v>0</v>
      </c>
      <c r="BG112" s="48"/>
      <c r="BH112" s="48"/>
      <c r="BI112" s="48"/>
      <c r="BJ112" s="48"/>
      <c r="BK112" s="48"/>
      <c r="BL112" s="48"/>
      <c r="BM112" s="48"/>
      <c r="BN112" s="49"/>
      <c r="BO112" s="48"/>
      <c r="BP112" s="48"/>
      <c r="BQ112" s="50"/>
    </row>
    <row r="113" spans="1:69" ht="16" x14ac:dyDescent="0.35">
      <c r="A113"/>
      <c r="B113"/>
      <c r="D113"/>
      <c r="G113" t="s">
        <v>207</v>
      </c>
      <c r="H113" s="20"/>
      <c r="I113" s="20"/>
      <c r="J113" s="20"/>
      <c r="K113" s="20"/>
      <c r="L113" s="20"/>
      <c r="Q113" s="83">
        <v>1</v>
      </c>
      <c r="Y113" s="20"/>
      <c r="AP113" s="51"/>
      <c r="AQ113" s="52"/>
      <c r="AR113" s="52"/>
      <c r="AS113" s="52"/>
      <c r="AT113" s="52"/>
      <c r="AU113" s="52"/>
      <c r="AV113" s="94" t="s">
        <v>167</v>
      </c>
      <c r="AW113" s="53"/>
      <c r="AX113" s="53"/>
      <c r="AY113" s="53"/>
      <c r="AZ113" s="53"/>
      <c r="BA113" s="53"/>
      <c r="BB113" s="52"/>
      <c r="BC113" s="52"/>
      <c r="BD113" s="52"/>
      <c r="BE113" s="52"/>
      <c r="BF113" s="96">
        <v>1</v>
      </c>
      <c r="BG113" s="52"/>
      <c r="BH113" s="52"/>
      <c r="BI113" s="52"/>
      <c r="BJ113" s="52"/>
      <c r="BK113" s="52"/>
      <c r="BL113" s="52"/>
      <c r="BM113" s="52"/>
      <c r="BN113" s="53"/>
      <c r="BO113" s="52"/>
      <c r="BP113" s="52"/>
      <c r="BQ113" s="54"/>
    </row>
    <row r="114" spans="1:69" ht="16" x14ac:dyDescent="0.35">
      <c r="A114"/>
      <c r="B114"/>
      <c r="D114"/>
      <c r="G114" t="s">
        <v>209</v>
      </c>
      <c r="H114" s="20"/>
      <c r="I114" s="20"/>
      <c r="J114" s="20"/>
      <c r="K114" s="20"/>
      <c r="L114" s="20"/>
      <c r="Q114" s="83">
        <v>1</v>
      </c>
      <c r="Y114" s="20"/>
      <c r="AP114" s="47"/>
      <c r="AQ114" s="48"/>
      <c r="AR114" s="48"/>
      <c r="AS114" s="48"/>
      <c r="AT114" s="48"/>
      <c r="AU114" s="48"/>
      <c r="AV114" s="73" t="s">
        <v>216</v>
      </c>
      <c r="AW114" s="49"/>
      <c r="AX114" s="49"/>
      <c r="AY114" s="49"/>
      <c r="AZ114" s="49"/>
      <c r="BA114" s="49"/>
      <c r="BB114" s="48"/>
      <c r="BC114" s="48"/>
      <c r="BD114" s="48"/>
      <c r="BE114" s="48"/>
      <c r="BF114" s="95">
        <v>20</v>
      </c>
      <c r="BG114" s="48"/>
      <c r="BH114" s="48"/>
      <c r="BI114" s="48"/>
      <c r="BJ114" s="48"/>
      <c r="BK114" s="48"/>
      <c r="BL114" s="48"/>
      <c r="BM114" s="48"/>
      <c r="BN114" s="49"/>
      <c r="BO114" s="48"/>
      <c r="BP114" s="48"/>
      <c r="BQ114" s="50"/>
    </row>
    <row r="115" spans="1:69" ht="16" x14ac:dyDescent="0.35">
      <c r="A115"/>
      <c r="B115"/>
      <c r="D115"/>
      <c r="G115" t="s">
        <v>207</v>
      </c>
      <c r="H115" s="20"/>
      <c r="I115" s="20"/>
      <c r="J115" s="20"/>
      <c r="K115" s="20"/>
      <c r="L115" s="20"/>
      <c r="Q115" s="83">
        <v>0</v>
      </c>
      <c r="Y115" s="20"/>
      <c r="AP115" s="51"/>
      <c r="AQ115" s="52"/>
      <c r="AR115" s="52"/>
      <c r="AS115" s="52"/>
      <c r="AT115" s="52"/>
      <c r="AU115" s="52"/>
      <c r="AV115" s="94" t="s">
        <v>217</v>
      </c>
      <c r="AW115" s="53"/>
      <c r="AX115" s="53"/>
      <c r="AY115" s="53"/>
      <c r="AZ115" s="53"/>
      <c r="BA115" s="53"/>
      <c r="BB115" s="52"/>
      <c r="BC115" s="52"/>
      <c r="BD115" s="52"/>
      <c r="BE115" s="52"/>
      <c r="BF115" s="96">
        <v>1</v>
      </c>
      <c r="BG115" s="52"/>
      <c r="BH115" s="52"/>
      <c r="BI115" s="52"/>
      <c r="BJ115" s="52"/>
      <c r="BK115" s="52"/>
      <c r="BL115" s="52"/>
      <c r="BM115" s="52"/>
      <c r="BN115" s="53"/>
      <c r="BO115" s="52"/>
      <c r="BP115" s="52"/>
      <c r="BQ115" s="54"/>
    </row>
    <row r="116" spans="1:69" ht="16" x14ac:dyDescent="0.35">
      <c r="A116"/>
      <c r="B116"/>
      <c r="D116"/>
      <c r="G116" t="s">
        <v>209</v>
      </c>
      <c r="H116" s="20"/>
      <c r="I116" s="20"/>
      <c r="J116" s="20"/>
      <c r="K116" s="20"/>
      <c r="L116" s="20"/>
      <c r="Q116" s="83">
        <v>2</v>
      </c>
      <c r="Y116" s="20"/>
      <c r="AP116" s="47"/>
      <c r="AQ116" s="48"/>
      <c r="AR116" s="48"/>
      <c r="AS116" s="48"/>
      <c r="AT116" s="48"/>
      <c r="AU116" s="48"/>
      <c r="AV116" s="73" t="s">
        <v>173</v>
      </c>
      <c r="AW116" s="49"/>
      <c r="AX116" s="49"/>
      <c r="AY116" s="49"/>
      <c r="AZ116" s="49"/>
      <c r="BA116" s="49"/>
      <c r="BB116" s="48"/>
      <c r="BC116" s="48"/>
      <c r="BD116" s="48"/>
      <c r="BE116" s="48"/>
      <c r="BF116" s="95">
        <v>1</v>
      </c>
      <c r="BG116" s="48"/>
      <c r="BH116" s="48"/>
      <c r="BI116" s="48"/>
      <c r="BJ116" s="48"/>
      <c r="BK116" s="48"/>
      <c r="BL116" s="48"/>
      <c r="BM116" s="48"/>
      <c r="BN116" s="49"/>
      <c r="BO116" s="48"/>
      <c r="BP116" s="48"/>
      <c r="BQ116" s="50"/>
    </row>
    <row r="117" spans="1:69" ht="16" x14ac:dyDescent="0.35">
      <c r="A117"/>
      <c r="B117"/>
      <c r="D117"/>
      <c r="G117" t="s">
        <v>207</v>
      </c>
      <c r="H117" s="20"/>
      <c r="I117" s="20"/>
      <c r="J117" s="20"/>
      <c r="K117" s="20"/>
      <c r="L117" s="20"/>
      <c r="Q117" s="83">
        <v>1</v>
      </c>
      <c r="Y117" s="20"/>
      <c r="AP117" s="51"/>
      <c r="AQ117" s="52"/>
      <c r="AR117" s="52"/>
      <c r="AS117" s="52"/>
      <c r="AT117" s="52"/>
      <c r="AU117" s="52"/>
      <c r="AV117" s="94" t="s">
        <v>173</v>
      </c>
      <c r="AW117" s="53"/>
      <c r="AX117" s="53"/>
      <c r="AY117" s="53"/>
      <c r="AZ117" s="53"/>
      <c r="BA117" s="53"/>
      <c r="BB117" s="52"/>
      <c r="BC117" s="52"/>
      <c r="BD117" s="52"/>
      <c r="BE117" s="52"/>
      <c r="BF117" s="96">
        <v>0</v>
      </c>
      <c r="BG117" s="52"/>
      <c r="BH117" s="52"/>
      <c r="BI117" s="52"/>
      <c r="BJ117" s="52"/>
      <c r="BK117" s="52"/>
      <c r="BL117" s="52"/>
      <c r="BM117" s="52"/>
      <c r="BN117" s="53"/>
      <c r="BO117" s="52"/>
      <c r="BP117" s="52"/>
      <c r="BQ117" s="54"/>
    </row>
    <row r="118" spans="1:69" ht="16" x14ac:dyDescent="0.35">
      <c r="A118"/>
      <c r="B118"/>
      <c r="D118"/>
      <c r="G118" t="s">
        <v>207</v>
      </c>
      <c r="H118" s="20"/>
      <c r="I118" s="20"/>
      <c r="J118" s="20"/>
      <c r="K118" s="20"/>
      <c r="L118" s="20"/>
      <c r="Q118" s="83">
        <v>0</v>
      </c>
      <c r="Y118" s="20"/>
      <c r="AP118" s="47"/>
      <c r="AQ118" s="48"/>
      <c r="AR118" s="48"/>
      <c r="AS118" s="48"/>
      <c r="AT118" s="48"/>
      <c r="AU118" s="48"/>
      <c r="AV118" s="73" t="s">
        <v>175</v>
      </c>
      <c r="AW118" s="49"/>
      <c r="AX118" s="49"/>
      <c r="AY118" s="49"/>
      <c r="AZ118" s="49"/>
      <c r="BA118" s="49"/>
      <c r="BB118" s="48"/>
      <c r="BC118" s="48"/>
      <c r="BD118" s="48"/>
      <c r="BE118" s="48"/>
      <c r="BF118" s="95">
        <v>0</v>
      </c>
      <c r="BG118" s="48"/>
      <c r="BH118" s="48"/>
      <c r="BI118" s="48"/>
      <c r="BJ118" s="48"/>
      <c r="BK118" s="48"/>
      <c r="BL118" s="48"/>
      <c r="BM118" s="48"/>
      <c r="BN118" s="49"/>
      <c r="BO118" s="48"/>
      <c r="BP118" s="48"/>
      <c r="BQ118" s="50"/>
    </row>
    <row r="119" spans="1:69" ht="16" x14ac:dyDescent="0.35">
      <c r="A119"/>
      <c r="B119"/>
      <c r="D119"/>
      <c r="G119" t="s">
        <v>207</v>
      </c>
      <c r="H119" s="20"/>
      <c r="I119" s="20"/>
      <c r="J119" s="20"/>
      <c r="K119" s="20"/>
      <c r="L119" s="20"/>
      <c r="Q119" s="83">
        <v>0</v>
      </c>
      <c r="Y119" s="20"/>
      <c r="AP119" s="51"/>
      <c r="AQ119" s="52"/>
      <c r="AR119" s="52"/>
      <c r="AS119" s="52"/>
      <c r="AT119" s="52"/>
      <c r="AU119" s="52"/>
      <c r="AV119" s="94" t="s">
        <v>176</v>
      </c>
      <c r="AW119" s="53"/>
      <c r="AX119" s="53"/>
      <c r="AY119" s="53"/>
      <c r="AZ119" s="53"/>
      <c r="BA119" s="53"/>
      <c r="BB119" s="52"/>
      <c r="BC119" s="52"/>
      <c r="BD119" s="52"/>
      <c r="BE119" s="52"/>
      <c r="BF119" s="96">
        <v>0</v>
      </c>
      <c r="BG119" s="52"/>
      <c r="BH119" s="52"/>
      <c r="BI119" s="52"/>
      <c r="BJ119" s="52"/>
      <c r="BK119" s="52"/>
      <c r="BL119" s="52"/>
      <c r="BM119" s="52"/>
      <c r="BN119" s="53"/>
      <c r="BO119" s="52"/>
      <c r="BP119" s="52"/>
      <c r="BQ119" s="54"/>
    </row>
    <row r="120" spans="1:69" ht="16" x14ac:dyDescent="0.35">
      <c r="A120"/>
      <c r="B120"/>
      <c r="D120"/>
      <c r="G120" t="s">
        <v>208</v>
      </c>
      <c r="H120" s="20"/>
      <c r="I120" s="20"/>
      <c r="J120" s="20"/>
      <c r="K120" s="20"/>
      <c r="L120" s="20"/>
      <c r="Q120" s="83">
        <v>3</v>
      </c>
      <c r="Y120" s="20"/>
      <c r="AP120" s="47"/>
      <c r="AQ120" s="48"/>
      <c r="AR120" s="48"/>
      <c r="AS120" s="48"/>
      <c r="AT120" s="48"/>
      <c r="AU120" s="48"/>
      <c r="AV120" s="73" t="s">
        <v>185</v>
      </c>
      <c r="AW120" s="49"/>
      <c r="AX120" s="49"/>
      <c r="AY120" s="49"/>
      <c r="AZ120" s="49"/>
      <c r="BA120" s="49"/>
      <c r="BB120" s="48"/>
      <c r="BC120" s="48"/>
      <c r="BD120" s="48"/>
      <c r="BE120" s="48"/>
      <c r="BF120" s="95">
        <v>0</v>
      </c>
      <c r="BG120" s="48"/>
      <c r="BH120" s="48"/>
      <c r="BI120" s="48"/>
      <c r="BJ120" s="48"/>
      <c r="BK120" s="48"/>
      <c r="BL120" s="48"/>
      <c r="BM120" s="48"/>
      <c r="BN120" s="49"/>
      <c r="BO120" s="48"/>
      <c r="BP120" s="48"/>
      <c r="BQ120" s="50"/>
    </row>
    <row r="121" spans="1:69" ht="16" x14ac:dyDescent="0.35">
      <c r="A121"/>
      <c r="B121"/>
      <c r="D121"/>
      <c r="G121" t="s">
        <v>207</v>
      </c>
      <c r="H121" s="20"/>
      <c r="I121" s="20"/>
      <c r="J121" s="20"/>
      <c r="K121" s="20"/>
      <c r="L121" s="20"/>
      <c r="Q121" s="83">
        <v>0</v>
      </c>
      <c r="Y121" s="20"/>
      <c r="AP121" s="51"/>
      <c r="AQ121" s="52"/>
      <c r="AR121" s="52"/>
      <c r="AS121" s="52"/>
      <c r="AT121" s="52"/>
      <c r="AU121" s="52"/>
      <c r="AV121" s="94" t="s">
        <v>167</v>
      </c>
      <c r="AW121" s="53"/>
      <c r="AX121" s="53"/>
      <c r="AY121" s="53"/>
      <c r="AZ121" s="53"/>
      <c r="BA121" s="53"/>
      <c r="BB121" s="52"/>
      <c r="BC121" s="52"/>
      <c r="BD121" s="52"/>
      <c r="BE121" s="52"/>
      <c r="BF121" s="96">
        <v>0</v>
      </c>
      <c r="BG121" s="52"/>
      <c r="BH121" s="52"/>
      <c r="BI121" s="52"/>
      <c r="BJ121" s="52"/>
      <c r="BK121" s="52"/>
      <c r="BL121" s="52"/>
      <c r="BM121" s="52"/>
      <c r="BN121" s="53"/>
      <c r="BO121" s="52"/>
      <c r="BP121" s="52"/>
      <c r="BQ121" s="54"/>
    </row>
    <row r="122" spans="1:69" ht="16" x14ac:dyDescent="0.35">
      <c r="A122"/>
      <c r="B122"/>
      <c r="D122"/>
      <c r="G122" t="s">
        <v>237</v>
      </c>
      <c r="H122" s="20"/>
      <c r="I122" s="20"/>
      <c r="J122" s="20"/>
      <c r="K122" s="20"/>
      <c r="L122" s="20"/>
      <c r="Q122" s="83">
        <v>0</v>
      </c>
      <c r="Y122" s="20"/>
      <c r="AP122" s="47"/>
      <c r="AQ122" s="48"/>
      <c r="AR122" s="48"/>
      <c r="AS122" s="48"/>
      <c r="AT122" s="48"/>
      <c r="AU122" s="48"/>
      <c r="AV122" s="73" t="s">
        <v>175</v>
      </c>
      <c r="AW122" s="49"/>
      <c r="AX122" s="49"/>
      <c r="AY122" s="49"/>
      <c r="AZ122" s="49"/>
      <c r="BA122" s="49"/>
      <c r="BB122" s="48"/>
      <c r="BC122" s="48"/>
      <c r="BD122" s="48"/>
      <c r="BE122" s="48"/>
      <c r="BF122" s="95">
        <v>0</v>
      </c>
      <c r="BG122" s="48"/>
      <c r="BH122" s="48"/>
      <c r="BI122" s="48"/>
      <c r="BJ122" s="48"/>
      <c r="BK122" s="48"/>
      <c r="BL122" s="48"/>
      <c r="BM122" s="48"/>
      <c r="BN122" s="49"/>
      <c r="BO122" s="48"/>
      <c r="BP122" s="48"/>
      <c r="BQ122" s="50"/>
    </row>
    <row r="123" spans="1:69" ht="16" x14ac:dyDescent="0.35">
      <c r="A123"/>
      <c r="B123"/>
      <c r="D123"/>
      <c r="G123" t="s">
        <v>238</v>
      </c>
      <c r="H123" s="20"/>
      <c r="I123" s="20"/>
      <c r="J123" s="20"/>
      <c r="K123" s="20"/>
      <c r="L123" s="20"/>
      <c r="Q123" s="83">
        <v>0</v>
      </c>
      <c r="Y123" s="20"/>
      <c r="AP123" s="51"/>
      <c r="AQ123" s="52"/>
      <c r="AR123" s="52"/>
      <c r="AS123" s="52"/>
      <c r="AT123" s="52"/>
      <c r="AU123" s="52"/>
      <c r="AV123" s="94" t="s">
        <v>206</v>
      </c>
      <c r="AW123" s="53"/>
      <c r="AX123" s="53"/>
      <c r="AY123" s="53"/>
      <c r="AZ123" s="53"/>
      <c r="BA123" s="53"/>
      <c r="BB123" s="52"/>
      <c r="BC123" s="52"/>
      <c r="BD123" s="52"/>
      <c r="BE123" s="52"/>
      <c r="BF123" s="96">
        <v>0</v>
      </c>
      <c r="BG123" s="52"/>
      <c r="BH123" s="52"/>
      <c r="BI123" s="52"/>
      <c r="BJ123" s="52"/>
      <c r="BK123" s="52"/>
      <c r="BL123" s="52"/>
      <c r="BM123" s="52"/>
      <c r="BN123" s="53"/>
      <c r="BO123" s="52"/>
      <c r="BP123" s="52"/>
      <c r="BQ123" s="54"/>
    </row>
    <row r="124" spans="1:69" ht="16" x14ac:dyDescent="0.35">
      <c r="A124"/>
      <c r="B124"/>
      <c r="D124"/>
      <c r="G124" t="s">
        <v>238</v>
      </c>
      <c r="H124" s="20"/>
      <c r="I124" s="20"/>
      <c r="J124" s="20"/>
      <c r="K124" s="20"/>
      <c r="L124" s="20"/>
      <c r="Q124" s="83">
        <v>0</v>
      </c>
      <c r="Y124" s="20"/>
      <c r="AP124" s="47"/>
      <c r="AQ124" s="48"/>
      <c r="AR124" s="48"/>
      <c r="AS124" s="48"/>
      <c r="AT124" s="48"/>
      <c r="AU124" s="48"/>
      <c r="AV124" s="73" t="s">
        <v>207</v>
      </c>
      <c r="AW124" s="49"/>
      <c r="AX124" s="49"/>
      <c r="AY124" s="49"/>
      <c r="AZ124" s="49"/>
      <c r="BA124" s="49"/>
      <c r="BB124" s="48"/>
      <c r="BC124" s="48"/>
      <c r="BD124" s="48"/>
      <c r="BE124" s="48"/>
      <c r="BF124" s="95">
        <v>2</v>
      </c>
      <c r="BG124" s="48"/>
      <c r="BH124" s="48"/>
      <c r="BI124" s="48"/>
      <c r="BJ124" s="48"/>
      <c r="BK124" s="48"/>
      <c r="BL124" s="48"/>
      <c r="BM124" s="48"/>
      <c r="BN124" s="49"/>
      <c r="BO124" s="48"/>
      <c r="BP124" s="48"/>
      <c r="BQ124" s="50"/>
    </row>
    <row r="125" spans="1:69" ht="16" x14ac:dyDescent="0.35">
      <c r="A125"/>
      <c r="B125"/>
      <c r="D125"/>
      <c r="G125" t="s">
        <v>238</v>
      </c>
      <c r="H125" s="20"/>
      <c r="I125" s="20"/>
      <c r="J125" s="20"/>
      <c r="K125" s="20"/>
      <c r="L125" s="20"/>
      <c r="Q125" s="83">
        <v>0</v>
      </c>
      <c r="Y125" s="20"/>
      <c r="AP125" s="51"/>
      <c r="AQ125" s="52"/>
      <c r="AR125" s="52"/>
      <c r="AS125" s="52"/>
      <c r="AT125" s="52"/>
      <c r="AU125" s="52"/>
      <c r="AV125" s="94" t="s">
        <v>207</v>
      </c>
      <c r="AW125" s="53"/>
      <c r="AX125" s="53"/>
      <c r="AY125" s="53"/>
      <c r="AZ125" s="53"/>
      <c r="BA125" s="53"/>
      <c r="BB125" s="52"/>
      <c r="BC125" s="52"/>
      <c r="BD125" s="52"/>
      <c r="BE125" s="52"/>
      <c r="BF125" s="96">
        <v>0</v>
      </c>
      <c r="BG125" s="52"/>
      <c r="BH125" s="52"/>
      <c r="BI125" s="52"/>
      <c r="BJ125" s="52"/>
      <c r="BK125" s="52"/>
      <c r="BL125" s="52"/>
      <c r="BM125" s="52"/>
      <c r="BN125" s="53"/>
      <c r="BO125" s="52"/>
      <c r="BP125" s="52"/>
      <c r="BQ125" s="54"/>
    </row>
    <row r="126" spans="1:69" ht="16" x14ac:dyDescent="0.35">
      <c r="A126"/>
      <c r="B126"/>
      <c r="D126"/>
      <c r="G126" t="s">
        <v>238</v>
      </c>
      <c r="H126" s="20"/>
      <c r="I126" s="20"/>
      <c r="J126" s="20"/>
      <c r="K126" s="20"/>
      <c r="L126" s="20"/>
      <c r="Q126" s="83">
        <v>0</v>
      </c>
      <c r="Y126" s="20"/>
      <c r="AP126" s="47"/>
      <c r="AQ126" s="48"/>
      <c r="AR126" s="48"/>
      <c r="AS126" s="48"/>
      <c r="AT126" s="48"/>
      <c r="AU126" s="48"/>
      <c r="AV126" s="73" t="s">
        <v>207</v>
      </c>
      <c r="AW126" s="49"/>
      <c r="AX126" s="49"/>
      <c r="AY126" s="49"/>
      <c r="AZ126" s="49"/>
      <c r="BA126" s="49"/>
      <c r="BB126" s="48"/>
      <c r="BC126" s="48"/>
      <c r="BD126" s="48"/>
      <c r="BE126" s="48"/>
      <c r="BF126" s="95">
        <v>0</v>
      </c>
      <c r="BG126" s="48"/>
      <c r="BH126" s="48"/>
      <c r="BI126" s="48"/>
      <c r="BJ126" s="48"/>
      <c r="BK126" s="48"/>
      <c r="BL126" s="48"/>
      <c r="BM126" s="48"/>
      <c r="BN126" s="49"/>
      <c r="BO126" s="48"/>
      <c r="BP126" s="48"/>
      <c r="BQ126" s="50"/>
    </row>
    <row r="127" spans="1:69" ht="16" x14ac:dyDescent="0.35">
      <c r="A127"/>
      <c r="B127"/>
      <c r="D127"/>
      <c r="G127" t="s">
        <v>238</v>
      </c>
      <c r="H127" s="20"/>
      <c r="I127" s="20"/>
      <c r="J127" s="20"/>
      <c r="K127" s="20"/>
      <c r="L127" s="20"/>
      <c r="Q127" s="83">
        <v>0</v>
      </c>
      <c r="Y127" s="20"/>
      <c r="AP127" s="51"/>
      <c r="AQ127" s="52"/>
      <c r="AR127" s="52"/>
      <c r="AS127" s="52"/>
      <c r="AT127" s="52"/>
      <c r="AU127" s="52"/>
      <c r="AV127" s="94" t="s">
        <v>207</v>
      </c>
      <c r="AW127" s="53"/>
      <c r="AX127" s="53"/>
      <c r="AY127" s="53"/>
      <c r="AZ127" s="53"/>
      <c r="BA127" s="53"/>
      <c r="BB127" s="52"/>
      <c r="BC127" s="52"/>
      <c r="BD127" s="52"/>
      <c r="BE127" s="52"/>
      <c r="BF127" s="96">
        <v>0</v>
      </c>
      <c r="BG127" s="52"/>
      <c r="BH127" s="52"/>
      <c r="BI127" s="52"/>
      <c r="BJ127" s="52"/>
      <c r="BK127" s="52"/>
      <c r="BL127" s="52"/>
      <c r="BM127" s="52"/>
      <c r="BN127" s="53"/>
      <c r="BO127" s="52"/>
      <c r="BP127" s="52"/>
      <c r="BQ127" s="54"/>
    </row>
    <row r="128" spans="1:69" ht="16" x14ac:dyDescent="0.35">
      <c r="A128"/>
      <c r="B128"/>
      <c r="D128"/>
      <c r="G128" t="s">
        <v>207</v>
      </c>
      <c r="H128" s="20"/>
      <c r="I128" s="20"/>
      <c r="J128" s="20"/>
      <c r="K128" s="20"/>
      <c r="L128" s="20"/>
      <c r="Q128" s="83">
        <v>0</v>
      </c>
      <c r="Y128" s="20"/>
      <c r="AP128" s="47"/>
      <c r="AQ128" s="48"/>
      <c r="AR128" s="48"/>
      <c r="AS128" s="48"/>
      <c r="AT128" s="48"/>
      <c r="AU128" s="48"/>
      <c r="AV128" s="73" t="s">
        <v>209</v>
      </c>
      <c r="AW128" s="49"/>
      <c r="AX128" s="49"/>
      <c r="AY128" s="49"/>
      <c r="AZ128" s="49"/>
      <c r="BA128" s="49"/>
      <c r="BB128" s="48"/>
      <c r="BC128" s="48"/>
      <c r="BD128" s="48"/>
      <c r="BE128" s="48"/>
      <c r="BF128" s="95">
        <v>1</v>
      </c>
      <c r="BG128" s="48"/>
      <c r="BH128" s="48"/>
      <c r="BI128" s="48"/>
      <c r="BJ128" s="48"/>
      <c r="BK128" s="48"/>
      <c r="BL128" s="48"/>
      <c r="BM128" s="48"/>
      <c r="BN128" s="49"/>
      <c r="BO128" s="48"/>
      <c r="BP128" s="48"/>
      <c r="BQ128" s="50"/>
    </row>
    <row r="129" spans="1:69" ht="16" x14ac:dyDescent="0.35">
      <c r="A129"/>
      <c r="B129"/>
      <c r="D129"/>
      <c r="G129" t="s">
        <v>238</v>
      </c>
      <c r="H129" s="20"/>
      <c r="I129" s="20"/>
      <c r="J129" s="20"/>
      <c r="K129" s="20"/>
      <c r="L129" s="20"/>
      <c r="Q129" s="83">
        <v>1</v>
      </c>
      <c r="Y129" s="20"/>
      <c r="AP129" s="51"/>
      <c r="AQ129" s="52"/>
      <c r="AR129" s="52"/>
      <c r="AS129" s="52"/>
      <c r="AT129" s="52"/>
      <c r="AU129" s="52"/>
      <c r="AV129" s="94" t="s">
        <v>209</v>
      </c>
      <c r="AW129" s="53"/>
      <c r="AX129" s="53"/>
      <c r="AY129" s="53"/>
      <c r="AZ129" s="53"/>
      <c r="BA129" s="53"/>
      <c r="BB129" s="52"/>
      <c r="BC129" s="52"/>
      <c r="BD129" s="52"/>
      <c r="BE129" s="52"/>
      <c r="BF129" s="96">
        <v>1</v>
      </c>
      <c r="BG129" s="52"/>
      <c r="BH129" s="52"/>
      <c r="BI129" s="52"/>
      <c r="BJ129" s="52"/>
      <c r="BK129" s="52"/>
      <c r="BL129" s="52"/>
      <c r="BM129" s="52"/>
      <c r="BN129" s="53"/>
      <c r="BO129" s="52"/>
      <c r="BP129" s="52"/>
      <c r="BQ129" s="54"/>
    </row>
    <row r="130" spans="1:69" ht="16" x14ac:dyDescent="0.35">
      <c r="A130"/>
      <c r="B130"/>
      <c r="D130"/>
      <c r="G130" t="s">
        <v>238</v>
      </c>
      <c r="H130" s="20"/>
      <c r="I130" s="20"/>
      <c r="J130" s="20"/>
      <c r="K130" s="20"/>
      <c r="L130" s="20"/>
      <c r="Q130" s="83">
        <v>1</v>
      </c>
      <c r="Y130" s="20"/>
      <c r="AP130" s="47"/>
      <c r="AQ130" s="48"/>
      <c r="AR130" s="48"/>
      <c r="AS130" s="48"/>
      <c r="AT130" s="48"/>
      <c r="AU130" s="48"/>
      <c r="AV130" s="73" t="s">
        <v>209</v>
      </c>
      <c r="AW130" s="49"/>
      <c r="AX130" s="49"/>
      <c r="AY130" s="49"/>
      <c r="AZ130" s="49"/>
      <c r="BA130" s="49"/>
      <c r="BB130" s="48"/>
      <c r="BC130" s="48"/>
      <c r="BD130" s="48"/>
      <c r="BE130" s="48"/>
      <c r="BF130" s="95">
        <v>1</v>
      </c>
      <c r="BG130" s="48"/>
      <c r="BH130" s="48"/>
      <c r="BI130" s="48"/>
      <c r="BJ130" s="48"/>
      <c r="BK130" s="48"/>
      <c r="BL130" s="48"/>
      <c r="BM130" s="48"/>
      <c r="BN130" s="49"/>
      <c r="BO130" s="48"/>
      <c r="BP130" s="48"/>
      <c r="BQ130" s="50"/>
    </row>
    <row r="131" spans="1:69" ht="16" x14ac:dyDescent="0.35">
      <c r="A131"/>
      <c r="B131"/>
      <c r="D131"/>
      <c r="G131" t="s">
        <v>207</v>
      </c>
      <c r="H131" s="20"/>
      <c r="I131" s="20"/>
      <c r="J131" s="20"/>
      <c r="K131" s="20"/>
      <c r="L131" s="20"/>
      <c r="Q131" s="83">
        <v>0</v>
      </c>
      <c r="Y131" s="20"/>
      <c r="AP131" s="51"/>
      <c r="AQ131" s="52"/>
      <c r="AR131" s="52"/>
      <c r="AS131" s="52"/>
      <c r="AT131" s="52"/>
      <c r="AU131" s="52"/>
      <c r="AV131" s="94" t="s">
        <v>209</v>
      </c>
      <c r="AW131" s="53"/>
      <c r="AX131" s="53"/>
      <c r="AY131" s="53"/>
      <c r="AZ131" s="53"/>
      <c r="BA131" s="53"/>
      <c r="BB131" s="52"/>
      <c r="BC131" s="52"/>
      <c r="BD131" s="52"/>
      <c r="BE131" s="52"/>
      <c r="BF131" s="96">
        <v>1</v>
      </c>
      <c r="BG131" s="52"/>
      <c r="BH131" s="52"/>
      <c r="BI131" s="52"/>
      <c r="BJ131" s="52"/>
      <c r="BK131" s="52"/>
      <c r="BL131" s="52"/>
      <c r="BM131" s="52"/>
      <c r="BN131" s="53"/>
      <c r="BO131" s="52"/>
      <c r="BP131" s="52"/>
      <c r="BQ131" s="54"/>
    </row>
    <row r="132" spans="1:69" ht="16" x14ac:dyDescent="0.35">
      <c r="A132"/>
      <c r="B132"/>
      <c r="D132"/>
      <c r="G132" t="s">
        <v>207</v>
      </c>
      <c r="H132" s="20"/>
      <c r="I132" s="20"/>
      <c r="J132" s="20"/>
      <c r="K132" s="20"/>
      <c r="L132" s="20"/>
      <c r="Q132" s="83">
        <v>14</v>
      </c>
      <c r="Y132" s="20"/>
      <c r="AP132" s="47"/>
      <c r="AQ132" s="48"/>
      <c r="AR132" s="48"/>
      <c r="AS132" s="48"/>
      <c r="AT132" s="48"/>
      <c r="AU132" s="48"/>
      <c r="AV132" s="73" t="s">
        <v>209</v>
      </c>
      <c r="AW132" s="49"/>
      <c r="AX132" s="49"/>
      <c r="AY132" s="49"/>
      <c r="AZ132" s="49"/>
      <c r="BA132" s="49"/>
      <c r="BB132" s="48"/>
      <c r="BC132" s="48"/>
      <c r="BD132" s="48"/>
      <c r="BE132" s="48"/>
      <c r="BF132" s="95">
        <v>1</v>
      </c>
      <c r="BG132" s="48"/>
      <c r="BH132" s="48"/>
      <c r="BI132" s="48"/>
      <c r="BJ132" s="48"/>
      <c r="BK132" s="48"/>
      <c r="BL132" s="48"/>
      <c r="BM132" s="48"/>
      <c r="BN132" s="49"/>
      <c r="BO132" s="48"/>
      <c r="BP132" s="48"/>
      <c r="BQ132" s="50"/>
    </row>
    <row r="133" spans="1:69" ht="16" x14ac:dyDescent="0.35">
      <c r="A133"/>
      <c r="B133"/>
      <c r="D133"/>
      <c r="G133" t="s">
        <v>207</v>
      </c>
      <c r="H133" s="20"/>
      <c r="I133" s="20"/>
      <c r="J133" s="20"/>
      <c r="K133" s="20"/>
      <c r="L133" s="20"/>
      <c r="Q133" s="83">
        <v>1</v>
      </c>
      <c r="Y133" s="20"/>
      <c r="AP133" s="51"/>
      <c r="AQ133" s="52"/>
      <c r="AR133" s="52"/>
      <c r="AS133" s="52"/>
      <c r="AT133" s="52"/>
      <c r="AU133" s="52"/>
      <c r="AV133" s="94" t="s">
        <v>209</v>
      </c>
      <c r="AW133" s="53"/>
      <c r="AX133" s="53"/>
      <c r="AY133" s="53"/>
      <c r="AZ133" s="53"/>
      <c r="BA133" s="53"/>
      <c r="BB133" s="52"/>
      <c r="BC133" s="52"/>
      <c r="BD133" s="52"/>
      <c r="BE133" s="52"/>
      <c r="BF133" s="96">
        <v>1</v>
      </c>
      <c r="BG133" s="52"/>
      <c r="BH133" s="52"/>
      <c r="BI133" s="52"/>
      <c r="BJ133" s="52"/>
      <c r="BK133" s="52"/>
      <c r="BL133" s="52"/>
      <c r="BM133" s="52"/>
      <c r="BN133" s="53"/>
      <c r="BO133" s="52"/>
      <c r="BP133" s="52"/>
      <c r="BQ133" s="54"/>
    </row>
    <row r="134" spans="1:69" ht="16" x14ac:dyDescent="0.35">
      <c r="A134"/>
      <c r="B134"/>
      <c r="D134"/>
      <c r="G134" t="s">
        <v>207</v>
      </c>
      <c r="H134" s="20"/>
      <c r="I134" s="20"/>
      <c r="J134" s="20"/>
      <c r="K134" s="20"/>
      <c r="L134" s="20"/>
      <c r="Q134" s="83">
        <v>1</v>
      </c>
      <c r="Y134" s="20"/>
      <c r="AP134" s="47"/>
      <c r="AQ134" s="48"/>
      <c r="AR134" s="48"/>
      <c r="AS134" s="48"/>
      <c r="AT134" s="48"/>
      <c r="AU134" s="48"/>
      <c r="AV134" s="73" t="s">
        <v>206</v>
      </c>
      <c r="AW134" s="49"/>
      <c r="AX134" s="49"/>
      <c r="AY134" s="49"/>
      <c r="AZ134" s="49"/>
      <c r="BA134" s="49"/>
      <c r="BB134" s="48"/>
      <c r="BC134" s="48"/>
      <c r="BD134" s="48"/>
      <c r="BE134" s="48"/>
      <c r="BF134" s="95">
        <v>1</v>
      </c>
      <c r="BG134" s="48"/>
      <c r="BH134" s="48"/>
      <c r="BI134" s="48"/>
      <c r="BJ134" s="48"/>
      <c r="BK134" s="48"/>
      <c r="BL134" s="48"/>
      <c r="BM134" s="48"/>
      <c r="BN134" s="49"/>
      <c r="BO134" s="48"/>
      <c r="BP134" s="48"/>
      <c r="BQ134" s="50"/>
    </row>
    <row r="135" spans="1:69" ht="16" x14ac:dyDescent="0.35">
      <c r="A135"/>
      <c r="B135"/>
      <c r="D135"/>
      <c r="G135" t="s">
        <v>207</v>
      </c>
      <c r="H135" s="20"/>
      <c r="I135" s="20"/>
      <c r="J135" s="20"/>
      <c r="K135" s="20"/>
      <c r="L135" s="20"/>
      <c r="Q135" s="83">
        <v>1</v>
      </c>
      <c r="Y135" s="20"/>
      <c r="AP135" s="51"/>
      <c r="AQ135" s="52"/>
      <c r="AR135" s="52"/>
      <c r="AS135" s="52"/>
      <c r="AT135" s="52"/>
      <c r="AU135" s="52"/>
      <c r="AV135" s="94" t="s">
        <v>207</v>
      </c>
      <c r="AW135" s="53"/>
      <c r="AX135" s="53"/>
      <c r="AY135" s="53"/>
      <c r="AZ135" s="53"/>
      <c r="BA135" s="53"/>
      <c r="BB135" s="52"/>
      <c r="BC135" s="52"/>
      <c r="BD135" s="52"/>
      <c r="BE135" s="52"/>
      <c r="BF135" s="96">
        <v>1</v>
      </c>
      <c r="BG135" s="52"/>
      <c r="BH135" s="52"/>
      <c r="BI135" s="52"/>
      <c r="BJ135" s="52"/>
      <c r="BK135" s="52"/>
      <c r="BL135" s="52"/>
      <c r="BM135" s="52"/>
      <c r="BN135" s="53"/>
      <c r="BO135" s="52"/>
      <c r="BP135" s="52"/>
      <c r="BQ135" s="54"/>
    </row>
    <row r="136" spans="1:69" ht="16" x14ac:dyDescent="0.35">
      <c r="A136"/>
      <c r="B136"/>
      <c r="D136"/>
      <c r="G136" t="s">
        <v>207</v>
      </c>
      <c r="H136" s="20"/>
      <c r="I136" s="20"/>
      <c r="J136" s="20"/>
      <c r="K136" s="20"/>
      <c r="L136" s="20"/>
      <c r="Q136" s="83">
        <v>1</v>
      </c>
      <c r="Y136" s="20"/>
      <c r="AP136" s="47"/>
      <c r="AQ136" s="48"/>
      <c r="AR136" s="48"/>
      <c r="AS136" s="48"/>
      <c r="AT136" s="48"/>
      <c r="AU136" s="48"/>
      <c r="AV136" s="73" t="s">
        <v>206</v>
      </c>
      <c r="AW136" s="49"/>
      <c r="AX136" s="49"/>
      <c r="AY136" s="49"/>
      <c r="AZ136" s="49"/>
      <c r="BA136" s="49"/>
      <c r="BB136" s="48"/>
      <c r="BC136" s="48"/>
      <c r="BD136" s="48"/>
      <c r="BE136" s="48"/>
      <c r="BF136" s="95">
        <v>1</v>
      </c>
      <c r="BG136" s="48"/>
      <c r="BH136" s="48"/>
      <c r="BI136" s="48"/>
      <c r="BJ136" s="48"/>
      <c r="BK136" s="48"/>
      <c r="BL136" s="48"/>
      <c r="BM136" s="48"/>
      <c r="BN136" s="49"/>
      <c r="BO136" s="48"/>
      <c r="BP136" s="48"/>
      <c r="BQ136" s="50"/>
    </row>
    <row r="137" spans="1:69" ht="16" x14ac:dyDescent="0.35">
      <c r="A137"/>
      <c r="B137"/>
      <c r="D137"/>
      <c r="G137" t="s">
        <v>207</v>
      </c>
      <c r="H137" s="20"/>
      <c r="I137" s="20"/>
      <c r="J137" s="20"/>
      <c r="K137" s="20"/>
      <c r="L137" s="20"/>
      <c r="Q137" s="83">
        <v>0</v>
      </c>
      <c r="Y137" s="20"/>
      <c r="AP137" s="51"/>
      <c r="AQ137" s="52"/>
      <c r="AR137" s="52"/>
      <c r="AS137" s="52"/>
      <c r="AT137" s="52"/>
      <c r="AU137" s="52"/>
      <c r="AV137" s="94" t="s">
        <v>206</v>
      </c>
      <c r="AW137" s="53"/>
      <c r="AX137" s="53"/>
      <c r="AY137" s="53"/>
      <c r="AZ137" s="53"/>
      <c r="BA137" s="53"/>
      <c r="BB137" s="52"/>
      <c r="BC137" s="52"/>
      <c r="BD137" s="52"/>
      <c r="BE137" s="52"/>
      <c r="BF137" s="96">
        <v>1</v>
      </c>
      <c r="BG137" s="52"/>
      <c r="BH137" s="52"/>
      <c r="BI137" s="52"/>
      <c r="BJ137" s="52"/>
      <c r="BK137" s="52"/>
      <c r="BL137" s="52"/>
      <c r="BM137" s="52"/>
      <c r="BN137" s="53"/>
      <c r="BO137" s="52"/>
      <c r="BP137" s="52"/>
      <c r="BQ137" s="54"/>
    </row>
    <row r="138" spans="1:69" ht="16" x14ac:dyDescent="0.35">
      <c r="A138"/>
      <c r="B138"/>
      <c r="D138"/>
      <c r="G138" t="s">
        <v>186</v>
      </c>
      <c r="H138" s="20"/>
      <c r="I138" s="20"/>
      <c r="J138" s="20"/>
      <c r="K138" s="20"/>
      <c r="L138" s="20"/>
      <c r="Q138" s="83">
        <v>7</v>
      </c>
      <c r="Y138" s="20"/>
      <c r="AP138" s="47"/>
      <c r="AQ138" s="48"/>
      <c r="AR138" s="48"/>
      <c r="AS138" s="48"/>
      <c r="AT138" s="48"/>
      <c r="AU138" s="48"/>
      <c r="AV138" s="73" t="s">
        <v>206</v>
      </c>
      <c r="AW138" s="49"/>
      <c r="AX138" s="49"/>
      <c r="AY138" s="49"/>
      <c r="AZ138" s="49"/>
      <c r="BA138" s="49"/>
      <c r="BB138" s="48"/>
      <c r="BC138" s="48"/>
      <c r="BD138" s="48"/>
      <c r="BE138" s="48"/>
      <c r="BF138" s="95">
        <v>1</v>
      </c>
      <c r="BG138" s="48"/>
      <c r="BH138" s="48"/>
      <c r="BI138" s="48"/>
      <c r="BJ138" s="48"/>
      <c r="BK138" s="48"/>
      <c r="BL138" s="48"/>
      <c r="BM138" s="48"/>
      <c r="BN138" s="49"/>
      <c r="BO138" s="48"/>
      <c r="BP138" s="48"/>
      <c r="BQ138" s="50"/>
    </row>
    <row r="139" spans="1:69" ht="16" x14ac:dyDescent="0.35">
      <c r="A139"/>
      <c r="B139"/>
      <c r="D139"/>
      <c r="G139" t="s">
        <v>209</v>
      </c>
      <c r="H139" s="20"/>
      <c r="I139" s="20"/>
      <c r="J139" s="20"/>
      <c r="K139" s="20"/>
      <c r="L139" s="20"/>
      <c r="Q139" s="83">
        <v>1</v>
      </c>
      <c r="Y139" s="20"/>
      <c r="AP139" s="47"/>
      <c r="AQ139" s="48"/>
      <c r="AR139" s="48"/>
      <c r="AS139" s="48"/>
      <c r="AT139" s="48"/>
      <c r="AU139" s="48"/>
      <c r="AV139" s="94" t="s">
        <v>206</v>
      </c>
      <c r="AW139" s="49"/>
      <c r="AX139" s="49"/>
      <c r="AY139" s="49"/>
      <c r="AZ139" s="49"/>
      <c r="BA139" s="49"/>
      <c r="BB139" s="48"/>
      <c r="BC139" s="48"/>
      <c r="BD139" s="48"/>
      <c r="BE139" s="48"/>
      <c r="BF139" s="96">
        <v>1</v>
      </c>
      <c r="BG139" s="48"/>
      <c r="BH139" s="48"/>
      <c r="BI139" s="48"/>
      <c r="BJ139" s="48"/>
      <c r="BK139" s="48"/>
      <c r="BL139" s="48"/>
      <c r="BM139" s="48"/>
      <c r="BN139" s="49"/>
      <c r="BO139" s="48"/>
      <c r="BP139" s="48"/>
      <c r="BQ139" s="50"/>
    </row>
    <row r="140" spans="1:69" ht="16" x14ac:dyDescent="0.35">
      <c r="A140"/>
      <c r="B140"/>
      <c r="D140"/>
      <c r="G140" t="s">
        <v>238</v>
      </c>
      <c r="H140" s="20"/>
      <c r="I140" s="20"/>
      <c r="J140" s="20"/>
      <c r="K140" s="20"/>
      <c r="L140" s="20"/>
      <c r="Q140" s="83">
        <v>1</v>
      </c>
      <c r="Y140" s="20"/>
      <c r="AP140" s="51"/>
      <c r="AQ140" s="52"/>
      <c r="AR140" s="52"/>
      <c r="AS140" s="52"/>
      <c r="AT140" s="52"/>
      <c r="AU140" s="52"/>
      <c r="AV140" s="73" t="s">
        <v>209</v>
      </c>
      <c r="AW140" s="53"/>
      <c r="AX140" s="53"/>
      <c r="AY140" s="53"/>
      <c r="AZ140" s="53"/>
      <c r="BA140" s="53"/>
      <c r="BB140" s="52"/>
      <c r="BC140" s="52"/>
      <c r="BD140" s="52"/>
      <c r="BE140" s="52"/>
      <c r="BF140" s="95">
        <v>1</v>
      </c>
      <c r="BG140" s="52"/>
      <c r="BH140" s="52"/>
      <c r="BI140" s="52"/>
      <c r="BJ140" s="52"/>
      <c r="BK140" s="52"/>
      <c r="BL140" s="52"/>
      <c r="BM140" s="52"/>
      <c r="BN140" s="53"/>
      <c r="BO140" s="52"/>
      <c r="BP140" s="52"/>
      <c r="BQ140" s="54"/>
    </row>
    <row r="141" spans="1:69" ht="16" x14ac:dyDescent="0.35">
      <c r="A141"/>
      <c r="B141"/>
      <c r="D141"/>
      <c r="G141" t="s">
        <v>238</v>
      </c>
      <c r="H141" s="20"/>
      <c r="I141" s="20"/>
      <c r="J141" s="20"/>
      <c r="K141" s="20"/>
      <c r="L141" s="20"/>
      <c r="Q141" s="83">
        <v>1</v>
      </c>
      <c r="Y141" s="20"/>
      <c r="AP141" s="47"/>
      <c r="AQ141" s="48"/>
      <c r="AR141" s="48"/>
      <c r="AS141" s="48"/>
      <c r="AT141" s="48"/>
      <c r="AU141" s="48"/>
      <c r="AV141" s="94" t="s">
        <v>209</v>
      </c>
      <c r="AW141" s="49"/>
      <c r="AX141" s="49"/>
      <c r="AY141" s="49"/>
      <c r="AZ141" s="49"/>
      <c r="BA141" s="49"/>
      <c r="BB141" s="48"/>
      <c r="BC141" s="48"/>
      <c r="BD141" s="48"/>
      <c r="BE141" s="48"/>
      <c r="BF141" s="96">
        <v>1</v>
      </c>
      <c r="BG141" s="48"/>
      <c r="BH141" s="48"/>
      <c r="BI141" s="48"/>
      <c r="BJ141" s="48"/>
      <c r="BK141" s="48"/>
      <c r="BL141" s="48"/>
      <c r="BM141" s="48"/>
      <c r="BN141" s="49"/>
      <c r="BO141" s="48"/>
      <c r="BP141" s="48"/>
      <c r="BQ141" s="50"/>
    </row>
    <row r="142" spans="1:69" ht="16" x14ac:dyDescent="0.35">
      <c r="A142"/>
      <c r="B142"/>
      <c r="D142"/>
      <c r="G142" t="s">
        <v>238</v>
      </c>
      <c r="H142" s="20"/>
      <c r="I142" s="20"/>
      <c r="J142" s="20"/>
      <c r="K142" s="20"/>
      <c r="L142" s="20"/>
      <c r="Q142" s="83">
        <v>1</v>
      </c>
      <c r="Y142" s="20"/>
      <c r="AP142" s="51"/>
      <c r="AQ142" s="52"/>
      <c r="AR142" s="52"/>
      <c r="AS142" s="52"/>
      <c r="AT142" s="52"/>
      <c r="AU142" s="52"/>
      <c r="AV142" s="73" t="s">
        <v>209</v>
      </c>
      <c r="AW142" s="53"/>
      <c r="AX142" s="53"/>
      <c r="AY142" s="53"/>
      <c r="AZ142" s="53"/>
      <c r="BA142" s="53"/>
      <c r="BB142" s="52"/>
      <c r="BC142" s="52"/>
      <c r="BD142" s="52"/>
      <c r="BE142" s="52"/>
      <c r="BF142" s="95">
        <v>1</v>
      </c>
      <c r="BG142" s="52"/>
      <c r="BH142" s="52"/>
      <c r="BI142" s="52"/>
      <c r="BJ142" s="52"/>
      <c r="BK142" s="52"/>
      <c r="BL142" s="52"/>
      <c r="BM142" s="52"/>
      <c r="BN142" s="53"/>
      <c r="BO142" s="52"/>
      <c r="BP142" s="52"/>
      <c r="BQ142" s="54"/>
    </row>
    <row r="143" spans="1:69" ht="16" x14ac:dyDescent="0.35">
      <c r="A143"/>
      <c r="B143"/>
      <c r="D143"/>
      <c r="G143" t="s">
        <v>238</v>
      </c>
      <c r="H143" s="20"/>
      <c r="I143" s="20"/>
      <c r="J143" s="20"/>
      <c r="K143" s="20"/>
      <c r="L143" s="20"/>
      <c r="Q143" s="83">
        <v>1</v>
      </c>
      <c r="Y143" s="20"/>
      <c r="AP143" s="47"/>
      <c r="AQ143" s="48"/>
      <c r="AR143" s="48"/>
      <c r="AS143" s="48"/>
      <c r="AT143" s="48"/>
      <c r="AU143" s="48"/>
      <c r="AV143" s="94" t="s">
        <v>209</v>
      </c>
      <c r="AW143" s="49"/>
      <c r="AX143" s="49"/>
      <c r="AY143" s="49"/>
      <c r="AZ143" s="49"/>
      <c r="BA143" s="49"/>
      <c r="BB143" s="48"/>
      <c r="BC143" s="48"/>
      <c r="BD143" s="48"/>
      <c r="BE143" s="48"/>
      <c r="BF143" s="96">
        <v>1</v>
      </c>
      <c r="BG143" s="48"/>
      <c r="BH143" s="48"/>
      <c r="BI143" s="48"/>
      <c r="BJ143" s="48"/>
      <c r="BK143" s="48"/>
      <c r="BL143" s="48"/>
      <c r="BM143" s="48"/>
      <c r="BN143" s="49"/>
      <c r="BO143" s="48"/>
      <c r="BP143" s="48"/>
      <c r="BQ143" s="50"/>
    </row>
    <row r="144" spans="1:69" ht="16" x14ac:dyDescent="0.35">
      <c r="A144"/>
      <c r="B144"/>
      <c r="D144"/>
      <c r="G144" t="s">
        <v>207</v>
      </c>
      <c r="H144" s="20"/>
      <c r="I144" s="20"/>
      <c r="J144" s="20"/>
      <c r="K144" s="20"/>
      <c r="L144" s="20"/>
      <c r="Q144" s="83">
        <v>0</v>
      </c>
      <c r="Y144" s="20"/>
      <c r="AP144" s="51"/>
      <c r="AQ144" s="52"/>
      <c r="AR144" s="52"/>
      <c r="AS144" s="52"/>
      <c r="AT144" s="52"/>
      <c r="AU144" s="52"/>
      <c r="AV144" s="73" t="s">
        <v>206</v>
      </c>
      <c r="AW144" s="53"/>
      <c r="AX144" s="53"/>
      <c r="AY144" s="53"/>
      <c r="AZ144" s="53"/>
      <c r="BA144" s="53"/>
      <c r="BB144" s="52"/>
      <c r="BC144" s="52"/>
      <c r="BD144" s="52"/>
      <c r="BE144" s="52"/>
      <c r="BF144" s="95">
        <v>1</v>
      </c>
      <c r="BG144" s="52"/>
      <c r="BH144" s="52"/>
      <c r="BI144" s="52"/>
      <c r="BJ144" s="52"/>
      <c r="BK144" s="52"/>
      <c r="BL144" s="52"/>
      <c r="BM144" s="52"/>
      <c r="BN144" s="53"/>
      <c r="BO144" s="52"/>
      <c r="BP144" s="52"/>
      <c r="BQ144" s="54"/>
    </row>
    <row r="145" spans="1:69" ht="16" x14ac:dyDescent="0.35">
      <c r="A145"/>
      <c r="B145"/>
      <c r="D145"/>
      <c r="G145" t="s">
        <v>207</v>
      </c>
      <c r="H145" s="20"/>
      <c r="I145" s="20"/>
      <c r="J145" s="20"/>
      <c r="K145" s="20"/>
      <c r="L145" s="20"/>
      <c r="Q145" s="83">
        <v>0</v>
      </c>
      <c r="Y145" s="20"/>
      <c r="AP145" s="47"/>
      <c r="AQ145" s="48"/>
      <c r="AR145" s="48"/>
      <c r="AS145" s="48"/>
      <c r="AT145" s="48"/>
      <c r="AU145" s="48"/>
      <c r="AV145" s="94" t="s">
        <v>206</v>
      </c>
      <c r="AW145" s="49"/>
      <c r="AX145" s="49"/>
      <c r="AY145" s="49"/>
      <c r="AZ145" s="49"/>
      <c r="BA145" s="49"/>
      <c r="BB145" s="48"/>
      <c r="BC145" s="48"/>
      <c r="BD145" s="48"/>
      <c r="BE145" s="48"/>
      <c r="BF145" s="96">
        <v>1</v>
      </c>
      <c r="BG145" s="48"/>
      <c r="BH145" s="48"/>
      <c r="BI145" s="48"/>
      <c r="BJ145" s="48"/>
      <c r="BK145" s="48"/>
      <c r="BL145" s="48"/>
      <c r="BM145" s="48"/>
      <c r="BN145" s="49"/>
      <c r="BO145" s="48"/>
      <c r="BP145" s="48"/>
      <c r="BQ145" s="50"/>
    </row>
    <row r="146" spans="1:69" ht="16" x14ac:dyDescent="0.35">
      <c r="A146"/>
      <c r="B146"/>
      <c r="D146"/>
      <c r="G146" t="s">
        <v>209</v>
      </c>
      <c r="H146" s="20"/>
      <c r="I146" s="20"/>
      <c r="J146" s="20"/>
      <c r="K146" s="20"/>
      <c r="L146" s="20"/>
      <c r="Q146" s="83">
        <v>1</v>
      </c>
      <c r="Y146" s="20"/>
      <c r="AP146" s="51"/>
      <c r="AQ146" s="52"/>
      <c r="AR146" s="52"/>
      <c r="AS146" s="52"/>
      <c r="AT146" s="52"/>
      <c r="AU146" s="52"/>
      <c r="AV146" s="73" t="s">
        <v>206</v>
      </c>
      <c r="AW146" s="53"/>
      <c r="AX146" s="53"/>
      <c r="AY146" s="53"/>
      <c r="AZ146" s="53"/>
      <c r="BA146" s="53"/>
      <c r="BB146" s="52"/>
      <c r="BC146" s="52"/>
      <c r="BD146" s="52"/>
      <c r="BE146" s="52"/>
      <c r="BF146" s="95">
        <v>1</v>
      </c>
      <c r="BG146" s="52"/>
      <c r="BH146" s="52"/>
      <c r="BI146" s="52"/>
      <c r="BJ146" s="52"/>
      <c r="BK146" s="52"/>
      <c r="BL146" s="52"/>
      <c r="BM146" s="52"/>
      <c r="BN146" s="53"/>
      <c r="BO146" s="52"/>
      <c r="BP146" s="52"/>
      <c r="BQ146" s="54"/>
    </row>
    <row r="147" spans="1:69" ht="16" x14ac:dyDescent="0.35">
      <c r="A147"/>
      <c r="B147"/>
      <c r="D147"/>
      <c r="G147" t="s">
        <v>209</v>
      </c>
      <c r="H147" s="20"/>
      <c r="I147" s="20"/>
      <c r="J147" s="20"/>
      <c r="K147" s="20"/>
      <c r="L147" s="20"/>
      <c r="Q147" s="83">
        <v>1</v>
      </c>
      <c r="Y147" s="20"/>
      <c r="AP147" s="47"/>
      <c r="AQ147" s="48"/>
      <c r="AR147" s="48"/>
      <c r="AS147" s="48"/>
      <c r="AT147" s="48"/>
      <c r="AU147" s="48"/>
      <c r="AV147" s="94" t="s">
        <v>206</v>
      </c>
      <c r="AW147" s="49"/>
      <c r="AX147" s="49"/>
      <c r="AY147" s="49"/>
      <c r="AZ147" s="49"/>
      <c r="BA147" s="49"/>
      <c r="BB147" s="48"/>
      <c r="BC147" s="48"/>
      <c r="BD147" s="48"/>
      <c r="BE147" s="48"/>
      <c r="BF147" s="96">
        <v>1</v>
      </c>
      <c r="BG147" s="48"/>
      <c r="BH147" s="48"/>
      <c r="BI147" s="48"/>
      <c r="BJ147" s="48"/>
      <c r="BK147" s="48"/>
      <c r="BL147" s="48"/>
      <c r="BM147" s="48"/>
      <c r="BN147" s="49"/>
      <c r="BO147" s="48"/>
      <c r="BP147" s="48"/>
      <c r="BQ147" s="50"/>
    </row>
    <row r="148" spans="1:69" ht="16" x14ac:dyDescent="0.35">
      <c r="A148"/>
      <c r="B148"/>
      <c r="D148"/>
      <c r="G148" t="s">
        <v>209</v>
      </c>
      <c r="H148" s="20"/>
      <c r="I148" s="20"/>
      <c r="J148" s="20"/>
      <c r="K148" s="20"/>
      <c r="L148" s="20"/>
      <c r="Q148" s="83">
        <v>1</v>
      </c>
      <c r="Y148" s="20"/>
      <c r="AP148" s="51"/>
      <c r="AQ148" s="52"/>
      <c r="AR148" s="52"/>
      <c r="AS148" s="52"/>
      <c r="AT148" s="52"/>
      <c r="AU148" s="52"/>
      <c r="AV148" s="73" t="s">
        <v>207</v>
      </c>
      <c r="AW148" s="53"/>
      <c r="AX148" s="53"/>
      <c r="AY148" s="53"/>
      <c r="AZ148" s="53"/>
      <c r="BA148" s="53"/>
      <c r="BB148" s="52"/>
      <c r="BC148" s="52"/>
      <c r="BD148" s="52"/>
      <c r="BE148" s="52"/>
      <c r="BF148" s="95">
        <v>0</v>
      </c>
      <c r="BG148" s="52"/>
      <c r="BH148" s="52"/>
      <c r="BI148" s="52"/>
      <c r="BJ148" s="52"/>
      <c r="BK148" s="52"/>
      <c r="BL148" s="52"/>
      <c r="BM148" s="52"/>
      <c r="BN148" s="53"/>
      <c r="BO148" s="52"/>
      <c r="BP148" s="52"/>
      <c r="BQ148" s="54"/>
    </row>
    <row r="149" spans="1:69" ht="16" x14ac:dyDescent="0.35">
      <c r="A149"/>
      <c r="B149"/>
      <c r="D149"/>
      <c r="G149" t="s">
        <v>209</v>
      </c>
      <c r="H149" s="20"/>
      <c r="I149" s="20"/>
      <c r="J149" s="20"/>
      <c r="K149" s="20"/>
      <c r="L149" s="20"/>
      <c r="Q149" s="83">
        <v>1</v>
      </c>
      <c r="Y149" s="20"/>
      <c r="AP149" s="47"/>
      <c r="AQ149" s="48"/>
      <c r="AR149" s="48"/>
      <c r="AS149" s="48"/>
      <c r="AT149" s="48"/>
      <c r="AU149" s="48"/>
      <c r="AV149" s="94" t="s">
        <v>207</v>
      </c>
      <c r="AW149" s="49"/>
      <c r="AX149" s="49"/>
      <c r="AY149" s="49"/>
      <c r="AZ149" s="49"/>
      <c r="BA149" s="49"/>
      <c r="BB149" s="48"/>
      <c r="BC149" s="48"/>
      <c r="BD149" s="48"/>
      <c r="BE149" s="48"/>
      <c r="BF149" s="96">
        <v>0</v>
      </c>
      <c r="BG149" s="48"/>
      <c r="BH149" s="48"/>
      <c r="BI149" s="48"/>
      <c r="BJ149" s="48"/>
      <c r="BK149" s="48"/>
      <c r="BL149" s="48"/>
      <c r="BM149" s="48"/>
      <c r="BN149" s="49"/>
      <c r="BO149" s="48"/>
      <c r="BP149" s="48"/>
      <c r="BQ149" s="50"/>
    </row>
    <row r="150" spans="1:69" ht="16" x14ac:dyDescent="0.35">
      <c r="A150"/>
      <c r="B150"/>
      <c r="D150"/>
      <c r="G150" t="s">
        <v>209</v>
      </c>
      <c r="H150" s="20"/>
      <c r="I150" s="20"/>
      <c r="J150" s="20"/>
      <c r="K150" s="20"/>
      <c r="L150" s="20"/>
      <c r="Q150" s="83">
        <v>1</v>
      </c>
      <c r="Y150" s="20"/>
      <c r="AP150" s="51"/>
      <c r="AQ150" s="52"/>
      <c r="AR150" s="52"/>
      <c r="AS150" s="52"/>
      <c r="AT150" s="52"/>
      <c r="AU150" s="52"/>
      <c r="AV150" s="73" t="s">
        <v>207</v>
      </c>
      <c r="AW150" s="53"/>
      <c r="AX150" s="53"/>
      <c r="AY150" s="53"/>
      <c r="AZ150" s="53"/>
      <c r="BA150" s="53"/>
      <c r="BB150" s="52"/>
      <c r="BC150" s="52"/>
      <c r="BD150" s="52"/>
      <c r="BE150" s="52"/>
      <c r="BF150" s="95">
        <v>0</v>
      </c>
      <c r="BG150" s="52"/>
      <c r="BH150" s="52"/>
      <c r="BI150" s="52"/>
      <c r="BJ150" s="52"/>
      <c r="BK150" s="52"/>
      <c r="BL150" s="52"/>
      <c r="BM150" s="52"/>
      <c r="BN150" s="53"/>
      <c r="BO150" s="52"/>
      <c r="BP150" s="52"/>
      <c r="BQ150" s="54"/>
    </row>
    <row r="151" spans="1:69" ht="16" x14ac:dyDescent="0.35">
      <c r="A151"/>
      <c r="B151"/>
      <c r="D151"/>
      <c r="G151" t="s">
        <v>209</v>
      </c>
      <c r="H151" s="20"/>
      <c r="I151" s="20"/>
      <c r="J151" s="20"/>
      <c r="K151" s="20"/>
      <c r="L151" s="20"/>
      <c r="Q151" s="83">
        <v>1</v>
      </c>
      <c r="Y151" s="20"/>
      <c r="AP151" s="47"/>
      <c r="AQ151" s="48"/>
      <c r="AR151" s="48"/>
      <c r="AS151" s="48"/>
      <c r="AT151" s="48"/>
      <c r="AU151" s="48"/>
      <c r="AV151" s="94" t="s">
        <v>206</v>
      </c>
      <c r="AW151" s="49"/>
      <c r="AX151" s="49"/>
      <c r="AY151" s="49"/>
      <c r="AZ151" s="49"/>
      <c r="BA151" s="49"/>
      <c r="BB151" s="48"/>
      <c r="BC151" s="48"/>
      <c r="BD151" s="48"/>
      <c r="BE151" s="48"/>
      <c r="BF151" s="96">
        <v>1</v>
      </c>
      <c r="BG151" s="48"/>
      <c r="BH151" s="48"/>
      <c r="BI151" s="48"/>
      <c r="BJ151" s="48"/>
      <c r="BK151" s="48"/>
      <c r="BL151" s="48"/>
      <c r="BM151" s="48"/>
      <c r="BN151" s="49"/>
      <c r="BO151" s="48"/>
      <c r="BP151" s="48"/>
      <c r="BQ151" s="50"/>
    </row>
    <row r="152" spans="1:69" ht="16" x14ac:dyDescent="0.35">
      <c r="A152"/>
      <c r="B152"/>
      <c r="D152"/>
      <c r="G152" t="s">
        <v>209</v>
      </c>
      <c r="H152" s="20"/>
      <c r="I152" s="20"/>
      <c r="J152" s="20"/>
      <c r="K152" s="20"/>
      <c r="L152" s="20"/>
      <c r="Q152" s="83">
        <v>1</v>
      </c>
      <c r="Y152" s="20"/>
      <c r="AP152" s="51"/>
      <c r="AQ152" s="52"/>
      <c r="AR152" s="52"/>
      <c r="AS152" s="52"/>
      <c r="AT152" s="52"/>
      <c r="AU152" s="52"/>
      <c r="AV152" s="73" t="s">
        <v>206</v>
      </c>
      <c r="AW152" s="53"/>
      <c r="AX152" s="53"/>
      <c r="AY152" s="53"/>
      <c r="AZ152" s="53"/>
      <c r="BA152" s="53"/>
      <c r="BB152" s="52"/>
      <c r="BC152" s="52"/>
      <c r="BD152" s="52"/>
      <c r="BE152" s="52"/>
      <c r="BF152" s="95">
        <v>1</v>
      </c>
      <c r="BG152" s="52"/>
      <c r="BH152" s="52"/>
      <c r="BI152" s="52"/>
      <c r="BJ152" s="52"/>
      <c r="BK152" s="52"/>
      <c r="BL152" s="52"/>
      <c r="BM152" s="52"/>
      <c r="BN152" s="53"/>
      <c r="BO152" s="52"/>
      <c r="BP152" s="52"/>
      <c r="BQ152" s="54"/>
    </row>
    <row r="153" spans="1:69" ht="16" x14ac:dyDescent="0.35">
      <c r="A153"/>
      <c r="B153"/>
      <c r="D153"/>
      <c r="G153" t="s">
        <v>238</v>
      </c>
      <c r="H153" s="20"/>
      <c r="I153" s="20"/>
      <c r="J153" s="20"/>
      <c r="K153" s="20"/>
      <c r="L153" s="20"/>
      <c r="Q153" s="83">
        <v>1</v>
      </c>
      <c r="Y153" s="20"/>
      <c r="AP153" s="47"/>
      <c r="AQ153" s="48"/>
      <c r="AR153" s="48"/>
      <c r="AS153" s="48"/>
      <c r="AT153" s="48"/>
      <c r="AU153" s="48"/>
      <c r="AV153" s="94" t="s">
        <v>206</v>
      </c>
      <c r="AW153" s="49"/>
      <c r="AX153" s="49"/>
      <c r="AY153" s="49"/>
      <c r="AZ153" s="49"/>
      <c r="BA153" s="49"/>
      <c r="BB153" s="48"/>
      <c r="BC153" s="48"/>
      <c r="BD153" s="48"/>
      <c r="BE153" s="48"/>
      <c r="BF153" s="96">
        <v>1</v>
      </c>
      <c r="BG153" s="48"/>
      <c r="BH153" s="48"/>
      <c r="BI153" s="48"/>
      <c r="BJ153" s="48"/>
      <c r="BK153" s="48"/>
      <c r="BL153" s="48"/>
      <c r="BM153" s="48"/>
      <c r="BN153" s="49"/>
      <c r="BO153" s="48"/>
      <c r="BP153" s="48"/>
      <c r="BQ153" s="50"/>
    </row>
    <row r="154" spans="1:69" ht="16" x14ac:dyDescent="0.35">
      <c r="A154"/>
      <c r="B154"/>
      <c r="D154"/>
      <c r="G154" t="s">
        <v>207</v>
      </c>
      <c r="H154" s="20"/>
      <c r="I154" s="20"/>
      <c r="J154" s="20"/>
      <c r="K154" s="20"/>
      <c r="L154" s="20"/>
      <c r="Q154" s="83">
        <v>0</v>
      </c>
      <c r="Y154" s="20"/>
      <c r="AP154" s="51"/>
      <c r="AQ154" s="52"/>
      <c r="AR154" s="52"/>
      <c r="AS154" s="52"/>
      <c r="AT154" s="52"/>
      <c r="AU154" s="52"/>
      <c r="AV154" s="73" t="s">
        <v>206</v>
      </c>
      <c r="AW154" s="53"/>
      <c r="AX154" s="53"/>
      <c r="AY154" s="53"/>
      <c r="AZ154" s="53"/>
      <c r="BA154" s="53"/>
      <c r="BB154" s="52"/>
      <c r="BC154" s="52"/>
      <c r="BD154" s="52"/>
      <c r="BE154" s="52"/>
      <c r="BF154" s="95">
        <v>1</v>
      </c>
      <c r="BG154" s="52"/>
      <c r="BH154" s="52"/>
      <c r="BI154" s="52"/>
      <c r="BJ154" s="52"/>
      <c r="BK154" s="52"/>
      <c r="BL154" s="52"/>
      <c r="BM154" s="52"/>
      <c r="BN154" s="53"/>
      <c r="BO154" s="52"/>
      <c r="BP154" s="52"/>
      <c r="BQ154" s="54"/>
    </row>
    <row r="155" spans="1:69" ht="16" x14ac:dyDescent="0.35">
      <c r="A155"/>
      <c r="B155"/>
      <c r="D155"/>
      <c r="G155" t="s">
        <v>207</v>
      </c>
      <c r="H155" s="20"/>
      <c r="I155" s="20"/>
      <c r="J155" s="20"/>
      <c r="K155" s="20"/>
      <c r="L155" s="20"/>
      <c r="Q155" s="83">
        <v>0</v>
      </c>
      <c r="Y155" s="20"/>
      <c r="AP155" s="47"/>
      <c r="AQ155" s="48"/>
      <c r="AR155" s="48"/>
      <c r="AS155" s="48"/>
      <c r="AT155" s="48"/>
      <c r="AU155" s="48"/>
      <c r="AV155" s="94" t="s">
        <v>206</v>
      </c>
      <c r="AW155" s="49"/>
      <c r="AX155" s="49"/>
      <c r="AY155" s="49"/>
      <c r="AZ155" s="49"/>
      <c r="BA155" s="49"/>
      <c r="BB155" s="48"/>
      <c r="BC155" s="48"/>
      <c r="BD155" s="48"/>
      <c r="BE155" s="48"/>
      <c r="BF155" s="96">
        <v>1</v>
      </c>
      <c r="BG155" s="48"/>
      <c r="BH155" s="48"/>
      <c r="BI155" s="48"/>
      <c r="BJ155" s="48"/>
      <c r="BK155" s="48"/>
      <c r="BL155" s="48"/>
      <c r="BM155" s="48"/>
      <c r="BN155" s="49"/>
      <c r="BO155" s="48"/>
      <c r="BP155" s="48"/>
      <c r="BQ155" s="50"/>
    </row>
    <row r="156" spans="1:69" ht="16" x14ac:dyDescent="0.35">
      <c r="A156"/>
      <c r="B156"/>
      <c r="D156"/>
      <c r="G156" t="s">
        <v>207</v>
      </c>
      <c r="H156" s="20"/>
      <c r="I156" s="20"/>
      <c r="J156" s="20"/>
      <c r="K156" s="20"/>
      <c r="L156" s="20"/>
      <c r="Q156" s="83">
        <v>0</v>
      </c>
      <c r="Y156" s="20"/>
      <c r="AP156" s="51"/>
      <c r="AQ156" s="52"/>
      <c r="AR156" s="52"/>
      <c r="AS156" s="52"/>
      <c r="AT156" s="52"/>
      <c r="AU156" s="52"/>
      <c r="AV156" s="73" t="s">
        <v>207</v>
      </c>
      <c r="AW156" s="53"/>
      <c r="AX156" s="53"/>
      <c r="AY156" s="53"/>
      <c r="AZ156" s="53"/>
      <c r="BA156" s="53"/>
      <c r="BB156" s="52"/>
      <c r="BC156" s="52"/>
      <c r="BD156" s="52"/>
      <c r="BE156" s="52"/>
      <c r="BF156" s="95">
        <v>1</v>
      </c>
      <c r="BG156" s="52"/>
      <c r="BH156" s="52"/>
      <c r="BI156" s="52"/>
      <c r="BJ156" s="52"/>
      <c r="BK156" s="52"/>
      <c r="BL156" s="52"/>
      <c r="BM156" s="52"/>
      <c r="BN156" s="53"/>
      <c r="BO156" s="52"/>
      <c r="BP156" s="52"/>
      <c r="BQ156" s="54"/>
    </row>
    <row r="157" spans="1:69" ht="16" x14ac:dyDescent="0.35">
      <c r="A157"/>
      <c r="B157"/>
      <c r="D157"/>
      <c r="G157" t="s">
        <v>209</v>
      </c>
      <c r="H157" s="20"/>
      <c r="I157" s="20"/>
      <c r="J157" s="20"/>
      <c r="K157" s="20"/>
      <c r="L157" s="20"/>
      <c r="Q157" s="83">
        <v>1</v>
      </c>
      <c r="Y157" s="20"/>
      <c r="AP157" s="47"/>
      <c r="AQ157" s="48"/>
      <c r="AR157" s="48"/>
      <c r="AS157" s="48"/>
      <c r="AT157" s="48"/>
      <c r="AU157" s="48"/>
      <c r="AV157" s="94" t="s">
        <v>207</v>
      </c>
      <c r="AW157" s="49"/>
      <c r="AX157" s="49"/>
      <c r="AY157" s="49"/>
      <c r="AZ157" s="49"/>
      <c r="BA157" s="49"/>
      <c r="BB157" s="48"/>
      <c r="BC157" s="48"/>
      <c r="BD157" s="48"/>
      <c r="BE157" s="48"/>
      <c r="BF157" s="96">
        <v>5</v>
      </c>
      <c r="BG157" s="48"/>
      <c r="BH157" s="48"/>
      <c r="BI157" s="48"/>
      <c r="BJ157" s="48"/>
      <c r="BK157" s="48"/>
      <c r="BL157" s="48"/>
      <c r="BM157" s="48"/>
      <c r="BN157" s="49"/>
      <c r="BO157" s="48"/>
      <c r="BP157" s="48"/>
      <c r="BQ157" s="50"/>
    </row>
    <row r="158" spans="1:69" ht="16" x14ac:dyDescent="0.35">
      <c r="A158"/>
      <c r="B158"/>
      <c r="D158"/>
      <c r="G158" t="s">
        <v>238</v>
      </c>
      <c r="H158" s="20"/>
      <c r="I158" s="20"/>
      <c r="J158" s="20"/>
      <c r="K158" s="20"/>
      <c r="L158" s="20"/>
      <c r="Q158" s="83">
        <v>1</v>
      </c>
      <c r="Y158" s="20"/>
      <c r="AP158" s="51"/>
      <c r="AQ158" s="52"/>
      <c r="AR158" s="52"/>
      <c r="AS158" s="52"/>
      <c r="AT158" s="52"/>
      <c r="AU158" s="52"/>
      <c r="AV158" s="73" t="s">
        <v>206</v>
      </c>
      <c r="AW158" s="53"/>
      <c r="AX158" s="53"/>
      <c r="AY158" s="53"/>
      <c r="AZ158" s="53"/>
      <c r="BA158" s="53"/>
      <c r="BB158" s="52"/>
      <c r="BC158" s="52"/>
      <c r="BD158" s="52"/>
      <c r="BE158" s="52"/>
      <c r="BF158" s="95">
        <v>1</v>
      </c>
      <c r="BG158" s="52"/>
      <c r="BH158" s="52"/>
      <c r="BI158" s="52"/>
      <c r="BJ158" s="52"/>
      <c r="BK158" s="52"/>
      <c r="BL158" s="52"/>
      <c r="BM158" s="52"/>
      <c r="BN158" s="53"/>
      <c r="BO158" s="52"/>
      <c r="BP158" s="52"/>
      <c r="BQ158" s="54"/>
    </row>
    <row r="159" spans="1:69" ht="16" x14ac:dyDescent="0.35">
      <c r="A159"/>
      <c r="B159"/>
      <c r="D159"/>
      <c r="G159" t="s">
        <v>207</v>
      </c>
      <c r="H159" s="20"/>
      <c r="I159" s="20"/>
      <c r="J159" s="20"/>
      <c r="K159" s="20"/>
      <c r="L159" s="20"/>
      <c r="Q159" s="83">
        <v>0</v>
      </c>
      <c r="Y159" s="20"/>
      <c r="AP159" s="47"/>
      <c r="AQ159" s="48"/>
      <c r="AR159" s="48"/>
      <c r="AS159" s="48"/>
      <c r="AT159" s="48"/>
      <c r="AU159" s="48"/>
      <c r="AV159" s="94" t="s">
        <v>206</v>
      </c>
      <c r="AW159" s="49"/>
      <c r="AX159" s="49"/>
      <c r="AY159" s="49"/>
      <c r="AZ159" s="49"/>
      <c r="BA159" s="49"/>
      <c r="BB159" s="48"/>
      <c r="BC159" s="48"/>
      <c r="BD159" s="48"/>
      <c r="BE159" s="48"/>
      <c r="BF159" s="96">
        <v>1</v>
      </c>
      <c r="BG159" s="48"/>
      <c r="BH159" s="48"/>
      <c r="BI159" s="48"/>
      <c r="BJ159" s="48"/>
      <c r="BK159" s="48"/>
      <c r="BL159" s="48"/>
      <c r="BM159" s="48"/>
      <c r="BN159" s="49"/>
      <c r="BO159" s="48"/>
      <c r="BP159" s="48"/>
      <c r="BQ159" s="50"/>
    </row>
    <row r="160" spans="1:69" ht="16" x14ac:dyDescent="0.35">
      <c r="A160"/>
      <c r="B160"/>
      <c r="D160"/>
      <c r="G160" t="s">
        <v>238</v>
      </c>
      <c r="H160" s="20"/>
      <c r="I160" s="20"/>
      <c r="J160" s="20"/>
      <c r="K160" s="20"/>
      <c r="L160" s="20"/>
      <c r="Q160" s="83">
        <v>0</v>
      </c>
      <c r="Y160" s="20"/>
      <c r="AP160" s="51"/>
      <c r="AQ160" s="52"/>
      <c r="AR160" s="52"/>
      <c r="AS160" s="52"/>
      <c r="AT160" s="52"/>
      <c r="AU160" s="52"/>
      <c r="AV160" s="73" t="s">
        <v>206</v>
      </c>
      <c r="AW160" s="53"/>
      <c r="AX160" s="53"/>
      <c r="AY160" s="53"/>
      <c r="AZ160" s="53"/>
      <c r="BA160" s="53"/>
      <c r="BB160" s="52"/>
      <c r="BC160" s="52"/>
      <c r="BD160" s="52"/>
      <c r="BE160" s="52"/>
      <c r="BF160" s="95">
        <v>1</v>
      </c>
      <c r="BG160" s="52"/>
      <c r="BH160" s="52"/>
      <c r="BI160" s="52"/>
      <c r="BJ160" s="52"/>
      <c r="BK160" s="52"/>
      <c r="BL160" s="52"/>
      <c r="BM160" s="52"/>
      <c r="BN160" s="53"/>
      <c r="BO160" s="52"/>
      <c r="BP160" s="52"/>
      <c r="BQ160" s="54"/>
    </row>
    <row r="161" spans="1:69" ht="16" x14ac:dyDescent="0.35">
      <c r="A161"/>
      <c r="B161"/>
      <c r="D161"/>
      <c r="G161" t="s">
        <v>238</v>
      </c>
      <c r="H161" s="20"/>
      <c r="I161" s="20"/>
      <c r="J161" s="20"/>
      <c r="K161" s="20"/>
      <c r="L161" s="20"/>
      <c r="Q161" s="83">
        <v>0</v>
      </c>
      <c r="Y161" s="20"/>
      <c r="AP161" s="47"/>
      <c r="AQ161" s="48"/>
      <c r="AR161" s="48"/>
      <c r="AS161" s="48"/>
      <c r="AT161" s="48"/>
      <c r="AU161" s="48"/>
      <c r="AV161" s="94" t="s">
        <v>206</v>
      </c>
      <c r="AW161" s="49"/>
      <c r="AX161" s="49"/>
      <c r="AY161" s="49"/>
      <c r="AZ161" s="49"/>
      <c r="BA161" s="49"/>
      <c r="BB161" s="48"/>
      <c r="BC161" s="48"/>
      <c r="BD161" s="48"/>
      <c r="BE161" s="48"/>
      <c r="BF161" s="96">
        <v>1</v>
      </c>
      <c r="BG161" s="48"/>
      <c r="BH161" s="48"/>
      <c r="BI161" s="48"/>
      <c r="BJ161" s="48"/>
      <c r="BK161" s="48"/>
      <c r="BL161" s="48"/>
      <c r="BM161" s="48"/>
      <c r="BN161" s="49"/>
      <c r="BO161" s="48"/>
      <c r="BP161" s="48"/>
      <c r="BQ161" s="50"/>
    </row>
    <row r="162" spans="1:69" ht="16" x14ac:dyDescent="0.35">
      <c r="A162"/>
      <c r="B162"/>
      <c r="D162"/>
      <c r="G162" t="s">
        <v>238</v>
      </c>
      <c r="H162" s="20"/>
      <c r="I162" s="20"/>
      <c r="J162" s="20"/>
      <c r="K162" s="20"/>
      <c r="L162" s="20"/>
      <c r="Q162" s="83">
        <v>0</v>
      </c>
      <c r="Y162" s="20"/>
      <c r="AP162" s="51"/>
      <c r="AQ162" s="52"/>
      <c r="AR162" s="52"/>
      <c r="AS162" s="52"/>
      <c r="AT162" s="52"/>
      <c r="AU162" s="52"/>
      <c r="AV162" s="73" t="s">
        <v>206</v>
      </c>
      <c r="AW162" s="53"/>
      <c r="AX162" s="53"/>
      <c r="AY162" s="53"/>
      <c r="AZ162" s="53"/>
      <c r="BA162" s="53"/>
      <c r="BB162" s="52"/>
      <c r="BC162" s="52"/>
      <c r="BD162" s="52"/>
      <c r="BE162" s="52"/>
      <c r="BF162" s="95">
        <v>1</v>
      </c>
      <c r="BG162" s="52"/>
      <c r="BH162" s="52"/>
      <c r="BI162" s="52"/>
      <c r="BJ162" s="52"/>
      <c r="BK162" s="52"/>
      <c r="BL162" s="52"/>
      <c r="BM162" s="52"/>
      <c r="BN162" s="53"/>
      <c r="BO162" s="52"/>
      <c r="BP162" s="52"/>
      <c r="BQ162" s="54"/>
    </row>
    <row r="163" spans="1:69" ht="16" x14ac:dyDescent="0.35">
      <c r="A163"/>
      <c r="B163"/>
      <c r="D163"/>
      <c r="G163" t="s">
        <v>209</v>
      </c>
      <c r="H163" s="20"/>
      <c r="I163" s="20"/>
      <c r="J163" s="20"/>
      <c r="K163" s="20"/>
      <c r="L163" s="20"/>
      <c r="Q163" s="83">
        <v>1</v>
      </c>
      <c r="Y163" s="20"/>
      <c r="AP163" s="47"/>
      <c r="AQ163" s="48"/>
      <c r="AR163" s="48"/>
      <c r="AS163" s="48"/>
      <c r="AT163" s="48"/>
      <c r="AU163" s="48"/>
      <c r="AV163" s="94" t="s">
        <v>206</v>
      </c>
      <c r="AW163" s="49"/>
      <c r="AX163" s="49"/>
      <c r="AY163" s="49"/>
      <c r="AZ163" s="49"/>
      <c r="BA163" s="49"/>
      <c r="BB163" s="48"/>
      <c r="BC163" s="48"/>
      <c r="BD163" s="48"/>
      <c r="BE163" s="48"/>
      <c r="BF163" s="96">
        <v>1</v>
      </c>
      <c r="BG163" s="48"/>
      <c r="BH163" s="48"/>
      <c r="BI163" s="48"/>
      <c r="BJ163" s="48"/>
      <c r="BK163" s="48"/>
      <c r="BL163" s="48"/>
      <c r="BM163" s="48"/>
      <c r="BN163" s="49"/>
      <c r="BO163" s="48"/>
      <c r="BP163" s="48"/>
      <c r="BQ163" s="50"/>
    </row>
    <row r="164" spans="1:69" ht="16" x14ac:dyDescent="0.35">
      <c r="A164"/>
      <c r="B164"/>
      <c r="D164"/>
      <c r="G164" t="s">
        <v>207</v>
      </c>
      <c r="H164" s="20"/>
      <c r="I164" s="20"/>
      <c r="J164" s="20"/>
      <c r="K164" s="20"/>
      <c r="L164" s="20"/>
      <c r="Q164" s="83">
        <v>0</v>
      </c>
      <c r="Y164" s="20"/>
      <c r="AP164" s="51"/>
      <c r="AQ164" s="52"/>
      <c r="AR164" s="52"/>
      <c r="AS164" s="52"/>
      <c r="AT164" s="52"/>
      <c r="AU164" s="52"/>
      <c r="AV164" s="73" t="s">
        <v>206</v>
      </c>
      <c r="AW164" s="53"/>
      <c r="AX164" s="53"/>
      <c r="AY164" s="53"/>
      <c r="AZ164" s="53"/>
      <c r="BA164" s="53"/>
      <c r="BB164" s="52"/>
      <c r="BC164" s="52"/>
      <c r="BD164" s="52"/>
      <c r="BE164" s="52"/>
      <c r="BF164" s="95">
        <v>1</v>
      </c>
      <c r="BG164" s="52"/>
      <c r="BH164" s="52"/>
      <c r="BI164" s="52"/>
      <c r="BJ164" s="52"/>
      <c r="BK164" s="52"/>
      <c r="BL164" s="52"/>
      <c r="BM164" s="52"/>
      <c r="BN164" s="53"/>
      <c r="BO164" s="52"/>
      <c r="BP164" s="52"/>
      <c r="BQ164" s="54"/>
    </row>
    <row r="165" spans="1:69" ht="16" x14ac:dyDescent="0.35">
      <c r="A165"/>
      <c r="B165"/>
      <c r="D165"/>
      <c r="G165" t="s">
        <v>207</v>
      </c>
      <c r="H165" s="20"/>
      <c r="I165" s="20"/>
      <c r="J165" s="20"/>
      <c r="K165" s="20"/>
      <c r="L165" s="20"/>
      <c r="Q165" s="83">
        <v>1</v>
      </c>
      <c r="Y165" s="20"/>
      <c r="AP165" s="47"/>
      <c r="AQ165" s="48"/>
      <c r="AR165" s="48"/>
      <c r="AS165" s="48"/>
      <c r="AT165" s="48"/>
      <c r="AU165" s="48"/>
      <c r="AV165" s="94" t="s">
        <v>206</v>
      </c>
      <c r="AW165" s="49"/>
      <c r="AX165" s="49"/>
      <c r="AY165" s="49"/>
      <c r="AZ165" s="49"/>
      <c r="BA165" s="49"/>
      <c r="BB165" s="48"/>
      <c r="BC165" s="48"/>
      <c r="BD165" s="48"/>
      <c r="BE165" s="48"/>
      <c r="BF165" s="96">
        <v>1</v>
      </c>
      <c r="BG165" s="48"/>
      <c r="BH165" s="48"/>
      <c r="BI165" s="48"/>
      <c r="BJ165" s="48"/>
      <c r="BK165" s="48"/>
      <c r="BL165" s="48"/>
      <c r="BM165" s="48"/>
      <c r="BN165" s="49"/>
      <c r="BO165" s="48"/>
      <c r="BP165" s="48"/>
      <c r="BQ165" s="50"/>
    </row>
    <row r="166" spans="1:69" ht="16" x14ac:dyDescent="0.35">
      <c r="A166"/>
      <c r="B166"/>
      <c r="D166"/>
      <c r="G166" t="s">
        <v>238</v>
      </c>
      <c r="H166" s="20"/>
      <c r="I166" s="20"/>
      <c r="J166" s="20"/>
      <c r="K166" s="20"/>
      <c r="L166" s="20"/>
      <c r="Q166" s="83">
        <v>1</v>
      </c>
      <c r="Y166" s="20"/>
      <c r="AP166" s="51"/>
      <c r="AQ166" s="52"/>
      <c r="AR166" s="52"/>
      <c r="AS166" s="52"/>
      <c r="AT166" s="52"/>
      <c r="AU166" s="52"/>
      <c r="AV166" s="73" t="s">
        <v>206</v>
      </c>
      <c r="AW166" s="53"/>
      <c r="AX166" s="53"/>
      <c r="AY166" s="53"/>
      <c r="AZ166" s="53"/>
      <c r="BA166" s="53"/>
      <c r="BB166" s="52"/>
      <c r="BC166" s="52"/>
      <c r="BD166" s="52"/>
      <c r="BE166" s="52"/>
      <c r="BF166" s="95">
        <v>1</v>
      </c>
      <c r="BG166" s="52"/>
      <c r="BH166" s="52"/>
      <c r="BI166" s="52"/>
      <c r="BJ166" s="52"/>
      <c r="BK166" s="52"/>
      <c r="BL166" s="52"/>
      <c r="BM166" s="52"/>
      <c r="BN166" s="53"/>
      <c r="BO166" s="52"/>
      <c r="BP166" s="52"/>
      <c r="BQ166" s="54"/>
    </row>
    <row r="167" spans="1:69" ht="16" x14ac:dyDescent="0.35">
      <c r="A167"/>
      <c r="B167"/>
      <c r="D167"/>
      <c r="G167" t="s">
        <v>238</v>
      </c>
      <c r="H167" s="20"/>
      <c r="I167" s="20"/>
      <c r="J167" s="20"/>
      <c r="K167" s="20"/>
      <c r="L167" s="20"/>
      <c r="Q167" s="83">
        <v>1</v>
      </c>
      <c r="Y167" s="20"/>
      <c r="AP167" s="47"/>
      <c r="AQ167" s="48"/>
      <c r="AR167" s="48"/>
      <c r="AS167" s="48"/>
      <c r="AT167" s="48"/>
      <c r="AU167" s="48"/>
      <c r="AV167" s="94" t="s">
        <v>206</v>
      </c>
      <c r="AW167" s="49"/>
      <c r="AX167" s="49"/>
      <c r="AY167" s="49"/>
      <c r="AZ167" s="49"/>
      <c r="BA167" s="49"/>
      <c r="BB167" s="48"/>
      <c r="BC167" s="48"/>
      <c r="BD167" s="48"/>
      <c r="BE167" s="48"/>
      <c r="BF167" s="96">
        <v>0</v>
      </c>
      <c r="BG167" s="48"/>
      <c r="BH167" s="48"/>
      <c r="BI167" s="48"/>
      <c r="BJ167" s="48"/>
      <c r="BK167" s="48"/>
      <c r="BL167" s="48"/>
      <c r="BM167" s="48"/>
      <c r="BN167" s="49"/>
      <c r="BO167" s="48"/>
      <c r="BP167" s="48"/>
      <c r="BQ167" s="50"/>
    </row>
    <row r="168" spans="1:69" ht="16" x14ac:dyDescent="0.35">
      <c r="A168"/>
      <c r="B168"/>
      <c r="D168"/>
      <c r="G168" t="s">
        <v>238</v>
      </c>
      <c r="H168" s="20"/>
      <c r="I168" s="20"/>
      <c r="J168" s="20"/>
      <c r="K168" s="20"/>
      <c r="L168" s="20"/>
      <c r="Q168" s="83">
        <v>1</v>
      </c>
      <c r="Y168" s="20"/>
      <c r="AP168" s="51"/>
      <c r="AQ168" s="52"/>
      <c r="AR168" s="52"/>
      <c r="AS168" s="52"/>
      <c r="AT168" s="52"/>
      <c r="AU168" s="52"/>
      <c r="AV168" s="73" t="s">
        <v>206</v>
      </c>
      <c r="AW168" s="53"/>
      <c r="AX168" s="53"/>
      <c r="AY168" s="53"/>
      <c r="AZ168" s="53"/>
      <c r="BA168" s="53"/>
      <c r="BB168" s="52"/>
      <c r="BC168" s="52"/>
      <c r="BD168" s="52"/>
      <c r="BE168" s="52"/>
      <c r="BF168" s="95">
        <v>4</v>
      </c>
      <c r="BG168" s="52"/>
      <c r="BH168" s="52"/>
      <c r="BI168" s="52"/>
      <c r="BJ168" s="52"/>
      <c r="BK168" s="52"/>
      <c r="BL168" s="52"/>
      <c r="BM168" s="52"/>
      <c r="BN168" s="53"/>
      <c r="BO168" s="52"/>
      <c r="BP168" s="52"/>
      <c r="BQ168" s="54"/>
    </row>
    <row r="169" spans="1:69" ht="16" x14ac:dyDescent="0.35">
      <c r="A169"/>
      <c r="B169"/>
      <c r="D169"/>
      <c r="G169" t="s">
        <v>238</v>
      </c>
      <c r="H169" s="20"/>
      <c r="I169" s="20"/>
      <c r="J169" s="20"/>
      <c r="K169" s="20"/>
      <c r="L169" s="20"/>
      <c r="Q169" s="83">
        <v>1</v>
      </c>
      <c r="Y169" s="20"/>
      <c r="AP169" s="47"/>
      <c r="AQ169" s="48"/>
      <c r="AR169" s="48"/>
      <c r="AS169" s="48"/>
      <c r="AT169" s="48"/>
      <c r="AU169" s="48"/>
      <c r="AV169" s="94" t="s">
        <v>206</v>
      </c>
      <c r="AW169" s="49"/>
      <c r="AX169" s="49"/>
      <c r="AY169" s="49"/>
      <c r="AZ169" s="49"/>
      <c r="BA169" s="49"/>
      <c r="BB169" s="48"/>
      <c r="BC169" s="48"/>
      <c r="BD169" s="48"/>
      <c r="BE169" s="48"/>
      <c r="BF169" s="96">
        <v>1</v>
      </c>
      <c r="BG169" s="48"/>
      <c r="BH169" s="48"/>
      <c r="BI169" s="48"/>
      <c r="BJ169" s="48"/>
      <c r="BK169" s="48"/>
      <c r="BL169" s="48"/>
      <c r="BM169" s="48"/>
      <c r="BN169" s="49"/>
      <c r="BO169" s="48"/>
      <c r="BP169" s="48"/>
      <c r="BQ169" s="50"/>
    </row>
    <row r="170" spans="1:69" ht="16" x14ac:dyDescent="0.35">
      <c r="A170"/>
      <c r="B170"/>
      <c r="D170"/>
      <c r="G170" t="s">
        <v>209</v>
      </c>
      <c r="H170" s="20"/>
      <c r="I170" s="20"/>
      <c r="J170" s="20"/>
      <c r="K170" s="20"/>
      <c r="L170" s="20"/>
      <c r="Q170" s="83">
        <v>1</v>
      </c>
      <c r="Y170" s="20"/>
      <c r="AP170" s="51"/>
      <c r="AQ170" s="52"/>
      <c r="AR170" s="52"/>
      <c r="AS170" s="52"/>
      <c r="AT170" s="52"/>
      <c r="AU170" s="52"/>
      <c r="AV170" s="73" t="s">
        <v>207</v>
      </c>
      <c r="AW170" s="53"/>
      <c r="AX170" s="53"/>
      <c r="AY170" s="53"/>
      <c r="AZ170" s="53"/>
      <c r="BA170" s="53"/>
      <c r="BB170" s="52"/>
      <c r="BC170" s="52"/>
      <c r="BD170" s="52"/>
      <c r="BE170" s="52"/>
      <c r="BF170" s="95">
        <v>0</v>
      </c>
      <c r="BG170" s="52"/>
      <c r="BH170" s="52"/>
      <c r="BI170" s="52"/>
      <c r="BJ170" s="52"/>
      <c r="BK170" s="52"/>
      <c r="BL170" s="52"/>
      <c r="BM170" s="52"/>
      <c r="BN170" s="53"/>
      <c r="BO170" s="52"/>
      <c r="BP170" s="52"/>
      <c r="BQ170" s="54"/>
    </row>
    <row r="171" spans="1:69" ht="16" x14ac:dyDescent="0.35">
      <c r="A171"/>
      <c r="B171"/>
      <c r="D171"/>
      <c r="G171" t="s">
        <v>238</v>
      </c>
      <c r="H171" s="20"/>
      <c r="I171" s="20"/>
      <c r="J171" s="20"/>
      <c r="K171" s="20"/>
      <c r="L171" s="20"/>
      <c r="Q171" s="83">
        <v>1</v>
      </c>
      <c r="Y171" s="20"/>
      <c r="AP171" s="47"/>
      <c r="AQ171" s="48"/>
      <c r="AR171" s="48"/>
      <c r="AS171" s="48"/>
      <c r="AT171" s="48"/>
      <c r="AU171" s="48"/>
      <c r="AV171" s="94" t="s">
        <v>207</v>
      </c>
      <c r="AW171" s="49"/>
      <c r="AX171" s="49"/>
      <c r="AY171" s="49"/>
      <c r="AZ171" s="49"/>
      <c r="BA171" s="49"/>
      <c r="BB171" s="48"/>
      <c r="BC171" s="48"/>
      <c r="BD171" s="48"/>
      <c r="BE171" s="48"/>
      <c r="BF171" s="96">
        <v>2</v>
      </c>
      <c r="BG171" s="48"/>
      <c r="BH171" s="48"/>
      <c r="BI171" s="48"/>
      <c r="BJ171" s="48"/>
      <c r="BK171" s="48"/>
      <c r="BL171" s="48"/>
      <c r="BM171" s="48"/>
      <c r="BN171" s="49"/>
      <c r="BO171" s="48"/>
      <c r="BP171" s="48"/>
      <c r="BQ171" s="50"/>
    </row>
    <row r="172" spans="1:69" ht="16" x14ac:dyDescent="0.35">
      <c r="A172"/>
      <c r="B172"/>
      <c r="D172"/>
      <c r="G172" t="s">
        <v>207</v>
      </c>
      <c r="H172" s="20"/>
      <c r="I172" s="20"/>
      <c r="J172" s="20"/>
      <c r="K172" s="20"/>
      <c r="L172" s="20"/>
      <c r="Q172" s="83">
        <v>0</v>
      </c>
      <c r="Y172" s="20"/>
      <c r="AP172" s="51"/>
      <c r="AQ172" s="52"/>
      <c r="AR172" s="52"/>
      <c r="AS172" s="52"/>
      <c r="AT172" s="52"/>
      <c r="AU172" s="52"/>
      <c r="AV172" s="73" t="s">
        <v>206</v>
      </c>
      <c r="AW172" s="53"/>
      <c r="AX172" s="53"/>
      <c r="AY172" s="53"/>
      <c r="AZ172" s="53"/>
      <c r="BA172" s="53"/>
      <c r="BB172" s="52"/>
      <c r="BC172" s="52"/>
      <c r="BD172" s="52"/>
      <c r="BE172" s="52"/>
      <c r="BF172" s="95">
        <v>1</v>
      </c>
      <c r="BG172" s="52"/>
      <c r="BH172" s="52"/>
      <c r="BI172" s="52"/>
      <c r="BJ172" s="52"/>
      <c r="BK172" s="52"/>
      <c r="BL172" s="52"/>
      <c r="BM172" s="52"/>
      <c r="BN172" s="53"/>
      <c r="BO172" s="52"/>
      <c r="BP172" s="52"/>
      <c r="BQ172" s="54"/>
    </row>
    <row r="173" spans="1:69" ht="16" x14ac:dyDescent="0.35">
      <c r="A173"/>
      <c r="B173"/>
      <c r="D173"/>
      <c r="G173" t="s">
        <v>207</v>
      </c>
      <c r="H173" s="20"/>
      <c r="I173" s="20"/>
      <c r="J173" s="20"/>
      <c r="K173" s="20"/>
      <c r="L173" s="20"/>
      <c r="Q173" s="83">
        <v>0</v>
      </c>
      <c r="Y173" s="20"/>
      <c r="AP173" s="47"/>
      <c r="AQ173" s="48"/>
      <c r="AR173" s="48"/>
      <c r="AS173" s="48"/>
      <c r="AT173" s="48"/>
      <c r="AU173" s="48"/>
      <c r="AV173" s="94" t="s">
        <v>209</v>
      </c>
      <c r="AW173" s="49"/>
      <c r="AX173" s="49"/>
      <c r="AY173" s="49"/>
      <c r="AZ173" s="49"/>
      <c r="BA173" s="49"/>
      <c r="BB173" s="48"/>
      <c r="BC173" s="48"/>
      <c r="BD173" s="48"/>
      <c r="BE173" s="48"/>
      <c r="BF173" s="96">
        <v>1</v>
      </c>
      <c r="BG173" s="48"/>
      <c r="BH173" s="48"/>
      <c r="BI173" s="48"/>
      <c r="BJ173" s="48"/>
      <c r="BK173" s="48"/>
      <c r="BL173" s="48"/>
      <c r="BM173" s="48"/>
      <c r="BN173" s="49"/>
      <c r="BO173" s="48"/>
      <c r="BP173" s="48"/>
      <c r="BQ173" s="50"/>
    </row>
    <row r="174" spans="1:69" ht="16" x14ac:dyDescent="0.35">
      <c r="A174"/>
      <c r="B174"/>
      <c r="D174"/>
      <c r="G174" t="s">
        <v>223</v>
      </c>
      <c r="H174" s="20"/>
      <c r="I174" s="20"/>
      <c r="J174" s="20"/>
      <c r="K174" s="20"/>
      <c r="L174" s="20"/>
      <c r="Q174" s="83">
        <v>8</v>
      </c>
      <c r="Y174" s="20"/>
      <c r="AP174" s="51"/>
      <c r="AQ174" s="52"/>
      <c r="AR174" s="52"/>
      <c r="AS174" s="52"/>
      <c r="AT174" s="52"/>
      <c r="AU174" s="52"/>
      <c r="AV174" s="73" t="s">
        <v>209</v>
      </c>
      <c r="AW174" s="53"/>
      <c r="AX174" s="53"/>
      <c r="AY174" s="53"/>
      <c r="AZ174" s="53"/>
      <c r="BA174" s="53"/>
      <c r="BB174" s="52"/>
      <c r="BC174" s="52"/>
      <c r="BD174" s="52"/>
      <c r="BE174" s="52"/>
      <c r="BF174" s="95">
        <v>1</v>
      </c>
      <c r="BG174" s="52"/>
      <c r="BH174" s="52"/>
      <c r="BI174" s="52"/>
      <c r="BJ174" s="52"/>
      <c r="BK174" s="52"/>
      <c r="BL174" s="52"/>
      <c r="BM174" s="52"/>
      <c r="BN174" s="53"/>
      <c r="BO174" s="52"/>
      <c r="BP174" s="52"/>
      <c r="BQ174" s="54"/>
    </row>
    <row r="175" spans="1:69" ht="16" x14ac:dyDescent="0.35">
      <c r="A175"/>
      <c r="B175"/>
      <c r="D175"/>
      <c r="G175" t="s">
        <v>238</v>
      </c>
      <c r="H175" s="20"/>
      <c r="I175" s="20"/>
      <c r="J175" s="20"/>
      <c r="K175" s="20"/>
      <c r="L175" s="20"/>
      <c r="Q175" s="83">
        <v>1</v>
      </c>
      <c r="Y175" s="20"/>
      <c r="AP175" s="47"/>
      <c r="AQ175" s="48"/>
      <c r="AR175" s="48"/>
      <c r="AS175" s="48"/>
      <c r="AT175" s="48"/>
      <c r="AU175" s="48"/>
      <c r="AV175" s="94" t="s">
        <v>209</v>
      </c>
      <c r="AW175" s="49"/>
      <c r="AX175" s="49"/>
      <c r="AY175" s="49"/>
      <c r="AZ175" s="49"/>
      <c r="BA175" s="49"/>
      <c r="BB175" s="48"/>
      <c r="BC175" s="48"/>
      <c r="BD175" s="48"/>
      <c r="BE175" s="48"/>
      <c r="BF175" s="96">
        <v>1</v>
      </c>
      <c r="BG175" s="48"/>
      <c r="BH175" s="48"/>
      <c r="BI175" s="48"/>
      <c r="BJ175" s="48"/>
      <c r="BK175" s="48"/>
      <c r="BL175" s="48"/>
      <c r="BM175" s="48"/>
      <c r="BN175" s="49"/>
      <c r="BO175" s="48"/>
      <c r="BP175" s="48"/>
      <c r="BQ175" s="50"/>
    </row>
    <row r="176" spans="1:69" ht="16" x14ac:dyDescent="0.35">
      <c r="A176"/>
      <c r="B176"/>
      <c r="D176"/>
      <c r="G176" t="s">
        <v>238</v>
      </c>
      <c r="H176" s="20"/>
      <c r="I176" s="20"/>
      <c r="J176" s="20"/>
      <c r="K176" s="20"/>
      <c r="L176" s="20"/>
      <c r="Q176" s="83">
        <v>1</v>
      </c>
      <c r="Y176" s="20"/>
      <c r="AP176" s="51"/>
      <c r="AQ176" s="52"/>
      <c r="AR176" s="52"/>
      <c r="AS176" s="52"/>
      <c r="AT176" s="52"/>
      <c r="AU176" s="52"/>
      <c r="AV176" s="73" t="s">
        <v>209</v>
      </c>
      <c r="AW176" s="53"/>
      <c r="AX176" s="53"/>
      <c r="AY176" s="53"/>
      <c r="AZ176" s="53"/>
      <c r="BA176" s="53"/>
      <c r="BB176" s="52"/>
      <c r="BC176" s="52"/>
      <c r="BD176" s="52"/>
      <c r="BE176" s="52"/>
      <c r="BF176" s="95">
        <v>1</v>
      </c>
      <c r="BG176" s="52"/>
      <c r="BH176" s="52"/>
      <c r="BI176" s="52"/>
      <c r="BJ176" s="52"/>
      <c r="BK176" s="52"/>
      <c r="BL176" s="52"/>
      <c r="BM176" s="52"/>
      <c r="BN176" s="53"/>
      <c r="BO176" s="52"/>
      <c r="BP176" s="52"/>
      <c r="BQ176" s="54"/>
    </row>
    <row r="177" spans="1:69" ht="16" x14ac:dyDescent="0.35">
      <c r="A177"/>
      <c r="B177"/>
      <c r="D177"/>
      <c r="G177" t="s">
        <v>238</v>
      </c>
      <c r="H177" s="20"/>
      <c r="I177" s="20"/>
      <c r="J177" s="20"/>
      <c r="K177" s="20"/>
      <c r="L177" s="20"/>
      <c r="Q177" s="83">
        <v>1</v>
      </c>
      <c r="Y177" s="20"/>
      <c r="AP177" s="47"/>
      <c r="AQ177" s="48"/>
      <c r="AR177" s="48"/>
      <c r="AS177" s="48"/>
      <c r="AT177" s="48"/>
      <c r="AU177" s="48"/>
      <c r="AV177" s="94" t="s">
        <v>206</v>
      </c>
      <c r="AW177" s="49"/>
      <c r="AX177" s="49"/>
      <c r="AY177" s="49"/>
      <c r="AZ177" s="49"/>
      <c r="BA177" s="49"/>
      <c r="BB177" s="48"/>
      <c r="BC177" s="48"/>
      <c r="BD177" s="48"/>
      <c r="BE177" s="48"/>
      <c r="BF177" s="96">
        <v>1</v>
      </c>
      <c r="BG177" s="48"/>
      <c r="BH177" s="48"/>
      <c r="BI177" s="48"/>
      <c r="BJ177" s="48"/>
      <c r="BK177" s="48"/>
      <c r="BL177" s="48"/>
      <c r="BM177" s="48"/>
      <c r="BN177" s="49"/>
      <c r="BO177" s="48"/>
      <c r="BP177" s="48"/>
      <c r="BQ177" s="50"/>
    </row>
    <row r="178" spans="1:69" ht="16" x14ac:dyDescent="0.35">
      <c r="A178"/>
      <c r="B178"/>
      <c r="D178"/>
      <c r="G178" t="s">
        <v>238</v>
      </c>
      <c r="H178" s="20"/>
      <c r="I178" s="20"/>
      <c r="J178" s="20"/>
      <c r="K178" s="20"/>
      <c r="L178" s="20"/>
      <c r="Q178" s="83">
        <v>1</v>
      </c>
      <c r="Y178" s="20"/>
      <c r="AP178" s="51"/>
      <c r="AQ178" s="52"/>
      <c r="AR178" s="52"/>
      <c r="AS178" s="52"/>
      <c r="AT178" s="52"/>
      <c r="AU178" s="52"/>
      <c r="AV178" s="73" t="s">
        <v>207</v>
      </c>
      <c r="AW178" s="53"/>
      <c r="AX178" s="53"/>
      <c r="AY178" s="53"/>
      <c r="AZ178" s="53"/>
      <c r="BA178" s="53"/>
      <c r="BB178" s="52"/>
      <c r="BC178" s="52"/>
      <c r="BD178" s="52"/>
      <c r="BE178" s="52"/>
      <c r="BF178" s="95">
        <v>1</v>
      </c>
      <c r="BG178" s="52"/>
      <c r="BH178" s="52"/>
      <c r="BI178" s="52"/>
      <c r="BJ178" s="52"/>
      <c r="BK178" s="52"/>
      <c r="BL178" s="52"/>
      <c r="BM178" s="52"/>
      <c r="BN178" s="53"/>
      <c r="BO178" s="52"/>
      <c r="BP178" s="52"/>
      <c r="BQ178" s="54"/>
    </row>
    <row r="179" spans="1:69" ht="16" x14ac:dyDescent="0.35">
      <c r="A179"/>
      <c r="B179"/>
      <c r="D179"/>
      <c r="G179" t="s">
        <v>238</v>
      </c>
      <c r="H179" s="20"/>
      <c r="I179" s="20"/>
      <c r="J179" s="20"/>
      <c r="K179" s="20"/>
      <c r="L179" s="20"/>
      <c r="Q179" s="83">
        <v>1</v>
      </c>
      <c r="Y179" s="20"/>
      <c r="AP179" s="47"/>
      <c r="AQ179" s="48"/>
      <c r="AR179" s="48"/>
      <c r="AS179" s="48"/>
      <c r="AT179" s="48"/>
      <c r="AU179" s="48"/>
      <c r="AV179" s="94" t="s">
        <v>206</v>
      </c>
      <c r="AW179" s="49"/>
      <c r="AX179" s="49"/>
      <c r="AY179" s="49"/>
      <c r="AZ179" s="49"/>
      <c r="BA179" s="49"/>
      <c r="BB179" s="48"/>
      <c r="BC179" s="48"/>
      <c r="BD179" s="48"/>
      <c r="BE179" s="48"/>
      <c r="BF179" s="96">
        <v>1</v>
      </c>
      <c r="BG179" s="48"/>
      <c r="BH179" s="48"/>
      <c r="BI179" s="48"/>
      <c r="BJ179" s="48"/>
      <c r="BK179" s="48"/>
      <c r="BL179" s="48"/>
      <c r="BM179" s="48"/>
      <c r="BN179" s="49"/>
      <c r="BO179" s="48"/>
      <c r="BP179" s="48"/>
      <c r="BQ179" s="50"/>
    </row>
    <row r="180" spans="1:69" ht="16" x14ac:dyDescent="0.35">
      <c r="A180"/>
      <c r="B180"/>
      <c r="D180"/>
      <c r="G180" t="s">
        <v>238</v>
      </c>
      <c r="H180" s="20"/>
      <c r="I180" s="20"/>
      <c r="J180" s="20"/>
      <c r="K180" s="20"/>
      <c r="L180" s="20"/>
      <c r="Q180" s="83">
        <v>1</v>
      </c>
      <c r="Y180" s="20"/>
      <c r="AP180" s="51"/>
      <c r="AQ180" s="52"/>
      <c r="AR180" s="52"/>
      <c r="AS180" s="52"/>
      <c r="AT180" s="52"/>
      <c r="AU180" s="52"/>
      <c r="AV180" s="73" t="s">
        <v>215</v>
      </c>
      <c r="AW180" s="53"/>
      <c r="AX180" s="53"/>
      <c r="AY180" s="53"/>
      <c r="AZ180" s="53"/>
      <c r="BA180" s="53"/>
      <c r="BB180" s="52"/>
      <c r="BC180" s="52"/>
      <c r="BD180" s="52"/>
      <c r="BE180" s="52"/>
      <c r="BF180" s="95">
        <v>1</v>
      </c>
      <c r="BG180" s="52"/>
      <c r="BH180" s="52"/>
      <c r="BI180" s="52"/>
      <c r="BJ180" s="52"/>
      <c r="BK180" s="52"/>
      <c r="BL180" s="52"/>
      <c r="BM180" s="52"/>
      <c r="BN180" s="53"/>
      <c r="BO180" s="52"/>
      <c r="BP180" s="52"/>
      <c r="BQ180" s="54"/>
    </row>
    <row r="181" spans="1:69" ht="16" x14ac:dyDescent="0.35">
      <c r="A181"/>
      <c r="B181"/>
      <c r="D181"/>
      <c r="G181" t="s">
        <v>238</v>
      </c>
      <c r="H181" s="20"/>
      <c r="I181" s="20"/>
      <c r="J181" s="20"/>
      <c r="K181" s="20"/>
      <c r="L181" s="20"/>
      <c r="Q181" s="83">
        <v>1</v>
      </c>
      <c r="Y181" s="20"/>
      <c r="AP181" s="47"/>
      <c r="AQ181" s="48"/>
      <c r="AR181" s="48"/>
      <c r="AS181" s="48"/>
      <c r="AT181" s="48"/>
      <c r="AU181" s="48"/>
      <c r="AV181" s="94" t="s">
        <v>206</v>
      </c>
      <c r="AW181" s="49"/>
      <c r="AX181" s="49"/>
      <c r="AY181" s="49"/>
      <c r="AZ181" s="49"/>
      <c r="BA181" s="49"/>
      <c r="BB181" s="48"/>
      <c r="BC181" s="48"/>
      <c r="BD181" s="48"/>
      <c r="BE181" s="48"/>
      <c r="BF181" s="96">
        <v>1</v>
      </c>
      <c r="BG181" s="48"/>
      <c r="BH181" s="48"/>
      <c r="BI181" s="48"/>
      <c r="BJ181" s="48"/>
      <c r="BK181" s="48"/>
      <c r="BL181" s="48"/>
      <c r="BM181" s="48"/>
      <c r="BN181" s="49"/>
      <c r="BO181" s="48"/>
      <c r="BP181" s="48"/>
      <c r="BQ181" s="50"/>
    </row>
    <row r="182" spans="1:69" ht="16" x14ac:dyDescent="0.35">
      <c r="A182"/>
      <c r="B182"/>
      <c r="D182"/>
      <c r="G182" t="s">
        <v>238</v>
      </c>
      <c r="H182" s="20"/>
      <c r="I182" s="20"/>
      <c r="J182" s="20"/>
      <c r="K182" s="20"/>
      <c r="L182" s="20"/>
      <c r="Q182" s="83">
        <v>1</v>
      </c>
      <c r="Y182" s="20"/>
      <c r="AP182" s="51"/>
      <c r="AQ182" s="52"/>
      <c r="AR182" s="52"/>
      <c r="AS182" s="52"/>
      <c r="AT182" s="52"/>
      <c r="AU182" s="52"/>
      <c r="AV182" s="73" t="s">
        <v>206</v>
      </c>
      <c r="AW182" s="53"/>
      <c r="AX182" s="53"/>
      <c r="AY182" s="53"/>
      <c r="AZ182" s="53"/>
      <c r="BA182" s="53"/>
      <c r="BB182" s="52"/>
      <c r="BC182" s="52"/>
      <c r="BD182" s="52"/>
      <c r="BE182" s="52"/>
      <c r="BF182" s="95">
        <v>1</v>
      </c>
      <c r="BG182" s="52"/>
      <c r="BH182" s="52"/>
      <c r="BI182" s="52"/>
      <c r="BJ182" s="52"/>
      <c r="BK182" s="52"/>
      <c r="BL182" s="52"/>
      <c r="BM182" s="52"/>
      <c r="BN182" s="53"/>
      <c r="BO182" s="52"/>
      <c r="BP182" s="52"/>
      <c r="BQ182" s="54"/>
    </row>
    <row r="183" spans="1:69" ht="16" x14ac:dyDescent="0.35">
      <c r="A183"/>
      <c r="B183"/>
      <c r="D183"/>
      <c r="G183" t="s">
        <v>238</v>
      </c>
      <c r="H183" s="20"/>
      <c r="I183" s="20"/>
      <c r="J183" s="20"/>
      <c r="K183" s="20"/>
      <c r="L183" s="20"/>
      <c r="Q183" s="83">
        <v>1</v>
      </c>
      <c r="Y183" s="20"/>
      <c r="AP183" s="47"/>
      <c r="AQ183" s="48"/>
      <c r="AR183" s="48"/>
      <c r="AS183" s="48"/>
      <c r="AT183" s="48"/>
      <c r="AU183" s="48"/>
      <c r="AV183" s="94" t="s">
        <v>206</v>
      </c>
      <c r="AW183" s="49"/>
      <c r="AX183" s="49"/>
      <c r="AY183" s="49"/>
      <c r="AZ183" s="49"/>
      <c r="BA183" s="49"/>
      <c r="BB183" s="48"/>
      <c r="BC183" s="48"/>
      <c r="BD183" s="48"/>
      <c r="BE183" s="48"/>
      <c r="BF183" s="96">
        <v>1</v>
      </c>
      <c r="BG183" s="48"/>
      <c r="BH183" s="48"/>
      <c r="BI183" s="48"/>
      <c r="BJ183" s="48"/>
      <c r="BK183" s="48"/>
      <c r="BL183" s="48"/>
      <c r="BM183" s="48"/>
      <c r="BN183" s="49"/>
      <c r="BO183" s="48"/>
      <c r="BP183" s="48"/>
      <c r="BQ183" s="50"/>
    </row>
    <row r="184" spans="1:69" ht="16" x14ac:dyDescent="0.35">
      <c r="A184"/>
      <c r="B184"/>
      <c r="D184"/>
      <c r="G184" t="s">
        <v>238</v>
      </c>
      <c r="H184" s="20"/>
      <c r="I184" s="20"/>
      <c r="J184" s="20"/>
      <c r="K184" s="20"/>
      <c r="L184" s="20"/>
      <c r="Q184" s="83">
        <v>1</v>
      </c>
      <c r="Y184" s="20"/>
      <c r="AP184" s="51"/>
      <c r="AQ184" s="52"/>
      <c r="AR184" s="52"/>
      <c r="AS184" s="52"/>
      <c r="AT184" s="52"/>
      <c r="AU184" s="52"/>
      <c r="AV184" s="73" t="s">
        <v>206</v>
      </c>
      <c r="AW184" s="53"/>
      <c r="AX184" s="53"/>
      <c r="AY184" s="53"/>
      <c r="AZ184" s="53"/>
      <c r="BA184" s="53"/>
      <c r="BB184" s="52"/>
      <c r="BC184" s="52"/>
      <c r="BD184" s="52"/>
      <c r="BE184" s="52"/>
      <c r="BF184" s="95">
        <v>1</v>
      </c>
      <c r="BG184" s="52"/>
      <c r="BH184" s="52"/>
      <c r="BI184" s="52"/>
      <c r="BJ184" s="52"/>
      <c r="BK184" s="52"/>
      <c r="BL184" s="52"/>
      <c r="BM184" s="52"/>
      <c r="BN184" s="53"/>
      <c r="BO184" s="52"/>
      <c r="BP184" s="52"/>
      <c r="BQ184" s="54"/>
    </row>
    <row r="185" spans="1:69" ht="16" x14ac:dyDescent="0.35">
      <c r="A185"/>
      <c r="B185"/>
      <c r="D185"/>
      <c r="G185" t="s">
        <v>238</v>
      </c>
      <c r="H185" s="20"/>
      <c r="I185" s="20"/>
      <c r="J185" s="20"/>
      <c r="K185" s="20"/>
      <c r="L185" s="20"/>
      <c r="Q185" s="83">
        <v>1</v>
      </c>
      <c r="Y185" s="20"/>
      <c r="AP185" s="47"/>
      <c r="AQ185" s="48"/>
      <c r="AR185" s="48"/>
      <c r="AS185" s="48"/>
      <c r="AT185" s="48"/>
      <c r="AU185" s="48"/>
      <c r="AV185" s="94" t="s">
        <v>206</v>
      </c>
      <c r="AW185" s="49"/>
      <c r="AX185" s="49"/>
      <c r="AY185" s="49"/>
      <c r="AZ185" s="49"/>
      <c r="BA185" s="49"/>
      <c r="BB185" s="48"/>
      <c r="BC185" s="48"/>
      <c r="BD185" s="48"/>
      <c r="BE185" s="48"/>
      <c r="BF185" s="96">
        <v>1</v>
      </c>
      <c r="BG185" s="48"/>
      <c r="BH185" s="48"/>
      <c r="BI185" s="48"/>
      <c r="BJ185" s="48"/>
      <c r="BK185" s="48"/>
      <c r="BL185" s="48"/>
      <c r="BM185" s="48"/>
      <c r="BN185" s="49"/>
      <c r="BO185" s="48"/>
      <c r="BP185" s="48"/>
      <c r="BQ185" s="50"/>
    </row>
    <row r="186" spans="1:69" ht="16" x14ac:dyDescent="0.35">
      <c r="A186"/>
      <c r="B186"/>
      <c r="D186"/>
      <c r="G186" t="s">
        <v>238</v>
      </c>
      <c r="H186" s="20"/>
      <c r="I186" s="20"/>
      <c r="J186" s="20"/>
      <c r="K186" s="20"/>
      <c r="L186" s="20"/>
      <c r="Q186" s="83">
        <v>1</v>
      </c>
      <c r="Y186" s="20"/>
      <c r="AP186" s="51"/>
      <c r="AQ186" s="52"/>
      <c r="AR186" s="52"/>
      <c r="AS186" s="52"/>
      <c r="AT186" s="52"/>
      <c r="AU186" s="52"/>
      <c r="AV186" s="73" t="s">
        <v>206</v>
      </c>
      <c r="AW186" s="53"/>
      <c r="AX186" s="53"/>
      <c r="AY186" s="53"/>
      <c r="AZ186" s="53"/>
      <c r="BA186" s="53"/>
      <c r="BB186" s="52"/>
      <c r="BC186" s="52"/>
      <c r="BD186" s="52"/>
      <c r="BE186" s="52"/>
      <c r="BF186" s="95">
        <v>1</v>
      </c>
      <c r="BG186" s="52"/>
      <c r="BH186" s="52"/>
      <c r="BI186" s="52"/>
      <c r="BJ186" s="52"/>
      <c r="BK186" s="52"/>
      <c r="BL186" s="52"/>
      <c r="BM186" s="52"/>
      <c r="BN186" s="53"/>
      <c r="BO186" s="52"/>
      <c r="BP186" s="52"/>
      <c r="BQ186" s="54"/>
    </row>
    <row r="187" spans="1:69" ht="16" x14ac:dyDescent="0.35">
      <c r="A187"/>
      <c r="B187"/>
      <c r="D187"/>
      <c r="G187" t="s">
        <v>238</v>
      </c>
      <c r="H187" s="20"/>
      <c r="I187" s="20"/>
      <c r="J187" s="20"/>
      <c r="K187" s="20"/>
      <c r="L187" s="20"/>
      <c r="Q187" s="83">
        <v>3</v>
      </c>
      <c r="Y187" s="20"/>
      <c r="AP187" s="47"/>
      <c r="AQ187" s="48"/>
      <c r="AR187" s="48"/>
      <c r="AS187" s="48"/>
      <c r="AT187" s="48"/>
      <c r="AU187" s="48"/>
      <c r="AV187" s="94" t="s">
        <v>206</v>
      </c>
      <c r="AW187" s="49"/>
      <c r="AX187" s="49"/>
      <c r="AY187" s="49"/>
      <c r="AZ187" s="49"/>
      <c r="BA187" s="49"/>
      <c r="BB187" s="48"/>
      <c r="BC187" s="48"/>
      <c r="BD187" s="48"/>
      <c r="BE187" s="48"/>
      <c r="BF187" s="96">
        <v>1</v>
      </c>
      <c r="BG187" s="48"/>
      <c r="BH187" s="48"/>
      <c r="BI187" s="48"/>
      <c r="BJ187" s="48"/>
      <c r="BK187" s="48"/>
      <c r="BL187" s="48"/>
      <c r="BM187" s="48"/>
      <c r="BN187" s="49"/>
      <c r="BO187" s="48"/>
      <c r="BP187" s="48"/>
      <c r="BQ187" s="50"/>
    </row>
    <row r="188" spans="1:69" ht="16" x14ac:dyDescent="0.35">
      <c r="A188"/>
      <c r="B188"/>
      <c r="D188"/>
      <c r="G188" t="s">
        <v>223</v>
      </c>
      <c r="H188" s="20"/>
      <c r="I188" s="20"/>
      <c r="J188" s="20"/>
      <c r="K188" s="20"/>
      <c r="L188" s="20"/>
      <c r="Q188" s="83">
        <v>1</v>
      </c>
      <c r="Y188" s="20"/>
      <c r="AP188" s="51"/>
      <c r="AQ188" s="52"/>
      <c r="AR188" s="52"/>
      <c r="AS188" s="52"/>
      <c r="AT188" s="52"/>
      <c r="AU188" s="52"/>
      <c r="AV188" s="73" t="s">
        <v>206</v>
      </c>
      <c r="AW188" s="53"/>
      <c r="AX188" s="53"/>
      <c r="AY188" s="53"/>
      <c r="AZ188" s="53"/>
      <c r="BA188" s="53"/>
      <c r="BB188" s="52"/>
      <c r="BC188" s="52"/>
      <c r="BD188" s="52"/>
      <c r="BE188" s="52"/>
      <c r="BF188" s="95">
        <v>1</v>
      </c>
      <c r="BG188" s="52"/>
      <c r="BH188" s="52"/>
      <c r="BI188" s="52"/>
      <c r="BJ188" s="52"/>
      <c r="BK188" s="52"/>
      <c r="BL188" s="52"/>
      <c r="BM188" s="52"/>
      <c r="BN188" s="53"/>
      <c r="BO188" s="52"/>
      <c r="BP188" s="52"/>
      <c r="BQ188" s="54"/>
    </row>
    <row r="189" spans="1:69" ht="16" x14ac:dyDescent="0.35">
      <c r="A189"/>
      <c r="B189"/>
      <c r="D189"/>
      <c r="G189" t="s">
        <v>207</v>
      </c>
      <c r="H189" s="20"/>
      <c r="I189" s="20"/>
      <c r="J189" s="20"/>
      <c r="K189" s="20"/>
      <c r="L189" s="20"/>
      <c r="Q189" s="83">
        <v>4</v>
      </c>
      <c r="Y189" s="20"/>
      <c r="AP189" s="47"/>
      <c r="AQ189" s="48"/>
      <c r="AR189" s="48"/>
      <c r="AS189" s="48"/>
      <c r="AT189" s="48"/>
      <c r="AU189" s="48"/>
      <c r="AV189" s="94" t="s">
        <v>206</v>
      </c>
      <c r="AW189" s="49"/>
      <c r="AX189" s="49"/>
      <c r="AY189" s="49"/>
      <c r="AZ189" s="49"/>
      <c r="BA189" s="49"/>
      <c r="BB189" s="48"/>
      <c r="BC189" s="48"/>
      <c r="BD189" s="48"/>
      <c r="BE189" s="48"/>
      <c r="BF189" s="96">
        <v>1</v>
      </c>
      <c r="BG189" s="48"/>
      <c r="BH189" s="48"/>
      <c r="BI189" s="48"/>
      <c r="BJ189" s="48"/>
      <c r="BK189" s="48"/>
      <c r="BL189" s="48"/>
      <c r="BM189" s="48"/>
      <c r="BN189" s="49"/>
      <c r="BO189" s="48"/>
      <c r="BP189" s="48"/>
      <c r="BQ189" s="50"/>
    </row>
    <row r="190" spans="1:69" ht="16" x14ac:dyDescent="0.35">
      <c r="A190"/>
      <c r="B190"/>
      <c r="D190"/>
      <c r="G190" t="s">
        <v>238</v>
      </c>
      <c r="H190" s="20"/>
      <c r="I190" s="20"/>
      <c r="J190" s="20"/>
      <c r="K190" s="20"/>
      <c r="L190" s="20"/>
      <c r="Q190" s="83">
        <v>1</v>
      </c>
      <c r="Y190" s="20"/>
      <c r="AP190" s="51"/>
      <c r="AQ190" s="52"/>
      <c r="AR190" s="52"/>
      <c r="AS190" s="52"/>
      <c r="AT190" s="52"/>
      <c r="AU190" s="52"/>
      <c r="AV190" s="73" t="s">
        <v>206</v>
      </c>
      <c r="AW190" s="53"/>
      <c r="AX190" s="53"/>
      <c r="AY190" s="53"/>
      <c r="AZ190" s="53"/>
      <c r="BA190" s="53"/>
      <c r="BB190" s="52"/>
      <c r="BC190" s="52"/>
      <c r="BD190" s="52"/>
      <c r="BE190" s="52"/>
      <c r="BF190" s="95">
        <v>1</v>
      </c>
      <c r="BG190" s="52"/>
      <c r="BH190" s="52"/>
      <c r="BI190" s="52"/>
      <c r="BJ190" s="52"/>
      <c r="BK190" s="52"/>
      <c r="BL190" s="52"/>
      <c r="BM190" s="52"/>
      <c r="BN190" s="53"/>
      <c r="BO190" s="52"/>
      <c r="BP190" s="52"/>
      <c r="BQ190" s="54"/>
    </row>
    <row r="191" spans="1:69" ht="16" x14ac:dyDescent="0.35">
      <c r="A191"/>
      <c r="B191"/>
      <c r="D191"/>
      <c r="G191" t="s">
        <v>238</v>
      </c>
      <c r="H191" s="20"/>
      <c r="I191" s="20"/>
      <c r="J191" s="20"/>
      <c r="K191" s="20"/>
      <c r="L191" s="20"/>
      <c r="Q191" s="83">
        <v>1</v>
      </c>
      <c r="Y191" s="20"/>
      <c r="AP191" s="47"/>
      <c r="AQ191" s="48"/>
      <c r="AR191" s="48"/>
      <c r="AS191" s="48"/>
      <c r="AT191" s="48"/>
      <c r="AU191" s="48"/>
      <c r="AV191" s="94" t="s">
        <v>206</v>
      </c>
      <c r="AW191" s="49"/>
      <c r="AX191" s="49"/>
      <c r="AY191" s="49"/>
      <c r="AZ191" s="49"/>
      <c r="BA191" s="49"/>
      <c r="BB191" s="48"/>
      <c r="BC191" s="48"/>
      <c r="BD191" s="48"/>
      <c r="BE191" s="48"/>
      <c r="BF191" s="96">
        <v>1</v>
      </c>
      <c r="BG191" s="48"/>
      <c r="BH191" s="48"/>
      <c r="BI191" s="48"/>
      <c r="BJ191" s="48"/>
      <c r="BK191" s="48"/>
      <c r="BL191" s="48"/>
      <c r="BM191" s="48"/>
      <c r="BN191" s="49"/>
      <c r="BO191" s="48"/>
      <c r="BP191" s="48"/>
      <c r="BQ191" s="50"/>
    </row>
    <row r="192" spans="1:69" ht="16" x14ac:dyDescent="0.35">
      <c r="A192"/>
      <c r="B192"/>
      <c r="D192"/>
      <c r="G192" t="s">
        <v>207</v>
      </c>
      <c r="H192" s="20"/>
      <c r="I192" s="20"/>
      <c r="J192" s="20"/>
      <c r="K192" s="20"/>
      <c r="L192" s="20"/>
      <c r="Q192" s="83">
        <v>0</v>
      </c>
      <c r="Y192" s="20"/>
      <c r="AP192" s="51"/>
      <c r="AQ192" s="52"/>
      <c r="AR192" s="52"/>
      <c r="AS192" s="52"/>
      <c r="AT192" s="52"/>
      <c r="AU192" s="52"/>
      <c r="AV192" s="73" t="s">
        <v>206</v>
      </c>
      <c r="AW192" s="53"/>
      <c r="AX192" s="53"/>
      <c r="AY192" s="53"/>
      <c r="AZ192" s="53"/>
      <c r="BA192" s="53"/>
      <c r="BB192" s="52"/>
      <c r="BC192" s="52"/>
      <c r="BD192" s="52"/>
      <c r="BE192" s="52"/>
      <c r="BF192" s="95">
        <v>1</v>
      </c>
      <c r="BG192" s="52"/>
      <c r="BH192" s="52"/>
      <c r="BI192" s="52"/>
      <c r="BJ192" s="52"/>
      <c r="BK192" s="52"/>
      <c r="BL192" s="52"/>
      <c r="BM192" s="52"/>
      <c r="BN192" s="53"/>
      <c r="BO192" s="52"/>
      <c r="BP192" s="52"/>
      <c r="BQ192" s="54"/>
    </row>
    <row r="193" spans="1:69" ht="16" x14ac:dyDescent="0.35">
      <c r="A193"/>
      <c r="B193"/>
      <c r="D193"/>
      <c r="G193" t="s">
        <v>210</v>
      </c>
      <c r="H193" s="20"/>
      <c r="I193" s="20"/>
      <c r="J193" s="20"/>
      <c r="K193" s="20"/>
      <c r="L193" s="20"/>
      <c r="Q193" s="83">
        <v>0</v>
      </c>
      <c r="Y193" s="20"/>
      <c r="AP193" s="47"/>
      <c r="AQ193" s="48"/>
      <c r="AR193" s="48"/>
      <c r="AS193" s="48"/>
      <c r="AT193" s="48"/>
      <c r="AU193" s="48"/>
      <c r="AV193" s="94" t="s">
        <v>206</v>
      </c>
      <c r="AW193" s="49"/>
      <c r="AX193" s="49"/>
      <c r="AY193" s="49"/>
      <c r="AZ193" s="49"/>
      <c r="BA193" s="49"/>
      <c r="BB193" s="48"/>
      <c r="BC193" s="48"/>
      <c r="BD193" s="48"/>
      <c r="BE193" s="48"/>
      <c r="BF193" s="96">
        <v>1</v>
      </c>
      <c r="BG193" s="48"/>
      <c r="BH193" s="48"/>
      <c r="BI193" s="48"/>
      <c r="BJ193" s="48"/>
      <c r="BK193" s="48"/>
      <c r="BL193" s="48"/>
      <c r="BM193" s="48"/>
      <c r="BN193" s="49"/>
      <c r="BO193" s="48"/>
      <c r="BP193" s="48"/>
      <c r="BQ193" s="50"/>
    </row>
    <row r="194" spans="1:69" ht="16" x14ac:dyDescent="0.35">
      <c r="A194"/>
      <c r="B194"/>
      <c r="D194"/>
      <c r="G194" t="s">
        <v>227</v>
      </c>
      <c r="H194" s="20"/>
      <c r="I194" s="20"/>
      <c r="J194" s="20"/>
      <c r="K194" s="20"/>
      <c r="L194" s="20"/>
      <c r="Q194" s="83">
        <v>0</v>
      </c>
      <c r="Y194" s="20"/>
      <c r="AP194" s="51"/>
      <c r="AQ194" s="52"/>
      <c r="AR194" s="52"/>
      <c r="AS194" s="52"/>
      <c r="AT194" s="52"/>
      <c r="AU194" s="52"/>
      <c r="AV194" s="73" t="s">
        <v>206</v>
      </c>
      <c r="AW194" s="53"/>
      <c r="AX194" s="53"/>
      <c r="AY194" s="53"/>
      <c r="AZ194" s="53"/>
      <c r="BA194" s="53"/>
      <c r="BB194" s="52"/>
      <c r="BC194" s="52"/>
      <c r="BD194" s="52"/>
      <c r="BE194" s="52"/>
      <c r="BF194" s="95">
        <v>1</v>
      </c>
      <c r="BG194" s="52"/>
      <c r="BH194" s="52"/>
      <c r="BI194" s="52"/>
      <c r="BJ194" s="52"/>
      <c r="BK194" s="52"/>
      <c r="BL194" s="52"/>
      <c r="BM194" s="52"/>
      <c r="BN194" s="53"/>
      <c r="BO194" s="52"/>
      <c r="BP194" s="52"/>
      <c r="BQ194" s="54"/>
    </row>
    <row r="195" spans="1:69" ht="16" x14ac:dyDescent="0.35">
      <c r="A195"/>
      <c r="B195"/>
      <c r="D195"/>
      <c r="G195" t="s">
        <v>210</v>
      </c>
      <c r="H195" s="20"/>
      <c r="I195" s="20"/>
      <c r="J195" s="20"/>
      <c r="K195" s="20"/>
      <c r="L195" s="20"/>
      <c r="Q195" s="83">
        <v>0</v>
      </c>
      <c r="Y195" s="20"/>
      <c r="AP195" s="47"/>
      <c r="AQ195" s="48"/>
      <c r="AR195" s="48"/>
      <c r="AS195" s="48"/>
      <c r="AT195" s="48"/>
      <c r="AU195" s="48"/>
      <c r="AV195" s="94" t="s">
        <v>207</v>
      </c>
      <c r="AW195" s="49"/>
      <c r="AX195" s="49"/>
      <c r="AY195" s="49"/>
      <c r="AZ195" s="49"/>
      <c r="BA195" s="49"/>
      <c r="BB195" s="48"/>
      <c r="BC195" s="48"/>
      <c r="BD195" s="48"/>
      <c r="BE195" s="48"/>
      <c r="BF195" s="96">
        <v>0</v>
      </c>
      <c r="BG195" s="48"/>
      <c r="BH195" s="48"/>
      <c r="BI195" s="48"/>
      <c r="BJ195" s="48"/>
      <c r="BK195" s="48"/>
      <c r="BL195" s="48"/>
      <c r="BM195" s="48"/>
      <c r="BN195" s="49"/>
      <c r="BO195" s="48"/>
      <c r="BP195" s="48"/>
      <c r="BQ195" s="50"/>
    </row>
    <row r="196" spans="1:69" ht="16" x14ac:dyDescent="0.35">
      <c r="A196"/>
      <c r="B196"/>
      <c r="D196"/>
      <c r="G196" t="s">
        <v>210</v>
      </c>
      <c r="H196" s="20"/>
      <c r="I196" s="20"/>
      <c r="J196" s="20"/>
      <c r="K196" s="20"/>
      <c r="L196" s="20"/>
      <c r="Q196" s="83">
        <v>0</v>
      </c>
      <c r="Y196" s="20"/>
      <c r="AP196" s="51"/>
      <c r="AQ196" s="52"/>
      <c r="AR196" s="52"/>
      <c r="AS196" s="52"/>
      <c r="AT196" s="52"/>
      <c r="AU196" s="52"/>
      <c r="AV196" s="73" t="s">
        <v>206</v>
      </c>
      <c r="AW196" s="53"/>
      <c r="AX196" s="53"/>
      <c r="AY196" s="53"/>
      <c r="AZ196" s="53"/>
      <c r="BA196" s="53"/>
      <c r="BB196" s="52"/>
      <c r="BC196" s="52"/>
      <c r="BD196" s="52"/>
      <c r="BE196" s="52"/>
      <c r="BF196" s="95">
        <v>1</v>
      </c>
      <c r="BG196" s="52"/>
      <c r="BH196" s="52"/>
      <c r="BI196" s="52"/>
      <c r="BJ196" s="52"/>
      <c r="BK196" s="52"/>
      <c r="BL196" s="52"/>
      <c r="BM196" s="52"/>
      <c r="BN196" s="53"/>
      <c r="BO196" s="52"/>
      <c r="BP196" s="52"/>
      <c r="BQ196" s="54"/>
    </row>
    <row r="197" spans="1:69" ht="16" x14ac:dyDescent="0.35">
      <c r="A197"/>
      <c r="B197"/>
      <c r="D197"/>
      <c r="G197" t="s">
        <v>210</v>
      </c>
      <c r="H197" s="20"/>
      <c r="I197" s="20"/>
      <c r="J197" s="20"/>
      <c r="K197" s="20"/>
      <c r="L197" s="20"/>
      <c r="Q197" s="83">
        <v>0</v>
      </c>
      <c r="Y197" s="20"/>
      <c r="AP197" s="47"/>
      <c r="AQ197" s="48"/>
      <c r="AR197" s="48"/>
      <c r="AS197" s="48"/>
      <c r="AT197" s="48"/>
      <c r="AU197" s="48"/>
      <c r="AV197" s="94" t="s">
        <v>206</v>
      </c>
      <c r="AW197" s="49"/>
      <c r="AX197" s="49"/>
      <c r="AY197" s="49"/>
      <c r="AZ197" s="49"/>
      <c r="BA197" s="49"/>
      <c r="BB197" s="48"/>
      <c r="BC197" s="48"/>
      <c r="BD197" s="48"/>
      <c r="BE197" s="48"/>
      <c r="BF197" s="96">
        <v>1</v>
      </c>
      <c r="BG197" s="48"/>
      <c r="BH197" s="48"/>
      <c r="BI197" s="48"/>
      <c r="BJ197" s="48"/>
      <c r="BK197" s="48"/>
      <c r="BL197" s="48"/>
      <c r="BM197" s="48"/>
      <c r="BN197" s="49"/>
      <c r="BO197" s="48"/>
      <c r="BP197" s="48"/>
      <c r="BQ197" s="50"/>
    </row>
    <row r="198" spans="1:69" ht="16" x14ac:dyDescent="0.35">
      <c r="A198"/>
      <c r="B198"/>
      <c r="D198"/>
      <c r="G198" t="s">
        <v>210</v>
      </c>
      <c r="H198" s="20"/>
      <c r="I198" s="20"/>
      <c r="J198" s="20"/>
      <c r="K198" s="20"/>
      <c r="L198" s="20"/>
      <c r="Q198" s="83">
        <v>0</v>
      </c>
      <c r="Y198" s="20"/>
      <c r="AP198" s="51"/>
      <c r="AQ198" s="52"/>
      <c r="AR198" s="52"/>
      <c r="AS198" s="52"/>
      <c r="AT198" s="52"/>
      <c r="AU198" s="52"/>
      <c r="AV198" s="73" t="s">
        <v>206</v>
      </c>
      <c r="AW198" s="53"/>
      <c r="AX198" s="53"/>
      <c r="AY198" s="53"/>
      <c r="AZ198" s="53"/>
      <c r="BA198" s="53"/>
      <c r="BB198" s="52"/>
      <c r="BC198" s="52"/>
      <c r="BD198" s="52"/>
      <c r="BE198" s="52"/>
      <c r="BF198" s="95">
        <v>1</v>
      </c>
      <c r="BG198" s="52"/>
      <c r="BH198" s="52"/>
      <c r="BI198" s="52"/>
      <c r="BJ198" s="52"/>
      <c r="BK198" s="52"/>
      <c r="BL198" s="52"/>
      <c r="BM198" s="52"/>
      <c r="BN198" s="53"/>
      <c r="BO198" s="52"/>
      <c r="BP198" s="52"/>
      <c r="BQ198" s="54"/>
    </row>
    <row r="199" spans="1:69" ht="16" x14ac:dyDescent="0.35">
      <c r="A199"/>
      <c r="B199"/>
      <c r="D199"/>
      <c r="G199" t="s">
        <v>210</v>
      </c>
      <c r="H199" s="20"/>
      <c r="I199" s="20"/>
      <c r="J199" s="20"/>
      <c r="K199" s="20"/>
      <c r="L199" s="20"/>
      <c r="Q199" s="83">
        <v>0</v>
      </c>
      <c r="Y199" s="20"/>
      <c r="AP199" s="47"/>
      <c r="AQ199" s="48"/>
      <c r="AR199" s="48"/>
      <c r="AS199" s="48"/>
      <c r="AT199" s="48"/>
      <c r="AU199" s="48"/>
      <c r="AV199" s="94" t="s">
        <v>206</v>
      </c>
      <c r="AW199" s="49"/>
      <c r="AX199" s="49"/>
      <c r="AY199" s="49"/>
      <c r="AZ199" s="49"/>
      <c r="BA199" s="49"/>
      <c r="BB199" s="48"/>
      <c r="BC199" s="48"/>
      <c r="BD199" s="48"/>
      <c r="BE199" s="48"/>
      <c r="BF199" s="96">
        <v>1</v>
      </c>
      <c r="BG199" s="48"/>
      <c r="BH199" s="48"/>
      <c r="BI199" s="48"/>
      <c r="BJ199" s="48"/>
      <c r="BK199" s="48"/>
      <c r="BL199" s="48"/>
      <c r="BM199" s="48"/>
      <c r="BN199" s="49"/>
      <c r="BO199" s="48"/>
      <c r="BP199" s="48"/>
      <c r="BQ199" s="50"/>
    </row>
    <row r="200" spans="1:69" ht="16" x14ac:dyDescent="0.35">
      <c r="A200"/>
      <c r="B200"/>
      <c r="D200"/>
      <c r="G200" t="s">
        <v>210</v>
      </c>
      <c r="H200" s="20"/>
      <c r="I200" s="20"/>
      <c r="J200" s="20"/>
      <c r="K200" s="20"/>
      <c r="L200" s="20"/>
      <c r="Q200" s="83">
        <v>0</v>
      </c>
      <c r="Y200" s="20"/>
      <c r="AP200" s="51"/>
      <c r="AQ200" s="52"/>
      <c r="AR200" s="52"/>
      <c r="AS200" s="52"/>
      <c r="AT200" s="52"/>
      <c r="AU200" s="52"/>
      <c r="AV200" s="73" t="s">
        <v>207</v>
      </c>
      <c r="AW200" s="53"/>
      <c r="AX200" s="53"/>
      <c r="AY200" s="53"/>
      <c r="AZ200" s="53"/>
      <c r="BA200" s="53"/>
      <c r="BB200" s="52"/>
      <c r="BC200" s="52"/>
      <c r="BD200" s="52"/>
      <c r="BE200" s="52"/>
      <c r="BF200" s="95">
        <v>0</v>
      </c>
      <c r="BG200" s="52"/>
      <c r="BH200" s="52"/>
      <c r="BI200" s="52"/>
      <c r="BJ200" s="52"/>
      <c r="BK200" s="52"/>
      <c r="BL200" s="52"/>
      <c r="BM200" s="52"/>
      <c r="BN200" s="53"/>
      <c r="BO200" s="52"/>
      <c r="BP200" s="52"/>
      <c r="BQ200" s="54"/>
    </row>
    <row r="201" spans="1:69" ht="16" x14ac:dyDescent="0.35">
      <c r="A201"/>
      <c r="B201"/>
      <c r="D201"/>
      <c r="G201" t="s">
        <v>211</v>
      </c>
      <c r="H201" s="20"/>
      <c r="I201" s="20"/>
      <c r="J201" s="20"/>
      <c r="K201" s="20"/>
      <c r="L201" s="20"/>
      <c r="Q201" s="83">
        <v>1</v>
      </c>
      <c r="Y201" s="20"/>
      <c r="AP201" s="47"/>
      <c r="AQ201" s="48"/>
      <c r="AR201" s="48"/>
      <c r="AS201" s="48"/>
      <c r="AT201" s="48"/>
      <c r="AU201" s="48"/>
      <c r="AV201" s="94" t="s">
        <v>207</v>
      </c>
      <c r="AW201" s="49"/>
      <c r="AX201" s="49"/>
      <c r="AY201" s="49"/>
      <c r="AZ201" s="49"/>
      <c r="BA201" s="49"/>
      <c r="BB201" s="48"/>
      <c r="BC201" s="48"/>
      <c r="BD201" s="48"/>
      <c r="BE201" s="48"/>
      <c r="BF201" s="96">
        <v>0</v>
      </c>
      <c r="BG201" s="48"/>
      <c r="BH201" s="48"/>
      <c r="BI201" s="48"/>
      <c r="BJ201" s="48"/>
      <c r="BK201" s="48"/>
      <c r="BL201" s="48"/>
      <c r="BM201" s="48"/>
      <c r="BN201" s="49"/>
      <c r="BO201" s="48"/>
      <c r="BP201" s="48"/>
      <c r="BQ201" s="50"/>
    </row>
    <row r="202" spans="1:69" ht="16" x14ac:dyDescent="0.35">
      <c r="A202"/>
      <c r="B202"/>
      <c r="D202"/>
      <c r="G202" t="s">
        <v>211</v>
      </c>
      <c r="H202" s="20"/>
      <c r="I202" s="20"/>
      <c r="J202" s="20"/>
      <c r="K202" s="20"/>
      <c r="L202" s="20"/>
      <c r="Q202" s="83">
        <v>2</v>
      </c>
      <c r="Y202" s="20"/>
      <c r="AP202" s="51"/>
      <c r="AQ202" s="52"/>
      <c r="AR202" s="52"/>
      <c r="AS202" s="52"/>
      <c r="AT202" s="52"/>
      <c r="AU202" s="52"/>
      <c r="AV202" s="73" t="s">
        <v>206</v>
      </c>
      <c r="AW202" s="53"/>
      <c r="AX202" s="53"/>
      <c r="AY202" s="53"/>
      <c r="AZ202" s="53"/>
      <c r="BA202" s="53"/>
      <c r="BB202" s="52"/>
      <c r="BC202" s="52"/>
      <c r="BD202" s="52"/>
      <c r="BE202" s="52"/>
      <c r="BF202" s="95">
        <v>1</v>
      </c>
      <c r="BG202" s="52"/>
      <c r="BH202" s="52"/>
      <c r="BI202" s="52"/>
      <c r="BJ202" s="52"/>
      <c r="BK202" s="52"/>
      <c r="BL202" s="52"/>
      <c r="BM202" s="52"/>
      <c r="BN202" s="53"/>
      <c r="BO202" s="52"/>
      <c r="BP202" s="52"/>
      <c r="BQ202" s="54"/>
    </row>
    <row r="203" spans="1:69" ht="16" x14ac:dyDescent="0.35">
      <c r="A203"/>
      <c r="B203"/>
      <c r="D203"/>
      <c r="G203" t="s">
        <v>210</v>
      </c>
      <c r="H203" s="20"/>
      <c r="I203" s="20"/>
      <c r="J203" s="20"/>
      <c r="K203" s="20"/>
      <c r="L203" s="20"/>
      <c r="Q203" s="83">
        <v>0</v>
      </c>
      <c r="Y203" s="20"/>
      <c r="AP203" s="47"/>
      <c r="AQ203" s="48"/>
      <c r="AR203" s="48"/>
      <c r="AS203" s="48"/>
      <c r="AT203" s="48"/>
      <c r="AU203" s="48"/>
      <c r="AV203" s="94" t="s">
        <v>206</v>
      </c>
      <c r="AW203" s="49"/>
      <c r="AX203" s="49"/>
      <c r="AY203" s="49"/>
      <c r="AZ203" s="49"/>
      <c r="BA203" s="49"/>
      <c r="BB203" s="48"/>
      <c r="BC203" s="48"/>
      <c r="BD203" s="48"/>
      <c r="BE203" s="48"/>
      <c r="BF203" s="96">
        <v>1</v>
      </c>
      <c r="BG203" s="48"/>
      <c r="BH203" s="48"/>
      <c r="BI203" s="48"/>
      <c r="BJ203" s="48"/>
      <c r="BK203" s="48"/>
      <c r="BL203" s="48"/>
      <c r="BM203" s="48"/>
      <c r="BN203" s="49"/>
      <c r="BO203" s="48"/>
      <c r="BP203" s="48"/>
      <c r="BQ203" s="50"/>
    </row>
    <row r="204" spans="1:69" ht="16" x14ac:dyDescent="0.35">
      <c r="A204"/>
      <c r="B204"/>
      <c r="D204"/>
      <c r="G204" t="s">
        <v>210</v>
      </c>
      <c r="H204" s="20"/>
      <c r="I204" s="20"/>
      <c r="J204" s="20"/>
      <c r="K204" s="20"/>
      <c r="L204" s="20"/>
      <c r="Q204" s="83">
        <v>0</v>
      </c>
      <c r="Y204" s="20"/>
      <c r="AP204" s="51"/>
      <c r="AQ204" s="52"/>
      <c r="AR204" s="52"/>
      <c r="AS204" s="52"/>
      <c r="AT204" s="52"/>
      <c r="AU204" s="52"/>
      <c r="AV204" s="73" t="s">
        <v>206</v>
      </c>
      <c r="AW204" s="53"/>
      <c r="AX204" s="53"/>
      <c r="AY204" s="53"/>
      <c r="AZ204" s="53"/>
      <c r="BA204" s="53"/>
      <c r="BB204" s="52"/>
      <c r="BC204" s="52"/>
      <c r="BD204" s="52"/>
      <c r="BE204" s="52"/>
      <c r="BF204" s="95">
        <v>1</v>
      </c>
      <c r="BG204" s="52"/>
      <c r="BH204" s="52"/>
      <c r="BI204" s="52"/>
      <c r="BJ204" s="52"/>
      <c r="BK204" s="52"/>
      <c r="BL204" s="52"/>
      <c r="BM204" s="52"/>
      <c r="BN204" s="53"/>
      <c r="BO204" s="52"/>
      <c r="BP204" s="52"/>
      <c r="BQ204" s="54"/>
    </row>
    <row r="205" spans="1:69" ht="16" x14ac:dyDescent="0.35">
      <c r="A205"/>
      <c r="B205"/>
      <c r="D205"/>
      <c r="G205" t="s">
        <v>210</v>
      </c>
      <c r="H205" s="20"/>
      <c r="I205" s="20"/>
      <c r="J205" s="20"/>
      <c r="K205" s="20"/>
      <c r="L205" s="20"/>
      <c r="Q205" s="83">
        <v>0</v>
      </c>
      <c r="Y205" s="20"/>
      <c r="AP205" s="47"/>
      <c r="AQ205" s="48"/>
      <c r="AR205" s="48"/>
      <c r="AS205" s="48"/>
      <c r="AT205" s="48"/>
      <c r="AU205" s="48"/>
      <c r="AV205" s="94" t="s">
        <v>207</v>
      </c>
      <c r="AW205" s="49"/>
      <c r="AX205" s="49"/>
      <c r="AY205" s="49"/>
      <c r="AZ205" s="49"/>
      <c r="BA205" s="49"/>
      <c r="BB205" s="48"/>
      <c r="BC205" s="48"/>
      <c r="BD205" s="48"/>
      <c r="BE205" s="48"/>
      <c r="BF205" s="96">
        <v>2</v>
      </c>
      <c r="BG205" s="48"/>
      <c r="BH205" s="48"/>
      <c r="BI205" s="48"/>
      <c r="BJ205" s="48"/>
      <c r="BK205" s="48"/>
      <c r="BL205" s="48"/>
      <c r="BM205" s="48"/>
      <c r="BN205" s="49"/>
      <c r="BO205" s="48"/>
      <c r="BP205" s="48"/>
      <c r="BQ205" s="50"/>
    </row>
    <row r="206" spans="1:69" ht="16" x14ac:dyDescent="0.35">
      <c r="A206"/>
      <c r="B206"/>
      <c r="D206"/>
      <c r="G206" t="s">
        <v>239</v>
      </c>
      <c r="H206" s="20"/>
      <c r="I206" s="20"/>
      <c r="J206" s="20"/>
      <c r="K206" s="20"/>
      <c r="L206" s="20"/>
      <c r="Q206" s="83">
        <v>0</v>
      </c>
      <c r="Y206" s="20"/>
      <c r="AP206" s="51"/>
      <c r="AQ206" s="52"/>
      <c r="AR206" s="52"/>
      <c r="AS206" s="52"/>
      <c r="AT206" s="52"/>
      <c r="AU206" s="52"/>
      <c r="AV206" s="73" t="s">
        <v>208</v>
      </c>
      <c r="AW206" s="53"/>
      <c r="AX206" s="53"/>
      <c r="AY206" s="53"/>
      <c r="AZ206" s="53"/>
      <c r="BA206" s="53"/>
      <c r="BB206" s="52"/>
      <c r="BC206" s="52"/>
      <c r="BD206" s="52"/>
      <c r="BE206" s="52"/>
      <c r="BF206" s="95">
        <v>1</v>
      </c>
      <c r="BG206" s="52"/>
      <c r="BH206" s="52"/>
      <c r="BI206" s="52"/>
      <c r="BJ206" s="52"/>
      <c r="BK206" s="52"/>
      <c r="BL206" s="52"/>
      <c r="BM206" s="52"/>
      <c r="BN206" s="53"/>
      <c r="BO206" s="52"/>
      <c r="BP206" s="52"/>
      <c r="BQ206" s="54"/>
    </row>
    <row r="207" spans="1:69" ht="16" x14ac:dyDescent="0.35">
      <c r="A207"/>
      <c r="B207"/>
      <c r="D207"/>
      <c r="G207" t="s">
        <v>239</v>
      </c>
      <c r="H207" s="20"/>
      <c r="I207" s="20"/>
      <c r="J207" s="20"/>
      <c r="K207" s="20"/>
      <c r="L207" s="20"/>
      <c r="Q207" s="83">
        <v>0</v>
      </c>
      <c r="Y207" s="20"/>
      <c r="AP207" s="47"/>
      <c r="AQ207" s="48"/>
      <c r="AR207" s="48"/>
      <c r="AS207" s="48"/>
      <c r="AT207" s="48"/>
      <c r="AU207" s="48"/>
      <c r="AV207" s="94" t="s">
        <v>207</v>
      </c>
      <c r="AW207" s="49"/>
      <c r="AX207" s="49"/>
      <c r="AY207" s="49"/>
      <c r="AZ207" s="49"/>
      <c r="BA207" s="49"/>
      <c r="BB207" s="48"/>
      <c r="BC207" s="48"/>
      <c r="BD207" s="48"/>
      <c r="BE207" s="48"/>
      <c r="BF207" s="96">
        <v>0</v>
      </c>
      <c r="BG207" s="48"/>
      <c r="BH207" s="48"/>
      <c r="BI207" s="48"/>
      <c r="BJ207" s="48"/>
      <c r="BK207" s="48"/>
      <c r="BL207" s="48"/>
      <c r="BM207" s="48"/>
      <c r="BN207" s="49"/>
      <c r="BO207" s="48"/>
      <c r="BP207" s="48"/>
      <c r="BQ207" s="50"/>
    </row>
    <row r="208" spans="1:69" ht="16" x14ac:dyDescent="0.35">
      <c r="A208"/>
      <c r="B208"/>
      <c r="D208"/>
      <c r="G208" t="s">
        <v>210</v>
      </c>
      <c r="H208" s="20"/>
      <c r="I208" s="20"/>
      <c r="J208" s="20"/>
      <c r="K208" s="20"/>
      <c r="L208" s="20"/>
      <c r="Q208" s="83">
        <v>0</v>
      </c>
      <c r="Y208" s="20"/>
      <c r="AP208" s="51"/>
      <c r="AQ208" s="52"/>
      <c r="AR208" s="52"/>
      <c r="AS208" s="52"/>
      <c r="AT208" s="52"/>
      <c r="AU208" s="52"/>
      <c r="AV208" s="73" t="s">
        <v>206</v>
      </c>
      <c r="AW208" s="53"/>
      <c r="AX208" s="53"/>
      <c r="AY208" s="53"/>
      <c r="AZ208" s="53"/>
      <c r="BA208" s="53"/>
      <c r="BB208" s="52"/>
      <c r="BC208" s="52"/>
      <c r="BD208" s="52"/>
      <c r="BE208" s="52"/>
      <c r="BF208" s="95">
        <v>1</v>
      </c>
      <c r="BG208" s="52"/>
      <c r="BH208" s="52"/>
      <c r="BI208" s="52"/>
      <c r="BJ208" s="52"/>
      <c r="BK208" s="52"/>
      <c r="BL208" s="52"/>
      <c r="BM208" s="52"/>
      <c r="BN208" s="53"/>
      <c r="BO208" s="52"/>
      <c r="BP208" s="52"/>
      <c r="BQ208" s="54"/>
    </row>
    <row r="209" spans="1:69" ht="16" x14ac:dyDescent="0.35">
      <c r="A209"/>
      <c r="B209"/>
      <c r="D209"/>
      <c r="G209" t="s">
        <v>210</v>
      </c>
      <c r="H209" s="20"/>
      <c r="I209" s="20"/>
      <c r="J209" s="20"/>
      <c r="K209" s="20"/>
      <c r="L209" s="20"/>
      <c r="Q209" s="83">
        <v>0</v>
      </c>
      <c r="Y209" s="20"/>
      <c r="AP209" s="47"/>
      <c r="AQ209" s="48"/>
      <c r="AR209" s="48"/>
      <c r="AS209" s="48"/>
      <c r="AT209" s="48"/>
      <c r="AU209" s="48"/>
      <c r="AV209" s="94" t="s">
        <v>206</v>
      </c>
      <c r="AW209" s="49"/>
      <c r="AX209" s="49"/>
      <c r="AY209" s="49"/>
      <c r="AZ209" s="49"/>
      <c r="BA209" s="49"/>
      <c r="BB209" s="48"/>
      <c r="BC209" s="48"/>
      <c r="BD209" s="48"/>
      <c r="BE209" s="48"/>
      <c r="BF209" s="96">
        <v>1</v>
      </c>
      <c r="BG209" s="48"/>
      <c r="BH209" s="48"/>
      <c r="BI209" s="48"/>
      <c r="BJ209" s="48"/>
      <c r="BK209" s="48"/>
      <c r="BL209" s="48"/>
      <c r="BM209" s="48"/>
      <c r="BN209" s="49"/>
      <c r="BO209" s="48"/>
      <c r="BP209" s="48"/>
      <c r="BQ209" s="50"/>
    </row>
    <row r="210" spans="1:69" ht="16" x14ac:dyDescent="0.35">
      <c r="A210"/>
      <c r="B210"/>
      <c r="D210"/>
      <c r="G210" t="s">
        <v>210</v>
      </c>
      <c r="H210" s="20"/>
      <c r="I210" s="20"/>
      <c r="J210" s="20"/>
      <c r="K210" s="20"/>
      <c r="L210" s="20"/>
      <c r="Q210" s="83">
        <v>0</v>
      </c>
      <c r="Y210" s="20"/>
      <c r="AP210" s="51"/>
      <c r="AQ210" s="52"/>
      <c r="AR210" s="52"/>
      <c r="AS210" s="52"/>
      <c r="AT210" s="52"/>
      <c r="AU210" s="52"/>
      <c r="AV210" s="73" t="s">
        <v>206</v>
      </c>
      <c r="AW210" s="53"/>
      <c r="AX210" s="53"/>
      <c r="AY210" s="53"/>
      <c r="AZ210" s="53"/>
      <c r="BA210" s="53"/>
      <c r="BB210" s="52"/>
      <c r="BC210" s="52"/>
      <c r="BD210" s="52"/>
      <c r="BE210" s="52"/>
      <c r="BF210" s="95">
        <v>1</v>
      </c>
      <c r="BG210" s="52"/>
      <c r="BH210" s="52"/>
      <c r="BI210" s="52"/>
      <c r="BJ210" s="52"/>
      <c r="BK210" s="52"/>
      <c r="BL210" s="52"/>
      <c r="BM210" s="52"/>
      <c r="BN210" s="53"/>
      <c r="BO210" s="52"/>
      <c r="BP210" s="52"/>
      <c r="BQ210" s="54"/>
    </row>
    <row r="211" spans="1:69" ht="16" x14ac:dyDescent="0.35">
      <c r="A211"/>
      <c r="B211"/>
      <c r="D211"/>
      <c r="G211" t="s">
        <v>210</v>
      </c>
      <c r="H211" s="20"/>
      <c r="I211" s="20"/>
      <c r="J211" s="20"/>
      <c r="K211" s="20"/>
      <c r="L211" s="20"/>
      <c r="Q211" s="83">
        <v>0</v>
      </c>
      <c r="Y211" s="20"/>
      <c r="AP211" s="47"/>
      <c r="AQ211" s="48"/>
      <c r="AR211" s="48"/>
      <c r="AS211" s="48"/>
      <c r="AT211" s="48"/>
      <c r="AU211" s="48"/>
      <c r="AV211" s="94" t="s">
        <v>208</v>
      </c>
      <c r="AW211" s="49"/>
      <c r="AX211" s="49"/>
      <c r="AY211" s="49"/>
      <c r="AZ211" s="49"/>
      <c r="BA211" s="49"/>
      <c r="BB211" s="48"/>
      <c r="BC211" s="48"/>
      <c r="BD211" s="48"/>
      <c r="BE211" s="48"/>
      <c r="BF211" s="96">
        <v>1</v>
      </c>
      <c r="BG211" s="48"/>
      <c r="BH211" s="48"/>
      <c r="BI211" s="48"/>
      <c r="BJ211" s="48"/>
      <c r="BK211" s="48"/>
      <c r="BL211" s="48"/>
      <c r="BM211" s="48"/>
      <c r="BN211" s="49"/>
      <c r="BO211" s="48"/>
      <c r="BP211" s="48"/>
      <c r="BQ211" s="50"/>
    </row>
    <row r="212" spans="1:69" ht="16" x14ac:dyDescent="0.35">
      <c r="A212"/>
      <c r="B212"/>
      <c r="D212"/>
      <c r="G212" t="s">
        <v>210</v>
      </c>
      <c r="H212" s="20"/>
      <c r="I212" s="20"/>
      <c r="J212" s="20"/>
      <c r="K212" s="20"/>
      <c r="L212" s="20"/>
      <c r="Q212" s="83">
        <v>0</v>
      </c>
      <c r="Y212" s="20"/>
      <c r="AP212" s="51"/>
      <c r="AQ212" s="52"/>
      <c r="AR212" s="52"/>
      <c r="AS212" s="52"/>
      <c r="AT212" s="52"/>
      <c r="AU212" s="52"/>
      <c r="AV212" s="73" t="s">
        <v>206</v>
      </c>
      <c r="AW212" s="53"/>
      <c r="AX212" s="53"/>
      <c r="AY212" s="53"/>
      <c r="AZ212" s="53"/>
      <c r="BA212" s="53"/>
      <c r="BB212" s="52"/>
      <c r="BC212" s="52"/>
      <c r="BD212" s="52"/>
      <c r="BE212" s="52"/>
      <c r="BF212" s="95">
        <v>1</v>
      </c>
      <c r="BG212" s="52"/>
      <c r="BH212" s="52"/>
      <c r="BI212" s="52"/>
      <c r="BJ212" s="52"/>
      <c r="BK212" s="52"/>
      <c r="BL212" s="52"/>
      <c r="BM212" s="52"/>
      <c r="BN212" s="53"/>
      <c r="BO212" s="52"/>
      <c r="BP212" s="52"/>
      <c r="BQ212" s="54"/>
    </row>
    <row r="213" spans="1:69" ht="16" x14ac:dyDescent="0.35">
      <c r="A213"/>
      <c r="B213"/>
      <c r="D213"/>
      <c r="G213" t="s">
        <v>210</v>
      </c>
      <c r="H213" s="20"/>
      <c r="I213" s="20"/>
      <c r="J213" s="20"/>
      <c r="K213" s="20"/>
      <c r="L213" s="20"/>
      <c r="Q213" s="83">
        <v>0</v>
      </c>
      <c r="Y213" s="20"/>
      <c r="AP213" s="47"/>
      <c r="AQ213" s="48"/>
      <c r="AR213" s="48"/>
      <c r="AS213" s="48"/>
      <c r="AT213" s="48"/>
      <c r="AU213" s="48"/>
      <c r="AV213" s="94" t="s">
        <v>206</v>
      </c>
      <c r="AW213" s="49"/>
      <c r="AX213" s="49"/>
      <c r="AY213" s="49"/>
      <c r="AZ213" s="49"/>
      <c r="BA213" s="49"/>
      <c r="BB213" s="48"/>
      <c r="BC213" s="48"/>
      <c r="BD213" s="48"/>
      <c r="BE213" s="48"/>
      <c r="BF213" s="96">
        <v>1</v>
      </c>
      <c r="BG213" s="48"/>
      <c r="BH213" s="48"/>
      <c r="BI213" s="48"/>
      <c r="BJ213" s="48"/>
      <c r="BK213" s="48"/>
      <c r="BL213" s="48"/>
      <c r="BM213" s="48"/>
      <c r="BN213" s="49"/>
      <c r="BO213" s="48"/>
      <c r="BP213" s="48"/>
      <c r="BQ213" s="50"/>
    </row>
    <row r="214" spans="1:69" ht="16" x14ac:dyDescent="0.35">
      <c r="A214"/>
      <c r="B214"/>
      <c r="D214"/>
      <c r="G214" t="s">
        <v>210</v>
      </c>
      <c r="H214" s="20"/>
      <c r="I214" s="20"/>
      <c r="J214" s="20"/>
      <c r="K214" s="20"/>
      <c r="L214" s="20"/>
      <c r="Q214" s="83">
        <v>0</v>
      </c>
      <c r="Y214" s="20"/>
      <c r="AP214" s="51"/>
      <c r="AQ214" s="52"/>
      <c r="AR214" s="52"/>
      <c r="AS214" s="52"/>
      <c r="AT214" s="52"/>
      <c r="AU214" s="52"/>
      <c r="AV214" s="73" t="s">
        <v>206</v>
      </c>
      <c r="AW214" s="53"/>
      <c r="AX214" s="53"/>
      <c r="AY214" s="53"/>
      <c r="AZ214" s="53"/>
      <c r="BA214" s="53"/>
      <c r="BB214" s="52"/>
      <c r="BC214" s="52"/>
      <c r="BD214" s="52"/>
      <c r="BE214" s="52"/>
      <c r="BF214" s="95">
        <v>1</v>
      </c>
      <c r="BG214" s="52"/>
      <c r="BH214" s="52"/>
      <c r="BI214" s="52"/>
      <c r="BJ214" s="52"/>
      <c r="BK214" s="52"/>
      <c r="BL214" s="52"/>
      <c r="BM214" s="52"/>
      <c r="BN214" s="53"/>
      <c r="BO214" s="52"/>
      <c r="BP214" s="52"/>
      <c r="BQ214" s="54"/>
    </row>
    <row r="215" spans="1:69" ht="16" x14ac:dyDescent="0.35">
      <c r="A215"/>
      <c r="B215"/>
      <c r="D215"/>
      <c r="G215" t="s">
        <v>210</v>
      </c>
      <c r="H215" s="20"/>
      <c r="I215" s="20"/>
      <c r="J215" s="20"/>
      <c r="K215" s="20"/>
      <c r="L215" s="20"/>
      <c r="Q215" s="83">
        <v>0</v>
      </c>
      <c r="Y215" s="20"/>
      <c r="AP215" s="47"/>
      <c r="AQ215" s="48"/>
      <c r="AR215" s="48"/>
      <c r="AS215" s="48"/>
      <c r="AT215" s="48"/>
      <c r="AU215" s="48"/>
      <c r="AV215" s="94" t="s">
        <v>206</v>
      </c>
      <c r="AW215" s="49"/>
      <c r="AX215" s="49"/>
      <c r="AY215" s="49"/>
      <c r="AZ215" s="49"/>
      <c r="BA215" s="49"/>
      <c r="BB215" s="48"/>
      <c r="BC215" s="48"/>
      <c r="BD215" s="48"/>
      <c r="BE215" s="48"/>
      <c r="BF215" s="96">
        <v>1</v>
      </c>
      <c r="BG215" s="48"/>
      <c r="BH215" s="48"/>
      <c r="BI215" s="48"/>
      <c r="BJ215" s="48"/>
      <c r="BK215" s="48"/>
      <c r="BL215" s="48"/>
      <c r="BM215" s="48"/>
      <c r="BN215" s="49"/>
      <c r="BO215" s="48"/>
      <c r="BP215" s="48"/>
      <c r="BQ215" s="50"/>
    </row>
    <row r="216" spans="1:69" ht="16" x14ac:dyDescent="0.35">
      <c r="A216"/>
      <c r="B216"/>
      <c r="D216"/>
      <c r="G216" t="s">
        <v>210</v>
      </c>
      <c r="H216" s="20"/>
      <c r="I216" s="20"/>
      <c r="J216" s="20"/>
      <c r="K216" s="20"/>
      <c r="L216" s="20"/>
      <c r="Q216" s="83">
        <v>0</v>
      </c>
      <c r="Y216" s="20"/>
      <c r="AP216" s="51"/>
      <c r="AQ216" s="52"/>
      <c r="AR216" s="52"/>
      <c r="AS216" s="52"/>
      <c r="AT216" s="52"/>
      <c r="AU216" s="52"/>
      <c r="AV216" s="73" t="s">
        <v>207</v>
      </c>
      <c r="AW216" s="53"/>
      <c r="AX216" s="53"/>
      <c r="AY216" s="53"/>
      <c r="AZ216" s="53"/>
      <c r="BA216" s="53"/>
      <c r="BB216" s="52"/>
      <c r="BC216" s="52"/>
      <c r="BD216" s="52"/>
      <c r="BE216" s="52"/>
      <c r="BF216" s="95">
        <v>3</v>
      </c>
      <c r="BG216" s="52"/>
      <c r="BH216" s="52"/>
      <c r="BI216" s="52"/>
      <c r="BJ216" s="52"/>
      <c r="BK216" s="52"/>
      <c r="BL216" s="52"/>
      <c r="BM216" s="52"/>
      <c r="BN216" s="53"/>
      <c r="BO216" s="52"/>
      <c r="BP216" s="52"/>
      <c r="BQ216" s="54"/>
    </row>
    <row r="217" spans="1:69" ht="16" x14ac:dyDescent="0.35">
      <c r="A217"/>
      <c r="B217"/>
      <c r="D217"/>
      <c r="G217" t="s">
        <v>213</v>
      </c>
      <c r="H217" s="20"/>
      <c r="I217" s="20"/>
      <c r="J217" s="20"/>
      <c r="K217" s="20"/>
      <c r="L217" s="20"/>
      <c r="Q217" s="83">
        <v>0</v>
      </c>
      <c r="Y217" s="20"/>
      <c r="AP217" s="47"/>
      <c r="AQ217" s="48"/>
      <c r="AR217" s="48"/>
      <c r="AS217" s="48"/>
      <c r="AT217" s="48"/>
      <c r="AU217" s="48"/>
      <c r="AV217" s="94" t="s">
        <v>209</v>
      </c>
      <c r="AW217" s="49"/>
      <c r="AX217" s="49"/>
      <c r="AY217" s="49"/>
      <c r="AZ217" s="49"/>
      <c r="BA217" s="49"/>
      <c r="BB217" s="48"/>
      <c r="BC217" s="48"/>
      <c r="BD217" s="48"/>
      <c r="BE217" s="48"/>
      <c r="BF217" s="96">
        <v>2</v>
      </c>
      <c r="BG217" s="48"/>
      <c r="BH217" s="48"/>
      <c r="BI217" s="48"/>
      <c r="BJ217" s="48"/>
      <c r="BK217" s="48"/>
      <c r="BL217" s="48"/>
      <c r="BM217" s="48"/>
      <c r="BN217" s="49"/>
      <c r="BO217" s="48"/>
      <c r="BP217" s="48"/>
      <c r="BQ217" s="50"/>
    </row>
    <row r="218" spans="1:69" ht="16" x14ac:dyDescent="0.35">
      <c r="A218"/>
      <c r="B218"/>
      <c r="D218"/>
      <c r="G218" t="s">
        <v>214</v>
      </c>
      <c r="H218" s="20"/>
      <c r="I218" s="20"/>
      <c r="J218" s="20"/>
      <c r="K218" s="20"/>
      <c r="L218" s="20"/>
      <c r="Q218" s="83">
        <v>0</v>
      </c>
      <c r="Y218" s="20"/>
      <c r="AP218" s="51"/>
      <c r="AQ218" s="52"/>
      <c r="AR218" s="52"/>
      <c r="AS218" s="52"/>
      <c r="AT218" s="52"/>
      <c r="AU218" s="52"/>
      <c r="AV218" s="73" t="s">
        <v>209</v>
      </c>
      <c r="AW218" s="53"/>
      <c r="AX218" s="53"/>
      <c r="AY218" s="53"/>
      <c r="AZ218" s="53"/>
      <c r="BA218" s="53"/>
      <c r="BB218" s="52"/>
      <c r="BC218" s="52"/>
      <c r="BD218" s="52"/>
      <c r="BE218" s="52"/>
      <c r="BF218" s="95">
        <v>2</v>
      </c>
      <c r="BG218" s="52"/>
      <c r="BH218" s="52"/>
      <c r="BI218" s="52"/>
      <c r="BJ218" s="52"/>
      <c r="BK218" s="52"/>
      <c r="BL218" s="52"/>
      <c r="BM218" s="52"/>
      <c r="BN218" s="53"/>
      <c r="BO218" s="52"/>
      <c r="BP218" s="52"/>
      <c r="BQ218" s="54"/>
    </row>
    <row r="219" spans="1:69" ht="16" x14ac:dyDescent="0.35">
      <c r="A219"/>
      <c r="B219"/>
      <c r="D219"/>
      <c r="G219" t="s">
        <v>214</v>
      </c>
      <c r="H219" s="20"/>
      <c r="I219" s="20"/>
      <c r="J219" s="20"/>
      <c r="K219" s="20"/>
      <c r="L219" s="20"/>
      <c r="Q219" s="83">
        <v>0</v>
      </c>
      <c r="Y219" s="20"/>
      <c r="AP219" s="47"/>
      <c r="AQ219" s="48"/>
      <c r="AR219" s="48"/>
      <c r="AS219" s="48"/>
      <c r="AT219" s="48"/>
      <c r="AU219" s="48"/>
      <c r="AV219" s="94" t="s">
        <v>209</v>
      </c>
      <c r="AW219" s="49"/>
      <c r="AX219" s="49"/>
      <c r="AY219" s="49"/>
      <c r="AZ219" s="49"/>
      <c r="BA219" s="49"/>
      <c r="BB219" s="48"/>
      <c r="BC219" s="48"/>
      <c r="BD219" s="48"/>
      <c r="BE219" s="48"/>
      <c r="BF219" s="96">
        <v>1</v>
      </c>
      <c r="BG219" s="48"/>
      <c r="BH219" s="48"/>
      <c r="BI219" s="48"/>
      <c r="BJ219" s="48"/>
      <c r="BK219" s="48"/>
      <c r="BL219" s="48"/>
      <c r="BM219" s="48"/>
      <c r="BN219" s="49"/>
      <c r="BO219" s="48"/>
      <c r="BP219" s="48"/>
      <c r="BQ219" s="50"/>
    </row>
    <row r="220" spans="1:69" ht="16" x14ac:dyDescent="0.35">
      <c r="A220"/>
      <c r="B220"/>
      <c r="D220"/>
      <c r="G220" t="s">
        <v>214</v>
      </c>
      <c r="H220" s="20"/>
      <c r="I220" s="20"/>
      <c r="J220" s="20"/>
      <c r="K220" s="20"/>
      <c r="L220" s="20"/>
      <c r="Q220" s="83">
        <v>0</v>
      </c>
      <c r="Y220" s="20"/>
      <c r="AP220" s="51"/>
      <c r="AQ220" s="52"/>
      <c r="AR220" s="52"/>
      <c r="AS220" s="52"/>
      <c r="AT220" s="52"/>
      <c r="AU220" s="52"/>
      <c r="AV220" s="73" t="s">
        <v>209</v>
      </c>
      <c r="AW220" s="53"/>
      <c r="AX220" s="53"/>
      <c r="AY220" s="53"/>
      <c r="AZ220" s="53"/>
      <c r="BA220" s="53"/>
      <c r="BB220" s="52"/>
      <c r="BC220" s="52"/>
      <c r="BD220" s="52"/>
      <c r="BE220" s="52"/>
      <c r="BF220" s="95">
        <v>1</v>
      </c>
      <c r="BG220" s="52"/>
      <c r="BH220" s="52"/>
      <c r="BI220" s="52"/>
      <c r="BJ220" s="52"/>
      <c r="BK220" s="52"/>
      <c r="BL220" s="52"/>
      <c r="BM220" s="52"/>
      <c r="BN220" s="53"/>
      <c r="BO220" s="52"/>
      <c r="BP220" s="52"/>
      <c r="BQ220" s="54"/>
    </row>
    <row r="221" spans="1:69" ht="16" x14ac:dyDescent="0.35">
      <c r="A221"/>
      <c r="B221"/>
      <c r="D221"/>
      <c r="G221" t="s">
        <v>214</v>
      </c>
      <c r="H221" s="20"/>
      <c r="I221" s="20"/>
      <c r="J221" s="20"/>
      <c r="K221" s="20"/>
      <c r="L221" s="20"/>
      <c r="Q221" s="83">
        <v>0</v>
      </c>
      <c r="Y221" s="20"/>
      <c r="AP221" s="47"/>
      <c r="AQ221" s="48"/>
      <c r="AR221" s="48"/>
      <c r="AS221" s="48"/>
      <c r="AT221" s="48"/>
      <c r="AU221" s="48"/>
      <c r="AV221" s="94" t="s">
        <v>206</v>
      </c>
      <c r="AW221" s="49"/>
      <c r="AX221" s="49"/>
      <c r="AY221" s="49"/>
      <c r="AZ221" s="49"/>
      <c r="BA221" s="49"/>
      <c r="BB221" s="48"/>
      <c r="BC221" s="48"/>
      <c r="BD221" s="48"/>
      <c r="BE221" s="48"/>
      <c r="BF221" s="96">
        <v>1</v>
      </c>
      <c r="BG221" s="48"/>
      <c r="BH221" s="48"/>
      <c r="BI221" s="48"/>
      <c r="BJ221" s="48"/>
      <c r="BK221" s="48"/>
      <c r="BL221" s="48"/>
      <c r="BM221" s="48"/>
      <c r="BN221" s="49"/>
      <c r="BO221" s="48"/>
      <c r="BP221" s="48"/>
      <c r="BQ221" s="50"/>
    </row>
    <row r="222" spans="1:69" ht="16" x14ac:dyDescent="0.35">
      <c r="A222"/>
      <c r="B222"/>
      <c r="D222"/>
      <c r="G222" t="s">
        <v>214</v>
      </c>
      <c r="H222" s="20"/>
      <c r="I222" s="20"/>
      <c r="J222" s="20"/>
      <c r="K222" s="20"/>
      <c r="L222" s="20"/>
      <c r="Q222" s="83">
        <v>0</v>
      </c>
      <c r="Y222" s="20"/>
      <c r="AP222" s="51"/>
      <c r="AQ222" s="52"/>
      <c r="AR222" s="52"/>
      <c r="AS222" s="52"/>
      <c r="AT222" s="52"/>
      <c r="AU222" s="52"/>
      <c r="AV222" s="73" t="s">
        <v>206</v>
      </c>
      <c r="AW222" s="53"/>
      <c r="AX222" s="53"/>
      <c r="AY222" s="53"/>
      <c r="AZ222" s="53"/>
      <c r="BA222" s="53"/>
      <c r="BB222" s="52"/>
      <c r="BC222" s="52"/>
      <c r="BD222" s="52"/>
      <c r="BE222" s="52"/>
      <c r="BF222" s="95">
        <v>1</v>
      </c>
      <c r="BG222" s="52"/>
      <c r="BH222" s="52"/>
      <c r="BI222" s="52"/>
      <c r="BJ222" s="52"/>
      <c r="BK222" s="52"/>
      <c r="BL222" s="52"/>
      <c r="BM222" s="52"/>
      <c r="BN222" s="53"/>
      <c r="BO222" s="52"/>
      <c r="BP222" s="52"/>
      <c r="BQ222" s="54"/>
    </row>
    <row r="223" spans="1:69" ht="16" x14ac:dyDescent="0.35">
      <c r="A223"/>
      <c r="B223"/>
      <c r="D223"/>
      <c r="G223" t="s">
        <v>214</v>
      </c>
      <c r="H223" s="20"/>
      <c r="I223" s="20"/>
      <c r="J223" s="20"/>
      <c r="K223" s="20"/>
      <c r="L223" s="20"/>
      <c r="Q223" s="83">
        <v>0</v>
      </c>
      <c r="Y223" s="20"/>
      <c r="AP223" s="92"/>
      <c r="AQ223" s="67"/>
      <c r="AR223" s="67"/>
      <c r="AS223" s="73"/>
      <c r="AT223" s="67"/>
      <c r="AU223" s="67"/>
      <c r="AV223" s="94" t="s">
        <v>206</v>
      </c>
      <c r="AW223" s="68"/>
      <c r="AX223" s="68"/>
      <c r="AY223" s="68"/>
      <c r="AZ223" s="68"/>
      <c r="BA223" s="68"/>
      <c r="BB223" s="67"/>
      <c r="BC223" s="67"/>
      <c r="BD223" s="67"/>
      <c r="BE223" s="67"/>
      <c r="BF223" s="96">
        <v>1</v>
      </c>
      <c r="BG223" s="52"/>
      <c r="BH223" s="52"/>
      <c r="BI223" s="52"/>
      <c r="BJ223" s="52"/>
      <c r="BK223" s="52"/>
      <c r="BL223" s="52"/>
      <c r="BM223" s="52"/>
      <c r="BN223" s="53"/>
      <c r="BO223" s="52"/>
      <c r="BP223" s="52"/>
      <c r="BQ223" s="54"/>
    </row>
    <row r="224" spans="1:69" ht="16" x14ac:dyDescent="0.35">
      <c r="A224"/>
      <c r="B224"/>
      <c r="D224"/>
      <c r="G224" t="s">
        <v>214</v>
      </c>
      <c r="H224" s="20"/>
      <c r="I224" s="20"/>
      <c r="J224" s="20"/>
      <c r="K224" s="20"/>
      <c r="L224" s="20"/>
      <c r="Q224" s="83">
        <v>0</v>
      </c>
      <c r="Y224" s="20"/>
      <c r="AP224" s="93"/>
      <c r="AQ224" s="31"/>
      <c r="AR224" s="31"/>
      <c r="AS224" s="94"/>
      <c r="AT224" s="31"/>
      <c r="AU224" s="31"/>
      <c r="AV224" s="73" t="s">
        <v>207</v>
      </c>
      <c r="AW224" s="32"/>
      <c r="AX224" s="32"/>
      <c r="AY224" s="32"/>
      <c r="AZ224" s="32"/>
      <c r="BA224" s="32"/>
      <c r="BB224" s="31"/>
      <c r="BC224" s="31"/>
      <c r="BD224" s="31"/>
      <c r="BE224" s="31"/>
      <c r="BF224" s="95">
        <v>0</v>
      </c>
      <c r="BG224" s="48"/>
      <c r="BH224" s="48"/>
      <c r="BI224" s="48"/>
      <c r="BJ224" s="48"/>
      <c r="BK224" s="48"/>
      <c r="BL224" s="48"/>
      <c r="BM224" s="48"/>
      <c r="BN224" s="49"/>
      <c r="BO224" s="48"/>
      <c r="BP224" s="48"/>
      <c r="BQ224" s="50"/>
    </row>
    <row r="225" spans="1:69" ht="16" x14ac:dyDescent="0.35">
      <c r="A225"/>
      <c r="B225"/>
      <c r="D225"/>
      <c r="G225" t="s">
        <v>213</v>
      </c>
      <c r="H225" s="20"/>
      <c r="I225" s="20"/>
      <c r="J225" s="20"/>
      <c r="K225" s="20"/>
      <c r="L225" s="20"/>
      <c r="Q225" s="83">
        <v>0</v>
      </c>
      <c r="Y225" s="20"/>
      <c r="AP225" s="92"/>
      <c r="AQ225" s="67"/>
      <c r="AR225" s="67"/>
      <c r="AS225" s="73"/>
      <c r="AT225" s="67"/>
      <c r="AU225" s="67"/>
      <c r="AV225" s="94" t="s">
        <v>208</v>
      </c>
      <c r="AW225" s="68"/>
      <c r="AX225" s="68"/>
      <c r="AY225" s="68"/>
      <c r="AZ225" s="68"/>
      <c r="BA225" s="68"/>
      <c r="BB225" s="67"/>
      <c r="BC225" s="67"/>
      <c r="BD225" s="67"/>
      <c r="BE225" s="67"/>
      <c r="BF225" s="96">
        <v>8</v>
      </c>
      <c r="BG225" s="52"/>
      <c r="BH225" s="52"/>
      <c r="BI225" s="52"/>
      <c r="BJ225" s="52"/>
      <c r="BK225" s="52"/>
      <c r="BL225" s="52"/>
      <c r="BM225" s="52"/>
      <c r="BN225" s="53"/>
      <c r="BO225" s="52"/>
      <c r="BP225" s="52"/>
      <c r="BQ225" s="54"/>
    </row>
    <row r="226" spans="1:69" ht="16" x14ac:dyDescent="0.35">
      <c r="A226"/>
      <c r="B226"/>
      <c r="D226"/>
      <c r="G226" t="s">
        <v>213</v>
      </c>
      <c r="H226" s="20"/>
      <c r="I226" s="20"/>
      <c r="J226" s="20"/>
      <c r="K226" s="20"/>
      <c r="L226" s="20"/>
      <c r="Q226" s="83">
        <v>0</v>
      </c>
      <c r="Y226" s="20"/>
      <c r="AP226" s="93"/>
      <c r="AQ226" s="31"/>
      <c r="AR226" s="31"/>
      <c r="AS226" s="94"/>
      <c r="AT226" s="31"/>
      <c r="AU226" s="31"/>
      <c r="AV226" s="73" t="s">
        <v>206</v>
      </c>
      <c r="AW226" s="32"/>
      <c r="AX226" s="32"/>
      <c r="AY226" s="32"/>
      <c r="AZ226" s="32"/>
      <c r="BA226" s="32"/>
      <c r="BB226" s="31"/>
      <c r="BC226" s="31"/>
      <c r="BD226" s="31"/>
      <c r="BE226" s="31"/>
      <c r="BF226" s="95">
        <v>1</v>
      </c>
      <c r="BG226" s="48"/>
      <c r="BH226" s="48"/>
      <c r="BI226" s="48"/>
      <c r="BJ226" s="48"/>
      <c r="BK226" s="48"/>
      <c r="BL226" s="48"/>
      <c r="BM226" s="48"/>
      <c r="BN226" s="49"/>
      <c r="BO226" s="48"/>
      <c r="BP226" s="48"/>
      <c r="BQ226" s="50"/>
    </row>
    <row r="227" spans="1:69" ht="16" x14ac:dyDescent="0.35">
      <c r="A227"/>
      <c r="B227"/>
      <c r="D227"/>
      <c r="G227" t="s">
        <v>213</v>
      </c>
      <c r="H227" s="20"/>
      <c r="I227" s="20"/>
      <c r="J227" s="20"/>
      <c r="K227" s="20"/>
      <c r="L227" s="20"/>
      <c r="Q227" s="83">
        <v>0</v>
      </c>
      <c r="Y227" s="20"/>
      <c r="AP227" s="92"/>
      <c r="AQ227" s="67"/>
      <c r="AR227" s="67"/>
      <c r="AS227" s="73"/>
      <c r="AT227" s="67"/>
      <c r="AU227" s="67"/>
      <c r="AV227" s="94" t="s">
        <v>206</v>
      </c>
      <c r="AW227" s="68"/>
      <c r="AX227" s="68"/>
      <c r="AY227" s="68"/>
      <c r="AZ227" s="68"/>
      <c r="BA227" s="68"/>
      <c r="BB227" s="67"/>
      <c r="BC227" s="67"/>
      <c r="BD227" s="67"/>
      <c r="BE227" s="67"/>
      <c r="BF227" s="96">
        <v>1</v>
      </c>
      <c r="BG227" s="52"/>
      <c r="BH227" s="52"/>
      <c r="BI227" s="52"/>
      <c r="BJ227" s="52"/>
      <c r="BK227" s="52"/>
      <c r="BL227" s="52"/>
      <c r="BM227" s="52"/>
      <c r="BN227" s="53"/>
      <c r="BO227" s="52"/>
      <c r="BP227" s="52"/>
      <c r="BQ227" s="54"/>
    </row>
    <row r="228" spans="1:69" ht="16" x14ac:dyDescent="0.35">
      <c r="A228"/>
      <c r="B228"/>
      <c r="D228"/>
      <c r="G228" t="s">
        <v>240</v>
      </c>
      <c r="H228" s="20"/>
      <c r="I228" s="20"/>
      <c r="J228" s="20"/>
      <c r="K228" s="20"/>
      <c r="L228" s="20"/>
      <c r="Q228" s="83">
        <v>1</v>
      </c>
      <c r="Y228" s="20"/>
      <c r="AP228" s="93"/>
      <c r="AQ228" s="31"/>
      <c r="AR228" s="31"/>
      <c r="AS228" s="94"/>
      <c r="AT228" s="31"/>
      <c r="AU228" s="31"/>
      <c r="AV228" s="73" t="s">
        <v>206</v>
      </c>
      <c r="AW228" s="32"/>
      <c r="AX228" s="32"/>
      <c r="AY228" s="32"/>
      <c r="AZ228" s="32"/>
      <c r="BA228" s="32"/>
      <c r="BB228" s="31"/>
      <c r="BC228" s="31"/>
      <c r="BD228" s="31"/>
      <c r="BE228" s="31"/>
      <c r="BF228" s="95">
        <v>1</v>
      </c>
      <c r="BG228" s="48"/>
      <c r="BH228" s="48"/>
      <c r="BI228" s="48"/>
      <c r="BJ228" s="48"/>
      <c r="BK228" s="48"/>
      <c r="BL228" s="48"/>
      <c r="BM228" s="48"/>
      <c r="BN228" s="49"/>
      <c r="BO228" s="48"/>
      <c r="BP228" s="48"/>
      <c r="BQ228" s="50"/>
    </row>
    <row r="229" spans="1:69" ht="16" x14ac:dyDescent="0.35">
      <c r="A229"/>
      <c r="B229"/>
      <c r="D229"/>
      <c r="G229" t="s">
        <v>240</v>
      </c>
      <c r="H229" s="20"/>
      <c r="I229" s="20"/>
      <c r="J229" s="20"/>
      <c r="K229" s="20"/>
      <c r="L229" s="20"/>
      <c r="Q229" s="83">
        <v>1</v>
      </c>
      <c r="Y229" s="20"/>
      <c r="AP229" s="92"/>
      <c r="AQ229" s="67"/>
      <c r="AR229" s="67"/>
      <c r="AS229" s="73"/>
      <c r="AT229" s="67"/>
      <c r="AU229" s="67"/>
      <c r="AV229" s="94" t="s">
        <v>206</v>
      </c>
      <c r="AW229" s="68"/>
      <c r="AX229" s="68"/>
      <c r="AY229" s="68"/>
      <c r="AZ229" s="68"/>
      <c r="BA229" s="68"/>
      <c r="BB229" s="67"/>
      <c r="BC229" s="67"/>
      <c r="BD229" s="67"/>
      <c r="BE229" s="67"/>
      <c r="BF229" s="96">
        <v>1</v>
      </c>
      <c r="BG229" s="52"/>
      <c r="BH229" s="52"/>
      <c r="BI229" s="52"/>
      <c r="BJ229" s="52"/>
      <c r="BK229" s="52"/>
      <c r="BL229" s="52"/>
      <c r="BM229" s="52"/>
      <c r="BN229" s="53"/>
      <c r="BO229" s="52"/>
      <c r="BP229" s="52"/>
      <c r="BQ229" s="54"/>
    </row>
    <row r="230" spans="1:69" ht="16" x14ac:dyDescent="0.35">
      <c r="A230"/>
      <c r="B230"/>
      <c r="D230"/>
      <c r="G230" t="s">
        <v>240</v>
      </c>
      <c r="H230" s="20"/>
      <c r="I230" s="20"/>
      <c r="J230" s="20"/>
      <c r="K230" s="20"/>
      <c r="L230" s="20"/>
      <c r="Q230" s="83">
        <v>1</v>
      </c>
      <c r="Y230" s="20"/>
      <c r="AP230" s="93"/>
      <c r="AQ230" s="31"/>
      <c r="AR230" s="31"/>
      <c r="AS230" s="94"/>
      <c r="AT230" s="31"/>
      <c r="AU230" s="31"/>
      <c r="AV230" s="73" t="s">
        <v>206</v>
      </c>
      <c r="AW230" s="32"/>
      <c r="AX230" s="32"/>
      <c r="AY230" s="32"/>
      <c r="AZ230" s="32"/>
      <c r="BA230" s="32"/>
      <c r="BB230" s="31"/>
      <c r="BC230" s="31"/>
      <c r="BD230" s="31"/>
      <c r="BE230" s="31"/>
      <c r="BF230" s="95">
        <v>0</v>
      </c>
      <c r="BG230" s="48"/>
      <c r="BH230" s="48"/>
      <c r="BI230" s="48"/>
      <c r="BJ230" s="48"/>
      <c r="BK230" s="48"/>
      <c r="BL230" s="48"/>
      <c r="BM230" s="48"/>
      <c r="BN230" s="49"/>
      <c r="BO230" s="48"/>
      <c r="BP230" s="48"/>
      <c r="BQ230" s="50"/>
    </row>
    <row r="231" spans="1:69" ht="16" x14ac:dyDescent="0.35">
      <c r="A231"/>
      <c r="B231"/>
      <c r="D231"/>
      <c r="G231" t="s">
        <v>240</v>
      </c>
      <c r="H231" s="20"/>
      <c r="I231" s="20"/>
      <c r="J231" s="20"/>
      <c r="K231" s="20"/>
      <c r="L231" s="20"/>
      <c r="Q231" s="83">
        <v>1</v>
      </c>
      <c r="Y231" s="20"/>
      <c r="AP231" s="92"/>
      <c r="AQ231" s="67"/>
      <c r="AR231" s="67"/>
      <c r="AS231" s="73"/>
      <c r="AT231" s="67"/>
      <c r="AU231" s="67"/>
      <c r="AV231" s="94" t="s">
        <v>206</v>
      </c>
      <c r="AW231" s="68"/>
      <c r="AX231" s="68"/>
      <c r="AY231" s="68"/>
      <c r="AZ231" s="68"/>
      <c r="BA231" s="68"/>
      <c r="BB231" s="67"/>
      <c r="BC231" s="67"/>
      <c r="BD231" s="67"/>
      <c r="BE231" s="67"/>
      <c r="BF231" s="96">
        <v>0</v>
      </c>
      <c r="BG231" s="52"/>
      <c r="BH231" s="52"/>
      <c r="BI231" s="52"/>
      <c r="BJ231" s="52"/>
      <c r="BK231" s="52"/>
      <c r="BL231" s="52"/>
      <c r="BM231" s="52"/>
      <c r="BN231" s="53"/>
      <c r="BO231" s="52"/>
      <c r="BP231" s="52"/>
      <c r="BQ231" s="54"/>
    </row>
    <row r="232" spans="1:69" ht="16" x14ac:dyDescent="0.35">
      <c r="A232"/>
      <c r="B232"/>
      <c r="D232"/>
      <c r="G232" t="s">
        <v>213</v>
      </c>
      <c r="H232" s="20"/>
      <c r="I232" s="20"/>
      <c r="J232" s="20"/>
      <c r="K232" s="20"/>
      <c r="L232" s="20"/>
      <c r="Q232" s="83">
        <v>0</v>
      </c>
      <c r="Y232" s="20"/>
      <c r="AP232" s="93"/>
      <c r="AQ232" s="31"/>
      <c r="AR232" s="31"/>
      <c r="AS232" s="94"/>
      <c r="AT232" s="31"/>
      <c r="AU232" s="31"/>
      <c r="AV232" s="73" t="s">
        <v>206</v>
      </c>
      <c r="AW232" s="32"/>
      <c r="AX232" s="32"/>
      <c r="AY232" s="32"/>
      <c r="AZ232" s="32"/>
      <c r="BA232" s="32"/>
      <c r="BB232" s="31"/>
      <c r="BC232" s="31"/>
      <c r="BD232" s="31"/>
      <c r="BE232" s="31"/>
      <c r="BF232" s="95">
        <v>0</v>
      </c>
      <c r="BG232" s="48"/>
      <c r="BH232" s="48"/>
      <c r="BI232" s="48"/>
      <c r="BJ232" s="48"/>
      <c r="BK232" s="48"/>
      <c r="BL232" s="48"/>
      <c r="BM232" s="48"/>
      <c r="BN232" s="49"/>
      <c r="BO232" s="48"/>
      <c r="BP232" s="48"/>
      <c r="BQ232" s="50"/>
    </row>
    <row r="233" spans="1:69" ht="16" x14ac:dyDescent="0.35">
      <c r="A233"/>
      <c r="B233"/>
      <c r="D233"/>
      <c r="G233" t="s">
        <v>213</v>
      </c>
      <c r="H233" s="20"/>
      <c r="I233" s="20"/>
      <c r="J233" s="20"/>
      <c r="K233" s="20"/>
      <c r="L233" s="20"/>
      <c r="Q233" s="83">
        <v>0</v>
      </c>
      <c r="Y233" s="20"/>
      <c r="AP233" s="92"/>
      <c r="AQ233" s="67"/>
      <c r="AR233" s="67"/>
      <c r="AS233" s="73"/>
      <c r="AT233" s="67"/>
      <c r="AU233" s="67"/>
      <c r="AV233" s="94" t="s">
        <v>206</v>
      </c>
      <c r="AW233" s="68"/>
      <c r="AX233" s="68"/>
      <c r="AY233" s="68"/>
      <c r="AZ233" s="68"/>
      <c r="BA233" s="68"/>
      <c r="BB233" s="67"/>
      <c r="BC233" s="67"/>
      <c r="BD233" s="67"/>
      <c r="BE233" s="67"/>
      <c r="BF233" s="96">
        <v>0</v>
      </c>
      <c r="BG233" s="52"/>
      <c r="BH233" s="52"/>
      <c r="BI233" s="52"/>
      <c r="BJ233" s="52"/>
      <c r="BK233" s="52"/>
      <c r="BL233" s="52"/>
      <c r="BM233" s="52"/>
      <c r="BN233" s="53"/>
      <c r="BO233" s="52"/>
      <c r="BP233" s="52"/>
      <c r="BQ233" s="54"/>
    </row>
    <row r="234" spans="1:69" ht="16" x14ac:dyDescent="0.35">
      <c r="A234"/>
      <c r="B234"/>
      <c r="D234"/>
      <c r="G234" t="s">
        <v>241</v>
      </c>
      <c r="H234" s="20"/>
      <c r="I234" s="20"/>
      <c r="J234" s="20"/>
      <c r="K234" s="20"/>
      <c r="L234" s="20"/>
      <c r="Q234" s="83">
        <v>0</v>
      </c>
      <c r="Y234" s="20"/>
      <c r="AP234" s="93"/>
      <c r="AQ234" s="31"/>
      <c r="AR234" s="31"/>
      <c r="AS234" s="94"/>
      <c r="AT234" s="31"/>
      <c r="AU234" s="31"/>
      <c r="AV234" s="73" t="s">
        <v>206</v>
      </c>
      <c r="AW234" s="32"/>
      <c r="AX234" s="32"/>
      <c r="AY234" s="32"/>
      <c r="AZ234" s="32"/>
      <c r="BA234" s="32"/>
      <c r="BB234" s="31"/>
      <c r="BC234" s="31"/>
      <c r="BD234" s="31"/>
      <c r="BE234" s="31"/>
      <c r="BF234" s="95">
        <v>0</v>
      </c>
      <c r="BG234" s="48"/>
      <c r="BH234" s="48"/>
      <c r="BI234" s="48"/>
      <c r="BJ234" s="48"/>
      <c r="BK234" s="48"/>
      <c r="BL234" s="48"/>
      <c r="BM234" s="48"/>
      <c r="BN234" s="49"/>
      <c r="BO234" s="48"/>
      <c r="BP234" s="48"/>
      <c r="BQ234" s="50"/>
    </row>
    <row r="235" spans="1:69" ht="16" x14ac:dyDescent="0.35">
      <c r="A235"/>
      <c r="B235"/>
      <c r="D235"/>
      <c r="G235" t="s">
        <v>213</v>
      </c>
      <c r="H235" s="20"/>
      <c r="I235" s="20"/>
      <c r="J235" s="20"/>
      <c r="K235" s="20"/>
      <c r="L235" s="20"/>
      <c r="Q235" s="83">
        <v>0</v>
      </c>
      <c r="Y235" s="20"/>
      <c r="AP235" s="92"/>
      <c r="AQ235" s="67"/>
      <c r="AR235" s="67"/>
      <c r="AS235" s="73"/>
      <c r="AT235" s="67"/>
      <c r="AU235" s="67"/>
      <c r="AV235" s="94" t="s">
        <v>206</v>
      </c>
      <c r="AW235" s="68"/>
      <c r="AX235" s="68"/>
      <c r="AY235" s="68"/>
      <c r="AZ235" s="68"/>
      <c r="BA235" s="68"/>
      <c r="BB235" s="67"/>
      <c r="BC235" s="67"/>
      <c r="BD235" s="67"/>
      <c r="BE235" s="67"/>
      <c r="BF235" s="96">
        <v>0</v>
      </c>
      <c r="BG235" s="52"/>
      <c r="BH235" s="52"/>
      <c r="BI235" s="52"/>
      <c r="BJ235" s="52"/>
      <c r="BK235" s="52"/>
      <c r="BL235" s="52"/>
      <c r="BM235" s="52"/>
      <c r="BN235" s="53"/>
      <c r="BO235" s="52"/>
      <c r="BP235" s="52"/>
      <c r="BQ235" s="54"/>
    </row>
    <row r="236" spans="1:69" ht="16" x14ac:dyDescent="0.35">
      <c r="A236"/>
      <c r="B236"/>
      <c r="D236"/>
      <c r="G236" t="s">
        <v>241</v>
      </c>
      <c r="H236" s="20"/>
      <c r="I236" s="20"/>
      <c r="J236" s="20"/>
      <c r="K236" s="20"/>
      <c r="L236" s="20"/>
      <c r="Q236" s="83">
        <v>0</v>
      </c>
      <c r="Y236" s="20"/>
      <c r="AP236" s="93"/>
      <c r="AQ236" s="31"/>
      <c r="AR236" s="31"/>
      <c r="AS236" s="94"/>
      <c r="AT236" s="31"/>
      <c r="AU236" s="31"/>
      <c r="AV236" s="73" t="s">
        <v>208</v>
      </c>
      <c r="AW236" s="32"/>
      <c r="AX236" s="32"/>
      <c r="AY236" s="32"/>
      <c r="AZ236" s="32"/>
      <c r="BA236" s="32"/>
      <c r="BB236" s="31"/>
      <c r="BC236" s="31"/>
      <c r="BD236" s="31"/>
      <c r="BE236" s="31"/>
      <c r="BF236" s="95">
        <v>2</v>
      </c>
      <c r="BG236" s="48"/>
      <c r="BH236" s="48"/>
      <c r="BI236" s="48"/>
      <c r="BJ236" s="48"/>
      <c r="BK236" s="48"/>
      <c r="BL236" s="48"/>
      <c r="BM236" s="48"/>
      <c r="BN236" s="49"/>
      <c r="BO236" s="48"/>
      <c r="BP236" s="48"/>
      <c r="BQ236" s="50"/>
    </row>
    <row r="237" spans="1:69" ht="16" x14ac:dyDescent="0.35">
      <c r="A237"/>
      <c r="B237"/>
      <c r="D237"/>
      <c r="G237" t="s">
        <v>241</v>
      </c>
      <c r="H237" s="20"/>
      <c r="I237" s="20"/>
      <c r="J237" s="20"/>
      <c r="K237" s="20"/>
      <c r="L237" s="20"/>
      <c r="Q237" s="83">
        <v>0</v>
      </c>
      <c r="Y237" s="20"/>
      <c r="AP237" s="92"/>
      <c r="AQ237" s="67"/>
      <c r="AR237" s="67"/>
      <c r="AS237" s="73"/>
      <c r="AT237" s="67"/>
      <c r="AU237" s="67"/>
      <c r="AV237" s="94" t="s">
        <v>207</v>
      </c>
      <c r="AW237" s="68"/>
      <c r="AX237" s="68"/>
      <c r="AY237" s="68"/>
      <c r="AZ237" s="68"/>
      <c r="BA237" s="68"/>
      <c r="BB237" s="67"/>
      <c r="BC237" s="67"/>
      <c r="BD237" s="67"/>
      <c r="BE237" s="67"/>
      <c r="BF237" s="96">
        <v>2</v>
      </c>
      <c r="BG237" s="52"/>
      <c r="BH237" s="52"/>
      <c r="BI237" s="52"/>
      <c r="BJ237" s="52"/>
      <c r="BK237" s="52"/>
      <c r="BL237" s="52"/>
      <c r="BM237" s="52"/>
      <c r="BN237" s="53"/>
      <c r="BO237" s="52"/>
      <c r="BP237" s="52"/>
      <c r="BQ237" s="54"/>
    </row>
    <row r="238" spans="1:69" ht="16" x14ac:dyDescent="0.35">
      <c r="A238"/>
      <c r="B238"/>
      <c r="D238"/>
      <c r="G238" t="s">
        <v>241</v>
      </c>
      <c r="H238" s="20"/>
      <c r="I238" s="20"/>
      <c r="J238" s="20"/>
      <c r="K238" s="20"/>
      <c r="L238" s="20"/>
      <c r="Q238" s="83">
        <v>0</v>
      </c>
      <c r="Y238" s="20"/>
      <c r="AP238" s="93"/>
      <c r="AQ238" s="31"/>
      <c r="AR238" s="31"/>
      <c r="AS238" s="94"/>
      <c r="AT238" s="31"/>
      <c r="AU238" s="31"/>
      <c r="AV238" s="73" t="s">
        <v>208</v>
      </c>
      <c r="AW238" s="32"/>
      <c r="AX238" s="32"/>
      <c r="AY238" s="32"/>
      <c r="AZ238" s="32"/>
      <c r="BA238" s="32"/>
      <c r="BB238" s="31"/>
      <c r="BC238" s="31"/>
      <c r="BD238" s="31"/>
      <c r="BE238" s="31"/>
      <c r="BF238" s="95">
        <v>1</v>
      </c>
      <c r="BG238" s="48"/>
      <c r="BH238" s="48"/>
      <c r="BI238" s="48"/>
      <c r="BJ238" s="48"/>
      <c r="BK238" s="48"/>
      <c r="BL238" s="48"/>
      <c r="BM238" s="48"/>
      <c r="BN238" s="49"/>
      <c r="BO238" s="48"/>
      <c r="BP238" s="48"/>
      <c r="BQ238" s="50"/>
    </row>
    <row r="239" spans="1:69" ht="16" x14ac:dyDescent="0.35">
      <c r="A239"/>
      <c r="B239"/>
      <c r="D239"/>
      <c r="G239" t="s">
        <v>241</v>
      </c>
      <c r="H239" s="20"/>
      <c r="I239" s="20"/>
      <c r="J239" s="20"/>
      <c r="K239" s="20"/>
      <c r="L239" s="20"/>
      <c r="Q239" s="83">
        <v>0</v>
      </c>
      <c r="Y239" s="20"/>
      <c r="AP239" s="92"/>
      <c r="AQ239" s="67"/>
      <c r="AR239" s="67"/>
      <c r="AS239" s="73"/>
      <c r="AT239" s="67"/>
      <c r="AU239" s="67"/>
      <c r="AV239" s="94" t="s">
        <v>206</v>
      </c>
      <c r="AW239" s="68"/>
      <c r="AX239" s="68"/>
      <c r="AY239" s="68"/>
      <c r="AZ239" s="68"/>
      <c r="BA239" s="68"/>
      <c r="BB239" s="67"/>
      <c r="BC239" s="67"/>
      <c r="BD239" s="67"/>
      <c r="BE239" s="67"/>
      <c r="BF239" s="96">
        <v>1</v>
      </c>
      <c r="BG239" s="52"/>
      <c r="BH239" s="52"/>
      <c r="BI239" s="52"/>
      <c r="BJ239" s="52"/>
      <c r="BK239" s="52"/>
      <c r="BL239" s="52"/>
      <c r="BM239" s="52"/>
      <c r="BN239" s="53"/>
      <c r="BO239" s="52"/>
      <c r="BP239" s="52"/>
      <c r="BQ239" s="54"/>
    </row>
    <row r="240" spans="1:69" ht="16" x14ac:dyDescent="0.35">
      <c r="A240"/>
      <c r="B240"/>
      <c r="D240"/>
      <c r="G240" t="s">
        <v>241</v>
      </c>
      <c r="H240" s="20"/>
      <c r="I240" s="20"/>
      <c r="J240" s="20"/>
      <c r="K240" s="20"/>
      <c r="L240" s="20"/>
      <c r="Q240" s="83">
        <v>0</v>
      </c>
      <c r="Y240" s="20"/>
      <c r="AP240" s="93"/>
      <c r="AQ240" s="31"/>
      <c r="AR240" s="31"/>
      <c r="AS240" s="94"/>
      <c r="AT240" s="31"/>
      <c r="AU240" s="31"/>
      <c r="AV240" s="73" t="s">
        <v>206</v>
      </c>
      <c r="AW240" s="32"/>
      <c r="AX240" s="32"/>
      <c r="AY240" s="32"/>
      <c r="AZ240" s="32"/>
      <c r="BA240" s="32"/>
      <c r="BB240" s="31"/>
      <c r="BC240" s="31"/>
      <c r="BD240" s="31"/>
      <c r="BE240" s="31"/>
      <c r="BF240" s="95">
        <v>1</v>
      </c>
      <c r="BG240" s="48"/>
      <c r="BH240" s="48"/>
      <c r="BI240" s="48"/>
      <c r="BJ240" s="48"/>
      <c r="BK240" s="48"/>
      <c r="BL240" s="48"/>
      <c r="BM240" s="48"/>
      <c r="BN240" s="49"/>
      <c r="BO240" s="48"/>
      <c r="BP240" s="48"/>
      <c r="BQ240" s="50"/>
    </row>
    <row r="241" spans="1:69" ht="16" x14ac:dyDescent="0.35">
      <c r="A241"/>
      <c r="B241"/>
      <c r="D241"/>
      <c r="G241" t="s">
        <v>215</v>
      </c>
      <c r="H241" s="20"/>
      <c r="I241" s="20"/>
      <c r="J241" s="20"/>
      <c r="K241" s="20"/>
      <c r="L241" s="20"/>
      <c r="Q241" s="83">
        <v>0</v>
      </c>
      <c r="Y241" s="20"/>
      <c r="AP241" s="92"/>
      <c r="AQ241" s="67"/>
      <c r="AR241" s="67"/>
      <c r="AS241" s="73"/>
      <c r="AT241" s="67"/>
      <c r="AU241" s="67"/>
      <c r="AV241" s="94" t="s">
        <v>206</v>
      </c>
      <c r="AW241" s="68"/>
      <c r="AX241" s="68"/>
      <c r="AY241" s="68"/>
      <c r="AZ241" s="68"/>
      <c r="BA241" s="68"/>
      <c r="BB241" s="67"/>
      <c r="BC241" s="67"/>
      <c r="BD241" s="67"/>
      <c r="BE241" s="67"/>
      <c r="BF241" s="96">
        <v>1</v>
      </c>
      <c r="BG241" s="52"/>
      <c r="BH241" s="52"/>
      <c r="BI241" s="52"/>
      <c r="BJ241" s="52"/>
      <c r="BK241" s="52"/>
      <c r="BL241" s="52"/>
      <c r="BM241" s="52"/>
      <c r="BN241" s="53"/>
      <c r="BO241" s="52"/>
      <c r="BP241" s="52"/>
      <c r="BQ241" s="54"/>
    </row>
    <row r="242" spans="1:69" ht="16" x14ac:dyDescent="0.35">
      <c r="A242"/>
      <c r="B242"/>
      <c r="D242"/>
      <c r="G242" t="s">
        <v>215</v>
      </c>
      <c r="H242" s="20"/>
      <c r="I242" s="20"/>
      <c r="J242" s="20"/>
      <c r="K242" s="20"/>
      <c r="L242" s="20"/>
      <c r="Q242" s="83">
        <v>0</v>
      </c>
      <c r="Y242" s="20"/>
      <c r="AP242" s="93"/>
      <c r="AQ242" s="31"/>
      <c r="AR242" s="31"/>
      <c r="AS242" s="94"/>
      <c r="AT242" s="31"/>
      <c r="AU242" s="31"/>
      <c r="AV242" s="73" t="s">
        <v>206</v>
      </c>
      <c r="AW242" s="32"/>
      <c r="AX242" s="32"/>
      <c r="AY242" s="32"/>
      <c r="AZ242" s="32"/>
      <c r="BA242" s="32"/>
      <c r="BB242" s="31"/>
      <c r="BC242" s="31"/>
      <c r="BD242" s="31"/>
      <c r="BE242" s="31"/>
      <c r="BF242" s="95">
        <v>1</v>
      </c>
      <c r="BG242" s="48"/>
      <c r="BH242" s="48"/>
      <c r="BI242" s="48"/>
      <c r="BJ242" s="48"/>
      <c r="BK242" s="48"/>
      <c r="BL242" s="48"/>
      <c r="BM242" s="48"/>
      <c r="BN242" s="49"/>
      <c r="BO242" s="48"/>
      <c r="BP242" s="48"/>
      <c r="BQ242" s="50"/>
    </row>
    <row r="243" spans="1:69" ht="16" x14ac:dyDescent="0.35">
      <c r="A243"/>
      <c r="B243"/>
      <c r="D243"/>
      <c r="G243" t="s">
        <v>215</v>
      </c>
      <c r="H243" s="20"/>
      <c r="I243" s="20"/>
      <c r="J243" s="20"/>
      <c r="K243" s="20"/>
      <c r="L243" s="20"/>
      <c r="Q243" s="83">
        <v>0</v>
      </c>
      <c r="Y243" s="20"/>
      <c r="AP243" s="92"/>
      <c r="AQ243" s="67"/>
      <c r="AR243" s="67"/>
      <c r="AS243" s="73"/>
      <c r="AT243" s="67"/>
      <c r="AU243" s="67"/>
      <c r="AV243" s="94" t="s">
        <v>206</v>
      </c>
      <c r="AW243" s="68"/>
      <c r="AX243" s="68"/>
      <c r="AY243" s="68"/>
      <c r="AZ243" s="68"/>
      <c r="BA243" s="68"/>
      <c r="BB243" s="67"/>
      <c r="BC243" s="67"/>
      <c r="BD243" s="67"/>
      <c r="BE243" s="67"/>
      <c r="BF243" s="96">
        <v>1</v>
      </c>
      <c r="BG243" s="52"/>
      <c r="BH243" s="52"/>
      <c r="BI243" s="52"/>
      <c r="BJ243" s="52"/>
      <c r="BK243" s="52"/>
      <c r="BL243" s="52"/>
      <c r="BM243" s="52"/>
      <c r="BN243" s="53"/>
      <c r="BO243" s="52"/>
      <c r="BP243" s="52"/>
      <c r="BQ243" s="54"/>
    </row>
    <row r="244" spans="1:69" ht="16" x14ac:dyDescent="0.35">
      <c r="A244"/>
      <c r="B244"/>
      <c r="D244"/>
      <c r="G244" t="s">
        <v>215</v>
      </c>
      <c r="H244" s="20"/>
      <c r="I244" s="20"/>
      <c r="J244" s="20"/>
      <c r="K244" s="20"/>
      <c r="L244" s="20"/>
      <c r="Q244" s="83">
        <v>0</v>
      </c>
      <c r="Y244" s="20"/>
      <c r="AP244" s="93"/>
      <c r="AQ244" s="31"/>
      <c r="AR244" s="31"/>
      <c r="AS244" s="94"/>
      <c r="AT244" s="31"/>
      <c r="AU244" s="31"/>
      <c r="AV244" s="73" t="s">
        <v>206</v>
      </c>
      <c r="AW244" s="32"/>
      <c r="AX244" s="32"/>
      <c r="AY244" s="32"/>
      <c r="AZ244" s="32"/>
      <c r="BA244" s="32"/>
      <c r="BB244" s="31"/>
      <c r="BC244" s="31"/>
      <c r="BD244" s="31"/>
      <c r="BE244" s="31"/>
      <c r="BF244" s="95">
        <v>1</v>
      </c>
      <c r="BG244" s="48"/>
      <c r="BH244" s="48"/>
      <c r="BI244" s="48"/>
      <c r="BJ244" s="48"/>
      <c r="BK244" s="48"/>
      <c r="BL244" s="48"/>
      <c r="BM244" s="48"/>
      <c r="BN244" s="49"/>
      <c r="BO244" s="48"/>
      <c r="BP244" s="48"/>
      <c r="BQ244" s="50"/>
    </row>
    <row r="245" spans="1:69" ht="16" x14ac:dyDescent="0.35">
      <c r="A245"/>
      <c r="B245"/>
      <c r="D245"/>
      <c r="G245" t="s">
        <v>215</v>
      </c>
      <c r="H245" s="20"/>
      <c r="I245" s="20"/>
      <c r="J245" s="20"/>
      <c r="K245" s="20"/>
      <c r="L245" s="20"/>
      <c r="Q245" s="83">
        <v>0</v>
      </c>
      <c r="Y245" s="20"/>
      <c r="AP245" s="92"/>
      <c r="AQ245" s="67"/>
      <c r="AR245" s="67"/>
      <c r="AS245" s="73"/>
      <c r="AT245" s="67"/>
      <c r="AU245" s="67"/>
      <c r="AV245" s="94" t="s">
        <v>207</v>
      </c>
      <c r="AW245" s="68"/>
      <c r="AX245" s="68"/>
      <c r="AY245" s="68"/>
      <c r="AZ245" s="68"/>
      <c r="BA245" s="68"/>
      <c r="BB245" s="67"/>
      <c r="BC245" s="67"/>
      <c r="BD245" s="67"/>
      <c r="BE245" s="67"/>
      <c r="BF245" s="96">
        <v>0</v>
      </c>
      <c r="BG245" s="52"/>
      <c r="BH245" s="52"/>
      <c r="BI245" s="52"/>
      <c r="BJ245" s="52"/>
      <c r="BK245" s="52"/>
      <c r="BL245" s="52"/>
      <c r="BM245" s="52"/>
      <c r="BN245" s="53"/>
      <c r="BO245" s="52"/>
      <c r="BP245" s="52"/>
      <c r="BQ245" s="54"/>
    </row>
    <row r="246" spans="1:69" ht="16" x14ac:dyDescent="0.35">
      <c r="A246"/>
      <c r="B246"/>
      <c r="D246"/>
      <c r="G246" t="s">
        <v>241</v>
      </c>
      <c r="H246" s="20"/>
      <c r="I246" s="20"/>
      <c r="J246" s="20"/>
      <c r="K246" s="20"/>
      <c r="L246" s="20"/>
      <c r="Q246" s="83">
        <v>0</v>
      </c>
      <c r="Y246" s="20"/>
      <c r="AP246" s="93"/>
      <c r="AQ246" s="31"/>
      <c r="AR246" s="31"/>
      <c r="AS246" s="94"/>
      <c r="AT246" s="31"/>
      <c r="AU246" s="31"/>
      <c r="AV246" s="73" t="s">
        <v>207</v>
      </c>
      <c r="AW246" s="32"/>
      <c r="AX246" s="32"/>
      <c r="AY246" s="32"/>
      <c r="AZ246" s="32"/>
      <c r="BA246" s="32"/>
      <c r="BB246" s="31"/>
      <c r="BC246" s="31"/>
      <c r="BD246" s="31"/>
      <c r="BE246" s="31"/>
      <c r="BF246" s="95">
        <v>1</v>
      </c>
      <c r="BG246" s="48"/>
      <c r="BH246" s="48"/>
      <c r="BI246" s="48"/>
      <c r="BJ246" s="48"/>
      <c r="BK246" s="48"/>
      <c r="BL246" s="48"/>
      <c r="BM246" s="48"/>
      <c r="BN246" s="49"/>
      <c r="BO246" s="48"/>
      <c r="BP246" s="48"/>
      <c r="BQ246" s="50"/>
    </row>
    <row r="247" spans="1:69" ht="16" x14ac:dyDescent="0.35">
      <c r="A247"/>
      <c r="B247"/>
      <c r="D247"/>
      <c r="G247" t="s">
        <v>215</v>
      </c>
      <c r="H247" s="20"/>
      <c r="I247" s="20"/>
      <c r="J247" s="20"/>
      <c r="K247" s="20"/>
      <c r="L247" s="20"/>
      <c r="Q247" s="83">
        <v>0</v>
      </c>
      <c r="Y247" s="20"/>
      <c r="AP247" s="92"/>
      <c r="AQ247" s="67"/>
      <c r="AR247" s="67"/>
      <c r="AS247" s="73"/>
      <c r="AT247" s="67"/>
      <c r="AU247" s="67"/>
      <c r="AV247" s="94" t="s">
        <v>209</v>
      </c>
      <c r="AW247" s="68"/>
      <c r="AX247" s="68"/>
      <c r="AY247" s="68"/>
      <c r="AZ247" s="68"/>
      <c r="BA247" s="68"/>
      <c r="BB247" s="67"/>
      <c r="BC247" s="67"/>
      <c r="BD247" s="67"/>
      <c r="BE247" s="67"/>
      <c r="BF247" s="96">
        <v>1</v>
      </c>
      <c r="BG247" s="52"/>
      <c r="BH247" s="52"/>
      <c r="BI247" s="52"/>
      <c r="BJ247" s="52"/>
      <c r="BK247" s="52"/>
      <c r="BL247" s="52"/>
      <c r="BM247" s="52"/>
      <c r="BN247" s="53"/>
      <c r="BO247" s="52"/>
      <c r="BP247" s="52"/>
      <c r="BQ247" s="54"/>
    </row>
    <row r="248" spans="1:69" ht="16" x14ac:dyDescent="0.35">
      <c r="A248"/>
      <c r="B248"/>
      <c r="D248"/>
      <c r="G248" t="s">
        <v>215</v>
      </c>
      <c r="H248" s="20"/>
      <c r="I248" s="20"/>
      <c r="J248" s="20"/>
      <c r="K248" s="20"/>
      <c r="L248" s="20"/>
      <c r="Q248" s="83">
        <v>0</v>
      </c>
      <c r="Y248" s="20"/>
      <c r="AP248" s="93"/>
      <c r="AQ248" s="31"/>
      <c r="AR248" s="31"/>
      <c r="AS248" s="94"/>
      <c r="AT248" s="31"/>
      <c r="AU248" s="31"/>
      <c r="AV248" s="73" t="s">
        <v>206</v>
      </c>
      <c r="AW248" s="32"/>
      <c r="AX248" s="32"/>
      <c r="AY248" s="32"/>
      <c r="AZ248" s="32"/>
      <c r="BA248" s="32"/>
      <c r="BB248" s="31"/>
      <c r="BC248" s="31"/>
      <c r="BD248" s="31"/>
      <c r="BE248" s="31"/>
      <c r="BF248" s="95">
        <v>1</v>
      </c>
      <c r="BG248" s="48"/>
      <c r="BH248" s="48"/>
      <c r="BI248" s="48"/>
      <c r="BJ248" s="48"/>
      <c r="BK248" s="48"/>
      <c r="BL248" s="48"/>
      <c r="BM248" s="48"/>
      <c r="BN248" s="49"/>
      <c r="BO248" s="48"/>
      <c r="BP248" s="48"/>
      <c r="BQ248" s="50"/>
    </row>
    <row r="249" spans="1:69" ht="16" x14ac:dyDescent="0.35">
      <c r="A249"/>
      <c r="B249"/>
      <c r="D249"/>
      <c r="G249" t="s">
        <v>241</v>
      </c>
      <c r="H249" s="20"/>
      <c r="I249" s="20"/>
      <c r="J249" s="20"/>
      <c r="K249" s="20"/>
      <c r="L249" s="20"/>
      <c r="Q249" s="83">
        <v>0</v>
      </c>
      <c r="Y249" s="20"/>
      <c r="AP249" s="92"/>
      <c r="AQ249" s="67"/>
      <c r="AR249" s="67"/>
      <c r="AS249" s="73"/>
      <c r="AT249" s="67"/>
      <c r="AU249" s="67"/>
      <c r="AV249" s="94" t="s">
        <v>207</v>
      </c>
      <c r="AW249" s="68"/>
      <c r="AX249" s="68"/>
      <c r="AY249" s="68"/>
      <c r="AZ249" s="68"/>
      <c r="BA249" s="68"/>
      <c r="BB249" s="67"/>
      <c r="BC249" s="67"/>
      <c r="BD249" s="67"/>
      <c r="BE249" s="67"/>
      <c r="BF249" s="96">
        <v>1</v>
      </c>
      <c r="BG249" s="52"/>
      <c r="BH249" s="52"/>
      <c r="BI249" s="52"/>
      <c r="BJ249" s="52"/>
      <c r="BK249" s="52"/>
      <c r="BL249" s="52"/>
      <c r="BM249" s="52"/>
      <c r="BN249" s="53"/>
      <c r="BO249" s="52"/>
      <c r="BP249" s="52"/>
      <c r="BQ249" s="54"/>
    </row>
    <row r="250" spans="1:69" ht="16" x14ac:dyDescent="0.35">
      <c r="A250"/>
      <c r="B250"/>
      <c r="D250"/>
      <c r="G250" t="s">
        <v>241</v>
      </c>
      <c r="H250" s="20"/>
      <c r="I250" s="20"/>
      <c r="J250" s="20"/>
      <c r="K250" s="20"/>
      <c r="L250" s="20"/>
      <c r="Q250" s="83">
        <v>0</v>
      </c>
      <c r="Y250" s="20"/>
      <c r="AP250" s="93"/>
      <c r="AQ250" s="31"/>
      <c r="AR250" s="31"/>
      <c r="AS250" s="94"/>
      <c r="AT250" s="31"/>
      <c r="AU250" s="31"/>
      <c r="AV250" s="73" t="s">
        <v>209</v>
      </c>
      <c r="AW250" s="32"/>
      <c r="AX250" s="32"/>
      <c r="AY250" s="32"/>
      <c r="AZ250" s="32"/>
      <c r="BA250" s="32"/>
      <c r="BB250" s="31"/>
      <c r="BC250" s="31"/>
      <c r="BD250" s="31"/>
      <c r="BE250" s="31"/>
      <c r="BF250" s="95">
        <v>1</v>
      </c>
      <c r="BG250" s="48"/>
      <c r="BH250" s="48"/>
      <c r="BI250" s="48"/>
      <c r="BJ250" s="48"/>
      <c r="BK250" s="48"/>
      <c r="BL250" s="48"/>
      <c r="BM250" s="48"/>
      <c r="BN250" s="49"/>
      <c r="BO250" s="48"/>
      <c r="BP250" s="48"/>
      <c r="BQ250" s="50"/>
    </row>
    <row r="251" spans="1:69" ht="16" x14ac:dyDescent="0.35">
      <c r="A251"/>
      <c r="B251"/>
      <c r="D251"/>
      <c r="G251" t="s">
        <v>241</v>
      </c>
      <c r="H251" s="20"/>
      <c r="I251" s="20"/>
      <c r="J251" s="20"/>
      <c r="K251" s="20"/>
      <c r="L251" s="20"/>
      <c r="Q251" s="83">
        <v>0</v>
      </c>
      <c r="Y251" s="20"/>
      <c r="AP251" s="92"/>
      <c r="AQ251" s="67"/>
      <c r="AR251" s="67"/>
      <c r="AS251" s="73"/>
      <c r="AT251" s="67"/>
      <c r="AU251" s="67"/>
      <c r="AV251" s="94" t="s">
        <v>206</v>
      </c>
      <c r="AW251" s="68"/>
      <c r="AX251" s="68"/>
      <c r="AY251" s="68"/>
      <c r="AZ251" s="68"/>
      <c r="BA251" s="68"/>
      <c r="BB251" s="67"/>
      <c r="BC251" s="67"/>
      <c r="BD251" s="67"/>
      <c r="BE251" s="67"/>
      <c r="BF251" s="96">
        <v>1</v>
      </c>
      <c r="BG251" s="52"/>
      <c r="BH251" s="52"/>
      <c r="BI251" s="52"/>
      <c r="BJ251" s="52"/>
      <c r="BK251" s="52"/>
      <c r="BL251" s="52"/>
      <c r="BM251" s="52"/>
      <c r="BN251" s="53"/>
      <c r="BO251" s="52"/>
      <c r="BP251" s="52"/>
      <c r="BQ251" s="54"/>
    </row>
    <row r="252" spans="1:69" ht="16" x14ac:dyDescent="0.35">
      <c r="A252"/>
      <c r="B252"/>
      <c r="D252"/>
      <c r="G252" t="s">
        <v>241</v>
      </c>
      <c r="H252" s="20"/>
      <c r="I252" s="20"/>
      <c r="J252" s="20"/>
      <c r="K252" s="20"/>
      <c r="L252" s="20"/>
      <c r="Q252" s="83">
        <v>0</v>
      </c>
      <c r="Y252" s="20"/>
      <c r="AP252" s="93"/>
      <c r="AQ252" s="31"/>
      <c r="AR252" s="31"/>
      <c r="AS252" s="94"/>
      <c r="AT252" s="31"/>
      <c r="AU252" s="31"/>
      <c r="AV252" s="73" t="s">
        <v>207</v>
      </c>
      <c r="AW252" s="32"/>
      <c r="AX252" s="32"/>
      <c r="AY252" s="32"/>
      <c r="AZ252" s="32"/>
      <c r="BA252" s="32"/>
      <c r="BB252" s="31"/>
      <c r="BC252" s="31"/>
      <c r="BD252" s="31"/>
      <c r="BE252" s="31"/>
      <c r="BF252" s="95">
        <v>0</v>
      </c>
      <c r="BG252" s="48"/>
      <c r="BH252" s="48"/>
      <c r="BI252" s="48"/>
      <c r="BJ252" s="48"/>
      <c r="BK252" s="48"/>
      <c r="BL252" s="48"/>
      <c r="BM252" s="48"/>
      <c r="BN252" s="49"/>
      <c r="BO252" s="48"/>
      <c r="BP252" s="48"/>
      <c r="BQ252" s="50"/>
    </row>
    <row r="253" spans="1:69" ht="16" x14ac:dyDescent="0.35">
      <c r="A253"/>
      <c r="B253"/>
      <c r="D253"/>
      <c r="G253" t="s">
        <v>215</v>
      </c>
      <c r="H253" s="20"/>
      <c r="I253" s="20"/>
      <c r="J253" s="20"/>
      <c r="K253" s="20"/>
      <c r="L253" s="20"/>
      <c r="Q253" s="83">
        <v>0</v>
      </c>
      <c r="Y253" s="20"/>
      <c r="AP253" s="92"/>
      <c r="AQ253" s="67"/>
      <c r="AR253" s="67"/>
      <c r="AS253" s="73"/>
      <c r="AT253" s="67"/>
      <c r="AU253" s="67"/>
      <c r="AV253" s="94" t="s">
        <v>207</v>
      </c>
      <c r="AW253" s="68"/>
      <c r="AX253" s="68"/>
      <c r="AY253" s="68"/>
      <c r="AZ253" s="68"/>
      <c r="BA253" s="68"/>
      <c r="BB253" s="67"/>
      <c r="BC253" s="67"/>
      <c r="BD253" s="67"/>
      <c r="BE253" s="67"/>
      <c r="BF253" s="96">
        <v>0</v>
      </c>
      <c r="BG253" s="52"/>
      <c r="BH253" s="52"/>
      <c r="BI253" s="52"/>
      <c r="BJ253" s="52"/>
      <c r="BK253" s="52"/>
      <c r="BL253" s="52"/>
      <c r="BM253" s="52"/>
      <c r="BN253" s="53"/>
      <c r="BO253" s="52"/>
      <c r="BP253" s="52"/>
      <c r="BQ253" s="54"/>
    </row>
    <row r="254" spans="1:69" ht="16" x14ac:dyDescent="0.35">
      <c r="A254"/>
      <c r="B254"/>
      <c r="D254"/>
      <c r="G254" t="s">
        <v>215</v>
      </c>
      <c r="H254" s="20"/>
      <c r="I254" s="20"/>
      <c r="J254" s="20"/>
      <c r="K254" s="20"/>
      <c r="L254" s="20"/>
      <c r="Q254" s="83">
        <v>0</v>
      </c>
      <c r="Y254" s="20"/>
      <c r="AP254" s="93"/>
      <c r="AQ254" s="31"/>
      <c r="AR254" s="31"/>
      <c r="AS254" s="94"/>
      <c r="AT254" s="31"/>
      <c r="AU254" s="31"/>
      <c r="AV254" s="73" t="s">
        <v>206</v>
      </c>
      <c r="AW254" s="32"/>
      <c r="AX254" s="32"/>
      <c r="AY254" s="32"/>
      <c r="AZ254" s="32"/>
      <c r="BA254" s="32"/>
      <c r="BB254" s="31"/>
      <c r="BC254" s="31"/>
      <c r="BD254" s="31"/>
      <c r="BE254" s="31"/>
      <c r="BF254" s="95">
        <v>1</v>
      </c>
      <c r="BG254" s="48"/>
      <c r="BH254" s="48"/>
      <c r="BI254" s="48"/>
      <c r="BJ254" s="48"/>
      <c r="BK254" s="48"/>
      <c r="BL254" s="48"/>
      <c r="BM254" s="48"/>
      <c r="BN254" s="49"/>
      <c r="BO254" s="48"/>
      <c r="BP254" s="48"/>
      <c r="BQ254" s="50"/>
    </row>
    <row r="255" spans="1:69" ht="16" x14ac:dyDescent="0.35">
      <c r="A255"/>
      <c r="B255"/>
      <c r="D255"/>
      <c r="G255" t="s">
        <v>212</v>
      </c>
      <c r="H255" s="20"/>
      <c r="I255" s="20"/>
      <c r="J255" s="20"/>
      <c r="K255" s="20"/>
      <c r="L255" s="20"/>
      <c r="Q255" s="83">
        <v>0</v>
      </c>
      <c r="Y255" s="20"/>
      <c r="AP255" s="92"/>
      <c r="AQ255" s="67"/>
      <c r="AR255" s="67"/>
      <c r="AS255" s="73"/>
      <c r="AT255" s="67"/>
      <c r="AU255" s="67"/>
      <c r="AV255" s="94" t="s">
        <v>206</v>
      </c>
      <c r="AW255" s="68"/>
      <c r="AX255" s="68"/>
      <c r="AY255" s="68"/>
      <c r="AZ255" s="68"/>
      <c r="BA255" s="68"/>
      <c r="BB255" s="67"/>
      <c r="BC255" s="67"/>
      <c r="BD255" s="67"/>
      <c r="BE255" s="67"/>
      <c r="BF255" s="96">
        <v>1</v>
      </c>
      <c r="BG255" s="52"/>
      <c r="BH255" s="52"/>
      <c r="BI255" s="52"/>
      <c r="BJ255" s="52"/>
      <c r="BK255" s="52"/>
      <c r="BL255" s="52"/>
      <c r="BM255" s="52"/>
      <c r="BN255" s="53"/>
      <c r="BO255" s="52"/>
      <c r="BP255" s="52"/>
      <c r="BQ255" s="54"/>
    </row>
    <row r="256" spans="1:69" ht="16" x14ac:dyDescent="0.35">
      <c r="A256"/>
      <c r="B256"/>
      <c r="D256"/>
      <c r="G256" t="s">
        <v>212</v>
      </c>
      <c r="H256" s="20"/>
      <c r="I256" s="20"/>
      <c r="J256" s="20"/>
      <c r="K256" s="20"/>
      <c r="L256" s="20"/>
      <c r="Q256" s="83">
        <v>0</v>
      </c>
      <c r="Y256" s="20"/>
      <c r="AP256" s="93"/>
      <c r="AQ256" s="31"/>
      <c r="AR256" s="31"/>
      <c r="AS256" s="94"/>
      <c r="AT256" s="31"/>
      <c r="AU256" s="31"/>
      <c r="AV256" s="73" t="s">
        <v>206</v>
      </c>
      <c r="AW256" s="32"/>
      <c r="AX256" s="32"/>
      <c r="AY256" s="32"/>
      <c r="AZ256" s="32"/>
      <c r="BA256" s="32"/>
      <c r="BB256" s="31"/>
      <c r="BC256" s="31"/>
      <c r="BD256" s="31"/>
      <c r="BE256" s="31"/>
      <c r="BF256" s="95">
        <v>1</v>
      </c>
      <c r="BG256" s="48"/>
      <c r="BH256" s="48"/>
      <c r="BI256" s="48"/>
      <c r="BJ256" s="48"/>
      <c r="BK256" s="48"/>
      <c r="BL256" s="48"/>
      <c r="BM256" s="48"/>
      <c r="BN256" s="49"/>
      <c r="BO256" s="48"/>
      <c r="BP256" s="48"/>
      <c r="BQ256" s="50"/>
    </row>
    <row r="257" spans="1:69" ht="16" x14ac:dyDescent="0.35">
      <c r="A257"/>
      <c r="B257"/>
      <c r="D257"/>
      <c r="G257" t="s">
        <v>213</v>
      </c>
      <c r="H257" s="20"/>
      <c r="I257" s="20"/>
      <c r="J257" s="20"/>
      <c r="K257" s="20"/>
      <c r="L257" s="20"/>
      <c r="Q257" s="83">
        <v>0</v>
      </c>
      <c r="Y257" s="20"/>
      <c r="AP257" s="92"/>
      <c r="AQ257" s="67"/>
      <c r="AR257" s="67"/>
      <c r="AS257" s="73"/>
      <c r="AT257" s="67"/>
      <c r="AU257" s="67"/>
      <c r="AV257" s="94" t="s">
        <v>206</v>
      </c>
      <c r="AW257" s="68"/>
      <c r="AX257" s="68"/>
      <c r="AY257" s="68"/>
      <c r="AZ257" s="68"/>
      <c r="BA257" s="68"/>
      <c r="BB257" s="67"/>
      <c r="BC257" s="67"/>
      <c r="BD257" s="67"/>
      <c r="BE257" s="67"/>
      <c r="BF257" s="96">
        <v>1</v>
      </c>
      <c r="BG257" s="52"/>
      <c r="BH257" s="52"/>
      <c r="BI257" s="52"/>
      <c r="BJ257" s="52"/>
      <c r="BK257" s="52"/>
      <c r="BL257" s="52"/>
      <c r="BM257" s="52"/>
      <c r="BN257" s="53"/>
      <c r="BO257" s="52"/>
      <c r="BP257" s="52"/>
      <c r="BQ257" s="54"/>
    </row>
    <row r="258" spans="1:69" ht="16" x14ac:dyDescent="0.35">
      <c r="A258"/>
      <c r="B258"/>
      <c r="D258"/>
      <c r="G258" t="s">
        <v>213</v>
      </c>
      <c r="H258" s="20"/>
      <c r="I258" s="20"/>
      <c r="J258" s="20"/>
      <c r="K258" s="20"/>
      <c r="L258" s="20"/>
      <c r="Q258" s="83">
        <v>0</v>
      </c>
      <c r="Y258" s="20"/>
      <c r="AP258" s="93"/>
      <c r="AQ258" s="31"/>
      <c r="AR258" s="31"/>
      <c r="AS258" s="94"/>
      <c r="AT258" s="31"/>
      <c r="AU258" s="31"/>
      <c r="AV258" s="73" t="s">
        <v>206</v>
      </c>
      <c r="AW258" s="32"/>
      <c r="AX258" s="32"/>
      <c r="AY258" s="32"/>
      <c r="AZ258" s="32"/>
      <c r="BA258" s="32"/>
      <c r="BB258" s="31"/>
      <c r="BC258" s="31"/>
      <c r="BD258" s="31"/>
      <c r="BE258" s="31"/>
      <c r="BF258" s="95">
        <v>1</v>
      </c>
      <c r="BG258" s="48"/>
      <c r="BH258" s="48"/>
      <c r="BI258" s="48"/>
      <c r="BJ258" s="48"/>
      <c r="BK258" s="48"/>
      <c r="BL258" s="48"/>
      <c r="BM258" s="48"/>
      <c r="BN258" s="49"/>
      <c r="BO258" s="48"/>
      <c r="BP258" s="48"/>
      <c r="BQ258" s="50"/>
    </row>
    <row r="259" spans="1:69" ht="16" x14ac:dyDescent="0.35">
      <c r="A259"/>
      <c r="B259"/>
      <c r="D259"/>
      <c r="G259" t="s">
        <v>213</v>
      </c>
      <c r="H259" s="20"/>
      <c r="I259" s="20"/>
      <c r="J259" s="20"/>
      <c r="K259" s="20"/>
      <c r="L259" s="20"/>
      <c r="Q259" s="83">
        <v>0</v>
      </c>
      <c r="Y259" s="20"/>
      <c r="AP259" s="92"/>
      <c r="AQ259" s="67"/>
      <c r="AR259" s="67"/>
      <c r="AS259" s="73"/>
      <c r="AT259" s="67"/>
      <c r="AU259" s="67"/>
      <c r="AV259" s="94" t="s">
        <v>206</v>
      </c>
      <c r="AW259" s="68"/>
      <c r="AX259" s="68"/>
      <c r="AY259" s="68"/>
      <c r="AZ259" s="68"/>
      <c r="BA259" s="68"/>
      <c r="BB259" s="67"/>
      <c r="BC259" s="67"/>
      <c r="BD259" s="67"/>
      <c r="BE259" s="67"/>
      <c r="BF259" s="96">
        <v>1</v>
      </c>
      <c r="BG259" s="52"/>
      <c r="BH259" s="52"/>
      <c r="BI259" s="52"/>
      <c r="BJ259" s="52"/>
      <c r="BK259" s="52"/>
      <c r="BL259" s="52"/>
      <c r="BM259" s="52"/>
      <c r="BN259" s="53"/>
      <c r="BO259" s="52"/>
      <c r="BP259" s="52"/>
      <c r="BQ259" s="54"/>
    </row>
    <row r="260" spans="1:69" ht="16" x14ac:dyDescent="0.35">
      <c r="A260"/>
      <c r="B260"/>
      <c r="D260"/>
      <c r="G260" t="s">
        <v>213</v>
      </c>
      <c r="H260" s="20"/>
      <c r="I260" s="20"/>
      <c r="J260" s="20"/>
      <c r="K260" s="20"/>
      <c r="L260" s="20"/>
      <c r="Q260" s="83">
        <v>0</v>
      </c>
      <c r="Y260" s="20"/>
      <c r="AP260" s="93"/>
      <c r="AQ260" s="31"/>
      <c r="AR260" s="31"/>
      <c r="AS260" s="94"/>
      <c r="AT260" s="31"/>
      <c r="AU260" s="31"/>
      <c r="AV260" s="73" t="s">
        <v>206</v>
      </c>
      <c r="AW260" s="32"/>
      <c r="AX260" s="32"/>
      <c r="AY260" s="32"/>
      <c r="AZ260" s="32"/>
      <c r="BA260" s="32"/>
      <c r="BB260" s="31"/>
      <c r="BC260" s="31"/>
      <c r="BD260" s="31"/>
      <c r="BE260" s="31"/>
      <c r="BF260" s="95">
        <v>1</v>
      </c>
      <c r="BG260" s="48"/>
      <c r="BH260" s="48"/>
      <c r="BI260" s="48"/>
      <c r="BJ260" s="48"/>
      <c r="BK260" s="48"/>
      <c r="BL260" s="48"/>
      <c r="BM260" s="48"/>
      <c r="BN260" s="49"/>
      <c r="BO260" s="48"/>
      <c r="BP260" s="48"/>
      <c r="BQ260" s="50"/>
    </row>
    <row r="261" spans="1:69" ht="16" x14ac:dyDescent="0.35">
      <c r="A261"/>
      <c r="B261"/>
      <c r="D261"/>
      <c r="G261" t="s">
        <v>213</v>
      </c>
      <c r="H261" s="20"/>
      <c r="I261" s="20"/>
      <c r="J261" s="20"/>
      <c r="K261" s="20"/>
      <c r="L261" s="20"/>
      <c r="Q261" s="83">
        <v>0</v>
      </c>
      <c r="Y261" s="20"/>
      <c r="AP261" s="92"/>
      <c r="AQ261" s="67"/>
      <c r="AR261" s="67"/>
      <c r="AS261" s="73"/>
      <c r="AT261" s="67"/>
      <c r="AU261" s="67"/>
      <c r="AV261" s="94" t="s">
        <v>206</v>
      </c>
      <c r="AW261" s="68"/>
      <c r="AX261" s="68"/>
      <c r="AY261" s="68"/>
      <c r="AZ261" s="68"/>
      <c r="BA261" s="68"/>
      <c r="BB261" s="67"/>
      <c r="BC261" s="67"/>
      <c r="BD261" s="67"/>
      <c r="BE261" s="67"/>
      <c r="BF261" s="96">
        <v>1</v>
      </c>
      <c r="BG261" s="52"/>
      <c r="BH261" s="52"/>
      <c r="BI261" s="52"/>
      <c r="BJ261" s="52"/>
      <c r="BK261" s="52"/>
      <c r="BL261" s="52"/>
      <c r="BM261" s="52"/>
      <c r="BN261" s="53"/>
      <c r="BO261" s="52"/>
      <c r="BP261" s="52"/>
      <c r="BQ261" s="54"/>
    </row>
    <row r="262" spans="1:69" ht="16" x14ac:dyDescent="0.35">
      <c r="A262"/>
      <c r="B262"/>
      <c r="D262"/>
      <c r="G262" t="s">
        <v>212</v>
      </c>
      <c r="H262" s="20"/>
      <c r="I262" s="20"/>
      <c r="J262" s="20"/>
      <c r="K262" s="20"/>
      <c r="L262" s="20"/>
      <c r="Q262" s="83">
        <v>0</v>
      </c>
      <c r="Y262" s="20"/>
      <c r="AP262" s="93"/>
      <c r="AQ262" s="31"/>
      <c r="AR262" s="31"/>
      <c r="AS262" s="94"/>
      <c r="AT262" s="31"/>
      <c r="AU262" s="31"/>
      <c r="AV262" s="73" t="s">
        <v>206</v>
      </c>
      <c r="AW262" s="32"/>
      <c r="AX262" s="32"/>
      <c r="AY262" s="32"/>
      <c r="AZ262" s="32"/>
      <c r="BA262" s="32"/>
      <c r="BB262" s="31"/>
      <c r="BC262" s="31"/>
      <c r="BD262" s="31"/>
      <c r="BE262" s="31"/>
      <c r="BF262" s="95">
        <v>1</v>
      </c>
      <c r="BG262" s="48"/>
      <c r="BH262" s="48"/>
      <c r="BI262" s="48"/>
      <c r="BJ262" s="48"/>
      <c r="BK262" s="48"/>
      <c r="BL262" s="48"/>
      <c r="BM262" s="48"/>
      <c r="BN262" s="49"/>
      <c r="BO262" s="48"/>
      <c r="BP262" s="48"/>
      <c r="BQ262" s="50"/>
    </row>
    <row r="263" spans="1:69" ht="16" x14ac:dyDescent="0.35">
      <c r="A263"/>
      <c r="B263"/>
      <c r="D263"/>
      <c r="G263" t="s">
        <v>212</v>
      </c>
      <c r="H263" s="20"/>
      <c r="I263" s="20"/>
      <c r="J263" s="20"/>
      <c r="K263" s="20"/>
      <c r="L263" s="20"/>
      <c r="Q263" s="83">
        <v>0</v>
      </c>
      <c r="Y263" s="20"/>
      <c r="AP263" s="92"/>
      <c r="AQ263" s="67"/>
      <c r="AR263" s="67"/>
      <c r="AS263" s="73"/>
      <c r="AT263" s="67"/>
      <c r="AU263" s="67"/>
      <c r="AV263" s="94" t="s">
        <v>206</v>
      </c>
      <c r="AW263" s="68"/>
      <c r="AX263" s="68"/>
      <c r="AY263" s="68"/>
      <c r="AZ263" s="68"/>
      <c r="BA263" s="68"/>
      <c r="BB263" s="67"/>
      <c r="BC263" s="67"/>
      <c r="BD263" s="67"/>
      <c r="BE263" s="67"/>
      <c r="BF263" s="96">
        <v>1</v>
      </c>
      <c r="BG263" s="52"/>
      <c r="BH263" s="52"/>
      <c r="BI263" s="52"/>
      <c r="BJ263" s="52"/>
      <c r="BK263" s="52"/>
      <c r="BL263" s="52"/>
      <c r="BM263" s="52"/>
      <c r="BN263" s="53"/>
      <c r="BO263" s="52"/>
      <c r="BP263" s="52"/>
      <c r="BQ263" s="54"/>
    </row>
    <row r="264" spans="1:69" ht="16" x14ac:dyDescent="0.35">
      <c r="A264"/>
      <c r="B264"/>
      <c r="D264"/>
      <c r="G264" t="s">
        <v>212</v>
      </c>
      <c r="H264" s="20"/>
      <c r="I264" s="20"/>
      <c r="J264" s="20"/>
      <c r="K264" s="20"/>
      <c r="L264" s="20"/>
      <c r="Q264" s="83">
        <v>0</v>
      </c>
      <c r="Y264" s="20"/>
      <c r="AP264" s="93"/>
      <c r="AQ264" s="31"/>
      <c r="AR264" s="31"/>
      <c r="AS264" s="94"/>
      <c r="AT264" s="31"/>
      <c r="AU264" s="31"/>
      <c r="AV264" s="73" t="s">
        <v>207</v>
      </c>
      <c r="AW264" s="32"/>
      <c r="AX264" s="32"/>
      <c r="AY264" s="32"/>
      <c r="AZ264" s="32"/>
      <c r="BA264" s="32"/>
      <c r="BB264" s="31"/>
      <c r="BC264" s="31"/>
      <c r="BD264" s="31"/>
      <c r="BE264" s="31"/>
      <c r="BF264" s="95">
        <v>0</v>
      </c>
      <c r="BG264" s="48"/>
      <c r="BH264" s="48"/>
      <c r="BI264" s="48"/>
      <c r="BJ264" s="48"/>
      <c r="BK264" s="48"/>
      <c r="BL264" s="48"/>
      <c r="BM264" s="48"/>
      <c r="BN264" s="49"/>
      <c r="BO264" s="48"/>
      <c r="BP264" s="48"/>
      <c r="BQ264" s="50"/>
    </row>
    <row r="265" spans="1:69" ht="16" x14ac:dyDescent="0.35">
      <c r="A265"/>
      <c r="B265"/>
      <c r="D265"/>
      <c r="G265" t="s">
        <v>212</v>
      </c>
      <c r="H265" s="20"/>
      <c r="I265" s="20"/>
      <c r="J265" s="20"/>
      <c r="K265" s="20"/>
      <c r="L265" s="20"/>
      <c r="Q265" s="83">
        <v>0</v>
      </c>
      <c r="Y265" s="20"/>
      <c r="AP265" s="92"/>
      <c r="AQ265" s="67"/>
      <c r="AR265" s="67"/>
      <c r="AS265" s="73"/>
      <c r="AT265" s="67"/>
      <c r="AU265" s="67"/>
      <c r="AV265" s="94" t="s">
        <v>206</v>
      </c>
      <c r="AW265" s="68"/>
      <c r="AX265" s="68"/>
      <c r="AY265" s="68"/>
      <c r="AZ265" s="68"/>
      <c r="BA265" s="68"/>
      <c r="BB265" s="67"/>
      <c r="BC265" s="67"/>
      <c r="BD265" s="67"/>
      <c r="BE265" s="67"/>
      <c r="BF265" s="96">
        <v>1</v>
      </c>
      <c r="BG265" s="52"/>
      <c r="BH265" s="52"/>
      <c r="BI265" s="52"/>
      <c r="BJ265" s="52"/>
      <c r="BK265" s="52"/>
      <c r="BL265" s="52"/>
      <c r="BM265" s="52"/>
      <c r="BN265" s="53"/>
      <c r="BO265" s="52"/>
      <c r="BP265" s="52"/>
      <c r="BQ265" s="54"/>
    </row>
    <row r="266" spans="1:69" ht="16" x14ac:dyDescent="0.35">
      <c r="A266"/>
      <c r="B266"/>
      <c r="D266"/>
      <c r="G266" t="s">
        <v>212</v>
      </c>
      <c r="H266" s="20"/>
      <c r="I266" s="20"/>
      <c r="J266" s="20"/>
      <c r="K266" s="20"/>
      <c r="L266" s="20"/>
      <c r="Q266" s="83">
        <v>0</v>
      </c>
      <c r="Y266" s="20"/>
      <c r="AP266" s="93"/>
      <c r="AQ266" s="31"/>
      <c r="AR266" s="31"/>
      <c r="AS266" s="94"/>
      <c r="AT266" s="31"/>
      <c r="AU266" s="31"/>
      <c r="AV266" s="73" t="s">
        <v>206</v>
      </c>
      <c r="AW266" s="32"/>
      <c r="AX266" s="32"/>
      <c r="AY266" s="32"/>
      <c r="AZ266" s="32"/>
      <c r="BA266" s="32"/>
      <c r="BB266" s="31"/>
      <c r="BC266" s="31"/>
      <c r="BD266" s="31"/>
      <c r="BE266" s="31"/>
      <c r="BF266" s="95">
        <v>1</v>
      </c>
      <c r="BG266" s="48"/>
      <c r="BH266" s="48"/>
      <c r="BI266" s="48"/>
      <c r="BJ266" s="48"/>
      <c r="BK266" s="48"/>
      <c r="BL266" s="48"/>
      <c r="BM266" s="48"/>
      <c r="BN266" s="49"/>
      <c r="BO266" s="48"/>
      <c r="BP266" s="48"/>
      <c r="BQ266" s="50"/>
    </row>
    <row r="267" spans="1:69" ht="16" x14ac:dyDescent="0.35">
      <c r="A267"/>
      <c r="B267"/>
      <c r="D267"/>
      <c r="G267" t="s">
        <v>213</v>
      </c>
      <c r="H267" s="20"/>
      <c r="I267" s="20"/>
      <c r="J267" s="20"/>
      <c r="K267" s="20"/>
      <c r="L267" s="20"/>
      <c r="Q267" s="83">
        <v>0</v>
      </c>
      <c r="Y267" s="20"/>
      <c r="AP267" s="92"/>
      <c r="AQ267" s="67"/>
      <c r="AR267" s="67"/>
      <c r="AS267" s="73"/>
      <c r="AT267" s="67"/>
      <c r="AU267" s="67"/>
      <c r="AV267" s="94" t="s">
        <v>206</v>
      </c>
      <c r="AW267" s="68"/>
      <c r="AX267" s="68"/>
      <c r="AY267" s="68"/>
      <c r="AZ267" s="68"/>
      <c r="BA267" s="68"/>
      <c r="BB267" s="67"/>
      <c r="BC267" s="67"/>
      <c r="BD267" s="67"/>
      <c r="BE267" s="67"/>
      <c r="BF267" s="96">
        <v>1</v>
      </c>
      <c r="BG267" s="52"/>
      <c r="BH267" s="52"/>
      <c r="BI267" s="52"/>
      <c r="BJ267" s="52"/>
      <c r="BK267" s="52"/>
      <c r="BL267" s="52"/>
      <c r="BM267" s="52"/>
      <c r="BN267" s="53"/>
      <c r="BO267" s="52"/>
      <c r="BP267" s="52"/>
      <c r="BQ267" s="54"/>
    </row>
    <row r="268" spans="1:69" ht="16" x14ac:dyDescent="0.35">
      <c r="A268"/>
      <c r="B268"/>
      <c r="D268"/>
      <c r="G268" t="s">
        <v>213</v>
      </c>
      <c r="H268" s="20"/>
      <c r="I268" s="20"/>
      <c r="J268" s="20"/>
      <c r="K268" s="20"/>
      <c r="L268" s="20"/>
      <c r="Q268" s="83">
        <v>0</v>
      </c>
      <c r="Y268" s="20"/>
      <c r="AP268" s="93"/>
      <c r="AQ268" s="31"/>
      <c r="AR268" s="31"/>
      <c r="AS268" s="94"/>
      <c r="AT268" s="31"/>
      <c r="AU268" s="31"/>
      <c r="AV268" s="73" t="s">
        <v>206</v>
      </c>
      <c r="AW268" s="32"/>
      <c r="AX268" s="32"/>
      <c r="AY268" s="32"/>
      <c r="AZ268" s="32"/>
      <c r="BA268" s="32"/>
      <c r="BB268" s="31"/>
      <c r="BC268" s="31"/>
      <c r="BD268" s="31"/>
      <c r="BE268" s="31"/>
      <c r="BF268" s="95">
        <v>1</v>
      </c>
      <c r="BG268" s="48"/>
      <c r="BH268" s="48"/>
      <c r="BI268" s="48"/>
      <c r="BJ268" s="48"/>
      <c r="BK268" s="48"/>
      <c r="BL268" s="48"/>
      <c r="BM268" s="48"/>
      <c r="BN268" s="49"/>
      <c r="BO268" s="48"/>
      <c r="BP268" s="48"/>
      <c r="BQ268" s="50"/>
    </row>
    <row r="269" spans="1:69" ht="16" x14ac:dyDescent="0.35">
      <c r="A269"/>
      <c r="B269"/>
      <c r="D269"/>
      <c r="G269" t="s">
        <v>213</v>
      </c>
      <c r="H269" s="20"/>
      <c r="I269" s="20"/>
      <c r="J269" s="20"/>
      <c r="K269" s="20"/>
      <c r="L269" s="20"/>
      <c r="Q269" s="83">
        <v>0</v>
      </c>
      <c r="Y269" s="20"/>
      <c r="AP269" s="92"/>
      <c r="AQ269" s="67"/>
      <c r="AR269" s="67"/>
      <c r="AS269" s="73"/>
      <c r="AT269" s="67"/>
      <c r="AU269" s="67"/>
      <c r="AV269" s="94" t="s">
        <v>206</v>
      </c>
      <c r="AW269" s="68"/>
      <c r="AX269" s="68"/>
      <c r="AY269" s="68"/>
      <c r="AZ269" s="68"/>
      <c r="BA269" s="68"/>
      <c r="BB269" s="67"/>
      <c r="BC269" s="67"/>
      <c r="BD269" s="67"/>
      <c r="BE269" s="67"/>
      <c r="BF269" s="96">
        <v>1</v>
      </c>
      <c r="BG269" s="52"/>
      <c r="BH269" s="52"/>
      <c r="BI269" s="52"/>
      <c r="BJ269" s="52"/>
      <c r="BK269" s="52"/>
      <c r="BL269" s="52"/>
      <c r="BM269" s="52"/>
      <c r="BN269" s="53"/>
      <c r="BO269" s="52"/>
      <c r="BP269" s="52"/>
      <c r="BQ269" s="54"/>
    </row>
    <row r="270" spans="1:69" ht="16" x14ac:dyDescent="0.35">
      <c r="A270"/>
      <c r="B270"/>
      <c r="D270"/>
      <c r="G270" t="s">
        <v>213</v>
      </c>
      <c r="H270" s="20"/>
      <c r="I270" s="20"/>
      <c r="J270" s="20"/>
      <c r="K270" s="20"/>
      <c r="L270" s="20"/>
      <c r="Q270" s="83">
        <v>0</v>
      </c>
      <c r="Y270" s="20"/>
      <c r="AP270" s="93"/>
      <c r="AQ270" s="31"/>
      <c r="AR270" s="31"/>
      <c r="AS270" s="94"/>
      <c r="AT270" s="31"/>
      <c r="AU270" s="31"/>
      <c r="AV270" s="73" t="s">
        <v>206</v>
      </c>
      <c r="AW270" s="32"/>
      <c r="AX270" s="32"/>
      <c r="AY270" s="32"/>
      <c r="AZ270" s="32"/>
      <c r="BA270" s="32"/>
      <c r="BB270" s="31"/>
      <c r="BC270" s="31"/>
      <c r="BD270" s="31"/>
      <c r="BE270" s="31"/>
      <c r="BF270" s="95">
        <v>1</v>
      </c>
      <c r="BG270" s="48"/>
      <c r="BH270" s="48"/>
      <c r="BI270" s="48"/>
      <c r="BJ270" s="48"/>
      <c r="BK270" s="48"/>
      <c r="BL270" s="48"/>
      <c r="BM270" s="48"/>
      <c r="BN270" s="49"/>
      <c r="BO270" s="48"/>
      <c r="BP270" s="48"/>
      <c r="BQ270" s="50"/>
    </row>
    <row r="271" spans="1:69" ht="16" x14ac:dyDescent="0.35">
      <c r="A271"/>
      <c r="B271"/>
      <c r="D271"/>
      <c r="G271" t="s">
        <v>240</v>
      </c>
      <c r="H271" s="20"/>
      <c r="I271" s="20"/>
      <c r="J271" s="20"/>
      <c r="K271" s="20"/>
      <c r="L271" s="20"/>
      <c r="Q271" s="83">
        <v>1</v>
      </c>
      <c r="Y271" s="20"/>
      <c r="AP271" s="92"/>
      <c r="AQ271" s="67"/>
      <c r="AR271" s="67"/>
      <c r="AS271" s="73"/>
      <c r="AT271" s="67"/>
      <c r="AU271" s="67"/>
      <c r="AV271" s="94" t="s">
        <v>206</v>
      </c>
      <c r="AW271" s="68"/>
      <c r="AX271" s="68"/>
      <c r="AY271" s="68"/>
      <c r="AZ271" s="68"/>
      <c r="BA271" s="68"/>
      <c r="BB271" s="67"/>
      <c r="BC271" s="67"/>
      <c r="BD271" s="67"/>
      <c r="BE271" s="67"/>
      <c r="BF271" s="96">
        <v>1</v>
      </c>
      <c r="BG271" s="52"/>
      <c r="BH271" s="52"/>
      <c r="BI271" s="52"/>
      <c r="BJ271" s="52"/>
      <c r="BK271" s="52"/>
      <c r="BL271" s="52"/>
      <c r="BM271" s="52"/>
      <c r="BN271" s="53"/>
      <c r="BO271" s="52"/>
      <c r="BP271" s="52"/>
      <c r="BQ271" s="54"/>
    </row>
    <row r="272" spans="1:69" ht="16" x14ac:dyDescent="0.35">
      <c r="A272"/>
      <c r="B272"/>
      <c r="D272"/>
      <c r="G272" t="s">
        <v>213</v>
      </c>
      <c r="H272" s="20"/>
      <c r="I272" s="20"/>
      <c r="J272" s="20"/>
      <c r="K272" s="20"/>
      <c r="L272" s="20"/>
      <c r="Q272" s="83">
        <v>0</v>
      </c>
      <c r="Y272" s="20"/>
      <c r="AP272" s="93"/>
      <c r="AQ272" s="31"/>
      <c r="AR272" s="31"/>
      <c r="AS272" s="94"/>
      <c r="AT272" s="31"/>
      <c r="AU272" s="31"/>
      <c r="AV272" s="73" t="s">
        <v>206</v>
      </c>
      <c r="AW272" s="32"/>
      <c r="AX272" s="32"/>
      <c r="AY272" s="32"/>
      <c r="AZ272" s="32"/>
      <c r="BA272" s="32"/>
      <c r="BB272" s="31"/>
      <c r="BC272" s="31"/>
      <c r="BD272" s="31"/>
      <c r="BE272" s="31"/>
      <c r="BF272" s="95">
        <v>1</v>
      </c>
      <c r="BG272" s="48"/>
      <c r="BH272" s="48"/>
      <c r="BI272" s="48"/>
      <c r="BJ272" s="48"/>
      <c r="BK272" s="48"/>
      <c r="BL272" s="48"/>
      <c r="BM272" s="48"/>
      <c r="BN272" s="49"/>
      <c r="BO272" s="48"/>
      <c r="BP272" s="48"/>
      <c r="BQ272" s="50"/>
    </row>
    <row r="273" spans="1:69" ht="16" x14ac:dyDescent="0.35">
      <c r="A273"/>
      <c r="B273"/>
      <c r="D273"/>
      <c r="G273" t="s">
        <v>213</v>
      </c>
      <c r="H273" s="20"/>
      <c r="I273" s="20"/>
      <c r="J273" s="20"/>
      <c r="K273" s="20"/>
      <c r="L273" s="20"/>
      <c r="Q273" s="83">
        <v>0</v>
      </c>
      <c r="Y273" s="20"/>
      <c r="AP273" s="92"/>
      <c r="AQ273" s="67"/>
      <c r="AR273" s="67"/>
      <c r="AS273" s="73"/>
      <c r="AT273" s="67"/>
      <c r="AU273" s="67"/>
      <c r="AV273" s="94" t="s">
        <v>206</v>
      </c>
      <c r="AW273" s="68"/>
      <c r="AX273" s="68"/>
      <c r="AY273" s="68"/>
      <c r="AZ273" s="68"/>
      <c r="BA273" s="68"/>
      <c r="BB273" s="67"/>
      <c r="BC273" s="67"/>
      <c r="BD273" s="67"/>
      <c r="BE273" s="67"/>
      <c r="BF273" s="96">
        <v>1</v>
      </c>
      <c r="BG273" s="52"/>
      <c r="BH273" s="52"/>
      <c r="BI273" s="52"/>
      <c r="BJ273" s="52"/>
      <c r="BK273" s="52"/>
      <c r="BL273" s="52"/>
      <c r="BM273" s="52"/>
      <c r="BN273" s="53"/>
      <c r="BO273" s="52"/>
      <c r="BP273" s="52"/>
      <c r="BQ273" s="54"/>
    </row>
    <row r="274" spans="1:69" ht="16" x14ac:dyDescent="0.35">
      <c r="A274"/>
      <c r="B274"/>
      <c r="D274"/>
      <c r="G274" t="s">
        <v>213</v>
      </c>
      <c r="H274" s="20"/>
      <c r="I274" s="20"/>
      <c r="J274" s="20"/>
      <c r="K274" s="20"/>
      <c r="L274" s="20"/>
      <c r="Q274" s="83">
        <v>0</v>
      </c>
      <c r="Y274" s="20"/>
      <c r="AP274" s="93"/>
      <c r="AQ274" s="31"/>
      <c r="AR274" s="31"/>
      <c r="AS274" s="94"/>
      <c r="AT274" s="31"/>
      <c r="AU274" s="31"/>
      <c r="AV274" s="73" t="s">
        <v>206</v>
      </c>
      <c r="AW274" s="32"/>
      <c r="AX274" s="32"/>
      <c r="AY274" s="32"/>
      <c r="AZ274" s="32"/>
      <c r="BA274" s="32"/>
      <c r="BB274" s="31"/>
      <c r="BC274" s="31"/>
      <c r="BD274" s="31"/>
      <c r="BE274" s="31"/>
      <c r="BF274" s="95">
        <v>1</v>
      </c>
      <c r="BG274" s="48"/>
      <c r="BH274" s="48"/>
      <c r="BI274" s="48"/>
      <c r="BJ274" s="48"/>
      <c r="BK274" s="48"/>
      <c r="BL274" s="48"/>
      <c r="BM274" s="48"/>
      <c r="BN274" s="49"/>
      <c r="BO274" s="48"/>
      <c r="BP274" s="48"/>
      <c r="BQ274" s="50"/>
    </row>
    <row r="275" spans="1:69" ht="16" x14ac:dyDescent="0.35">
      <c r="A275"/>
      <c r="B275"/>
      <c r="D275"/>
      <c r="G275" t="s">
        <v>214</v>
      </c>
      <c r="H275" s="20"/>
      <c r="I275" s="20"/>
      <c r="J275" s="20"/>
      <c r="K275" s="20"/>
      <c r="L275" s="20"/>
      <c r="Q275" s="83">
        <v>0</v>
      </c>
      <c r="Y275" s="20"/>
      <c r="AP275" s="92"/>
      <c r="AQ275" s="67"/>
      <c r="AR275" s="67"/>
      <c r="AS275" s="73"/>
      <c r="AT275" s="67"/>
      <c r="AU275" s="67"/>
      <c r="AV275" s="94" t="s">
        <v>206</v>
      </c>
      <c r="AW275" s="68"/>
      <c r="AX275" s="68"/>
      <c r="AY275" s="68"/>
      <c r="AZ275" s="68"/>
      <c r="BA275" s="68"/>
      <c r="BB275" s="67"/>
      <c r="BC275" s="67"/>
      <c r="BD275" s="67"/>
      <c r="BE275" s="67"/>
      <c r="BF275" s="96">
        <v>1</v>
      </c>
      <c r="BG275" s="52"/>
      <c r="BH275" s="52"/>
      <c r="BI275" s="52"/>
      <c r="BJ275" s="52"/>
      <c r="BK275" s="52"/>
      <c r="BL275" s="52"/>
      <c r="BM275" s="52"/>
      <c r="BN275" s="53"/>
      <c r="BO275" s="52"/>
      <c r="BP275" s="52"/>
      <c r="BQ275" s="54"/>
    </row>
    <row r="276" spans="1:69" ht="16" x14ac:dyDescent="0.35">
      <c r="A276"/>
      <c r="B276"/>
      <c r="D276"/>
      <c r="G276" t="s">
        <v>213</v>
      </c>
      <c r="H276" s="20"/>
      <c r="I276" s="20"/>
      <c r="J276" s="20"/>
      <c r="K276" s="20"/>
      <c r="L276" s="20"/>
      <c r="Q276" s="83">
        <v>0</v>
      </c>
      <c r="Y276" s="20"/>
      <c r="AP276" s="93"/>
      <c r="AQ276" s="31"/>
      <c r="AR276" s="31"/>
      <c r="AS276" s="94"/>
      <c r="AT276" s="31"/>
      <c r="AU276" s="31"/>
      <c r="AV276" s="73" t="s">
        <v>206</v>
      </c>
      <c r="AW276" s="32"/>
      <c r="AX276" s="32"/>
      <c r="AY276" s="32"/>
      <c r="AZ276" s="32"/>
      <c r="BA276" s="32"/>
      <c r="BB276" s="31"/>
      <c r="BC276" s="31"/>
      <c r="BD276" s="31"/>
      <c r="BE276" s="31"/>
      <c r="BF276" s="95">
        <v>1</v>
      </c>
      <c r="BG276" s="48"/>
      <c r="BH276" s="48"/>
      <c r="BI276" s="48"/>
      <c r="BJ276" s="48"/>
      <c r="BK276" s="48"/>
      <c r="BL276" s="48"/>
      <c r="BM276" s="48"/>
      <c r="BN276" s="49"/>
      <c r="BO276" s="48"/>
      <c r="BP276" s="48"/>
      <c r="BQ276" s="50"/>
    </row>
    <row r="277" spans="1:69" ht="16" x14ac:dyDescent="0.35">
      <c r="A277"/>
      <c r="B277"/>
      <c r="D277"/>
      <c r="G277" t="s">
        <v>212</v>
      </c>
      <c r="H277" s="20"/>
      <c r="I277" s="20"/>
      <c r="J277" s="20"/>
      <c r="K277" s="20"/>
      <c r="L277" s="20"/>
      <c r="Q277" s="83">
        <v>0</v>
      </c>
      <c r="Y277" s="20"/>
      <c r="AP277" s="92"/>
      <c r="AQ277" s="67"/>
      <c r="AR277" s="67"/>
      <c r="AS277" s="73"/>
      <c r="AT277" s="67"/>
      <c r="AU277" s="67"/>
      <c r="AV277" s="94" t="s">
        <v>206</v>
      </c>
      <c r="AW277" s="68"/>
      <c r="AX277" s="68"/>
      <c r="AY277" s="68"/>
      <c r="AZ277" s="68"/>
      <c r="BA277" s="68"/>
      <c r="BB277" s="67"/>
      <c r="BC277" s="67"/>
      <c r="BD277" s="67"/>
      <c r="BE277" s="67"/>
      <c r="BF277" s="96">
        <v>1</v>
      </c>
      <c r="BG277" s="52"/>
      <c r="BH277" s="52"/>
      <c r="BI277" s="52"/>
      <c r="BJ277" s="52"/>
      <c r="BK277" s="52"/>
      <c r="BL277" s="52"/>
      <c r="BM277" s="52"/>
      <c r="BN277" s="53"/>
      <c r="BO277" s="52"/>
      <c r="BP277" s="52"/>
      <c r="BQ277" s="54"/>
    </row>
    <row r="278" spans="1:69" ht="16" x14ac:dyDescent="0.35">
      <c r="A278"/>
      <c r="B278"/>
      <c r="D278"/>
      <c r="G278" t="s">
        <v>213</v>
      </c>
      <c r="H278" s="20"/>
      <c r="I278" s="20"/>
      <c r="J278" s="20"/>
      <c r="K278" s="20"/>
      <c r="L278" s="20"/>
      <c r="Q278" s="83">
        <v>0</v>
      </c>
      <c r="Y278" s="20"/>
      <c r="AP278" s="93"/>
      <c r="AQ278" s="31"/>
      <c r="AR278" s="31"/>
      <c r="AS278" s="94"/>
      <c r="AT278" s="31"/>
      <c r="AU278" s="31"/>
      <c r="AV278" s="73" t="s">
        <v>223</v>
      </c>
      <c r="AW278" s="32"/>
      <c r="AX278" s="32"/>
      <c r="AY278" s="32"/>
      <c r="AZ278" s="32"/>
      <c r="BA278" s="32"/>
      <c r="BB278" s="31"/>
      <c r="BC278" s="31"/>
      <c r="BD278" s="31"/>
      <c r="BE278" s="31"/>
      <c r="BF278" s="95">
        <v>0</v>
      </c>
      <c r="BG278" s="48"/>
      <c r="BH278" s="48"/>
      <c r="BI278" s="48"/>
      <c r="BJ278" s="48"/>
      <c r="BK278" s="48"/>
      <c r="BL278" s="48"/>
      <c r="BM278" s="48"/>
      <c r="BN278" s="49"/>
      <c r="BO278" s="48"/>
      <c r="BP278" s="48"/>
      <c r="BQ278" s="50"/>
    </row>
    <row r="279" spans="1:69" ht="16" x14ac:dyDescent="0.35">
      <c r="A279"/>
      <c r="B279"/>
      <c r="D279"/>
      <c r="G279" t="s">
        <v>213</v>
      </c>
      <c r="H279" s="20"/>
      <c r="I279" s="20"/>
      <c r="J279" s="20"/>
      <c r="K279" s="20"/>
      <c r="L279" s="20"/>
      <c r="Q279" s="83">
        <v>0</v>
      </c>
      <c r="Y279" s="20"/>
      <c r="AP279" s="92"/>
      <c r="AQ279" s="67"/>
      <c r="AR279" s="67"/>
      <c r="AS279" s="73"/>
      <c r="AT279" s="67"/>
      <c r="AU279" s="67"/>
      <c r="AV279" s="94" t="s">
        <v>207</v>
      </c>
      <c r="AW279" s="68"/>
      <c r="AX279" s="68"/>
      <c r="AY279" s="68"/>
      <c r="AZ279" s="68"/>
      <c r="BA279" s="68"/>
      <c r="BB279" s="67"/>
      <c r="BC279" s="67"/>
      <c r="BD279" s="67"/>
      <c r="BE279" s="67"/>
      <c r="BF279" s="96">
        <v>0</v>
      </c>
      <c r="BG279" s="52"/>
      <c r="BH279" s="52"/>
      <c r="BI279" s="52"/>
      <c r="BJ279" s="52"/>
      <c r="BK279" s="52"/>
      <c r="BL279" s="52"/>
      <c r="BM279" s="52"/>
      <c r="BN279" s="53"/>
      <c r="BO279" s="52"/>
      <c r="BP279" s="52"/>
      <c r="BQ279" s="54"/>
    </row>
    <row r="280" spans="1:69" ht="16" x14ac:dyDescent="0.35">
      <c r="A280"/>
      <c r="B280"/>
      <c r="D280"/>
      <c r="G280" t="s">
        <v>213</v>
      </c>
      <c r="H280" s="20"/>
      <c r="I280" s="20"/>
      <c r="J280" s="20"/>
      <c r="K280" s="20"/>
      <c r="L280" s="20"/>
      <c r="Q280" s="83">
        <v>0</v>
      </c>
      <c r="Y280" s="20"/>
      <c r="AP280" s="93"/>
      <c r="AQ280" s="31"/>
      <c r="AR280" s="31"/>
      <c r="AS280" s="94"/>
      <c r="AT280" s="31"/>
      <c r="AU280" s="31"/>
      <c r="AV280" s="73" t="s">
        <v>207</v>
      </c>
      <c r="AW280" s="32"/>
      <c r="AX280" s="32"/>
      <c r="AY280" s="32"/>
      <c r="AZ280" s="32"/>
      <c r="BA280" s="32"/>
      <c r="BB280" s="31"/>
      <c r="BC280" s="31"/>
      <c r="BD280" s="31"/>
      <c r="BE280" s="31"/>
      <c r="BF280" s="95">
        <v>0</v>
      </c>
      <c r="BG280" s="48"/>
      <c r="BH280" s="48"/>
      <c r="BI280" s="48"/>
      <c r="BJ280" s="48"/>
      <c r="BK280" s="48"/>
      <c r="BL280" s="48"/>
      <c r="BM280" s="48"/>
      <c r="BN280" s="49"/>
      <c r="BO280" s="48"/>
      <c r="BP280" s="48"/>
      <c r="BQ280" s="50"/>
    </row>
    <row r="281" spans="1:69" ht="16" x14ac:dyDescent="0.35">
      <c r="A281"/>
      <c r="B281"/>
      <c r="D281"/>
      <c r="G281" t="s">
        <v>213</v>
      </c>
      <c r="H281" s="20"/>
      <c r="I281" s="20"/>
      <c r="J281" s="20"/>
      <c r="K281" s="20"/>
      <c r="L281" s="20"/>
      <c r="Q281" s="83">
        <v>0</v>
      </c>
      <c r="Y281" s="20"/>
      <c r="AP281" s="92"/>
      <c r="AQ281" s="67"/>
      <c r="AR281" s="67"/>
      <c r="AS281" s="73"/>
      <c r="AT281" s="67"/>
      <c r="AU281" s="67"/>
      <c r="AV281" s="94" t="s">
        <v>207</v>
      </c>
      <c r="AW281" s="68"/>
      <c r="AX281" s="68"/>
      <c r="AY281" s="68"/>
      <c r="AZ281" s="68"/>
      <c r="BA281" s="68"/>
      <c r="BB281" s="67"/>
      <c r="BC281" s="67"/>
      <c r="BD281" s="67"/>
      <c r="BE281" s="67"/>
      <c r="BF281" s="96">
        <v>1</v>
      </c>
      <c r="BG281" s="52"/>
      <c r="BH281" s="52"/>
      <c r="BI281" s="52"/>
      <c r="BJ281" s="52"/>
      <c r="BK281" s="52"/>
      <c r="BL281" s="52"/>
      <c r="BM281" s="52"/>
      <c r="BN281" s="53"/>
      <c r="BO281" s="52"/>
      <c r="BP281" s="52"/>
      <c r="BQ281" s="54"/>
    </row>
    <row r="282" spans="1:69" ht="16" x14ac:dyDescent="0.35">
      <c r="A282"/>
      <c r="B282"/>
      <c r="D282"/>
      <c r="G282" t="s">
        <v>213</v>
      </c>
      <c r="H282" s="20"/>
      <c r="I282" s="20"/>
      <c r="J282" s="20"/>
      <c r="K282" s="20"/>
      <c r="L282" s="20"/>
      <c r="Q282" s="83">
        <v>0</v>
      </c>
      <c r="Y282" s="20"/>
      <c r="AP282" s="93"/>
      <c r="AQ282" s="31"/>
      <c r="AR282" s="31"/>
      <c r="AS282" s="94"/>
      <c r="AT282" s="31"/>
      <c r="AU282" s="31"/>
      <c r="AV282" s="73" t="s">
        <v>207</v>
      </c>
      <c r="AW282" s="32"/>
      <c r="AX282" s="32"/>
      <c r="AY282" s="32"/>
      <c r="AZ282" s="32"/>
      <c r="BA282" s="32"/>
      <c r="BB282" s="31"/>
      <c r="BC282" s="31"/>
      <c r="BD282" s="31"/>
      <c r="BE282" s="31"/>
      <c r="BF282" s="95">
        <v>0</v>
      </c>
      <c r="BG282" s="48"/>
      <c r="BH282" s="48"/>
      <c r="BI282" s="48"/>
      <c r="BJ282" s="48"/>
      <c r="BK282" s="48"/>
      <c r="BL282" s="48"/>
      <c r="BM282" s="48"/>
      <c r="BN282" s="49"/>
      <c r="BO282" s="48"/>
      <c r="BP282" s="48"/>
      <c r="BQ282" s="50"/>
    </row>
    <row r="283" spans="1:69" ht="16" x14ac:dyDescent="0.35">
      <c r="A283"/>
      <c r="B283"/>
      <c r="D283"/>
      <c r="G283" t="s">
        <v>213</v>
      </c>
      <c r="H283" s="20"/>
      <c r="I283" s="20"/>
      <c r="J283" s="20"/>
      <c r="K283" s="20"/>
      <c r="L283" s="20"/>
      <c r="Q283" s="83">
        <v>0</v>
      </c>
      <c r="Y283" s="20"/>
      <c r="AP283" s="92"/>
      <c r="AQ283" s="67"/>
      <c r="AR283" s="67"/>
      <c r="AS283" s="73"/>
      <c r="AT283" s="67"/>
      <c r="AU283" s="67"/>
      <c r="AV283" s="94" t="s">
        <v>207</v>
      </c>
      <c r="AW283" s="68"/>
      <c r="AX283" s="68"/>
      <c r="AY283" s="68"/>
      <c r="AZ283" s="68"/>
      <c r="BA283" s="68"/>
      <c r="BB283" s="67"/>
      <c r="BC283" s="67"/>
      <c r="BD283" s="67"/>
      <c r="BE283" s="67"/>
      <c r="BF283" s="96">
        <v>0</v>
      </c>
      <c r="BG283" s="52"/>
      <c r="BH283" s="52"/>
      <c r="BI283" s="52"/>
      <c r="BJ283" s="52"/>
      <c r="BK283" s="52"/>
      <c r="BL283" s="52"/>
      <c r="BM283" s="52"/>
      <c r="BN283" s="53"/>
      <c r="BO283" s="52"/>
      <c r="BP283" s="52"/>
      <c r="BQ283" s="54"/>
    </row>
    <row r="284" spans="1:69" ht="16" x14ac:dyDescent="0.35">
      <c r="A284"/>
      <c r="B284"/>
      <c r="D284"/>
      <c r="G284" t="s">
        <v>213</v>
      </c>
      <c r="H284" s="20"/>
      <c r="I284" s="20"/>
      <c r="J284" s="20"/>
      <c r="K284" s="20"/>
      <c r="L284" s="20"/>
      <c r="Q284" s="83">
        <v>0</v>
      </c>
      <c r="Y284" s="20"/>
      <c r="AP284" s="93"/>
      <c r="AQ284" s="31"/>
      <c r="AR284" s="31"/>
      <c r="AS284" s="94"/>
      <c r="AT284" s="31"/>
      <c r="AU284" s="31"/>
      <c r="AV284" s="73" t="s">
        <v>206</v>
      </c>
      <c r="AW284" s="32"/>
      <c r="AX284" s="32"/>
      <c r="AY284" s="32"/>
      <c r="AZ284" s="32"/>
      <c r="BA284" s="32"/>
      <c r="BB284" s="31"/>
      <c r="BC284" s="31"/>
      <c r="BD284" s="31"/>
      <c r="BE284" s="31"/>
      <c r="BF284" s="95">
        <v>1</v>
      </c>
      <c r="BG284" s="48"/>
      <c r="BH284" s="48"/>
      <c r="BI284" s="48"/>
      <c r="BJ284" s="48"/>
      <c r="BK284" s="48"/>
      <c r="BL284" s="48"/>
      <c r="BM284" s="48"/>
      <c r="BN284" s="49"/>
      <c r="BO284" s="48"/>
      <c r="BP284" s="48"/>
      <c r="BQ284" s="50"/>
    </row>
    <row r="285" spans="1:69" ht="16" x14ac:dyDescent="0.35">
      <c r="A285"/>
      <c r="B285"/>
      <c r="D285"/>
      <c r="G285" t="s">
        <v>214</v>
      </c>
      <c r="H285" s="20"/>
      <c r="I285" s="20"/>
      <c r="J285" s="20"/>
      <c r="K285" s="20"/>
      <c r="L285" s="20"/>
      <c r="Q285" s="83">
        <v>3</v>
      </c>
      <c r="Y285" s="20"/>
      <c r="AP285" s="92"/>
      <c r="AQ285" s="67"/>
      <c r="AR285" s="67"/>
      <c r="AS285" s="73"/>
      <c r="AT285" s="67"/>
      <c r="AU285" s="67"/>
      <c r="AV285" s="94" t="s">
        <v>206</v>
      </c>
      <c r="AW285" s="68"/>
      <c r="AX285" s="68"/>
      <c r="AY285" s="68"/>
      <c r="AZ285" s="68"/>
      <c r="BA285" s="68"/>
      <c r="BB285" s="67"/>
      <c r="BC285" s="67"/>
      <c r="BD285" s="67"/>
      <c r="BE285" s="67"/>
      <c r="BF285" s="96">
        <v>1</v>
      </c>
      <c r="BG285" s="52"/>
      <c r="BH285" s="52"/>
      <c r="BI285" s="52"/>
      <c r="BJ285" s="52"/>
      <c r="BK285" s="52"/>
      <c r="BL285" s="52"/>
      <c r="BM285" s="52"/>
      <c r="BN285" s="53"/>
      <c r="BO285" s="52"/>
      <c r="BP285" s="52"/>
      <c r="BQ285" s="54"/>
    </row>
    <row r="286" spans="1:69" ht="16" x14ac:dyDescent="0.35">
      <c r="A286"/>
      <c r="B286"/>
      <c r="D286"/>
      <c r="G286" t="s">
        <v>214</v>
      </c>
      <c r="H286" s="20"/>
      <c r="I286" s="20"/>
      <c r="J286" s="20"/>
      <c r="K286" s="20"/>
      <c r="L286" s="20"/>
      <c r="Q286" s="83">
        <v>3</v>
      </c>
      <c r="Y286" s="20"/>
      <c r="AP286" s="93"/>
      <c r="AQ286" s="31"/>
      <c r="AR286" s="31"/>
      <c r="AS286" s="94"/>
      <c r="AT286" s="31"/>
      <c r="AU286" s="31"/>
      <c r="AV286" s="73" t="s">
        <v>206</v>
      </c>
      <c r="AW286" s="32"/>
      <c r="AX286" s="32"/>
      <c r="AY286" s="32"/>
      <c r="AZ286" s="32"/>
      <c r="BA286" s="32"/>
      <c r="BB286" s="31"/>
      <c r="BC286" s="31"/>
      <c r="BD286" s="31"/>
      <c r="BE286" s="31"/>
      <c r="BF286" s="95">
        <v>2</v>
      </c>
      <c r="BG286" s="48"/>
      <c r="BH286" s="48"/>
      <c r="BI286" s="48"/>
      <c r="BJ286" s="48"/>
      <c r="BK286" s="48"/>
      <c r="BL286" s="48"/>
      <c r="BM286" s="48"/>
      <c r="BN286" s="49"/>
      <c r="BO286" s="48"/>
      <c r="BP286" s="48"/>
      <c r="BQ286" s="50"/>
    </row>
    <row r="287" spans="1:69" ht="16" x14ac:dyDescent="0.35">
      <c r="A287"/>
      <c r="B287"/>
      <c r="D287"/>
      <c r="G287" t="s">
        <v>214</v>
      </c>
      <c r="H287" s="20"/>
      <c r="I287" s="20"/>
      <c r="J287" s="20"/>
      <c r="K287" s="20"/>
      <c r="L287" s="20"/>
      <c r="Q287" s="83">
        <v>3</v>
      </c>
      <c r="Y287" s="20"/>
      <c r="AP287" s="92"/>
      <c r="AQ287" s="67"/>
      <c r="AR287" s="67"/>
      <c r="AS287" s="73"/>
      <c r="AT287" s="67"/>
      <c r="AU287" s="67"/>
      <c r="AV287" s="94" t="s">
        <v>208</v>
      </c>
      <c r="AW287" s="68"/>
      <c r="AX287" s="68"/>
      <c r="AY287" s="68"/>
      <c r="AZ287" s="68"/>
      <c r="BA287" s="68"/>
      <c r="BB287" s="67"/>
      <c r="BC287" s="67"/>
      <c r="BD287" s="67"/>
      <c r="BE287" s="67"/>
      <c r="BF287" s="96">
        <v>1</v>
      </c>
      <c r="BG287" s="52"/>
      <c r="BH287" s="52"/>
      <c r="BI287" s="52"/>
      <c r="BJ287" s="52"/>
      <c r="BK287" s="52"/>
      <c r="BL287" s="52"/>
      <c r="BM287" s="52"/>
      <c r="BN287" s="53"/>
      <c r="BO287" s="52"/>
      <c r="BP287" s="52"/>
      <c r="BQ287" s="54"/>
    </row>
    <row r="288" spans="1:69" ht="16" x14ac:dyDescent="0.35">
      <c r="A288"/>
      <c r="B288"/>
      <c r="D288"/>
      <c r="G288" t="s">
        <v>214</v>
      </c>
      <c r="H288" s="20"/>
      <c r="I288" s="20"/>
      <c r="J288" s="20"/>
      <c r="K288" s="20"/>
      <c r="L288" s="20"/>
      <c r="Q288" s="83">
        <v>3</v>
      </c>
      <c r="Y288" s="20"/>
      <c r="AP288" s="93"/>
      <c r="AQ288" s="31"/>
      <c r="AR288" s="31"/>
      <c r="AS288" s="94"/>
      <c r="AT288" s="31"/>
      <c r="AU288" s="31"/>
      <c r="AV288" s="73" t="s">
        <v>207</v>
      </c>
      <c r="AW288" s="32"/>
      <c r="AX288" s="32"/>
      <c r="AY288" s="32"/>
      <c r="AZ288" s="32"/>
      <c r="BA288" s="32"/>
      <c r="BB288" s="31"/>
      <c r="BC288" s="31"/>
      <c r="BD288" s="31"/>
      <c r="BE288" s="31"/>
      <c r="BF288" s="95">
        <v>1</v>
      </c>
      <c r="BG288" s="48"/>
      <c r="BH288" s="48"/>
      <c r="BI288" s="48"/>
      <c r="BJ288" s="48"/>
      <c r="BK288" s="48"/>
      <c r="BL288" s="48"/>
      <c r="BM288" s="48"/>
      <c r="BN288" s="49"/>
      <c r="BO288" s="48"/>
      <c r="BP288" s="48"/>
      <c r="BQ288" s="50"/>
    </row>
    <row r="289" spans="1:69" ht="16" x14ac:dyDescent="0.35">
      <c r="A289"/>
      <c r="B289"/>
      <c r="D289"/>
      <c r="G289" t="s">
        <v>214</v>
      </c>
      <c r="H289" s="20"/>
      <c r="I289" s="20"/>
      <c r="J289" s="20"/>
      <c r="K289" s="20"/>
      <c r="L289" s="20"/>
      <c r="Q289" s="83">
        <v>3</v>
      </c>
      <c r="Y289" s="20"/>
      <c r="AP289" s="92"/>
      <c r="AQ289" s="67"/>
      <c r="AR289" s="67"/>
      <c r="AS289" s="73"/>
      <c r="AT289" s="67"/>
      <c r="AU289" s="67"/>
      <c r="AV289" s="94" t="s">
        <v>207</v>
      </c>
      <c r="AW289" s="68"/>
      <c r="AX289" s="68"/>
      <c r="AY289" s="68"/>
      <c r="AZ289" s="68"/>
      <c r="BA289" s="68"/>
      <c r="BB289" s="67"/>
      <c r="BC289" s="67"/>
      <c r="BD289" s="67"/>
      <c r="BE289" s="67"/>
      <c r="BF289" s="96">
        <v>0</v>
      </c>
      <c r="BG289" s="52"/>
      <c r="BH289" s="52"/>
      <c r="BI289" s="52"/>
      <c r="BJ289" s="52"/>
      <c r="BK289" s="52"/>
      <c r="BL289" s="52"/>
      <c r="BM289" s="52"/>
      <c r="BN289" s="53"/>
      <c r="BO289" s="52"/>
      <c r="BP289" s="52"/>
      <c r="BQ289" s="54"/>
    </row>
    <row r="290" spans="1:69" ht="16" x14ac:dyDescent="0.35">
      <c r="A290"/>
      <c r="B290"/>
      <c r="D290"/>
      <c r="G290" t="s">
        <v>214</v>
      </c>
      <c r="H290" s="20"/>
      <c r="I290" s="20"/>
      <c r="J290" s="20"/>
      <c r="K290" s="20"/>
      <c r="L290" s="20"/>
      <c r="Q290" s="83">
        <v>3</v>
      </c>
      <c r="Y290" s="20"/>
      <c r="AP290" s="93"/>
      <c r="AQ290" s="31"/>
      <c r="AR290" s="31"/>
      <c r="AS290" s="94"/>
      <c r="AT290" s="31"/>
      <c r="AU290" s="31"/>
      <c r="AV290" s="73" t="s">
        <v>208</v>
      </c>
      <c r="AW290" s="32"/>
      <c r="AX290" s="32"/>
      <c r="AY290" s="32"/>
      <c r="AZ290" s="32"/>
      <c r="BA290" s="32"/>
      <c r="BB290" s="31"/>
      <c r="BC290" s="31"/>
      <c r="BD290" s="31"/>
      <c r="BE290" s="31"/>
      <c r="BF290" s="95">
        <v>2</v>
      </c>
      <c r="BG290" s="48"/>
      <c r="BH290" s="48"/>
      <c r="BI290" s="48"/>
      <c r="BJ290" s="48"/>
      <c r="BK290" s="48"/>
      <c r="BL290" s="48"/>
      <c r="BM290" s="48"/>
      <c r="BN290" s="49"/>
      <c r="BO290" s="48"/>
      <c r="BP290" s="48"/>
      <c r="BQ290" s="50"/>
    </row>
    <row r="291" spans="1:69" ht="16" x14ac:dyDescent="0.35">
      <c r="A291"/>
      <c r="B291"/>
      <c r="D291"/>
      <c r="G291" t="s">
        <v>213</v>
      </c>
      <c r="H291" s="20"/>
      <c r="I291" s="20"/>
      <c r="J291" s="20"/>
      <c r="K291" s="20"/>
      <c r="L291" s="20"/>
      <c r="Q291" s="83">
        <v>0</v>
      </c>
      <c r="Y291" s="20"/>
      <c r="AP291" s="92"/>
      <c r="AQ291" s="67"/>
      <c r="AR291" s="67"/>
      <c r="AS291" s="73"/>
      <c r="AT291" s="67"/>
      <c r="AU291" s="67"/>
      <c r="AV291" s="94" t="s">
        <v>207</v>
      </c>
      <c r="AW291" s="68"/>
      <c r="AX291" s="68"/>
      <c r="AY291" s="68"/>
      <c r="AZ291" s="68"/>
      <c r="BA291" s="68"/>
      <c r="BB291" s="67"/>
      <c r="BC291" s="67"/>
      <c r="BD291" s="67"/>
      <c r="BE291" s="67"/>
      <c r="BF291" s="96">
        <v>2</v>
      </c>
      <c r="BG291" s="52"/>
      <c r="BH291" s="52"/>
      <c r="BI291" s="52"/>
      <c r="BJ291" s="52"/>
      <c r="BK291" s="52"/>
      <c r="BL291" s="52"/>
      <c r="BM291" s="52"/>
      <c r="BN291" s="53"/>
      <c r="BO291" s="52"/>
      <c r="BP291" s="52"/>
      <c r="BQ291" s="54"/>
    </row>
    <row r="292" spans="1:69" ht="16" x14ac:dyDescent="0.35">
      <c r="A292"/>
      <c r="B292"/>
      <c r="D292"/>
      <c r="G292" t="s">
        <v>212</v>
      </c>
      <c r="H292" s="20"/>
      <c r="I292" s="20"/>
      <c r="J292" s="20"/>
      <c r="K292" s="20"/>
      <c r="L292" s="20"/>
      <c r="Q292" s="83">
        <v>0</v>
      </c>
      <c r="Y292" s="20"/>
      <c r="AP292" s="93"/>
      <c r="AQ292" s="31"/>
      <c r="AR292" s="31"/>
      <c r="AS292" s="94"/>
      <c r="AT292" s="31"/>
      <c r="AU292" s="31"/>
      <c r="AV292" s="73" t="s">
        <v>207</v>
      </c>
      <c r="AW292" s="32"/>
      <c r="AX292" s="32"/>
      <c r="AY292" s="32"/>
      <c r="AZ292" s="32"/>
      <c r="BA292" s="32"/>
      <c r="BB292" s="31"/>
      <c r="BC292" s="31"/>
      <c r="BD292" s="31"/>
      <c r="BE292" s="31"/>
      <c r="BF292" s="95">
        <v>1</v>
      </c>
      <c r="BG292" s="48"/>
      <c r="BH292" s="48"/>
      <c r="BI292" s="48"/>
      <c r="BJ292" s="48"/>
      <c r="BK292" s="48"/>
      <c r="BL292" s="48"/>
      <c r="BM292" s="48"/>
      <c r="BN292" s="49"/>
      <c r="BO292" s="48"/>
      <c r="BP292" s="48"/>
      <c r="BQ292" s="50"/>
    </row>
    <row r="293" spans="1:69" ht="16" x14ac:dyDescent="0.35">
      <c r="A293"/>
      <c r="B293"/>
      <c r="D293"/>
      <c r="G293" t="s">
        <v>212</v>
      </c>
      <c r="H293" s="20"/>
      <c r="I293" s="20"/>
      <c r="J293" s="20"/>
      <c r="K293" s="20"/>
      <c r="L293" s="20"/>
      <c r="Q293" s="83">
        <v>0</v>
      </c>
      <c r="Y293" s="20"/>
      <c r="AP293" s="92"/>
      <c r="AQ293" s="67"/>
      <c r="AR293" s="67"/>
      <c r="AS293" s="73"/>
      <c r="AT293" s="67"/>
      <c r="AU293" s="67"/>
      <c r="AV293" s="94" t="s">
        <v>208</v>
      </c>
      <c r="AW293" s="68"/>
      <c r="AX293" s="68"/>
      <c r="AY293" s="68"/>
      <c r="AZ293" s="68"/>
      <c r="BA293" s="68"/>
      <c r="BB293" s="67"/>
      <c r="BC293" s="67"/>
      <c r="BD293" s="67"/>
      <c r="BE293" s="67"/>
      <c r="BF293" s="96">
        <v>1</v>
      </c>
      <c r="BG293" s="52"/>
      <c r="BH293" s="52"/>
      <c r="BI293" s="52"/>
      <c r="BJ293" s="52"/>
      <c r="BK293" s="52"/>
      <c r="BL293" s="52"/>
      <c r="BM293" s="52"/>
      <c r="BN293" s="53"/>
      <c r="BO293" s="52"/>
      <c r="BP293" s="52"/>
      <c r="BQ293" s="54"/>
    </row>
    <row r="294" spans="1:69" ht="16" x14ac:dyDescent="0.35">
      <c r="A294"/>
      <c r="B294"/>
      <c r="D294"/>
      <c r="G294" t="s">
        <v>240</v>
      </c>
      <c r="H294" s="20"/>
      <c r="I294" s="20"/>
      <c r="J294" s="20"/>
      <c r="K294" s="20"/>
      <c r="L294" s="20"/>
      <c r="Q294" s="83">
        <v>1</v>
      </c>
      <c r="Y294" s="20"/>
      <c r="AP294" s="93"/>
      <c r="AQ294" s="31"/>
      <c r="AR294" s="31"/>
      <c r="AS294" s="94"/>
      <c r="AT294" s="31"/>
      <c r="AU294" s="31"/>
      <c r="AV294" s="73" t="s">
        <v>208</v>
      </c>
      <c r="AW294" s="32"/>
      <c r="AX294" s="32"/>
      <c r="AY294" s="32"/>
      <c r="AZ294" s="32"/>
      <c r="BA294" s="32"/>
      <c r="BB294" s="31"/>
      <c r="BC294" s="31"/>
      <c r="BD294" s="31"/>
      <c r="BE294" s="31"/>
      <c r="BF294" s="95">
        <v>1</v>
      </c>
      <c r="BG294" s="48"/>
      <c r="BH294" s="48"/>
      <c r="BI294" s="48"/>
      <c r="BJ294" s="48"/>
      <c r="BK294" s="48"/>
      <c r="BL294" s="48"/>
      <c r="BM294" s="48"/>
      <c r="BN294" s="49"/>
      <c r="BO294" s="48"/>
      <c r="BP294" s="48"/>
      <c r="BQ294" s="50"/>
    </row>
    <row r="295" spans="1:69" ht="16" x14ac:dyDescent="0.35">
      <c r="A295"/>
      <c r="B295"/>
      <c r="D295"/>
      <c r="G295" t="s">
        <v>213</v>
      </c>
      <c r="H295" s="20"/>
      <c r="I295" s="20"/>
      <c r="J295" s="20"/>
      <c r="K295" s="20"/>
      <c r="L295" s="20"/>
      <c r="Q295" s="83">
        <v>0</v>
      </c>
      <c r="Y295" s="20"/>
      <c r="AP295" s="92"/>
      <c r="AQ295" s="67"/>
      <c r="AR295" s="67"/>
      <c r="AS295" s="73"/>
      <c r="AT295" s="67"/>
      <c r="AU295" s="67"/>
      <c r="AV295" s="94" t="s">
        <v>208</v>
      </c>
      <c r="AW295" s="68"/>
      <c r="AX295" s="68"/>
      <c r="AY295" s="68"/>
      <c r="AZ295" s="68"/>
      <c r="BA295" s="68"/>
      <c r="BB295" s="67"/>
      <c r="BC295" s="67"/>
      <c r="BD295" s="67"/>
      <c r="BE295" s="67"/>
      <c r="BF295" s="96">
        <v>1</v>
      </c>
      <c r="BG295" s="52"/>
      <c r="BH295" s="52"/>
      <c r="BI295" s="52"/>
      <c r="BJ295" s="52"/>
      <c r="BK295" s="52"/>
      <c r="BL295" s="52"/>
      <c r="BM295" s="52"/>
      <c r="BN295" s="53"/>
      <c r="BO295" s="52"/>
      <c r="BP295" s="52"/>
      <c r="BQ295" s="54"/>
    </row>
    <row r="296" spans="1:69" ht="16" x14ac:dyDescent="0.35">
      <c r="A296"/>
      <c r="B296"/>
      <c r="D296"/>
      <c r="G296" t="s">
        <v>213</v>
      </c>
      <c r="H296" s="20"/>
      <c r="I296" s="20"/>
      <c r="J296" s="20"/>
      <c r="K296" s="20"/>
      <c r="L296" s="20"/>
      <c r="Q296" s="83">
        <v>0</v>
      </c>
      <c r="Y296" s="20"/>
      <c r="AP296" s="93"/>
      <c r="AQ296" s="31"/>
      <c r="AR296" s="31"/>
      <c r="AS296" s="94"/>
      <c r="AT296" s="31"/>
      <c r="AU296" s="31"/>
      <c r="AV296" s="73" t="s">
        <v>209</v>
      </c>
      <c r="AW296" s="32"/>
      <c r="AX296" s="32"/>
      <c r="AY296" s="32"/>
      <c r="AZ296" s="32"/>
      <c r="BA296" s="32"/>
      <c r="BB296" s="31"/>
      <c r="BC296" s="31"/>
      <c r="BD296" s="31"/>
      <c r="BE296" s="31"/>
      <c r="BF296" s="95">
        <v>1</v>
      </c>
      <c r="BG296" s="48"/>
      <c r="BH296" s="48"/>
      <c r="BI296" s="48"/>
      <c r="BJ296" s="48"/>
      <c r="BK296" s="48"/>
      <c r="BL296" s="48"/>
      <c r="BM296" s="48"/>
      <c r="BN296" s="49"/>
      <c r="BO296" s="48"/>
      <c r="BP296" s="48"/>
      <c r="BQ296" s="50"/>
    </row>
    <row r="297" spans="1:69" ht="16" x14ac:dyDescent="0.35">
      <c r="A297"/>
      <c r="B297"/>
      <c r="D297"/>
      <c r="G297" t="s">
        <v>213</v>
      </c>
      <c r="H297" s="20"/>
      <c r="I297" s="20"/>
      <c r="J297" s="20"/>
      <c r="K297" s="20"/>
      <c r="L297" s="20"/>
      <c r="Q297" s="83">
        <v>0</v>
      </c>
      <c r="Y297" s="20"/>
      <c r="AP297" s="92"/>
      <c r="AQ297" s="67"/>
      <c r="AR297" s="67"/>
      <c r="AS297" s="73"/>
      <c r="AT297" s="67"/>
      <c r="AU297" s="67"/>
      <c r="AV297" s="94" t="s">
        <v>206</v>
      </c>
      <c r="AW297" s="68"/>
      <c r="AX297" s="68"/>
      <c r="AY297" s="68"/>
      <c r="AZ297" s="68"/>
      <c r="BA297" s="68"/>
      <c r="BB297" s="67"/>
      <c r="BC297" s="67"/>
      <c r="BD297" s="67"/>
      <c r="BE297" s="67"/>
      <c r="BF297" s="96">
        <v>1</v>
      </c>
      <c r="BG297" s="52"/>
      <c r="BH297" s="52"/>
      <c r="BI297" s="52"/>
      <c r="BJ297" s="52"/>
      <c r="BK297" s="52"/>
      <c r="BL297" s="52"/>
      <c r="BM297" s="52"/>
      <c r="BN297" s="53"/>
      <c r="BO297" s="52"/>
      <c r="BP297" s="52"/>
      <c r="BQ297" s="54"/>
    </row>
    <row r="298" spans="1:69" ht="16" x14ac:dyDescent="0.35">
      <c r="A298"/>
      <c r="B298"/>
      <c r="D298"/>
      <c r="G298" t="s">
        <v>213</v>
      </c>
      <c r="H298" s="20"/>
      <c r="I298" s="20"/>
      <c r="J298" s="20"/>
      <c r="K298" s="20"/>
      <c r="L298" s="20"/>
      <c r="Q298" s="83">
        <v>0</v>
      </c>
      <c r="Y298" s="20"/>
      <c r="AP298" s="93"/>
      <c r="AQ298" s="31"/>
      <c r="AR298" s="31"/>
      <c r="AS298" s="94"/>
      <c r="AT298" s="31"/>
      <c r="AU298" s="31"/>
      <c r="AV298" s="73" t="s">
        <v>206</v>
      </c>
      <c r="AW298" s="32"/>
      <c r="AX298" s="32"/>
      <c r="AY298" s="32"/>
      <c r="AZ298" s="32"/>
      <c r="BA298" s="32"/>
      <c r="BB298" s="31"/>
      <c r="BC298" s="31"/>
      <c r="BD298" s="31"/>
      <c r="BE298" s="31"/>
      <c r="BF298" s="95">
        <v>1</v>
      </c>
      <c r="BG298" s="48"/>
      <c r="BH298" s="48"/>
      <c r="BI298" s="48"/>
      <c r="BJ298" s="48"/>
      <c r="BK298" s="48"/>
      <c r="BL298" s="48"/>
      <c r="BM298" s="48"/>
      <c r="BN298" s="49"/>
      <c r="BO298" s="48"/>
      <c r="BP298" s="48"/>
      <c r="BQ298" s="50"/>
    </row>
    <row r="299" spans="1:69" ht="16" x14ac:dyDescent="0.35">
      <c r="A299"/>
      <c r="B299"/>
      <c r="D299"/>
      <c r="G299" t="s">
        <v>213</v>
      </c>
      <c r="H299" s="20"/>
      <c r="I299" s="20"/>
      <c r="J299" s="20"/>
      <c r="K299" s="20"/>
      <c r="L299" s="20"/>
      <c r="Q299" s="83">
        <v>0</v>
      </c>
      <c r="Y299" s="20"/>
      <c r="AP299" s="92"/>
      <c r="AQ299" s="67"/>
      <c r="AR299" s="67"/>
      <c r="AS299" s="73"/>
      <c r="AT299" s="67"/>
      <c r="AU299" s="67"/>
      <c r="AV299" s="94" t="s">
        <v>206</v>
      </c>
      <c r="AW299" s="68"/>
      <c r="AX299" s="68"/>
      <c r="AY299" s="68"/>
      <c r="AZ299" s="68"/>
      <c r="BA299" s="68"/>
      <c r="BB299" s="67"/>
      <c r="BC299" s="67"/>
      <c r="BD299" s="67"/>
      <c r="BE299" s="67"/>
      <c r="BF299" s="96">
        <v>1</v>
      </c>
      <c r="BG299" s="52"/>
      <c r="BH299" s="52"/>
      <c r="BI299" s="52"/>
      <c r="BJ299" s="52"/>
      <c r="BK299" s="52"/>
      <c r="BL299" s="52"/>
      <c r="BM299" s="52"/>
      <c r="BN299" s="53"/>
      <c r="BO299" s="52"/>
      <c r="BP299" s="52"/>
      <c r="BQ299" s="54"/>
    </row>
    <row r="300" spans="1:69" ht="16" x14ac:dyDescent="0.35">
      <c r="A300"/>
      <c r="B300"/>
      <c r="D300"/>
      <c r="G300" t="s">
        <v>213</v>
      </c>
      <c r="H300" s="20"/>
      <c r="I300" s="20"/>
      <c r="J300" s="20"/>
      <c r="K300" s="20"/>
      <c r="L300" s="20"/>
      <c r="Q300" s="83">
        <v>0</v>
      </c>
      <c r="Y300" s="20"/>
      <c r="AP300" s="93"/>
      <c r="AQ300" s="31"/>
      <c r="AR300" s="31"/>
      <c r="AS300" s="94"/>
      <c r="AT300" s="31"/>
      <c r="AU300" s="31"/>
      <c r="AV300" s="73" t="s">
        <v>206</v>
      </c>
      <c r="AW300" s="32"/>
      <c r="AX300" s="32"/>
      <c r="AY300" s="32"/>
      <c r="AZ300" s="32"/>
      <c r="BA300" s="32"/>
      <c r="BB300" s="31"/>
      <c r="BC300" s="31"/>
      <c r="BD300" s="31"/>
      <c r="BE300" s="31"/>
      <c r="BF300" s="95">
        <v>1</v>
      </c>
      <c r="BG300" s="48"/>
      <c r="BH300" s="48"/>
      <c r="BI300" s="48"/>
      <c r="BJ300" s="48"/>
      <c r="BK300" s="48"/>
      <c r="BL300" s="48"/>
      <c r="BM300" s="48"/>
      <c r="BN300" s="49"/>
      <c r="BO300" s="48"/>
      <c r="BP300" s="48"/>
      <c r="BQ300" s="50"/>
    </row>
    <row r="301" spans="1:69" ht="16" x14ac:dyDescent="0.35">
      <c r="A301"/>
      <c r="B301"/>
      <c r="D301"/>
      <c r="G301" t="s">
        <v>213</v>
      </c>
      <c r="H301" s="20"/>
      <c r="I301" s="20"/>
      <c r="J301" s="20"/>
      <c r="K301" s="20"/>
      <c r="L301" s="20"/>
      <c r="Q301" s="83">
        <v>0</v>
      </c>
      <c r="Y301" s="20"/>
      <c r="AP301" s="92"/>
      <c r="AQ301" s="67"/>
      <c r="AR301" s="67"/>
      <c r="AS301" s="73"/>
      <c r="AT301" s="67"/>
      <c r="AU301" s="67"/>
      <c r="AV301" s="94" t="s">
        <v>206</v>
      </c>
      <c r="AW301" s="68"/>
      <c r="AX301" s="68"/>
      <c r="AY301" s="68"/>
      <c r="AZ301" s="68"/>
      <c r="BA301" s="68"/>
      <c r="BB301" s="67"/>
      <c r="BC301" s="67"/>
      <c r="BD301" s="67"/>
      <c r="BE301" s="67"/>
      <c r="BF301" s="96">
        <v>0</v>
      </c>
      <c r="BG301" s="52"/>
      <c r="BH301" s="52"/>
      <c r="BI301" s="52"/>
      <c r="BJ301" s="52"/>
      <c r="BK301" s="52"/>
      <c r="BL301" s="52"/>
      <c r="BM301" s="52"/>
      <c r="BN301" s="53"/>
      <c r="BO301" s="52"/>
      <c r="BP301" s="52"/>
      <c r="BQ301" s="54"/>
    </row>
    <row r="302" spans="1:69" ht="16" x14ac:dyDescent="0.35">
      <c r="A302"/>
      <c r="B302"/>
      <c r="D302"/>
      <c r="G302" t="s">
        <v>213</v>
      </c>
      <c r="H302" s="20"/>
      <c r="I302" s="20"/>
      <c r="J302" s="20"/>
      <c r="K302" s="20"/>
      <c r="L302" s="20"/>
      <c r="Q302" s="83">
        <v>0</v>
      </c>
      <c r="Y302" s="20"/>
      <c r="AP302" s="93"/>
      <c r="AQ302" s="31"/>
      <c r="AR302" s="31"/>
      <c r="AS302" s="94"/>
      <c r="AT302" s="31"/>
      <c r="AU302" s="31"/>
      <c r="AV302" s="73" t="s">
        <v>207</v>
      </c>
      <c r="AW302" s="32"/>
      <c r="AX302" s="32"/>
      <c r="AY302" s="32"/>
      <c r="AZ302" s="32"/>
      <c r="BA302" s="32"/>
      <c r="BB302" s="31"/>
      <c r="BC302" s="31"/>
      <c r="BD302" s="31"/>
      <c r="BE302" s="31"/>
      <c r="BF302" s="95">
        <v>0</v>
      </c>
      <c r="BG302" s="48"/>
      <c r="BH302" s="48"/>
      <c r="BI302" s="48"/>
      <c r="BJ302" s="48"/>
      <c r="BK302" s="48"/>
      <c r="BL302" s="48"/>
      <c r="BM302" s="48"/>
      <c r="BN302" s="49"/>
      <c r="BO302" s="48"/>
      <c r="BP302" s="48"/>
      <c r="BQ302" s="50"/>
    </row>
    <row r="303" spans="1:69" ht="16" x14ac:dyDescent="0.35">
      <c r="A303"/>
      <c r="B303"/>
      <c r="D303"/>
      <c r="G303" t="s">
        <v>212</v>
      </c>
      <c r="H303" s="20"/>
      <c r="I303" s="20"/>
      <c r="J303" s="20"/>
      <c r="K303" s="20"/>
      <c r="L303" s="20"/>
      <c r="Q303" s="83">
        <v>0</v>
      </c>
      <c r="Y303" s="20"/>
      <c r="AP303" s="92"/>
      <c r="AQ303" s="67"/>
      <c r="AR303" s="67"/>
      <c r="AS303" s="73"/>
      <c r="AT303" s="67"/>
      <c r="AU303" s="67"/>
      <c r="AV303" s="94" t="s">
        <v>207</v>
      </c>
      <c r="AW303" s="68"/>
      <c r="AX303" s="68"/>
      <c r="AY303" s="68"/>
      <c r="AZ303" s="68"/>
      <c r="BA303" s="68"/>
      <c r="BB303" s="67"/>
      <c r="BC303" s="67"/>
      <c r="BD303" s="67"/>
      <c r="BE303" s="67"/>
      <c r="BF303" s="96">
        <v>37</v>
      </c>
      <c r="BG303" s="52"/>
      <c r="BH303" s="52"/>
      <c r="BI303" s="52"/>
      <c r="BJ303" s="52"/>
      <c r="BK303" s="52"/>
      <c r="BL303" s="52"/>
      <c r="BM303" s="52"/>
      <c r="BN303" s="53"/>
      <c r="BO303" s="52"/>
      <c r="BP303" s="52"/>
      <c r="BQ303" s="54"/>
    </row>
    <row r="304" spans="1:69" ht="16" x14ac:dyDescent="0.35">
      <c r="A304"/>
      <c r="B304"/>
      <c r="D304"/>
      <c r="G304" t="s">
        <v>212</v>
      </c>
      <c r="H304" s="20"/>
      <c r="I304" s="20"/>
      <c r="J304" s="20"/>
      <c r="K304" s="20"/>
      <c r="L304" s="20"/>
      <c r="Q304" s="83">
        <v>0</v>
      </c>
      <c r="Y304" s="20"/>
      <c r="AP304" s="93"/>
      <c r="AQ304" s="31"/>
      <c r="AR304" s="31"/>
      <c r="AS304" s="94"/>
      <c r="AT304" s="31"/>
      <c r="AU304" s="31"/>
      <c r="AV304" s="73" t="s">
        <v>207</v>
      </c>
      <c r="AW304" s="32"/>
      <c r="AX304" s="32"/>
      <c r="AY304" s="32"/>
      <c r="AZ304" s="32"/>
      <c r="BA304" s="32"/>
      <c r="BB304" s="31"/>
      <c r="BC304" s="31"/>
      <c r="BD304" s="31"/>
      <c r="BE304" s="31"/>
      <c r="BF304" s="95">
        <v>30</v>
      </c>
      <c r="BG304" s="48"/>
      <c r="BH304" s="48"/>
      <c r="BI304" s="48"/>
      <c r="BJ304" s="48"/>
      <c r="BK304" s="48"/>
      <c r="BL304" s="48"/>
      <c r="BM304" s="48"/>
      <c r="BN304" s="49"/>
      <c r="BO304" s="48"/>
      <c r="BP304" s="48"/>
      <c r="BQ304" s="50"/>
    </row>
    <row r="305" spans="1:69" ht="16" x14ac:dyDescent="0.35">
      <c r="A305"/>
      <c r="B305"/>
      <c r="D305"/>
      <c r="G305" t="s">
        <v>212</v>
      </c>
      <c r="H305" s="20"/>
      <c r="I305" s="20"/>
      <c r="J305" s="20"/>
      <c r="K305" s="20"/>
      <c r="L305" s="20"/>
      <c r="Q305" s="83">
        <v>0</v>
      </c>
      <c r="Y305" s="20"/>
      <c r="AP305" s="92"/>
      <c r="AQ305" s="67"/>
      <c r="AR305" s="67"/>
      <c r="AS305" s="73"/>
      <c r="AT305" s="67"/>
      <c r="AU305" s="67"/>
      <c r="AV305" s="94" t="s">
        <v>207</v>
      </c>
      <c r="AW305" s="68"/>
      <c r="AX305" s="68"/>
      <c r="AY305" s="68"/>
      <c r="AZ305" s="68"/>
      <c r="BA305" s="68"/>
      <c r="BB305" s="67"/>
      <c r="BC305" s="67"/>
      <c r="BD305" s="67"/>
      <c r="BE305" s="67"/>
      <c r="BF305" s="96">
        <v>1</v>
      </c>
      <c r="BG305" s="52"/>
      <c r="BH305" s="52"/>
      <c r="BI305" s="52"/>
      <c r="BJ305" s="52"/>
      <c r="BK305" s="52"/>
      <c r="BL305" s="52"/>
      <c r="BM305" s="52"/>
      <c r="BN305" s="53"/>
      <c r="BO305" s="52"/>
      <c r="BP305" s="52"/>
      <c r="BQ305" s="54"/>
    </row>
    <row r="306" spans="1:69" ht="16" x14ac:dyDescent="0.35">
      <c r="A306"/>
      <c r="B306"/>
      <c r="D306"/>
      <c r="G306" t="s">
        <v>212</v>
      </c>
      <c r="H306" s="20"/>
      <c r="I306" s="20"/>
      <c r="J306" s="20"/>
      <c r="K306" s="20"/>
      <c r="L306" s="20"/>
      <c r="Q306" s="83">
        <v>0</v>
      </c>
      <c r="Y306" s="20"/>
      <c r="AP306" s="93"/>
      <c r="AQ306" s="31"/>
      <c r="AR306" s="31"/>
      <c r="AS306" s="94"/>
      <c r="AT306" s="31"/>
      <c r="AU306" s="31"/>
      <c r="AV306" s="73" t="s">
        <v>208</v>
      </c>
      <c r="AW306" s="32"/>
      <c r="AX306" s="32"/>
      <c r="AY306" s="32"/>
      <c r="AZ306" s="32"/>
      <c r="BA306" s="32"/>
      <c r="BB306" s="31"/>
      <c r="BC306" s="31"/>
      <c r="BD306" s="31"/>
      <c r="BE306" s="31"/>
      <c r="BF306" s="95">
        <v>1</v>
      </c>
      <c r="BG306" s="48"/>
      <c r="BH306" s="48"/>
      <c r="BI306" s="48"/>
      <c r="BJ306" s="48"/>
      <c r="BK306" s="48"/>
      <c r="BL306" s="48"/>
      <c r="BM306" s="48"/>
      <c r="BN306" s="49"/>
      <c r="BO306" s="48"/>
      <c r="BP306" s="48"/>
      <c r="BQ306" s="50"/>
    </row>
    <row r="307" spans="1:69" ht="16" x14ac:dyDescent="0.35">
      <c r="A307"/>
      <c r="B307"/>
      <c r="D307"/>
      <c r="G307" t="s">
        <v>212</v>
      </c>
      <c r="H307" s="20"/>
      <c r="I307" s="20"/>
      <c r="J307" s="20"/>
      <c r="K307" s="20"/>
      <c r="L307" s="20"/>
      <c r="Q307" s="83">
        <v>0</v>
      </c>
      <c r="Y307" s="20"/>
      <c r="AP307" s="92"/>
      <c r="AQ307" s="67"/>
      <c r="AR307" s="67"/>
      <c r="AS307" s="73"/>
      <c r="AT307" s="67"/>
      <c r="AU307" s="67"/>
      <c r="AV307" s="94" t="s">
        <v>207</v>
      </c>
      <c r="AW307" s="68"/>
      <c r="AX307" s="68"/>
      <c r="AY307" s="68"/>
      <c r="AZ307" s="68"/>
      <c r="BA307" s="68"/>
      <c r="BB307" s="67"/>
      <c r="BC307" s="67"/>
      <c r="BD307" s="67"/>
      <c r="BE307" s="67"/>
      <c r="BF307" s="96">
        <v>1</v>
      </c>
      <c r="BG307" s="52"/>
      <c r="BH307" s="52"/>
      <c r="BI307" s="52"/>
      <c r="BJ307" s="52"/>
      <c r="BK307" s="52"/>
      <c r="BL307" s="52"/>
      <c r="BM307" s="52"/>
      <c r="BN307" s="53"/>
      <c r="BO307" s="52"/>
      <c r="BP307" s="52"/>
      <c r="BQ307" s="54"/>
    </row>
    <row r="308" spans="1:69" ht="16" x14ac:dyDescent="0.35">
      <c r="A308"/>
      <c r="B308"/>
      <c r="D308"/>
      <c r="G308" t="s">
        <v>212</v>
      </c>
      <c r="H308" s="20"/>
      <c r="I308" s="20"/>
      <c r="J308" s="20"/>
      <c r="K308" s="20"/>
      <c r="L308" s="20"/>
      <c r="Q308" s="83">
        <v>0</v>
      </c>
      <c r="Y308" s="20"/>
      <c r="AP308" s="93"/>
      <c r="AQ308" s="31"/>
      <c r="AR308" s="31"/>
      <c r="AS308" s="94"/>
      <c r="AT308" s="31"/>
      <c r="AU308" s="31"/>
      <c r="AV308" s="73" t="s">
        <v>206</v>
      </c>
      <c r="AW308" s="32"/>
      <c r="AX308" s="32"/>
      <c r="AY308" s="32"/>
      <c r="AZ308" s="32"/>
      <c r="BA308" s="32"/>
      <c r="BB308" s="31"/>
      <c r="BC308" s="31"/>
      <c r="BD308" s="31"/>
      <c r="BE308" s="31"/>
      <c r="BF308" s="95">
        <v>1</v>
      </c>
      <c r="BG308" s="48"/>
      <c r="BH308" s="48"/>
      <c r="BI308" s="48"/>
      <c r="BJ308" s="48"/>
      <c r="BK308" s="48"/>
      <c r="BL308" s="48"/>
      <c r="BM308" s="48"/>
      <c r="BN308" s="49"/>
      <c r="BO308" s="48"/>
      <c r="BP308" s="48"/>
      <c r="BQ308" s="50"/>
    </row>
    <row r="309" spans="1:69" ht="16" x14ac:dyDescent="0.35">
      <c r="A309"/>
      <c r="B309"/>
      <c r="D309"/>
      <c r="G309" t="s">
        <v>212</v>
      </c>
      <c r="H309" s="20"/>
      <c r="I309" s="20"/>
      <c r="J309" s="20"/>
      <c r="K309" s="20"/>
      <c r="L309" s="20"/>
      <c r="Q309" s="83">
        <v>0</v>
      </c>
      <c r="Y309" s="20"/>
      <c r="AP309" s="92"/>
      <c r="AQ309" s="67"/>
      <c r="AR309" s="67"/>
      <c r="AS309" s="73"/>
      <c r="AT309" s="67"/>
      <c r="AU309" s="67"/>
      <c r="AV309" s="94" t="s">
        <v>206</v>
      </c>
      <c r="AW309" s="68"/>
      <c r="AX309" s="68"/>
      <c r="AY309" s="68"/>
      <c r="AZ309" s="68"/>
      <c r="BA309" s="68"/>
      <c r="BB309" s="67"/>
      <c r="BC309" s="67"/>
      <c r="BD309" s="67"/>
      <c r="BE309" s="67"/>
      <c r="BF309" s="96">
        <v>1</v>
      </c>
      <c r="BG309" s="52"/>
      <c r="BH309" s="52"/>
      <c r="BI309" s="52"/>
      <c r="BJ309" s="52"/>
      <c r="BK309" s="52"/>
      <c r="BL309" s="52"/>
      <c r="BM309" s="52"/>
      <c r="BN309" s="53"/>
      <c r="BO309" s="52"/>
      <c r="BP309" s="52"/>
      <c r="BQ309" s="54"/>
    </row>
    <row r="310" spans="1:69" ht="16" x14ac:dyDescent="0.35">
      <c r="A310"/>
      <c r="B310"/>
      <c r="D310"/>
      <c r="G310" t="s">
        <v>213</v>
      </c>
      <c r="H310" s="20"/>
      <c r="I310" s="20"/>
      <c r="J310" s="20"/>
      <c r="K310" s="20"/>
      <c r="L310" s="20"/>
      <c r="Q310" s="83">
        <v>0</v>
      </c>
      <c r="Y310" s="20"/>
      <c r="AP310" s="93"/>
      <c r="AQ310" s="31"/>
      <c r="AR310" s="31"/>
      <c r="AS310" s="94"/>
      <c r="AT310" s="31"/>
      <c r="AU310" s="31"/>
      <c r="AV310" s="73" t="s">
        <v>206</v>
      </c>
      <c r="AW310" s="32"/>
      <c r="AX310" s="32"/>
      <c r="AY310" s="32"/>
      <c r="AZ310" s="32"/>
      <c r="BA310" s="32"/>
      <c r="BB310" s="31"/>
      <c r="BC310" s="31"/>
      <c r="BD310" s="31"/>
      <c r="BE310" s="31"/>
      <c r="BF310" s="95">
        <v>1</v>
      </c>
      <c r="BG310" s="48"/>
      <c r="BH310" s="48"/>
      <c r="BI310" s="48"/>
      <c r="BJ310" s="48"/>
      <c r="BK310" s="48"/>
      <c r="BL310" s="48"/>
      <c r="BM310" s="48"/>
      <c r="BN310" s="49"/>
      <c r="BO310" s="48"/>
      <c r="BP310" s="48"/>
      <c r="BQ310" s="50"/>
    </row>
    <row r="311" spans="1:69" ht="16" x14ac:dyDescent="0.35">
      <c r="A311"/>
      <c r="B311"/>
      <c r="D311"/>
      <c r="G311" t="s">
        <v>213</v>
      </c>
      <c r="H311" s="20"/>
      <c r="I311" s="20"/>
      <c r="J311" s="20"/>
      <c r="K311" s="20"/>
      <c r="L311" s="20"/>
      <c r="Q311" s="83">
        <v>0</v>
      </c>
      <c r="Y311" s="20"/>
      <c r="AP311" s="92"/>
      <c r="AQ311" s="67"/>
      <c r="AR311" s="67"/>
      <c r="AS311" s="73"/>
      <c r="AT311" s="67"/>
      <c r="AU311" s="67"/>
      <c r="AV311" s="94" t="s">
        <v>206</v>
      </c>
      <c r="AW311" s="68"/>
      <c r="AX311" s="68"/>
      <c r="AY311" s="68"/>
      <c r="AZ311" s="68"/>
      <c r="BA311" s="68"/>
      <c r="BB311" s="67"/>
      <c r="BC311" s="67"/>
      <c r="BD311" s="67"/>
      <c r="BE311" s="67"/>
      <c r="BF311" s="96">
        <v>0</v>
      </c>
      <c r="BG311" s="52"/>
      <c r="BH311" s="52"/>
      <c r="BI311" s="52"/>
      <c r="BJ311" s="52"/>
      <c r="BK311" s="52"/>
      <c r="BL311" s="52"/>
      <c r="BM311" s="52"/>
      <c r="BN311" s="53"/>
      <c r="BO311" s="52"/>
      <c r="BP311" s="52"/>
      <c r="BQ311" s="54"/>
    </row>
    <row r="312" spans="1:69" ht="16" x14ac:dyDescent="0.35">
      <c r="A312"/>
      <c r="B312"/>
      <c r="D312"/>
      <c r="G312" t="s">
        <v>213</v>
      </c>
      <c r="H312" s="20"/>
      <c r="I312" s="20"/>
      <c r="J312" s="20"/>
      <c r="K312" s="20"/>
      <c r="L312" s="20"/>
      <c r="Q312" s="83">
        <v>0</v>
      </c>
      <c r="Y312" s="20"/>
      <c r="AP312" s="93"/>
      <c r="AQ312" s="31"/>
      <c r="AR312" s="31"/>
      <c r="AS312" s="94"/>
      <c r="AT312" s="31"/>
      <c r="AU312" s="31"/>
      <c r="AV312" s="73" t="s">
        <v>186</v>
      </c>
      <c r="AW312" s="32"/>
      <c r="AX312" s="32"/>
      <c r="AY312" s="32"/>
      <c r="AZ312" s="32"/>
      <c r="BA312" s="32"/>
      <c r="BB312" s="31"/>
      <c r="BC312" s="31"/>
      <c r="BD312" s="31"/>
      <c r="BE312" s="31"/>
      <c r="BF312" s="95">
        <v>2</v>
      </c>
      <c r="BG312" s="48"/>
      <c r="BH312" s="48"/>
      <c r="BI312" s="48"/>
      <c r="BJ312" s="48"/>
      <c r="BK312" s="48"/>
      <c r="BL312" s="48"/>
      <c r="BM312" s="48"/>
      <c r="BN312" s="49"/>
      <c r="BO312" s="48"/>
      <c r="BP312" s="48"/>
      <c r="BQ312" s="50"/>
    </row>
    <row r="313" spans="1:69" ht="16" x14ac:dyDescent="0.35">
      <c r="A313"/>
      <c r="B313"/>
      <c r="D313"/>
      <c r="G313" t="s">
        <v>213</v>
      </c>
      <c r="H313" s="20"/>
      <c r="I313" s="20"/>
      <c r="J313" s="20"/>
      <c r="K313" s="20"/>
      <c r="L313" s="20"/>
      <c r="Q313" s="83">
        <v>0</v>
      </c>
      <c r="Y313" s="20"/>
      <c r="AP313" s="92"/>
      <c r="AQ313" s="67"/>
      <c r="AR313" s="67"/>
      <c r="AS313" s="73"/>
      <c r="AT313" s="67"/>
      <c r="AU313" s="67"/>
      <c r="AV313" s="94" t="s">
        <v>208</v>
      </c>
      <c r="AW313" s="68"/>
      <c r="AX313" s="68"/>
      <c r="AY313" s="68"/>
      <c r="AZ313" s="68"/>
      <c r="BA313" s="68"/>
      <c r="BB313" s="67"/>
      <c r="BC313" s="67"/>
      <c r="BD313" s="67"/>
      <c r="BE313" s="67"/>
      <c r="BF313" s="96">
        <v>1</v>
      </c>
      <c r="BG313" s="52"/>
      <c r="BH313" s="52"/>
      <c r="BI313" s="52"/>
      <c r="BJ313" s="52"/>
      <c r="BK313" s="52"/>
      <c r="BL313" s="52"/>
      <c r="BM313" s="52"/>
      <c r="BN313" s="53"/>
      <c r="BO313" s="52"/>
      <c r="BP313" s="52"/>
      <c r="BQ313" s="54"/>
    </row>
    <row r="314" spans="1:69" ht="16" x14ac:dyDescent="0.35">
      <c r="A314"/>
      <c r="B314"/>
      <c r="D314"/>
      <c r="G314" t="s">
        <v>213</v>
      </c>
      <c r="H314" s="20"/>
      <c r="I314" s="20"/>
      <c r="J314" s="20"/>
      <c r="K314" s="20"/>
      <c r="L314" s="20"/>
      <c r="Q314" s="83">
        <v>0</v>
      </c>
      <c r="Y314" s="20"/>
      <c r="AP314" s="93"/>
      <c r="AQ314" s="31"/>
      <c r="AR314" s="31"/>
      <c r="AS314" s="94"/>
      <c r="AT314" s="31"/>
      <c r="AU314" s="31"/>
      <c r="AV314" s="73" t="s">
        <v>207</v>
      </c>
      <c r="AW314" s="32"/>
      <c r="AX314" s="32"/>
      <c r="AY314" s="32"/>
      <c r="AZ314" s="32"/>
      <c r="BA314" s="32"/>
      <c r="BB314" s="31"/>
      <c r="BC314" s="31"/>
      <c r="BD314" s="31"/>
      <c r="BE314" s="31"/>
      <c r="BF314" s="95">
        <v>0</v>
      </c>
      <c r="BG314" s="48"/>
      <c r="BH314" s="48"/>
      <c r="BI314" s="48"/>
      <c r="BJ314" s="48"/>
      <c r="BK314" s="48"/>
      <c r="BL314" s="48"/>
      <c r="BM314" s="48"/>
      <c r="BN314" s="49"/>
      <c r="BO314" s="48"/>
      <c r="BP314" s="48"/>
      <c r="BQ314" s="50"/>
    </row>
    <row r="315" spans="1:69" ht="16" x14ac:dyDescent="0.35">
      <c r="A315"/>
      <c r="B315"/>
      <c r="D315"/>
      <c r="G315" t="s">
        <v>213</v>
      </c>
      <c r="H315" s="20"/>
      <c r="I315" s="20"/>
      <c r="J315" s="20"/>
      <c r="K315" s="20"/>
      <c r="L315" s="20"/>
      <c r="Q315" s="83">
        <v>0</v>
      </c>
      <c r="Y315" s="20"/>
      <c r="AP315" s="92"/>
      <c r="AQ315" s="67"/>
      <c r="AR315" s="67"/>
      <c r="AS315" s="73"/>
      <c r="AT315" s="67"/>
      <c r="AU315" s="67"/>
      <c r="AV315" s="94" t="s">
        <v>207</v>
      </c>
      <c r="AW315" s="68"/>
      <c r="AX315" s="68"/>
      <c r="AY315" s="68"/>
      <c r="AZ315" s="68"/>
      <c r="BA315" s="68"/>
      <c r="BB315" s="67"/>
      <c r="BC315" s="67"/>
      <c r="BD315" s="67"/>
      <c r="BE315" s="67"/>
      <c r="BF315" s="96">
        <v>0</v>
      </c>
      <c r="BG315" s="52"/>
      <c r="BH315" s="52"/>
      <c r="BI315" s="52"/>
      <c r="BJ315" s="52"/>
      <c r="BK315" s="52"/>
      <c r="BL315" s="52"/>
      <c r="BM315" s="52"/>
      <c r="BN315" s="53"/>
      <c r="BO315" s="52"/>
      <c r="BP315" s="52"/>
      <c r="BQ315" s="54"/>
    </row>
    <row r="316" spans="1:69" ht="16" x14ac:dyDescent="0.35">
      <c r="A316"/>
      <c r="B316"/>
      <c r="D316"/>
      <c r="G316" t="s">
        <v>212</v>
      </c>
      <c r="H316" s="20"/>
      <c r="I316" s="20"/>
      <c r="J316" s="20"/>
      <c r="K316" s="20"/>
      <c r="L316" s="20"/>
      <c r="Q316" s="83">
        <v>0</v>
      </c>
      <c r="Y316" s="20"/>
      <c r="AP316" s="93"/>
      <c r="AQ316" s="31"/>
      <c r="AR316" s="31"/>
      <c r="AS316" s="94"/>
      <c r="AT316" s="31"/>
      <c r="AU316" s="31"/>
      <c r="AV316" s="73" t="s">
        <v>207</v>
      </c>
      <c r="AW316" s="32"/>
      <c r="AX316" s="32"/>
      <c r="AY316" s="32"/>
      <c r="AZ316" s="32"/>
      <c r="BA316" s="32"/>
      <c r="BB316" s="31"/>
      <c r="BC316" s="31"/>
      <c r="BD316" s="31"/>
      <c r="BE316" s="31"/>
      <c r="BF316" s="95">
        <v>0</v>
      </c>
      <c r="BG316" s="48"/>
      <c r="BH316" s="48"/>
      <c r="BI316" s="48"/>
      <c r="BJ316" s="48"/>
      <c r="BK316" s="48"/>
      <c r="BL316" s="48"/>
      <c r="BM316" s="48"/>
      <c r="BN316" s="49"/>
      <c r="BO316" s="48"/>
      <c r="BP316" s="48"/>
      <c r="BQ316" s="50"/>
    </row>
    <row r="317" spans="1:69" ht="16" x14ac:dyDescent="0.35">
      <c r="A317"/>
      <c r="B317"/>
      <c r="D317"/>
      <c r="G317" t="s">
        <v>212</v>
      </c>
      <c r="H317" s="20"/>
      <c r="I317" s="20"/>
      <c r="J317" s="20"/>
      <c r="K317" s="20"/>
      <c r="L317" s="20"/>
      <c r="Q317" s="83">
        <v>0</v>
      </c>
      <c r="Y317" s="20"/>
      <c r="AP317" s="92"/>
      <c r="AQ317" s="67"/>
      <c r="AR317" s="67"/>
      <c r="AS317" s="73"/>
      <c r="AT317" s="67"/>
      <c r="AU317" s="67"/>
      <c r="AV317" s="94" t="s">
        <v>208</v>
      </c>
      <c r="AW317" s="68"/>
      <c r="AX317" s="68"/>
      <c r="AY317" s="68"/>
      <c r="AZ317" s="68"/>
      <c r="BA317" s="68"/>
      <c r="BB317" s="67"/>
      <c r="BC317" s="67"/>
      <c r="BD317" s="67"/>
      <c r="BE317" s="67"/>
      <c r="BF317" s="96">
        <v>0</v>
      </c>
      <c r="BG317" s="52"/>
      <c r="BH317" s="52"/>
      <c r="BI317" s="52"/>
      <c r="BJ317" s="52"/>
      <c r="BK317" s="52"/>
      <c r="BL317" s="52"/>
      <c r="BM317" s="52"/>
      <c r="BN317" s="53"/>
      <c r="BO317" s="52"/>
      <c r="BP317" s="52"/>
      <c r="BQ317" s="54"/>
    </row>
    <row r="318" spans="1:69" ht="16" x14ac:dyDescent="0.35">
      <c r="A318"/>
      <c r="B318"/>
      <c r="D318"/>
      <c r="G318" t="s">
        <v>212</v>
      </c>
      <c r="H318" s="20"/>
      <c r="I318" s="20"/>
      <c r="J318" s="20"/>
      <c r="K318" s="20"/>
      <c r="L318" s="20"/>
      <c r="Q318" s="83">
        <v>0</v>
      </c>
      <c r="Y318" s="20"/>
      <c r="AP318" s="93"/>
      <c r="AQ318" s="31"/>
      <c r="AR318" s="31"/>
      <c r="AS318" s="94"/>
      <c r="AT318" s="31"/>
      <c r="AU318" s="31"/>
      <c r="AV318" s="73" t="s">
        <v>208</v>
      </c>
      <c r="AW318" s="32"/>
      <c r="AX318" s="32"/>
      <c r="AY318" s="32"/>
      <c r="AZ318" s="32"/>
      <c r="BA318" s="32"/>
      <c r="BB318" s="31"/>
      <c r="BC318" s="31"/>
      <c r="BD318" s="31"/>
      <c r="BE318" s="31"/>
      <c r="BF318" s="95">
        <v>4</v>
      </c>
      <c r="BG318" s="48"/>
      <c r="BH318" s="48"/>
      <c r="BI318" s="48"/>
      <c r="BJ318" s="48"/>
      <c r="BK318" s="48"/>
      <c r="BL318" s="48"/>
      <c r="BM318" s="48"/>
      <c r="BN318" s="49"/>
      <c r="BO318" s="48"/>
      <c r="BP318" s="48"/>
      <c r="BQ318" s="50"/>
    </row>
    <row r="319" spans="1:69" ht="16" x14ac:dyDescent="0.35">
      <c r="A319"/>
      <c r="B319"/>
      <c r="D319"/>
      <c r="G319" t="s">
        <v>212</v>
      </c>
      <c r="H319" s="20"/>
      <c r="I319" s="20"/>
      <c r="J319" s="20"/>
      <c r="K319" s="20"/>
      <c r="L319" s="20"/>
      <c r="Q319" s="83">
        <v>0</v>
      </c>
      <c r="Y319" s="20"/>
      <c r="AP319" s="92"/>
      <c r="AQ319" s="67"/>
      <c r="AR319" s="67"/>
      <c r="AS319" s="73"/>
      <c r="AT319" s="67"/>
      <c r="AU319" s="67"/>
      <c r="AV319" s="94" t="s">
        <v>208</v>
      </c>
      <c r="AW319" s="68"/>
      <c r="AX319" s="68"/>
      <c r="AY319" s="68"/>
      <c r="AZ319" s="68"/>
      <c r="BA319" s="68"/>
      <c r="BB319" s="67"/>
      <c r="BC319" s="67"/>
      <c r="BD319" s="67"/>
      <c r="BE319" s="67"/>
      <c r="BF319" s="96">
        <v>2</v>
      </c>
      <c r="BG319" s="52"/>
      <c r="BH319" s="52"/>
      <c r="BI319" s="52"/>
      <c r="BJ319" s="52"/>
      <c r="BK319" s="52"/>
      <c r="BL319" s="52"/>
      <c r="BM319" s="52"/>
      <c r="BN319" s="53"/>
      <c r="BO319" s="52"/>
      <c r="BP319" s="52"/>
      <c r="BQ319" s="54"/>
    </row>
    <row r="320" spans="1:69" ht="16" x14ac:dyDescent="0.35">
      <c r="A320"/>
      <c r="B320"/>
      <c r="D320"/>
      <c r="G320" t="s">
        <v>212</v>
      </c>
      <c r="H320" s="20"/>
      <c r="I320" s="20"/>
      <c r="J320" s="20"/>
      <c r="K320" s="20"/>
      <c r="L320" s="20"/>
      <c r="Q320" s="83">
        <v>0</v>
      </c>
      <c r="Y320" s="20"/>
      <c r="AP320" s="93"/>
      <c r="AQ320" s="31"/>
      <c r="AR320" s="31"/>
      <c r="AS320" s="94"/>
      <c r="AT320" s="31"/>
      <c r="AU320" s="31"/>
      <c r="AV320" s="73" t="s">
        <v>208</v>
      </c>
      <c r="AW320" s="32"/>
      <c r="AX320" s="32"/>
      <c r="AY320" s="32"/>
      <c r="AZ320" s="32"/>
      <c r="BA320" s="32"/>
      <c r="BB320" s="31"/>
      <c r="BC320" s="31"/>
      <c r="BD320" s="31"/>
      <c r="BE320" s="31"/>
      <c r="BF320" s="95">
        <v>2</v>
      </c>
      <c r="BG320" s="48"/>
      <c r="BH320" s="48"/>
      <c r="BI320" s="48"/>
      <c r="BJ320" s="48"/>
      <c r="BK320" s="48"/>
      <c r="BL320" s="48"/>
      <c r="BM320" s="48"/>
      <c r="BN320" s="49"/>
      <c r="BO320" s="48"/>
      <c r="BP320" s="48"/>
      <c r="BQ320" s="50"/>
    </row>
    <row r="321" spans="1:69" ht="16" x14ac:dyDescent="0.35">
      <c r="A321"/>
      <c r="B321"/>
      <c r="D321"/>
      <c r="G321" t="s">
        <v>212</v>
      </c>
      <c r="H321" s="20"/>
      <c r="I321" s="20"/>
      <c r="J321" s="20"/>
      <c r="K321" s="20"/>
      <c r="L321" s="20"/>
      <c r="Q321" s="83">
        <v>0</v>
      </c>
      <c r="Y321" s="20"/>
      <c r="AP321" s="92"/>
      <c r="AQ321" s="67"/>
      <c r="AR321" s="67"/>
      <c r="AS321" s="73"/>
      <c r="AT321" s="67"/>
      <c r="AU321" s="67"/>
      <c r="AV321" s="94" t="s">
        <v>208</v>
      </c>
      <c r="AW321" s="68"/>
      <c r="AX321" s="68"/>
      <c r="AY321" s="68"/>
      <c r="AZ321" s="68"/>
      <c r="BA321" s="68"/>
      <c r="BB321" s="67"/>
      <c r="BC321" s="67"/>
      <c r="BD321" s="67"/>
      <c r="BE321" s="67"/>
      <c r="BF321" s="96">
        <v>2</v>
      </c>
      <c r="BG321" s="52"/>
      <c r="BH321" s="52"/>
      <c r="BI321" s="52"/>
      <c r="BJ321" s="52"/>
      <c r="BK321" s="52"/>
      <c r="BL321" s="52"/>
      <c r="BM321" s="52"/>
      <c r="BN321" s="53"/>
      <c r="BO321" s="52"/>
      <c r="BP321" s="52"/>
      <c r="BQ321" s="54"/>
    </row>
    <row r="322" spans="1:69" ht="16" x14ac:dyDescent="0.35">
      <c r="A322"/>
      <c r="B322"/>
      <c r="D322"/>
      <c r="G322" t="s">
        <v>213</v>
      </c>
      <c r="H322" s="20"/>
      <c r="I322" s="20"/>
      <c r="J322" s="20"/>
      <c r="K322" s="20"/>
      <c r="L322" s="20"/>
      <c r="Q322" s="83">
        <v>0</v>
      </c>
      <c r="Y322" s="20"/>
      <c r="AP322" s="93"/>
      <c r="AQ322" s="31"/>
      <c r="AR322" s="31"/>
      <c r="AS322" s="94"/>
      <c r="AT322" s="31"/>
      <c r="AU322" s="31"/>
      <c r="AV322" s="73" t="s">
        <v>208</v>
      </c>
      <c r="AW322" s="32"/>
      <c r="AX322" s="32"/>
      <c r="AY322" s="32"/>
      <c r="AZ322" s="32"/>
      <c r="BA322" s="32"/>
      <c r="BB322" s="31"/>
      <c r="BC322" s="31"/>
      <c r="BD322" s="31"/>
      <c r="BE322" s="31"/>
      <c r="BF322" s="95">
        <v>1</v>
      </c>
      <c r="BG322" s="48"/>
      <c r="BH322" s="48"/>
      <c r="BI322" s="48"/>
      <c r="BJ322" s="48"/>
      <c r="BK322" s="48"/>
      <c r="BL322" s="48"/>
      <c r="BM322" s="48"/>
      <c r="BN322" s="49"/>
      <c r="BO322" s="48"/>
      <c r="BP322" s="48"/>
      <c r="BQ322" s="50"/>
    </row>
    <row r="323" spans="1:69" ht="16" x14ac:dyDescent="0.35">
      <c r="A323"/>
      <c r="B323"/>
      <c r="D323"/>
      <c r="G323" t="s">
        <v>212</v>
      </c>
      <c r="H323" s="20"/>
      <c r="I323" s="20"/>
      <c r="J323" s="20"/>
      <c r="K323" s="20"/>
      <c r="L323" s="20"/>
      <c r="Q323" s="83">
        <v>0</v>
      </c>
      <c r="Y323" s="20"/>
      <c r="AP323" s="92"/>
      <c r="AQ323" s="67"/>
      <c r="AR323" s="67"/>
      <c r="AS323" s="73"/>
      <c r="AT323" s="67"/>
      <c r="AU323" s="67"/>
      <c r="AV323" s="94" t="s">
        <v>208</v>
      </c>
      <c r="AW323" s="68"/>
      <c r="AX323" s="68"/>
      <c r="AY323" s="68"/>
      <c r="AZ323" s="68"/>
      <c r="BA323" s="68"/>
      <c r="BB323" s="67"/>
      <c r="BC323" s="67"/>
      <c r="BD323" s="67"/>
      <c r="BE323" s="67"/>
      <c r="BF323" s="96">
        <v>1</v>
      </c>
      <c r="BG323" s="52"/>
      <c r="BH323" s="52"/>
      <c r="BI323" s="52"/>
      <c r="BJ323" s="52"/>
      <c r="BK323" s="52"/>
      <c r="BL323" s="52"/>
      <c r="BM323" s="52"/>
      <c r="BN323" s="53"/>
      <c r="BO323" s="52"/>
      <c r="BP323" s="52"/>
      <c r="BQ323" s="54"/>
    </row>
    <row r="324" spans="1:69" ht="16" x14ac:dyDescent="0.35">
      <c r="A324"/>
      <c r="B324"/>
      <c r="D324"/>
      <c r="G324" t="s">
        <v>212</v>
      </c>
      <c r="H324" s="20"/>
      <c r="I324" s="20"/>
      <c r="J324" s="20"/>
      <c r="K324" s="20"/>
      <c r="L324" s="20"/>
      <c r="Q324" s="83">
        <v>0</v>
      </c>
      <c r="Y324" s="20"/>
      <c r="AP324" s="93"/>
      <c r="AQ324" s="31"/>
      <c r="AR324" s="31"/>
      <c r="AS324" s="94"/>
      <c r="AT324" s="31"/>
      <c r="AU324" s="31"/>
      <c r="AV324" s="73" t="s">
        <v>225</v>
      </c>
      <c r="AW324" s="32"/>
      <c r="AX324" s="32"/>
      <c r="AY324" s="32"/>
      <c r="AZ324" s="32"/>
      <c r="BA324" s="32"/>
      <c r="BB324" s="31"/>
      <c r="BC324" s="31"/>
      <c r="BD324" s="31"/>
      <c r="BE324" s="31"/>
      <c r="BF324" s="95">
        <v>0</v>
      </c>
      <c r="BG324" s="48"/>
      <c r="BH324" s="48"/>
      <c r="BI324" s="48"/>
      <c r="BJ324" s="48"/>
      <c r="BK324" s="48"/>
      <c r="BL324" s="48"/>
      <c r="BM324" s="48"/>
      <c r="BN324" s="49"/>
      <c r="BO324" s="48"/>
      <c r="BP324" s="48"/>
      <c r="BQ324" s="50"/>
    </row>
    <row r="325" spans="1:69" ht="16" x14ac:dyDescent="0.35">
      <c r="A325"/>
      <c r="B325"/>
      <c r="D325"/>
      <c r="G325" t="s">
        <v>212</v>
      </c>
      <c r="H325" s="20"/>
      <c r="I325" s="20"/>
      <c r="J325" s="20"/>
      <c r="K325" s="20"/>
      <c r="L325" s="20"/>
      <c r="Q325" s="83">
        <v>0</v>
      </c>
      <c r="Y325" s="20"/>
      <c r="AP325" s="92"/>
      <c r="AQ325" s="67"/>
      <c r="AR325" s="67"/>
      <c r="AS325" s="73"/>
      <c r="AT325" s="67"/>
      <c r="AU325" s="67"/>
      <c r="AV325" s="94" t="s">
        <v>210</v>
      </c>
      <c r="AW325" s="68"/>
      <c r="AX325" s="68"/>
      <c r="AY325" s="68"/>
      <c r="AZ325" s="68"/>
      <c r="BA325" s="68"/>
      <c r="BB325" s="67"/>
      <c r="BC325" s="67"/>
      <c r="BD325" s="67"/>
      <c r="BE325" s="67"/>
      <c r="BF325" s="96">
        <v>0</v>
      </c>
      <c r="BG325" s="52"/>
      <c r="BH325" s="52"/>
      <c r="BI325" s="52"/>
      <c r="BJ325" s="52"/>
      <c r="BK325" s="52"/>
      <c r="BL325" s="52"/>
      <c r="BM325" s="52"/>
      <c r="BN325" s="53"/>
      <c r="BO325" s="52"/>
      <c r="BP325" s="52"/>
      <c r="BQ325" s="54"/>
    </row>
    <row r="326" spans="1:69" ht="16" x14ac:dyDescent="0.35">
      <c r="A326"/>
      <c r="B326"/>
      <c r="D326"/>
      <c r="G326" t="s">
        <v>242</v>
      </c>
      <c r="H326" s="20"/>
      <c r="I326" s="20"/>
      <c r="J326" s="20"/>
      <c r="K326" s="20"/>
      <c r="L326" s="20"/>
      <c r="Q326" s="83">
        <v>0</v>
      </c>
      <c r="Y326" s="20"/>
      <c r="AP326" s="93"/>
      <c r="AQ326" s="31"/>
      <c r="AR326" s="31"/>
      <c r="AS326" s="94"/>
      <c r="AT326" s="31"/>
      <c r="AU326" s="31"/>
      <c r="AV326" s="73" t="s">
        <v>210</v>
      </c>
      <c r="AW326" s="32"/>
      <c r="AX326" s="32"/>
      <c r="AY326" s="32"/>
      <c r="AZ326" s="32"/>
      <c r="BA326" s="32"/>
      <c r="BB326" s="31"/>
      <c r="BC326" s="31"/>
      <c r="BD326" s="31"/>
      <c r="BE326" s="31"/>
      <c r="BF326" s="95">
        <v>0</v>
      </c>
      <c r="BG326" s="48"/>
      <c r="BH326" s="48"/>
      <c r="BI326" s="48"/>
      <c r="BJ326" s="48"/>
      <c r="BK326" s="48"/>
      <c r="BL326" s="48"/>
      <c r="BM326" s="48"/>
      <c r="BN326" s="49"/>
      <c r="BO326" s="48"/>
      <c r="BP326" s="48"/>
      <c r="BQ326" s="50"/>
    </row>
    <row r="327" spans="1:69" ht="16" x14ac:dyDescent="0.35">
      <c r="A327"/>
      <c r="B327"/>
      <c r="D327"/>
      <c r="G327" t="s">
        <v>242</v>
      </c>
      <c r="H327" s="20"/>
      <c r="I327" s="20"/>
      <c r="J327" s="20"/>
      <c r="K327" s="20"/>
      <c r="L327" s="20"/>
      <c r="Q327" s="83">
        <v>0</v>
      </c>
      <c r="Y327" s="20"/>
      <c r="AP327" s="92"/>
      <c r="AQ327" s="67"/>
      <c r="AR327" s="67"/>
      <c r="AS327" s="73"/>
      <c r="AT327" s="67"/>
      <c r="AU327" s="67"/>
      <c r="AV327" s="94" t="s">
        <v>225</v>
      </c>
      <c r="AW327" s="68"/>
      <c r="AX327" s="68"/>
      <c r="AY327" s="68"/>
      <c r="AZ327" s="68"/>
      <c r="BA327" s="68"/>
      <c r="BB327" s="67"/>
      <c r="BC327" s="67"/>
      <c r="BD327" s="67"/>
      <c r="BE327" s="67"/>
      <c r="BF327" s="96">
        <v>0</v>
      </c>
      <c r="BG327" s="52"/>
      <c r="BH327" s="52"/>
      <c r="BI327" s="52"/>
      <c r="BJ327" s="52"/>
      <c r="BK327" s="52"/>
      <c r="BL327" s="52"/>
      <c r="BM327" s="52"/>
      <c r="BN327" s="53"/>
      <c r="BO327" s="52"/>
      <c r="BP327" s="52"/>
      <c r="BQ327" s="54"/>
    </row>
    <row r="328" spans="1:69" ht="16" x14ac:dyDescent="0.35">
      <c r="A328"/>
      <c r="B328"/>
      <c r="D328"/>
      <c r="G328"/>
      <c r="H328" s="20"/>
      <c r="I328" s="20"/>
      <c r="J328" s="20"/>
      <c r="K328" s="20"/>
      <c r="L328" s="20"/>
      <c r="Q328" s="83"/>
      <c r="Y328" s="20"/>
      <c r="AP328" s="93"/>
      <c r="AQ328" s="31"/>
      <c r="AR328" s="31"/>
      <c r="AS328" s="94"/>
      <c r="AT328" s="31"/>
      <c r="AU328" s="31"/>
      <c r="AV328" s="73" t="s">
        <v>210</v>
      </c>
      <c r="AW328" s="32"/>
      <c r="AX328" s="32"/>
      <c r="AY328" s="32"/>
      <c r="AZ328" s="32"/>
      <c r="BA328" s="32"/>
      <c r="BB328" s="31"/>
      <c r="BC328" s="31"/>
      <c r="BD328" s="31"/>
      <c r="BE328" s="31"/>
      <c r="BF328" s="95">
        <v>0</v>
      </c>
      <c r="BG328" s="48"/>
      <c r="BH328" s="48"/>
      <c r="BI328" s="48"/>
      <c r="BJ328" s="48"/>
      <c r="BK328" s="48"/>
      <c r="BL328" s="48"/>
      <c r="BM328" s="48"/>
      <c r="BN328" s="49"/>
      <c r="BO328" s="48"/>
      <c r="BP328" s="48"/>
      <c r="BQ328" s="50"/>
    </row>
    <row r="329" spans="1:69" ht="16" x14ac:dyDescent="0.35">
      <c r="A329"/>
      <c r="B329"/>
      <c r="D329"/>
      <c r="G329"/>
      <c r="H329" s="20"/>
      <c r="I329" s="20"/>
      <c r="J329" s="20"/>
      <c r="K329" s="20"/>
      <c r="L329" s="20"/>
      <c r="Q329" s="83"/>
      <c r="Y329" s="20"/>
      <c r="AP329" s="92"/>
      <c r="AQ329" s="67"/>
      <c r="AR329" s="67"/>
      <c r="AS329" s="73"/>
      <c r="AT329" s="67"/>
      <c r="AU329" s="67"/>
      <c r="AV329" s="94" t="s">
        <v>211</v>
      </c>
      <c r="AW329" s="68"/>
      <c r="AX329" s="68"/>
      <c r="AY329" s="68"/>
      <c r="AZ329" s="68"/>
      <c r="BA329" s="68"/>
      <c r="BB329" s="67"/>
      <c r="BC329" s="67"/>
      <c r="BD329" s="67"/>
      <c r="BE329" s="67"/>
      <c r="BF329" s="96">
        <v>1</v>
      </c>
      <c r="BG329" s="52"/>
      <c r="BH329" s="52"/>
      <c r="BI329" s="52"/>
      <c r="BJ329" s="52"/>
      <c r="BK329" s="52"/>
      <c r="BL329" s="52"/>
      <c r="BM329" s="52"/>
      <c r="BN329" s="53"/>
      <c r="BO329" s="52"/>
      <c r="BP329" s="52"/>
      <c r="BQ329" s="54"/>
    </row>
    <row r="330" spans="1:69" ht="16" x14ac:dyDescent="0.35">
      <c r="A330"/>
      <c r="B330"/>
      <c r="D330"/>
      <c r="G330"/>
      <c r="H330" s="20"/>
      <c r="I330" s="20"/>
      <c r="J330" s="20"/>
      <c r="K330" s="20"/>
      <c r="L330" s="20"/>
      <c r="Q330" s="83"/>
      <c r="Y330" s="20"/>
      <c r="AP330" s="93"/>
      <c r="AQ330" s="31"/>
      <c r="AR330" s="31"/>
      <c r="AS330" s="94"/>
      <c r="AT330" s="31"/>
      <c r="AU330" s="31"/>
      <c r="AV330" s="73" t="s">
        <v>225</v>
      </c>
      <c r="AW330" s="32"/>
      <c r="AX330" s="32"/>
      <c r="AY330" s="32"/>
      <c r="AZ330" s="32"/>
      <c r="BA330" s="32"/>
      <c r="BB330" s="31"/>
      <c r="BC330" s="31"/>
      <c r="BD330" s="31"/>
      <c r="BE330" s="31"/>
      <c r="BF330" s="95">
        <v>0</v>
      </c>
      <c r="BG330" s="48"/>
      <c r="BH330" s="48"/>
      <c r="BI330" s="48"/>
      <c r="BJ330" s="48"/>
      <c r="BK330" s="48"/>
      <c r="BL330" s="48"/>
      <c r="BM330" s="48"/>
      <c r="BN330" s="49"/>
      <c r="BO330" s="48"/>
      <c r="BP330" s="48"/>
      <c r="BQ330" s="50"/>
    </row>
    <row r="331" spans="1:69" ht="16" x14ac:dyDescent="0.35">
      <c r="A331"/>
      <c r="B331"/>
      <c r="D331"/>
      <c r="G331"/>
      <c r="H331" s="20"/>
      <c r="I331" s="20"/>
      <c r="J331" s="20"/>
      <c r="K331" s="20"/>
      <c r="L331" s="20"/>
      <c r="Q331" s="83"/>
      <c r="Y331" s="20"/>
      <c r="AP331" s="92"/>
      <c r="AQ331" s="67"/>
      <c r="AR331" s="67"/>
      <c r="AS331" s="73"/>
      <c r="AT331" s="67"/>
      <c r="AU331" s="67"/>
      <c r="AV331" s="94" t="s">
        <v>210</v>
      </c>
      <c r="AW331" s="68"/>
      <c r="AX331" s="68"/>
      <c r="AY331" s="68"/>
      <c r="AZ331" s="68"/>
      <c r="BA331" s="68"/>
      <c r="BB331" s="67"/>
      <c r="BC331" s="67"/>
      <c r="BD331" s="67"/>
      <c r="BE331" s="67"/>
      <c r="BF331" s="96">
        <v>0</v>
      </c>
      <c r="BG331" s="52"/>
      <c r="BH331" s="52"/>
      <c r="BI331" s="52"/>
      <c r="BJ331" s="52"/>
      <c r="BK331" s="52"/>
      <c r="BL331" s="52"/>
      <c r="BM331" s="52"/>
      <c r="BN331" s="53"/>
      <c r="BO331" s="52"/>
      <c r="BP331" s="52"/>
      <c r="BQ331" s="54"/>
    </row>
    <row r="332" spans="1:69" ht="16" x14ac:dyDescent="0.35">
      <c r="A332"/>
      <c r="B332"/>
      <c r="D332"/>
      <c r="G332"/>
      <c r="H332" s="20"/>
      <c r="I332" s="20"/>
      <c r="J332" s="20"/>
      <c r="K332" s="20"/>
      <c r="L332" s="20"/>
      <c r="Q332" s="83"/>
      <c r="Y332" s="20"/>
      <c r="AP332" s="93"/>
      <c r="AQ332" s="31"/>
      <c r="AR332" s="31"/>
      <c r="AS332" s="94"/>
      <c r="AT332" s="31"/>
      <c r="AU332" s="31"/>
      <c r="AV332" s="73" t="s">
        <v>210</v>
      </c>
      <c r="AW332" s="32"/>
      <c r="AX332" s="32"/>
      <c r="AY332" s="32"/>
      <c r="AZ332" s="32"/>
      <c r="BA332" s="32"/>
      <c r="BB332" s="31"/>
      <c r="BC332" s="31"/>
      <c r="BD332" s="31"/>
      <c r="BE332" s="31"/>
      <c r="BF332" s="95">
        <v>0</v>
      </c>
      <c r="BG332" s="48"/>
      <c r="BH332" s="48"/>
      <c r="BI332" s="48"/>
      <c r="BJ332" s="48"/>
      <c r="BK332" s="48"/>
      <c r="BL332" s="48"/>
      <c r="BM332" s="48"/>
      <c r="BN332" s="49"/>
      <c r="BO332" s="48"/>
      <c r="BP332" s="48"/>
      <c r="BQ332" s="50"/>
    </row>
    <row r="333" spans="1:69" ht="16" x14ac:dyDescent="0.35">
      <c r="A333"/>
      <c r="B333"/>
      <c r="D333"/>
      <c r="G333"/>
      <c r="H333" s="20"/>
      <c r="I333" s="20"/>
      <c r="J333" s="20"/>
      <c r="K333" s="20"/>
      <c r="L333" s="20"/>
      <c r="Q333" s="83"/>
      <c r="Y333" s="20"/>
      <c r="AP333" s="92"/>
      <c r="AQ333" s="67"/>
      <c r="AR333" s="67"/>
      <c r="AS333" s="73"/>
      <c r="AT333" s="67"/>
      <c r="AU333" s="67"/>
      <c r="AV333" s="94" t="s">
        <v>210</v>
      </c>
      <c r="AW333" s="68"/>
      <c r="AX333" s="68"/>
      <c r="AY333" s="68"/>
      <c r="AZ333" s="68"/>
      <c r="BA333" s="68"/>
      <c r="BB333" s="67"/>
      <c r="BC333" s="67"/>
      <c r="BD333" s="67"/>
      <c r="BE333" s="67"/>
      <c r="BF333" s="96">
        <v>0</v>
      </c>
      <c r="BG333" s="52"/>
      <c r="BH333" s="52"/>
      <c r="BI333" s="52"/>
      <c r="BJ333" s="52"/>
      <c r="BK333" s="52"/>
      <c r="BL333" s="52"/>
      <c r="BM333" s="52"/>
      <c r="BN333" s="53"/>
      <c r="BO333" s="52"/>
      <c r="BP333" s="52"/>
      <c r="BQ333" s="54"/>
    </row>
    <row r="334" spans="1:69" ht="16" x14ac:dyDescent="0.35">
      <c r="A334"/>
      <c r="B334"/>
      <c r="D334"/>
      <c r="G334"/>
      <c r="H334" s="20"/>
      <c r="I334" s="20"/>
      <c r="J334" s="20"/>
      <c r="K334" s="20"/>
      <c r="L334" s="20"/>
      <c r="Q334" s="83"/>
      <c r="Y334" s="20"/>
      <c r="AP334" s="93"/>
      <c r="AQ334" s="31"/>
      <c r="AR334" s="31"/>
      <c r="AS334" s="94"/>
      <c r="AT334" s="31"/>
      <c r="AU334" s="31"/>
      <c r="AV334" s="73" t="s">
        <v>210</v>
      </c>
      <c r="AW334" s="32"/>
      <c r="AX334" s="32"/>
      <c r="AY334" s="32"/>
      <c r="AZ334" s="32"/>
      <c r="BA334" s="32"/>
      <c r="BB334" s="31"/>
      <c r="BC334" s="31"/>
      <c r="BD334" s="31"/>
      <c r="BE334" s="31"/>
      <c r="BF334" s="95">
        <v>0</v>
      </c>
      <c r="BG334" s="48"/>
      <c r="BH334" s="48"/>
      <c r="BI334" s="48"/>
      <c r="BJ334" s="48"/>
      <c r="BK334" s="48"/>
      <c r="BL334" s="48"/>
      <c r="BM334" s="48"/>
      <c r="BN334" s="49"/>
      <c r="BO334" s="48"/>
      <c r="BP334" s="48"/>
      <c r="BQ334" s="50"/>
    </row>
    <row r="335" spans="1:69" ht="16" x14ac:dyDescent="0.35">
      <c r="A335"/>
      <c r="B335"/>
      <c r="D335"/>
      <c r="G335"/>
      <c r="H335" s="20"/>
      <c r="I335" s="20"/>
      <c r="J335" s="20"/>
      <c r="K335" s="20"/>
      <c r="L335" s="20"/>
      <c r="Q335" s="83"/>
      <c r="Y335" s="20"/>
      <c r="AP335" s="92"/>
      <c r="AQ335" s="67"/>
      <c r="AR335" s="67"/>
      <c r="AS335" s="73"/>
      <c r="AT335" s="67"/>
      <c r="AU335" s="67"/>
      <c r="AV335" s="94" t="s">
        <v>210</v>
      </c>
      <c r="AW335" s="68"/>
      <c r="AX335" s="68"/>
      <c r="AY335" s="68"/>
      <c r="AZ335" s="68"/>
      <c r="BA335" s="68"/>
      <c r="BB335" s="67"/>
      <c r="BC335" s="67"/>
      <c r="BD335" s="67"/>
      <c r="BE335" s="67"/>
      <c r="BF335" s="96">
        <v>0</v>
      </c>
      <c r="BG335" s="52"/>
      <c r="BH335" s="52"/>
      <c r="BI335" s="52"/>
      <c r="BJ335" s="52"/>
      <c r="BK335" s="52"/>
      <c r="BL335" s="52"/>
      <c r="BM335" s="52"/>
      <c r="BN335" s="53"/>
      <c r="BO335" s="52"/>
      <c r="BP335" s="52"/>
      <c r="BQ335" s="54"/>
    </row>
    <row r="336" spans="1:69" ht="16" x14ac:dyDescent="0.35">
      <c r="A336"/>
      <c r="B336"/>
      <c r="D336"/>
      <c r="G336"/>
      <c r="H336" s="20"/>
      <c r="I336" s="20"/>
      <c r="J336" s="20"/>
      <c r="K336" s="20"/>
      <c r="L336" s="20"/>
      <c r="Q336" s="83"/>
      <c r="Y336" s="20"/>
      <c r="AP336" s="93"/>
      <c r="AQ336" s="31"/>
      <c r="AR336" s="31"/>
      <c r="AS336" s="94"/>
      <c r="AT336" s="31"/>
      <c r="AU336" s="31"/>
      <c r="AV336" s="73" t="s">
        <v>210</v>
      </c>
      <c r="AW336" s="32"/>
      <c r="AX336" s="32"/>
      <c r="AY336" s="32"/>
      <c r="AZ336" s="32"/>
      <c r="BA336" s="32"/>
      <c r="BB336" s="31"/>
      <c r="BC336" s="31"/>
      <c r="BD336" s="31"/>
      <c r="BE336" s="31"/>
      <c r="BF336" s="95">
        <v>1</v>
      </c>
      <c r="BG336" s="48"/>
      <c r="BH336" s="48"/>
      <c r="BI336" s="48"/>
      <c r="BJ336" s="48"/>
      <c r="BK336" s="48"/>
      <c r="BL336" s="48"/>
      <c r="BM336" s="48"/>
      <c r="BN336" s="49"/>
      <c r="BO336" s="48"/>
      <c r="BP336" s="48"/>
      <c r="BQ336" s="50"/>
    </row>
    <row r="337" spans="1:69" ht="16" x14ac:dyDescent="0.35">
      <c r="A337"/>
      <c r="B337"/>
      <c r="D337"/>
      <c r="G337"/>
      <c r="H337" s="20"/>
      <c r="I337" s="20"/>
      <c r="J337" s="20"/>
      <c r="K337" s="20"/>
      <c r="L337" s="20"/>
      <c r="Q337" s="83"/>
      <c r="Y337" s="20"/>
      <c r="AP337" s="92"/>
      <c r="AQ337" s="67"/>
      <c r="AR337" s="67"/>
      <c r="AS337" s="73"/>
      <c r="AT337" s="67"/>
      <c r="AU337" s="67"/>
      <c r="AV337" s="94" t="s">
        <v>210</v>
      </c>
      <c r="AW337" s="68"/>
      <c r="AX337" s="68"/>
      <c r="AY337" s="68"/>
      <c r="AZ337" s="68"/>
      <c r="BA337" s="68"/>
      <c r="BB337" s="67"/>
      <c r="BC337" s="67"/>
      <c r="BD337" s="67"/>
      <c r="BE337" s="67"/>
      <c r="BF337" s="96">
        <v>0</v>
      </c>
      <c r="BG337" s="52"/>
      <c r="BH337" s="52"/>
      <c r="BI337" s="52"/>
      <c r="BJ337" s="52"/>
      <c r="BK337" s="52"/>
      <c r="BL337" s="52"/>
      <c r="BM337" s="52"/>
      <c r="BN337" s="53"/>
      <c r="BO337" s="52"/>
      <c r="BP337" s="52"/>
      <c r="BQ337" s="54"/>
    </row>
    <row r="338" spans="1:69" ht="16" x14ac:dyDescent="0.35">
      <c r="A338"/>
      <c r="B338"/>
      <c r="D338"/>
      <c r="G338"/>
      <c r="H338" s="20"/>
      <c r="I338" s="20"/>
      <c r="J338" s="20"/>
      <c r="K338" s="20"/>
      <c r="L338" s="20"/>
      <c r="Q338" s="83"/>
      <c r="Y338" s="20"/>
      <c r="AP338" s="93"/>
      <c r="AQ338" s="31"/>
      <c r="AR338" s="31"/>
      <c r="AS338" s="94"/>
      <c r="AT338" s="31"/>
      <c r="AU338" s="31"/>
      <c r="AV338" s="73" t="s">
        <v>210</v>
      </c>
      <c r="AW338" s="32"/>
      <c r="AX338" s="32"/>
      <c r="AY338" s="32"/>
      <c r="AZ338" s="32"/>
      <c r="BA338" s="32"/>
      <c r="BB338" s="31"/>
      <c r="BC338" s="31"/>
      <c r="BD338" s="31"/>
      <c r="BE338" s="31"/>
      <c r="BF338" s="95">
        <v>0</v>
      </c>
      <c r="BG338" s="48"/>
      <c r="BH338" s="48"/>
      <c r="BI338" s="48"/>
      <c r="BJ338" s="48"/>
      <c r="BK338" s="48"/>
      <c r="BL338" s="48"/>
      <c r="BM338" s="48"/>
      <c r="BN338" s="49"/>
      <c r="BO338" s="48"/>
      <c r="BP338" s="48"/>
      <c r="BQ338" s="50"/>
    </row>
    <row r="339" spans="1:69" ht="16" x14ac:dyDescent="0.35">
      <c r="A339"/>
      <c r="B339"/>
      <c r="D339"/>
      <c r="G339"/>
      <c r="H339" s="20"/>
      <c r="I339" s="20"/>
      <c r="J339" s="20"/>
      <c r="K339" s="20"/>
      <c r="L339" s="20"/>
      <c r="Q339" s="83"/>
      <c r="Y339" s="20"/>
      <c r="AP339" s="92"/>
      <c r="AQ339" s="67"/>
      <c r="AR339" s="67"/>
      <c r="AS339" s="73"/>
      <c r="AT339" s="67"/>
      <c r="AU339" s="67"/>
      <c r="AV339" s="94" t="s">
        <v>210</v>
      </c>
      <c r="AW339" s="68"/>
      <c r="AX339" s="68"/>
      <c r="AY339" s="68"/>
      <c r="AZ339" s="68"/>
      <c r="BA339" s="68"/>
      <c r="BB339" s="67"/>
      <c r="BC339" s="67"/>
      <c r="BD339" s="67"/>
      <c r="BE339" s="67"/>
      <c r="BF339" s="96">
        <v>0</v>
      </c>
      <c r="BG339" s="52"/>
      <c r="BH339" s="52"/>
      <c r="BI339" s="52"/>
      <c r="BJ339" s="52"/>
      <c r="BK339" s="52"/>
      <c r="BL339" s="52"/>
      <c r="BM339" s="52"/>
      <c r="BN339" s="53"/>
      <c r="BO339" s="52"/>
      <c r="BP339" s="52"/>
      <c r="BQ339" s="54"/>
    </row>
    <row r="340" spans="1:69" ht="16" x14ac:dyDescent="0.35">
      <c r="A340"/>
      <c r="B340"/>
      <c r="D340"/>
      <c r="G340"/>
      <c r="H340" s="20"/>
      <c r="I340" s="20"/>
      <c r="J340" s="20"/>
      <c r="K340" s="20"/>
      <c r="L340" s="20"/>
      <c r="Q340" s="83"/>
      <c r="Y340" s="20"/>
      <c r="AP340" s="93"/>
      <c r="AQ340" s="31"/>
      <c r="AR340" s="31"/>
      <c r="AS340" s="94"/>
      <c r="AT340" s="31"/>
      <c r="AU340" s="31"/>
      <c r="AV340" s="73" t="s">
        <v>227</v>
      </c>
      <c r="AW340" s="32"/>
      <c r="AX340" s="32"/>
      <c r="AY340" s="32"/>
      <c r="AZ340" s="32"/>
      <c r="BA340" s="32"/>
      <c r="BB340" s="31"/>
      <c r="BC340" s="31"/>
      <c r="BD340" s="31"/>
      <c r="BE340" s="31"/>
      <c r="BF340" s="95">
        <v>0</v>
      </c>
      <c r="BG340" s="48"/>
      <c r="BH340" s="48"/>
      <c r="BI340" s="48"/>
      <c r="BJ340" s="48"/>
      <c r="BK340" s="48"/>
      <c r="BL340" s="48"/>
      <c r="BM340" s="48"/>
      <c r="BN340" s="49"/>
      <c r="BO340" s="48"/>
      <c r="BP340" s="48"/>
      <c r="BQ340" s="50"/>
    </row>
    <row r="341" spans="1:69" ht="16" x14ac:dyDescent="0.35">
      <c r="A341"/>
      <c r="B341"/>
      <c r="D341"/>
      <c r="G341"/>
      <c r="H341" s="20"/>
      <c r="I341" s="20"/>
      <c r="J341" s="20"/>
      <c r="K341" s="20"/>
      <c r="L341" s="20"/>
      <c r="Q341" s="83"/>
      <c r="Y341" s="20"/>
      <c r="AP341" s="92"/>
      <c r="AQ341" s="67"/>
      <c r="AR341" s="67"/>
      <c r="AS341" s="73"/>
      <c r="AT341" s="67"/>
      <c r="AU341" s="67"/>
      <c r="AV341" s="94" t="s">
        <v>210</v>
      </c>
      <c r="AW341" s="68"/>
      <c r="AX341" s="68"/>
      <c r="AY341" s="68"/>
      <c r="AZ341" s="68"/>
      <c r="BA341" s="68"/>
      <c r="BB341" s="67"/>
      <c r="BC341" s="67"/>
      <c r="BD341" s="67"/>
      <c r="BE341" s="67"/>
      <c r="BF341" s="96">
        <v>0</v>
      </c>
      <c r="BG341" s="52"/>
      <c r="BH341" s="52"/>
      <c r="BI341" s="52"/>
      <c r="BJ341" s="52"/>
      <c r="BK341" s="52"/>
      <c r="BL341" s="52"/>
      <c r="BM341" s="52"/>
      <c r="BN341" s="53"/>
      <c r="BO341" s="52"/>
      <c r="BP341" s="52"/>
      <c r="BQ341" s="54"/>
    </row>
    <row r="342" spans="1:69" ht="16" x14ac:dyDescent="0.35">
      <c r="A342"/>
      <c r="B342"/>
      <c r="D342"/>
      <c r="G342"/>
      <c r="H342" s="20"/>
      <c r="I342" s="20"/>
      <c r="J342" s="20"/>
      <c r="K342" s="20"/>
      <c r="L342" s="20"/>
      <c r="Q342" s="83"/>
      <c r="Y342" s="20"/>
      <c r="AP342" s="93"/>
      <c r="AQ342" s="31"/>
      <c r="AR342" s="31"/>
      <c r="AS342" s="94"/>
      <c r="AT342" s="31"/>
      <c r="AU342" s="31"/>
      <c r="AV342" s="73" t="s">
        <v>211</v>
      </c>
      <c r="AW342" s="32"/>
      <c r="AX342" s="32"/>
      <c r="AY342" s="32"/>
      <c r="AZ342" s="32"/>
      <c r="BA342" s="32"/>
      <c r="BB342" s="31"/>
      <c r="BC342" s="31"/>
      <c r="BD342" s="31"/>
      <c r="BE342" s="31"/>
      <c r="BF342" s="95">
        <v>0</v>
      </c>
      <c r="BG342" s="48"/>
      <c r="BH342" s="48"/>
      <c r="BI342" s="48"/>
      <c r="BJ342" s="48"/>
      <c r="BK342" s="48"/>
      <c r="BL342" s="48"/>
      <c r="BM342" s="48"/>
      <c r="BN342" s="49"/>
      <c r="BO342" s="48"/>
      <c r="BP342" s="48"/>
      <c r="BQ342" s="50"/>
    </row>
    <row r="343" spans="1:69" ht="16" x14ac:dyDescent="0.35">
      <c r="A343"/>
      <c r="B343"/>
      <c r="D343"/>
      <c r="G343"/>
      <c r="H343" s="20"/>
      <c r="I343" s="20"/>
      <c r="J343" s="20"/>
      <c r="K343" s="20"/>
      <c r="L343" s="20"/>
      <c r="Q343" s="83"/>
      <c r="Y343" s="20"/>
      <c r="AP343" s="92"/>
      <c r="AQ343" s="67"/>
      <c r="AR343" s="67"/>
      <c r="AS343" s="73"/>
      <c r="AT343" s="67"/>
      <c r="AU343" s="67"/>
      <c r="AV343" s="94" t="s">
        <v>210</v>
      </c>
      <c r="AW343" s="68"/>
      <c r="AX343" s="68"/>
      <c r="AY343" s="68"/>
      <c r="AZ343" s="68"/>
      <c r="BA343" s="68"/>
      <c r="BB343" s="67"/>
      <c r="BC343" s="67"/>
      <c r="BD343" s="67"/>
      <c r="BE343" s="67"/>
      <c r="BF343" s="96">
        <v>0</v>
      </c>
      <c r="BG343" s="52"/>
      <c r="BH343" s="52"/>
      <c r="BI343" s="52"/>
      <c r="BJ343" s="52"/>
      <c r="BK343" s="52"/>
      <c r="BL343" s="52"/>
      <c r="BM343" s="52"/>
      <c r="BN343" s="53"/>
      <c r="BO343" s="52"/>
      <c r="BP343" s="52"/>
      <c r="BQ343" s="54"/>
    </row>
    <row r="344" spans="1:69" ht="16" x14ac:dyDescent="0.35">
      <c r="A344"/>
      <c r="B344"/>
      <c r="D344"/>
      <c r="G344"/>
      <c r="H344" s="20"/>
      <c r="I344" s="20"/>
      <c r="J344" s="20"/>
      <c r="K344" s="20"/>
      <c r="L344" s="20"/>
      <c r="Q344" s="83"/>
      <c r="Y344" s="20"/>
      <c r="AP344" s="93"/>
      <c r="AQ344" s="31"/>
      <c r="AR344" s="31"/>
      <c r="AS344" s="94"/>
      <c r="AT344" s="31"/>
      <c r="AU344" s="31"/>
      <c r="AV344" s="73" t="s">
        <v>210</v>
      </c>
      <c r="AW344" s="32"/>
      <c r="AX344" s="32"/>
      <c r="AY344" s="32"/>
      <c r="AZ344" s="32"/>
      <c r="BA344" s="32"/>
      <c r="BB344" s="31"/>
      <c r="BC344" s="31"/>
      <c r="BD344" s="31"/>
      <c r="BE344" s="31"/>
      <c r="BF344" s="95">
        <v>0</v>
      </c>
      <c r="BG344" s="48"/>
      <c r="BH344" s="48"/>
      <c r="BI344" s="48"/>
      <c r="BJ344" s="48"/>
      <c r="BK344" s="48"/>
      <c r="BL344" s="48"/>
      <c r="BM344" s="48"/>
      <c r="BN344" s="49"/>
      <c r="BO344" s="48"/>
      <c r="BP344" s="48"/>
      <c r="BQ344" s="50"/>
    </row>
    <row r="345" spans="1:69" ht="16" x14ac:dyDescent="0.35">
      <c r="A345"/>
      <c r="B345"/>
      <c r="D345"/>
      <c r="G345"/>
      <c r="H345" s="20"/>
      <c r="I345" s="20"/>
      <c r="J345" s="20"/>
      <c r="K345" s="20"/>
      <c r="L345" s="20"/>
      <c r="Q345" s="83"/>
      <c r="Y345" s="20"/>
      <c r="AP345" s="92"/>
      <c r="AQ345" s="67"/>
      <c r="AR345" s="67"/>
      <c r="AS345" s="73"/>
      <c r="AT345" s="67"/>
      <c r="AU345" s="67"/>
      <c r="AV345" s="94" t="s">
        <v>213</v>
      </c>
      <c r="AW345" s="68"/>
      <c r="AX345" s="68"/>
      <c r="AY345" s="68"/>
      <c r="AZ345" s="68"/>
      <c r="BA345" s="68"/>
      <c r="BB345" s="67"/>
      <c r="BC345" s="67"/>
      <c r="BD345" s="67"/>
      <c r="BE345" s="67"/>
      <c r="BF345" s="96">
        <v>0</v>
      </c>
      <c r="BG345" s="52"/>
      <c r="BH345" s="52"/>
      <c r="BI345" s="52"/>
      <c r="BJ345" s="52"/>
      <c r="BK345" s="52"/>
      <c r="BL345" s="52"/>
      <c r="BM345" s="52"/>
      <c r="BN345" s="53"/>
      <c r="BO345" s="52"/>
      <c r="BP345" s="52"/>
      <c r="BQ345" s="54"/>
    </row>
    <row r="346" spans="1:69" ht="16" x14ac:dyDescent="0.35">
      <c r="A346"/>
      <c r="B346"/>
      <c r="D346"/>
      <c r="G346"/>
      <c r="H346" s="20"/>
      <c r="I346" s="20"/>
      <c r="J346" s="20"/>
      <c r="K346" s="20"/>
      <c r="L346" s="20"/>
      <c r="Q346" s="83"/>
      <c r="Y346" s="20"/>
      <c r="AP346" s="93"/>
      <c r="AQ346" s="31"/>
      <c r="AR346" s="31"/>
      <c r="AS346" s="94"/>
      <c r="AT346" s="31"/>
      <c r="AU346" s="31"/>
      <c r="AV346" s="73" t="s">
        <v>214</v>
      </c>
      <c r="AW346" s="32"/>
      <c r="AX346" s="32"/>
      <c r="AY346" s="32"/>
      <c r="AZ346" s="32"/>
      <c r="BA346" s="32"/>
      <c r="BB346" s="31"/>
      <c r="BC346" s="31"/>
      <c r="BD346" s="31"/>
      <c r="BE346" s="31"/>
      <c r="BF346" s="95">
        <v>0</v>
      </c>
      <c r="BG346" s="48"/>
      <c r="BH346" s="48"/>
      <c r="BI346" s="48"/>
      <c r="BJ346" s="48"/>
      <c r="BK346" s="48"/>
      <c r="BL346" s="48"/>
      <c r="BM346" s="48"/>
      <c r="BN346" s="49"/>
      <c r="BO346" s="48"/>
      <c r="BP346" s="48"/>
      <c r="BQ346" s="50"/>
    </row>
    <row r="347" spans="1:69" ht="16" x14ac:dyDescent="0.35">
      <c r="A347"/>
      <c r="B347"/>
      <c r="D347"/>
      <c r="G347"/>
      <c r="H347" s="20"/>
      <c r="I347" s="20"/>
      <c r="J347" s="20"/>
      <c r="K347" s="20"/>
      <c r="L347" s="20"/>
      <c r="Q347" s="83"/>
      <c r="Y347" s="20"/>
      <c r="AP347" s="92"/>
      <c r="AQ347" s="67"/>
      <c r="AR347" s="67"/>
      <c r="AS347" s="73"/>
      <c r="AT347" s="67"/>
      <c r="AU347" s="67"/>
      <c r="AV347" s="94" t="s">
        <v>213</v>
      </c>
      <c r="AW347" s="68"/>
      <c r="AX347" s="68"/>
      <c r="AY347" s="68"/>
      <c r="AZ347" s="68"/>
      <c r="BA347" s="68"/>
      <c r="BB347" s="67"/>
      <c r="BC347" s="67"/>
      <c r="BD347" s="67"/>
      <c r="BE347" s="67"/>
      <c r="BF347" s="96">
        <v>0</v>
      </c>
      <c r="BG347" s="52"/>
      <c r="BH347" s="52"/>
      <c r="BI347" s="52"/>
      <c r="BJ347" s="52"/>
      <c r="BK347" s="52"/>
      <c r="BL347" s="52"/>
      <c r="BM347" s="52"/>
      <c r="BN347" s="53"/>
      <c r="BO347" s="52"/>
      <c r="BP347" s="52"/>
      <c r="BQ347" s="54"/>
    </row>
    <row r="348" spans="1:69" ht="16" x14ac:dyDescent="0.35">
      <c r="A348"/>
      <c r="B348"/>
      <c r="D348"/>
      <c r="G348"/>
      <c r="H348" s="20"/>
      <c r="I348" s="20"/>
      <c r="J348" s="20"/>
      <c r="K348" s="20"/>
      <c r="L348" s="20"/>
      <c r="Q348" s="83"/>
      <c r="Y348" s="20"/>
      <c r="AP348" s="93"/>
      <c r="AQ348" s="31"/>
      <c r="AR348" s="31"/>
      <c r="AS348" s="94"/>
      <c r="AT348" s="31"/>
      <c r="AU348" s="31"/>
      <c r="AV348" s="73" t="s">
        <v>213</v>
      </c>
      <c r="AW348" s="32"/>
      <c r="AX348" s="32"/>
      <c r="AY348" s="32"/>
      <c r="AZ348" s="32"/>
      <c r="BA348" s="32"/>
      <c r="BB348" s="31"/>
      <c r="BC348" s="31"/>
      <c r="BD348" s="31"/>
      <c r="BE348" s="31"/>
      <c r="BF348" s="95">
        <v>0</v>
      </c>
      <c r="BG348" s="48"/>
      <c r="BH348" s="48"/>
      <c r="BI348" s="48"/>
      <c r="BJ348" s="48"/>
      <c r="BK348" s="48"/>
      <c r="BL348" s="48"/>
      <c r="BM348" s="48"/>
      <c r="BN348" s="49"/>
      <c r="BO348" s="48"/>
      <c r="BP348" s="48"/>
      <c r="BQ348" s="50"/>
    </row>
    <row r="349" spans="1:69" ht="16" x14ac:dyDescent="0.35">
      <c r="A349"/>
      <c r="B349"/>
      <c r="D349"/>
      <c r="G349"/>
      <c r="H349" s="20"/>
      <c r="I349" s="20"/>
      <c r="J349" s="20"/>
      <c r="K349" s="20"/>
      <c r="L349" s="20"/>
      <c r="Q349" s="83"/>
      <c r="Y349" s="20"/>
      <c r="AP349" s="92"/>
      <c r="AQ349" s="67"/>
      <c r="AR349" s="67"/>
      <c r="AS349" s="73"/>
      <c r="AT349" s="67"/>
      <c r="AU349" s="67"/>
      <c r="AV349" s="94" t="s">
        <v>212</v>
      </c>
      <c r="AW349" s="68"/>
      <c r="AX349" s="68"/>
      <c r="AY349" s="68"/>
      <c r="AZ349" s="68"/>
      <c r="BA349" s="68"/>
      <c r="BB349" s="67"/>
      <c r="BC349" s="67"/>
      <c r="BD349" s="67"/>
      <c r="BE349" s="67"/>
      <c r="BF349" s="96">
        <v>0</v>
      </c>
      <c r="BG349" s="52"/>
      <c r="BH349" s="52"/>
      <c r="BI349" s="52"/>
      <c r="BJ349" s="52"/>
      <c r="BK349" s="52"/>
      <c r="BL349" s="52"/>
      <c r="BM349" s="52"/>
      <c r="BN349" s="53"/>
      <c r="BO349" s="52"/>
      <c r="BP349" s="52"/>
      <c r="BQ349" s="54"/>
    </row>
    <row r="350" spans="1:69" ht="16" x14ac:dyDescent="0.35">
      <c r="A350"/>
      <c r="B350"/>
      <c r="D350"/>
      <c r="G350"/>
      <c r="H350" s="20"/>
      <c r="I350" s="20"/>
      <c r="J350" s="20"/>
      <c r="K350" s="20"/>
      <c r="L350" s="20"/>
      <c r="Q350" s="83"/>
      <c r="Y350" s="20"/>
      <c r="AP350" s="93"/>
      <c r="AQ350" s="31"/>
      <c r="AR350" s="31"/>
      <c r="AS350" s="94"/>
      <c r="AT350" s="31"/>
      <c r="AU350" s="31"/>
      <c r="AV350" s="73" t="s">
        <v>212</v>
      </c>
      <c r="AW350" s="32"/>
      <c r="AX350" s="32"/>
      <c r="AY350" s="32"/>
      <c r="AZ350" s="32"/>
      <c r="BA350" s="32"/>
      <c r="BB350" s="31"/>
      <c r="BC350" s="31"/>
      <c r="BD350" s="31"/>
      <c r="BE350" s="31"/>
      <c r="BF350" s="95">
        <v>0</v>
      </c>
      <c r="BG350" s="48"/>
      <c r="BH350" s="48"/>
      <c r="BI350" s="48"/>
      <c r="BJ350" s="48"/>
      <c r="BK350" s="48"/>
      <c r="BL350" s="48"/>
      <c r="BM350" s="48"/>
      <c r="BN350" s="49"/>
      <c r="BO350" s="48"/>
      <c r="BP350" s="48"/>
      <c r="BQ350" s="50"/>
    </row>
    <row r="351" spans="1:69" ht="16" x14ac:dyDescent="0.35">
      <c r="A351"/>
      <c r="B351"/>
      <c r="D351"/>
      <c r="G351"/>
      <c r="H351" s="20"/>
      <c r="I351" s="20"/>
      <c r="J351" s="20"/>
      <c r="K351" s="20"/>
      <c r="L351" s="20"/>
      <c r="Q351" s="83"/>
      <c r="Y351" s="20"/>
      <c r="AP351" s="92"/>
      <c r="AQ351" s="67"/>
      <c r="AR351" s="67"/>
      <c r="AS351" s="73"/>
      <c r="AT351" s="67"/>
      <c r="AU351" s="67"/>
      <c r="AV351" s="94" t="s">
        <v>212</v>
      </c>
      <c r="AW351" s="68"/>
      <c r="AX351" s="68"/>
      <c r="AY351" s="68"/>
      <c r="AZ351" s="68"/>
      <c r="BA351" s="68"/>
      <c r="BB351" s="67"/>
      <c r="BC351" s="67"/>
      <c r="BD351" s="67"/>
      <c r="BE351" s="67"/>
      <c r="BF351" s="96">
        <v>0</v>
      </c>
      <c r="BG351" s="52"/>
      <c r="BH351" s="52"/>
      <c r="BI351" s="52"/>
      <c r="BJ351" s="52"/>
      <c r="BK351" s="52"/>
      <c r="BL351" s="52"/>
      <c r="BM351" s="52"/>
      <c r="BN351" s="53"/>
      <c r="BO351" s="52"/>
      <c r="BP351" s="52"/>
      <c r="BQ351" s="54"/>
    </row>
    <row r="352" spans="1:69" ht="16" x14ac:dyDescent="0.35">
      <c r="A352"/>
      <c r="B352"/>
      <c r="D352"/>
      <c r="G352"/>
      <c r="H352" s="20"/>
      <c r="I352" s="20"/>
      <c r="J352" s="20"/>
      <c r="K352" s="20"/>
      <c r="L352" s="20"/>
      <c r="Q352" s="83"/>
      <c r="Y352" s="20"/>
      <c r="AP352" s="93"/>
      <c r="AQ352" s="31"/>
      <c r="AR352" s="31"/>
      <c r="AS352" s="94"/>
      <c r="AT352" s="31"/>
      <c r="AU352" s="31"/>
      <c r="AV352" s="73" t="s">
        <v>212</v>
      </c>
      <c r="AW352" s="32"/>
      <c r="AX352" s="32"/>
      <c r="AY352" s="32"/>
      <c r="AZ352" s="32"/>
      <c r="BA352" s="32"/>
      <c r="BB352" s="31"/>
      <c r="BC352" s="31"/>
      <c r="BD352" s="31"/>
      <c r="BE352" s="31"/>
      <c r="BF352" s="95">
        <v>0</v>
      </c>
      <c r="BG352" s="48"/>
      <c r="BH352" s="48"/>
      <c r="BI352" s="48"/>
      <c r="BJ352" s="48"/>
      <c r="BK352" s="48"/>
      <c r="BL352" s="48"/>
      <c r="BM352" s="48"/>
      <c r="BN352" s="49"/>
      <c r="BO352" s="48"/>
      <c r="BP352" s="48"/>
      <c r="BQ352" s="50"/>
    </row>
    <row r="353" spans="1:69" ht="16" x14ac:dyDescent="0.35">
      <c r="A353"/>
      <c r="B353"/>
      <c r="D353"/>
      <c r="G353"/>
      <c r="H353" s="20"/>
      <c r="I353" s="20"/>
      <c r="J353" s="20"/>
      <c r="K353" s="20"/>
      <c r="L353" s="20"/>
      <c r="Q353" s="83"/>
      <c r="Y353" s="20"/>
      <c r="AP353" s="92"/>
      <c r="AQ353" s="67"/>
      <c r="AR353" s="67"/>
      <c r="AS353" s="73"/>
      <c r="AT353" s="67"/>
      <c r="AU353" s="67"/>
      <c r="AV353" s="94" t="s">
        <v>212</v>
      </c>
      <c r="AW353" s="68"/>
      <c r="AX353" s="68"/>
      <c r="AY353" s="68"/>
      <c r="AZ353" s="68"/>
      <c r="BA353" s="68"/>
      <c r="BB353" s="67"/>
      <c r="BC353" s="67"/>
      <c r="BD353" s="67"/>
      <c r="BE353" s="67"/>
      <c r="BF353" s="96">
        <v>0</v>
      </c>
      <c r="BG353" s="52"/>
      <c r="BH353" s="52"/>
      <c r="BI353" s="52"/>
      <c r="BJ353" s="52"/>
      <c r="BK353" s="52"/>
      <c r="BL353" s="52"/>
      <c r="BM353" s="52"/>
      <c r="BN353" s="53"/>
      <c r="BO353" s="52"/>
      <c r="BP353" s="52"/>
      <c r="BQ353" s="54"/>
    </row>
    <row r="354" spans="1:69" ht="16" x14ac:dyDescent="0.35">
      <c r="A354"/>
      <c r="B354"/>
      <c r="D354"/>
      <c r="G354"/>
      <c r="H354" s="20"/>
      <c r="I354" s="20"/>
      <c r="J354" s="20"/>
      <c r="K354" s="20"/>
      <c r="L354" s="20"/>
      <c r="Q354" s="83"/>
      <c r="Y354" s="20"/>
      <c r="AP354" s="93"/>
      <c r="AQ354" s="31"/>
      <c r="AR354" s="31"/>
      <c r="AS354" s="94"/>
      <c r="AT354" s="31"/>
      <c r="AU354" s="31"/>
      <c r="AV354" s="73" t="s">
        <v>213</v>
      </c>
      <c r="AW354" s="32"/>
      <c r="AX354" s="32"/>
      <c r="AY354" s="32"/>
      <c r="AZ354" s="32"/>
      <c r="BA354" s="32"/>
      <c r="BB354" s="31"/>
      <c r="BC354" s="31"/>
      <c r="BD354" s="31"/>
      <c r="BE354" s="31"/>
      <c r="BF354" s="95">
        <v>0</v>
      </c>
      <c r="BG354" s="48"/>
      <c r="BH354" s="48"/>
      <c r="BI354" s="48"/>
      <c r="BJ354" s="48"/>
      <c r="BK354" s="48"/>
      <c r="BL354" s="48"/>
      <c r="BM354" s="48"/>
      <c r="BN354" s="49"/>
      <c r="BO354" s="48"/>
      <c r="BP354" s="48"/>
      <c r="BQ354" s="50"/>
    </row>
    <row r="355" spans="1:69" ht="16" x14ac:dyDescent="0.35">
      <c r="A355"/>
      <c r="B355"/>
      <c r="D355"/>
      <c r="G355"/>
      <c r="H355" s="20"/>
      <c r="I355" s="20"/>
      <c r="J355" s="20"/>
      <c r="K355" s="20"/>
      <c r="L355" s="20"/>
      <c r="Q355" s="83"/>
      <c r="Y355" s="20"/>
      <c r="AP355" s="92"/>
      <c r="AQ355" s="67"/>
      <c r="AR355" s="67"/>
      <c r="AS355" s="73"/>
      <c r="AT355" s="67"/>
      <c r="AU355" s="67"/>
      <c r="AV355" s="94" t="s">
        <v>213</v>
      </c>
      <c r="AW355" s="68"/>
      <c r="AX355" s="68"/>
      <c r="AY355" s="68"/>
      <c r="AZ355" s="68"/>
      <c r="BA355" s="68"/>
      <c r="BB355" s="67"/>
      <c r="BC355" s="67"/>
      <c r="BD355" s="67"/>
      <c r="BE355" s="67"/>
      <c r="BF355" s="96">
        <v>0</v>
      </c>
      <c r="BG355" s="52"/>
      <c r="BH355" s="52"/>
      <c r="BI355" s="52"/>
      <c r="BJ355" s="52"/>
      <c r="BK355" s="52"/>
      <c r="BL355" s="52"/>
      <c r="BM355" s="52"/>
      <c r="BN355" s="53"/>
      <c r="BO355" s="52"/>
      <c r="BP355" s="52"/>
      <c r="BQ355" s="54"/>
    </row>
    <row r="356" spans="1:69" ht="16" x14ac:dyDescent="0.35">
      <c r="A356"/>
      <c r="B356"/>
      <c r="D356"/>
      <c r="G356"/>
      <c r="H356" s="20"/>
      <c r="I356" s="20"/>
      <c r="J356" s="20"/>
      <c r="K356" s="20"/>
      <c r="L356" s="20"/>
      <c r="Q356" s="83"/>
      <c r="Y356" s="20"/>
      <c r="AP356" s="93"/>
      <c r="AQ356" s="31"/>
      <c r="AR356" s="31"/>
      <c r="AS356" s="94"/>
      <c r="AT356" s="31"/>
      <c r="AU356" s="31"/>
      <c r="AV356" s="73" t="s">
        <v>213</v>
      </c>
      <c r="AW356" s="32"/>
      <c r="AX356" s="32"/>
      <c r="AY356" s="32"/>
      <c r="AZ356" s="32"/>
      <c r="BA356" s="32"/>
      <c r="BB356" s="31"/>
      <c r="BC356" s="31"/>
      <c r="BD356" s="31"/>
      <c r="BE356" s="31"/>
      <c r="BF356" s="95">
        <v>0</v>
      </c>
      <c r="BG356" s="48"/>
      <c r="BH356" s="48"/>
      <c r="BI356" s="48"/>
      <c r="BJ356" s="48"/>
      <c r="BK356" s="48"/>
      <c r="BL356" s="48"/>
      <c r="BM356" s="48"/>
      <c r="BN356" s="49"/>
      <c r="BO356" s="48"/>
      <c r="BP356" s="48"/>
      <c r="BQ356" s="50"/>
    </row>
    <row r="357" spans="1:69" ht="16" x14ac:dyDescent="0.35">
      <c r="A357"/>
      <c r="B357"/>
      <c r="D357"/>
      <c r="G357"/>
      <c r="H357" s="20"/>
      <c r="I357" s="20"/>
      <c r="J357" s="20"/>
      <c r="K357" s="20"/>
      <c r="L357" s="20"/>
      <c r="Q357" s="83"/>
      <c r="Y357" s="20"/>
      <c r="AP357" s="92"/>
      <c r="AQ357" s="67"/>
      <c r="AR357" s="67"/>
      <c r="AS357" s="73"/>
      <c r="AT357" s="67"/>
      <c r="AU357" s="67"/>
      <c r="AV357" s="94" t="s">
        <v>213</v>
      </c>
      <c r="AW357" s="68"/>
      <c r="AX357" s="68"/>
      <c r="AY357" s="68"/>
      <c r="AZ357" s="68"/>
      <c r="BA357" s="68"/>
      <c r="BB357" s="67"/>
      <c r="BC357" s="67"/>
      <c r="BD357" s="67"/>
      <c r="BE357" s="67"/>
      <c r="BF357" s="96">
        <v>0</v>
      </c>
      <c r="BG357" s="52"/>
      <c r="BH357" s="52"/>
      <c r="BI357" s="52"/>
      <c r="BJ357" s="52"/>
      <c r="BK357" s="52"/>
      <c r="BL357" s="52"/>
      <c r="BM357" s="52"/>
      <c r="BN357" s="53"/>
      <c r="BO357" s="52"/>
      <c r="BP357" s="52"/>
      <c r="BQ357" s="54"/>
    </row>
    <row r="358" spans="1:69" ht="16" x14ac:dyDescent="0.35">
      <c r="A358"/>
      <c r="B358"/>
      <c r="D358"/>
      <c r="G358"/>
      <c r="H358" s="20"/>
      <c r="I358" s="20"/>
      <c r="J358" s="20"/>
      <c r="K358" s="20"/>
      <c r="L358" s="20"/>
      <c r="Q358" s="83"/>
      <c r="Y358" s="20"/>
      <c r="AP358" s="93"/>
      <c r="AQ358" s="31"/>
      <c r="AR358" s="31"/>
      <c r="AS358" s="94"/>
      <c r="AT358" s="31"/>
      <c r="AU358" s="31"/>
      <c r="AV358" s="73" t="s">
        <v>213</v>
      </c>
      <c r="AW358" s="32"/>
      <c r="AX358" s="32"/>
      <c r="AY358" s="32"/>
      <c r="AZ358" s="32"/>
      <c r="BA358" s="32"/>
      <c r="BB358" s="31"/>
      <c r="BC358" s="31"/>
      <c r="BD358" s="31"/>
      <c r="BE358" s="31"/>
      <c r="BF358" s="95">
        <v>0</v>
      </c>
      <c r="BG358" s="48"/>
      <c r="BH358" s="48"/>
      <c r="BI358" s="48"/>
      <c r="BJ358" s="48"/>
      <c r="BK358" s="48"/>
      <c r="BL358" s="48"/>
      <c r="BM358" s="48"/>
      <c r="BN358" s="49"/>
      <c r="BO358" s="48"/>
      <c r="BP358" s="48"/>
      <c r="BQ358" s="50"/>
    </row>
    <row r="359" spans="1:69" ht="16" x14ac:dyDescent="0.35">
      <c r="A359"/>
      <c r="B359"/>
      <c r="D359"/>
      <c r="G359"/>
      <c r="H359" s="20"/>
      <c r="I359" s="20"/>
      <c r="J359" s="20"/>
      <c r="K359" s="20"/>
      <c r="L359" s="20"/>
      <c r="Q359" s="83"/>
      <c r="Y359" s="20"/>
      <c r="AP359" s="92"/>
      <c r="AQ359" s="67"/>
      <c r="AR359" s="67"/>
      <c r="AS359" s="73"/>
      <c r="AT359" s="67"/>
      <c r="AU359" s="67"/>
      <c r="AV359" s="94" t="s">
        <v>213</v>
      </c>
      <c r="AW359" s="68"/>
      <c r="AX359" s="68"/>
      <c r="AY359" s="68"/>
      <c r="AZ359" s="68"/>
      <c r="BA359" s="68"/>
      <c r="BB359" s="67"/>
      <c r="BC359" s="67"/>
      <c r="BD359" s="67"/>
      <c r="BE359" s="67"/>
      <c r="BF359" s="96">
        <v>0</v>
      </c>
      <c r="BG359" s="52"/>
      <c r="BH359" s="52"/>
      <c r="BI359" s="52"/>
      <c r="BJ359" s="52"/>
      <c r="BK359" s="52"/>
      <c r="BL359" s="52"/>
      <c r="BM359" s="52"/>
      <c r="BN359" s="53"/>
      <c r="BO359" s="52"/>
      <c r="BP359" s="52"/>
      <c r="BQ359" s="54"/>
    </row>
    <row r="360" spans="1:69" ht="16" x14ac:dyDescent="0.35">
      <c r="A360"/>
      <c r="B360"/>
      <c r="D360"/>
      <c r="G360"/>
      <c r="H360" s="20"/>
      <c r="I360" s="20"/>
      <c r="J360" s="20"/>
      <c r="K360" s="20"/>
      <c r="L360" s="20"/>
      <c r="Q360" s="83"/>
      <c r="Y360" s="20"/>
      <c r="AP360" s="93"/>
      <c r="AQ360" s="31"/>
      <c r="AR360" s="31"/>
      <c r="AS360" s="94"/>
      <c r="AT360" s="31"/>
      <c r="AU360" s="31"/>
      <c r="AV360" s="73" t="s">
        <v>213</v>
      </c>
      <c r="AW360" s="32"/>
      <c r="AX360" s="32"/>
      <c r="AY360" s="32"/>
      <c r="AZ360" s="32"/>
      <c r="BA360" s="32"/>
      <c r="BB360" s="31"/>
      <c r="BC360" s="31"/>
      <c r="BD360" s="31"/>
      <c r="BE360" s="31"/>
      <c r="BF360" s="95">
        <v>0</v>
      </c>
      <c r="BG360" s="48"/>
      <c r="BH360" s="48"/>
      <c r="BI360" s="48"/>
      <c r="BJ360" s="48"/>
      <c r="BK360" s="48"/>
      <c r="BL360" s="48"/>
      <c r="BM360" s="48"/>
      <c r="BN360" s="49"/>
      <c r="BO360" s="48"/>
      <c r="BP360" s="48"/>
      <c r="BQ360" s="50"/>
    </row>
    <row r="361" spans="1:69" ht="16" x14ac:dyDescent="0.35">
      <c r="A361"/>
      <c r="B361"/>
      <c r="D361"/>
      <c r="G361"/>
      <c r="H361" s="20"/>
      <c r="I361" s="20"/>
      <c r="J361" s="20"/>
      <c r="K361" s="20"/>
      <c r="L361" s="20"/>
      <c r="Q361" s="83"/>
      <c r="Y361" s="20"/>
      <c r="AP361" s="92"/>
      <c r="AQ361" s="67"/>
      <c r="AR361" s="67"/>
      <c r="AS361" s="73"/>
      <c r="AT361" s="67"/>
      <c r="AU361" s="67"/>
      <c r="AV361" s="94" t="s">
        <v>213</v>
      </c>
      <c r="AW361" s="68"/>
      <c r="AX361" s="68"/>
      <c r="AY361" s="68"/>
      <c r="AZ361" s="68"/>
      <c r="BA361" s="68"/>
      <c r="BB361" s="67"/>
      <c r="BC361" s="67"/>
      <c r="BD361" s="67"/>
      <c r="BE361" s="67"/>
      <c r="BF361" s="96">
        <v>0</v>
      </c>
      <c r="BG361" s="52"/>
      <c r="BH361" s="52"/>
      <c r="BI361" s="52"/>
      <c r="BJ361" s="52"/>
      <c r="BK361" s="52"/>
      <c r="BL361" s="52"/>
      <c r="BM361" s="52"/>
      <c r="BN361" s="53"/>
      <c r="BO361" s="52"/>
      <c r="BP361" s="52"/>
      <c r="BQ361" s="54"/>
    </row>
    <row r="362" spans="1:69" ht="16" x14ac:dyDescent="0.35">
      <c r="A362"/>
      <c r="B362"/>
      <c r="D362"/>
      <c r="G362"/>
      <c r="H362" s="20"/>
      <c r="I362" s="20"/>
      <c r="J362" s="20"/>
      <c r="K362" s="20"/>
      <c r="L362" s="20"/>
      <c r="Q362" s="83"/>
      <c r="Y362" s="20"/>
      <c r="AP362" s="93"/>
      <c r="AQ362" s="31"/>
      <c r="AR362" s="31"/>
      <c r="AS362" s="94"/>
      <c r="AT362" s="31"/>
      <c r="AU362" s="31"/>
      <c r="AV362" s="73" t="s">
        <v>214</v>
      </c>
      <c r="AW362" s="32"/>
      <c r="AX362" s="32"/>
      <c r="AY362" s="32"/>
      <c r="AZ362" s="32"/>
      <c r="BA362" s="32"/>
      <c r="BB362" s="31"/>
      <c r="BC362" s="31"/>
      <c r="BD362" s="31"/>
      <c r="BE362" s="31"/>
      <c r="BF362" s="95">
        <v>0</v>
      </c>
      <c r="BG362" s="48"/>
      <c r="BH362" s="48"/>
      <c r="BI362" s="48"/>
      <c r="BJ362" s="48"/>
      <c r="BK362" s="48"/>
      <c r="BL362" s="48"/>
      <c r="BM362" s="48"/>
      <c r="BN362" s="49"/>
      <c r="BO362" s="48"/>
      <c r="BP362" s="48"/>
      <c r="BQ362" s="50"/>
    </row>
    <row r="363" spans="1:69" ht="16" x14ac:dyDescent="0.35">
      <c r="A363"/>
      <c r="B363"/>
      <c r="D363"/>
      <c r="G363"/>
      <c r="H363" s="20"/>
      <c r="I363" s="20"/>
      <c r="J363" s="20"/>
      <c r="K363" s="20"/>
      <c r="L363" s="20"/>
      <c r="Q363" s="83"/>
      <c r="Y363" s="20"/>
      <c r="AP363" s="92"/>
      <c r="AQ363" s="67"/>
      <c r="AR363" s="67"/>
      <c r="AS363" s="73"/>
      <c r="AT363" s="67"/>
      <c r="AU363" s="67"/>
      <c r="AV363" s="94" t="s">
        <v>214</v>
      </c>
      <c r="AW363" s="68"/>
      <c r="AX363" s="68"/>
      <c r="AY363" s="68"/>
      <c r="AZ363" s="68"/>
      <c r="BA363" s="68"/>
      <c r="BB363" s="67"/>
      <c r="BC363" s="67"/>
      <c r="BD363" s="67"/>
      <c r="BE363" s="67"/>
      <c r="BF363" s="96">
        <v>0</v>
      </c>
      <c r="BG363" s="52"/>
      <c r="BH363" s="52"/>
      <c r="BI363" s="52"/>
      <c r="BJ363" s="52"/>
      <c r="BK363" s="52"/>
      <c r="BL363" s="52"/>
      <c r="BM363" s="52"/>
      <c r="BN363" s="53"/>
      <c r="BO363" s="52"/>
      <c r="BP363" s="52"/>
      <c r="BQ363" s="54"/>
    </row>
    <row r="364" spans="1:69" ht="16" x14ac:dyDescent="0.35">
      <c r="A364"/>
      <c r="B364"/>
      <c r="D364"/>
      <c r="G364"/>
      <c r="H364" s="20"/>
      <c r="I364" s="20"/>
      <c r="J364" s="20"/>
      <c r="K364" s="20"/>
      <c r="L364" s="20"/>
      <c r="Q364" s="83"/>
      <c r="Y364" s="20"/>
      <c r="AP364" s="93"/>
      <c r="AQ364" s="31"/>
      <c r="AR364" s="31"/>
      <c r="AS364" s="94"/>
      <c r="AT364" s="31"/>
      <c r="AU364" s="31"/>
      <c r="AV364" s="73" t="s">
        <v>214</v>
      </c>
      <c r="AW364" s="32"/>
      <c r="AX364" s="32"/>
      <c r="AY364" s="32"/>
      <c r="AZ364" s="32"/>
      <c r="BA364" s="32"/>
      <c r="BB364" s="31"/>
      <c r="BC364" s="31"/>
      <c r="BD364" s="31"/>
      <c r="BE364" s="31"/>
      <c r="BF364" s="95">
        <v>0</v>
      </c>
      <c r="BG364" s="48"/>
      <c r="BH364" s="48"/>
      <c r="BI364" s="48"/>
      <c r="BJ364" s="48"/>
      <c r="BK364" s="48"/>
      <c r="BL364" s="48"/>
      <c r="BM364" s="48"/>
      <c r="BN364" s="49"/>
      <c r="BO364" s="48"/>
      <c r="BP364" s="48"/>
      <c r="BQ364" s="50"/>
    </row>
    <row r="365" spans="1:69" ht="16" x14ac:dyDescent="0.35">
      <c r="A365"/>
      <c r="B365"/>
      <c r="D365"/>
      <c r="G365"/>
      <c r="H365" s="20"/>
      <c r="I365" s="20"/>
      <c r="J365" s="20"/>
      <c r="K365" s="20"/>
      <c r="L365" s="20"/>
      <c r="Q365" s="83"/>
      <c r="Y365" s="20"/>
      <c r="AP365" s="92"/>
      <c r="AQ365" s="67"/>
      <c r="AR365" s="67"/>
      <c r="AS365" s="73"/>
      <c r="AT365" s="67"/>
      <c r="AU365" s="67"/>
      <c r="AV365" s="94" t="s">
        <v>214</v>
      </c>
      <c r="AW365" s="68"/>
      <c r="AX365" s="68"/>
      <c r="AY365" s="68"/>
      <c r="AZ365" s="68"/>
      <c r="BA365" s="68"/>
      <c r="BB365" s="67"/>
      <c r="BC365" s="67"/>
      <c r="BD365" s="67"/>
      <c r="BE365" s="67"/>
      <c r="BF365" s="96">
        <v>0</v>
      </c>
      <c r="BG365" s="52"/>
      <c r="BH365" s="52"/>
      <c r="BI365" s="52"/>
      <c r="BJ365" s="52"/>
      <c r="BK365" s="52"/>
      <c r="BL365" s="52"/>
      <c r="BM365" s="52"/>
      <c r="BN365" s="53"/>
      <c r="BO365" s="52"/>
      <c r="BP365" s="52"/>
      <c r="BQ365" s="54"/>
    </row>
    <row r="366" spans="1:69" ht="16" x14ac:dyDescent="0.35">
      <c r="A366"/>
      <c r="B366"/>
      <c r="D366"/>
      <c r="G366"/>
      <c r="H366" s="20"/>
      <c r="I366" s="20"/>
      <c r="J366" s="20"/>
      <c r="K366" s="20"/>
      <c r="L366" s="20"/>
      <c r="Q366" s="83"/>
      <c r="Y366" s="20"/>
      <c r="AP366" s="93"/>
      <c r="AQ366" s="31"/>
      <c r="AR366" s="31"/>
      <c r="AS366" s="94"/>
      <c r="AT366" s="31"/>
      <c r="AU366" s="31"/>
      <c r="AV366" s="73" t="s">
        <v>214</v>
      </c>
      <c r="AW366" s="32"/>
      <c r="AX366" s="32"/>
      <c r="AY366" s="32"/>
      <c r="AZ366" s="32"/>
      <c r="BA366" s="32"/>
      <c r="BB366" s="31"/>
      <c r="BC366" s="31"/>
      <c r="BD366" s="31"/>
      <c r="BE366" s="31"/>
      <c r="BF366" s="95">
        <v>0</v>
      </c>
      <c r="BG366" s="48"/>
      <c r="BH366" s="48"/>
      <c r="BI366" s="48"/>
      <c r="BJ366" s="48"/>
      <c r="BK366" s="48"/>
      <c r="BL366" s="48"/>
      <c r="BM366" s="48"/>
      <c r="BN366" s="49"/>
      <c r="BO366" s="48"/>
      <c r="BP366" s="48"/>
      <c r="BQ366" s="50"/>
    </row>
    <row r="367" spans="1:69" ht="16" x14ac:dyDescent="0.35">
      <c r="A367"/>
      <c r="B367"/>
      <c r="D367"/>
      <c r="G367"/>
      <c r="H367" s="20"/>
      <c r="I367" s="20"/>
      <c r="J367" s="20"/>
      <c r="K367" s="20"/>
      <c r="L367" s="20"/>
      <c r="Q367" s="83"/>
      <c r="Y367" s="20"/>
      <c r="AP367" s="92"/>
      <c r="AQ367" s="67"/>
      <c r="AR367" s="67"/>
      <c r="AS367" s="73"/>
      <c r="AT367" s="67"/>
      <c r="AU367" s="67"/>
      <c r="AV367" s="94" t="s">
        <v>214</v>
      </c>
      <c r="AW367" s="68"/>
      <c r="AX367" s="68"/>
      <c r="AY367" s="68"/>
      <c r="AZ367" s="68"/>
      <c r="BA367" s="68"/>
      <c r="BB367" s="67"/>
      <c r="BC367" s="67"/>
      <c r="BD367" s="67"/>
      <c r="BE367" s="67"/>
      <c r="BF367" s="96">
        <v>0</v>
      </c>
      <c r="BG367" s="52"/>
      <c r="BH367" s="52"/>
      <c r="BI367" s="52"/>
      <c r="BJ367" s="52"/>
      <c r="BK367" s="52"/>
      <c r="BL367" s="52"/>
      <c r="BM367" s="52"/>
      <c r="BN367" s="53"/>
      <c r="BO367" s="52"/>
      <c r="BP367" s="52"/>
      <c r="BQ367" s="54"/>
    </row>
    <row r="368" spans="1:69" ht="16" x14ac:dyDescent="0.35">
      <c r="A368"/>
      <c r="B368"/>
      <c r="D368"/>
      <c r="G368"/>
      <c r="H368" s="20"/>
      <c r="I368" s="20"/>
      <c r="J368" s="20"/>
      <c r="K368" s="20"/>
      <c r="L368" s="20"/>
      <c r="Q368" s="83"/>
      <c r="Y368" s="20"/>
      <c r="AP368" s="93"/>
      <c r="AQ368" s="31"/>
      <c r="AR368" s="31"/>
      <c r="AS368" s="94"/>
      <c r="AT368" s="31"/>
      <c r="AU368" s="31"/>
      <c r="AV368" s="73" t="s">
        <v>214</v>
      </c>
      <c r="AW368" s="32"/>
      <c r="AX368" s="32"/>
      <c r="AY368" s="32"/>
      <c r="AZ368" s="32"/>
      <c r="BA368" s="32"/>
      <c r="BB368" s="31"/>
      <c r="BC368" s="31"/>
      <c r="BD368" s="31"/>
      <c r="BE368" s="31"/>
      <c r="BF368" s="95">
        <v>0</v>
      </c>
      <c r="BG368" s="48"/>
      <c r="BH368" s="48"/>
      <c r="BI368" s="48"/>
      <c r="BJ368" s="48"/>
      <c r="BK368" s="48"/>
      <c r="BL368" s="48"/>
      <c r="BM368" s="48"/>
      <c r="BN368" s="49"/>
      <c r="BO368" s="48"/>
      <c r="BP368" s="48"/>
      <c r="BQ368" s="50"/>
    </row>
    <row r="369" spans="1:69" ht="16" x14ac:dyDescent="0.35">
      <c r="A369"/>
      <c r="B369"/>
      <c r="D369"/>
      <c r="G369"/>
      <c r="H369" s="20"/>
      <c r="I369" s="20"/>
      <c r="J369" s="20"/>
      <c r="K369" s="20"/>
      <c r="L369" s="20"/>
      <c r="Q369" s="83"/>
      <c r="Y369" s="20"/>
      <c r="AP369" s="92"/>
      <c r="AQ369" s="67"/>
      <c r="AR369" s="67"/>
      <c r="AS369" s="73"/>
      <c r="AT369" s="67"/>
      <c r="AU369" s="67"/>
      <c r="AV369" s="94" t="s">
        <v>214</v>
      </c>
      <c r="AW369" s="68"/>
      <c r="AX369" s="68"/>
      <c r="AY369" s="68"/>
      <c r="AZ369" s="68"/>
      <c r="BA369" s="68"/>
      <c r="BB369" s="67"/>
      <c r="BC369" s="67"/>
      <c r="BD369" s="67"/>
      <c r="BE369" s="67"/>
      <c r="BF369" s="96">
        <v>0</v>
      </c>
      <c r="BG369" s="52"/>
      <c r="BH369" s="52"/>
      <c r="BI369" s="52"/>
      <c r="BJ369" s="52"/>
      <c r="BK369" s="52"/>
      <c r="BL369" s="52"/>
      <c r="BM369" s="52"/>
      <c r="BN369" s="53"/>
      <c r="BO369" s="52"/>
      <c r="BP369" s="52"/>
      <c r="BQ369" s="54"/>
    </row>
    <row r="370" spans="1:69" ht="16" x14ac:dyDescent="0.35">
      <c r="A370"/>
      <c r="B370"/>
      <c r="D370"/>
      <c r="G370"/>
      <c r="H370" s="20"/>
      <c r="I370" s="20"/>
      <c r="J370" s="20"/>
      <c r="K370" s="20"/>
      <c r="L370" s="20"/>
      <c r="Q370" s="83"/>
      <c r="Y370" s="20"/>
      <c r="AP370" s="93"/>
      <c r="AQ370" s="31"/>
      <c r="AR370" s="31"/>
      <c r="AS370" s="94"/>
      <c r="AT370" s="31"/>
      <c r="AU370" s="31"/>
      <c r="AV370" s="73" t="s">
        <v>214</v>
      </c>
      <c r="AW370" s="32"/>
      <c r="AX370" s="32"/>
      <c r="AY370" s="32"/>
      <c r="AZ370" s="32"/>
      <c r="BA370" s="32"/>
      <c r="BB370" s="31"/>
      <c r="BC370" s="31"/>
      <c r="BD370" s="31"/>
      <c r="BE370" s="31"/>
      <c r="BF370" s="95">
        <v>0</v>
      </c>
      <c r="BG370" s="48"/>
      <c r="BH370" s="48"/>
      <c r="BI370" s="48"/>
      <c r="BJ370" s="48"/>
      <c r="BK370" s="48"/>
      <c r="BL370" s="48"/>
      <c r="BM370" s="48"/>
      <c r="BN370" s="49"/>
      <c r="BO370" s="48"/>
      <c r="BP370" s="48"/>
      <c r="BQ370" s="50"/>
    </row>
    <row r="371" spans="1:69" ht="16" x14ac:dyDescent="0.35">
      <c r="A371"/>
      <c r="B371"/>
      <c r="D371"/>
      <c r="G371"/>
      <c r="H371" s="20"/>
      <c r="I371" s="20"/>
      <c r="J371" s="20"/>
      <c r="K371" s="20"/>
      <c r="L371" s="20"/>
      <c r="Q371" s="83"/>
      <c r="Y371" s="20"/>
      <c r="AP371" s="92"/>
      <c r="AQ371" s="67"/>
      <c r="AR371" s="67"/>
      <c r="AS371" s="73"/>
      <c r="AT371" s="67"/>
      <c r="AU371" s="67"/>
      <c r="AV371" s="94" t="s">
        <v>214</v>
      </c>
      <c r="AW371" s="68"/>
      <c r="AX371" s="68"/>
      <c r="AY371" s="68"/>
      <c r="AZ371" s="68"/>
      <c r="BA371" s="68"/>
      <c r="BB371" s="67"/>
      <c r="BC371" s="67"/>
      <c r="BD371" s="67"/>
      <c r="BE371" s="67"/>
      <c r="BF371" s="96">
        <v>0</v>
      </c>
      <c r="BG371" s="52"/>
      <c r="BH371" s="52"/>
      <c r="BI371" s="52"/>
      <c r="BJ371" s="52"/>
      <c r="BK371" s="52"/>
      <c r="BL371" s="52"/>
      <c r="BM371" s="52"/>
      <c r="BN371" s="53"/>
      <c r="BO371" s="52"/>
      <c r="BP371" s="52"/>
      <c r="BQ371" s="54"/>
    </row>
    <row r="372" spans="1:69" ht="16" x14ac:dyDescent="0.35">
      <c r="A372"/>
      <c r="B372"/>
      <c r="D372"/>
      <c r="G372"/>
      <c r="H372" s="20"/>
      <c r="I372" s="20"/>
      <c r="J372" s="20"/>
      <c r="K372" s="20"/>
      <c r="L372" s="20"/>
      <c r="Q372" s="83"/>
      <c r="Y372" s="20"/>
      <c r="AP372" s="93"/>
      <c r="AQ372" s="31"/>
      <c r="AR372" s="31"/>
      <c r="AS372" s="94"/>
      <c r="AT372" s="31"/>
      <c r="AU372" s="31"/>
      <c r="AV372" s="73" t="s">
        <v>214</v>
      </c>
      <c r="AW372" s="32"/>
      <c r="AX372" s="32"/>
      <c r="AY372" s="32"/>
      <c r="AZ372" s="32"/>
      <c r="BA372" s="32"/>
      <c r="BB372" s="31"/>
      <c r="BC372" s="31"/>
      <c r="BD372" s="31"/>
      <c r="BE372" s="31"/>
      <c r="BF372" s="95">
        <v>0</v>
      </c>
      <c r="BG372" s="48"/>
      <c r="BH372" s="48"/>
      <c r="BI372" s="48"/>
      <c r="BJ372" s="48"/>
      <c r="BK372" s="48"/>
      <c r="BL372" s="48"/>
      <c r="BM372" s="48"/>
      <c r="BN372" s="49"/>
      <c r="BO372" s="48"/>
      <c r="BP372" s="48"/>
      <c r="BQ372" s="50"/>
    </row>
    <row r="373" spans="1:69" ht="16" x14ac:dyDescent="0.35">
      <c r="A373"/>
      <c r="B373"/>
      <c r="D373"/>
      <c r="G373"/>
      <c r="H373" s="20"/>
      <c r="I373" s="20"/>
      <c r="J373" s="20"/>
      <c r="K373" s="20"/>
      <c r="L373" s="20"/>
      <c r="Q373" s="83"/>
      <c r="Y373" s="20"/>
      <c r="AP373" s="92"/>
      <c r="AQ373" s="67"/>
      <c r="AR373" s="67"/>
      <c r="AS373" s="73"/>
      <c r="AT373" s="67"/>
      <c r="AU373" s="67"/>
      <c r="AV373" s="94" t="s">
        <v>214</v>
      </c>
      <c r="AW373" s="68"/>
      <c r="AX373" s="68"/>
      <c r="AY373" s="68"/>
      <c r="AZ373" s="68"/>
      <c r="BA373" s="68"/>
      <c r="BB373" s="67"/>
      <c r="BC373" s="67"/>
      <c r="BD373" s="67"/>
      <c r="BE373" s="67"/>
      <c r="BF373" s="96">
        <v>0</v>
      </c>
      <c r="BG373" s="52"/>
      <c r="BH373" s="52"/>
      <c r="BI373" s="52"/>
      <c r="BJ373" s="52"/>
      <c r="BK373" s="52"/>
      <c r="BL373" s="52"/>
      <c r="BM373" s="52"/>
      <c r="BN373" s="53"/>
      <c r="BO373" s="52"/>
      <c r="BP373" s="52"/>
      <c r="BQ373" s="54"/>
    </row>
    <row r="374" spans="1:69" ht="16" x14ac:dyDescent="0.35">
      <c r="A374"/>
      <c r="B374"/>
      <c r="D374"/>
      <c r="G374"/>
      <c r="H374" s="20"/>
      <c r="I374" s="20"/>
      <c r="J374" s="20"/>
      <c r="K374" s="20"/>
      <c r="L374" s="20"/>
      <c r="Q374" s="83"/>
      <c r="Y374" s="20"/>
      <c r="AP374" s="93"/>
      <c r="AQ374" s="31"/>
      <c r="AR374" s="31"/>
      <c r="AS374" s="94"/>
      <c r="AT374" s="31"/>
      <c r="AU374" s="31"/>
      <c r="AV374" s="73" t="s">
        <v>214</v>
      </c>
      <c r="AW374" s="32"/>
      <c r="AX374" s="32"/>
      <c r="AY374" s="32"/>
      <c r="AZ374" s="32"/>
      <c r="BA374" s="32"/>
      <c r="BB374" s="31"/>
      <c r="BC374" s="31"/>
      <c r="BD374" s="31"/>
      <c r="BE374" s="31"/>
      <c r="BF374" s="95">
        <v>0</v>
      </c>
      <c r="BG374" s="48"/>
      <c r="BH374" s="48"/>
      <c r="BI374" s="48"/>
      <c r="BJ374" s="48"/>
      <c r="BK374" s="48"/>
      <c r="BL374" s="48"/>
      <c r="BM374" s="48"/>
      <c r="BN374" s="49"/>
      <c r="BO374" s="48"/>
      <c r="BP374" s="48"/>
      <c r="BQ374" s="50"/>
    </row>
    <row r="375" spans="1:69" ht="16" x14ac:dyDescent="0.35">
      <c r="A375"/>
      <c r="B375"/>
      <c r="D375"/>
      <c r="G375"/>
      <c r="H375" s="20"/>
      <c r="I375" s="20"/>
      <c r="J375" s="20"/>
      <c r="K375" s="20"/>
      <c r="L375" s="20"/>
      <c r="Q375" s="83"/>
      <c r="Y375" s="20"/>
      <c r="AP375" s="92"/>
      <c r="AQ375" s="67"/>
      <c r="AR375" s="67"/>
      <c r="AS375" s="73"/>
      <c r="AT375" s="67"/>
      <c r="AU375" s="67"/>
      <c r="AV375" s="94" t="s">
        <v>214</v>
      </c>
      <c r="AW375" s="68"/>
      <c r="AX375" s="68"/>
      <c r="AY375" s="68"/>
      <c r="AZ375" s="68"/>
      <c r="BA375" s="68"/>
      <c r="BB375" s="67"/>
      <c r="BC375" s="67"/>
      <c r="BD375" s="67"/>
      <c r="BE375" s="67"/>
      <c r="BF375" s="96">
        <v>0</v>
      </c>
      <c r="BG375" s="52"/>
      <c r="BH375" s="52"/>
      <c r="BI375" s="52"/>
      <c r="BJ375" s="52"/>
      <c r="BK375" s="52"/>
      <c r="BL375" s="52"/>
      <c r="BM375" s="52"/>
      <c r="BN375" s="53"/>
      <c r="BO375" s="52"/>
      <c r="BP375" s="52"/>
      <c r="BQ375" s="54"/>
    </row>
    <row r="376" spans="1:69" ht="16" x14ac:dyDescent="0.35">
      <c r="A376"/>
      <c r="B376"/>
      <c r="D376"/>
      <c r="G376"/>
      <c r="H376" s="20"/>
      <c r="I376" s="20"/>
      <c r="J376" s="20"/>
      <c r="K376" s="20"/>
      <c r="L376" s="20"/>
      <c r="Q376" s="83"/>
      <c r="Y376" s="20"/>
      <c r="AP376" s="93"/>
      <c r="AQ376" s="31"/>
      <c r="AR376" s="31"/>
      <c r="AS376" s="94"/>
      <c r="AT376" s="31"/>
      <c r="AU376" s="31"/>
      <c r="AV376" s="73" t="s">
        <v>214</v>
      </c>
      <c r="AW376" s="32"/>
      <c r="AX376" s="32"/>
      <c r="AY376" s="32"/>
      <c r="AZ376" s="32"/>
      <c r="BA376" s="32"/>
      <c r="BB376" s="31"/>
      <c r="BC376" s="31"/>
      <c r="BD376" s="31"/>
      <c r="BE376" s="31"/>
      <c r="BF376" s="95">
        <v>0</v>
      </c>
      <c r="BG376" s="48"/>
      <c r="BH376" s="48"/>
      <c r="BI376" s="48"/>
      <c r="BJ376" s="48"/>
      <c r="BK376" s="48"/>
      <c r="BL376" s="48"/>
      <c r="BM376" s="48"/>
      <c r="BN376" s="49"/>
      <c r="BO376" s="48"/>
      <c r="BP376" s="48"/>
      <c r="BQ376" s="50"/>
    </row>
    <row r="377" spans="1:69" ht="16" x14ac:dyDescent="0.35">
      <c r="A377"/>
      <c r="B377"/>
      <c r="D377"/>
      <c r="G377"/>
      <c r="H377" s="20"/>
      <c r="I377" s="20"/>
      <c r="J377" s="20"/>
      <c r="K377" s="20"/>
      <c r="L377" s="20"/>
      <c r="Q377" s="83"/>
      <c r="Y377" s="20"/>
      <c r="AP377" s="92"/>
      <c r="AQ377" s="67"/>
      <c r="AR377" s="67"/>
      <c r="AS377" s="73"/>
      <c r="AT377" s="67"/>
      <c r="AU377" s="67"/>
      <c r="AV377" s="94" t="s">
        <v>214</v>
      </c>
      <c r="AW377" s="68"/>
      <c r="AX377" s="68"/>
      <c r="AY377" s="68"/>
      <c r="AZ377" s="68"/>
      <c r="BA377" s="68"/>
      <c r="BB377" s="67"/>
      <c r="BC377" s="67"/>
      <c r="BD377" s="67"/>
      <c r="BE377" s="67"/>
      <c r="BF377" s="96">
        <v>0</v>
      </c>
      <c r="BG377" s="52"/>
      <c r="BH377" s="52"/>
      <c r="BI377" s="52"/>
      <c r="BJ377" s="52"/>
      <c r="BK377" s="52"/>
      <c r="BL377" s="52"/>
      <c r="BM377" s="52"/>
      <c r="BN377" s="53"/>
      <c r="BO377" s="52"/>
      <c r="BP377" s="52"/>
      <c r="BQ377" s="54"/>
    </row>
    <row r="378" spans="1:69" ht="16" x14ac:dyDescent="0.35">
      <c r="A378"/>
      <c r="B378"/>
      <c r="D378"/>
      <c r="G378"/>
      <c r="H378" s="20"/>
      <c r="I378" s="20"/>
      <c r="J378" s="20"/>
      <c r="K378" s="20"/>
      <c r="L378" s="20"/>
      <c r="Q378" s="83"/>
      <c r="Y378" s="20"/>
      <c r="AP378" s="93"/>
      <c r="AQ378" s="31"/>
      <c r="AR378" s="31"/>
      <c r="AS378" s="94"/>
      <c r="AT378" s="31"/>
      <c r="AU378" s="31"/>
      <c r="AV378" s="73" t="s">
        <v>214</v>
      </c>
      <c r="AW378" s="32"/>
      <c r="AX378" s="32"/>
      <c r="AY378" s="32"/>
      <c r="AZ378" s="32"/>
      <c r="BA378" s="32"/>
      <c r="BB378" s="31"/>
      <c r="BC378" s="31"/>
      <c r="BD378" s="31"/>
      <c r="BE378" s="31"/>
      <c r="BF378" s="95">
        <v>0</v>
      </c>
      <c r="BG378" s="48"/>
      <c r="BH378" s="48"/>
      <c r="BI378" s="48"/>
      <c r="BJ378" s="48"/>
      <c r="BK378" s="48"/>
      <c r="BL378" s="48"/>
      <c r="BM378" s="48"/>
      <c r="BN378" s="49"/>
      <c r="BO378" s="48"/>
      <c r="BP378" s="48"/>
      <c r="BQ378" s="50"/>
    </row>
    <row r="379" spans="1:69" ht="16" x14ac:dyDescent="0.35">
      <c r="A379"/>
      <c r="B379"/>
      <c r="D379"/>
      <c r="G379"/>
      <c r="H379" s="20"/>
      <c r="I379" s="20"/>
      <c r="J379" s="20"/>
      <c r="K379" s="20"/>
      <c r="L379" s="20"/>
      <c r="Q379" s="83"/>
      <c r="Y379" s="20"/>
      <c r="AP379" s="92"/>
      <c r="AQ379" s="67"/>
      <c r="AR379" s="67"/>
      <c r="AS379" s="73"/>
      <c r="AT379" s="67"/>
      <c r="AU379" s="67"/>
      <c r="AV379" s="94" t="s">
        <v>214</v>
      </c>
      <c r="AW379" s="68"/>
      <c r="AX379" s="68"/>
      <c r="AY379" s="68"/>
      <c r="AZ379" s="68"/>
      <c r="BA379" s="68"/>
      <c r="BB379" s="67"/>
      <c r="BC379" s="67"/>
      <c r="BD379" s="67"/>
      <c r="BE379" s="67"/>
      <c r="BF379" s="96">
        <v>0</v>
      </c>
      <c r="BG379" s="52"/>
      <c r="BH379" s="52"/>
      <c r="BI379" s="52"/>
      <c r="BJ379" s="52"/>
      <c r="BK379" s="52"/>
      <c r="BL379" s="52"/>
      <c r="BM379" s="52"/>
      <c r="BN379" s="53"/>
      <c r="BO379" s="52"/>
      <c r="BP379" s="52"/>
      <c r="BQ379" s="54"/>
    </row>
    <row r="380" spans="1:69" ht="16" x14ac:dyDescent="0.35">
      <c r="A380"/>
      <c r="B380"/>
      <c r="D380"/>
      <c r="G380"/>
      <c r="H380" s="20"/>
      <c r="I380" s="20"/>
      <c r="J380" s="20"/>
      <c r="K380" s="20"/>
      <c r="L380" s="20"/>
      <c r="Q380" s="83"/>
      <c r="Y380" s="20"/>
      <c r="AP380" s="93"/>
      <c r="AQ380" s="31"/>
      <c r="AR380" s="31"/>
      <c r="AS380" s="94"/>
      <c r="AT380" s="31"/>
      <c r="AU380" s="31"/>
      <c r="AV380" s="73" t="s">
        <v>214</v>
      </c>
      <c r="AW380" s="32"/>
      <c r="AX380" s="32"/>
      <c r="AY380" s="32"/>
      <c r="AZ380" s="32"/>
      <c r="BA380" s="32"/>
      <c r="BB380" s="31"/>
      <c r="BC380" s="31"/>
      <c r="BD380" s="31"/>
      <c r="BE380" s="31"/>
      <c r="BF380" s="95">
        <v>0</v>
      </c>
      <c r="BG380" s="48"/>
      <c r="BH380" s="48"/>
      <c r="BI380" s="48"/>
      <c r="BJ380" s="48"/>
      <c r="BK380" s="48"/>
      <c r="BL380" s="48"/>
      <c r="BM380" s="48"/>
      <c r="BN380" s="49"/>
      <c r="BO380" s="48"/>
      <c r="BP380" s="48"/>
      <c r="BQ380" s="50"/>
    </row>
    <row r="381" spans="1:69" ht="16" x14ac:dyDescent="0.35">
      <c r="A381"/>
      <c r="B381"/>
      <c r="D381"/>
      <c r="G381"/>
      <c r="H381" s="20"/>
      <c r="I381" s="20"/>
      <c r="J381" s="20"/>
      <c r="K381" s="20"/>
      <c r="L381" s="20"/>
      <c r="Q381" s="83"/>
      <c r="Y381" s="20"/>
      <c r="AP381" s="92"/>
      <c r="AQ381" s="67"/>
      <c r="AR381" s="67"/>
      <c r="AS381" s="73"/>
      <c r="AT381" s="67"/>
      <c r="AU381" s="67"/>
      <c r="AV381" s="94" t="s">
        <v>214</v>
      </c>
      <c r="AW381" s="68"/>
      <c r="AX381" s="68"/>
      <c r="AY381" s="68"/>
      <c r="AZ381" s="68"/>
      <c r="BA381" s="68"/>
      <c r="BB381" s="67"/>
      <c r="BC381" s="67"/>
      <c r="BD381" s="67"/>
      <c r="BE381" s="67"/>
      <c r="BF381" s="96">
        <v>0</v>
      </c>
      <c r="BG381" s="52"/>
      <c r="BH381" s="52"/>
      <c r="BI381" s="52"/>
      <c r="BJ381" s="52"/>
      <c r="BK381" s="52"/>
      <c r="BL381" s="52"/>
      <c r="BM381" s="52"/>
      <c r="BN381" s="53"/>
      <c r="BO381" s="52"/>
      <c r="BP381" s="52"/>
      <c r="BQ381" s="54"/>
    </row>
    <row r="382" spans="1:69" ht="16" x14ac:dyDescent="0.35">
      <c r="A382"/>
      <c r="B382"/>
      <c r="D382"/>
      <c r="G382"/>
      <c r="H382" s="20"/>
      <c r="I382" s="20"/>
      <c r="J382" s="20"/>
      <c r="K382" s="20"/>
      <c r="L382" s="20"/>
      <c r="Q382" s="83"/>
      <c r="Y382" s="20"/>
      <c r="AP382" s="93"/>
      <c r="AQ382" s="31"/>
      <c r="AR382" s="31"/>
      <c r="AS382" s="94"/>
      <c r="AT382" s="31"/>
      <c r="AU382" s="31"/>
      <c r="AV382" s="73" t="s">
        <v>212</v>
      </c>
      <c r="AW382" s="32"/>
      <c r="AX382" s="32"/>
      <c r="AY382" s="32"/>
      <c r="AZ382" s="32"/>
      <c r="BA382" s="32"/>
      <c r="BB382" s="31"/>
      <c r="BC382" s="31"/>
      <c r="BD382" s="31"/>
      <c r="BE382" s="31"/>
      <c r="BF382" s="95">
        <v>0</v>
      </c>
      <c r="BG382" s="48"/>
      <c r="BH382" s="48"/>
      <c r="BI382" s="48"/>
      <c r="BJ382" s="48"/>
      <c r="BK382" s="48"/>
      <c r="BL382" s="48"/>
      <c r="BM382" s="48"/>
      <c r="BN382" s="49"/>
      <c r="BO382" s="48"/>
      <c r="BP382" s="48"/>
      <c r="BQ382" s="50"/>
    </row>
    <row r="383" spans="1:69" ht="16" x14ac:dyDescent="0.35">
      <c r="A383"/>
      <c r="B383"/>
      <c r="D383"/>
      <c r="G383"/>
      <c r="H383" s="20"/>
      <c r="I383" s="20"/>
      <c r="J383" s="20"/>
      <c r="K383" s="20"/>
      <c r="L383" s="20"/>
      <c r="Q383" s="83"/>
      <c r="Y383" s="20"/>
      <c r="AP383" s="92"/>
      <c r="AQ383" s="67"/>
      <c r="AR383" s="67"/>
      <c r="AS383" s="73"/>
      <c r="AT383" s="67"/>
      <c r="AU383" s="67"/>
      <c r="AV383" s="94" t="s">
        <v>212</v>
      </c>
      <c r="AW383" s="68"/>
      <c r="AX383" s="68"/>
      <c r="AY383" s="68"/>
      <c r="AZ383" s="68"/>
      <c r="BA383" s="68"/>
      <c r="BB383" s="67"/>
      <c r="BC383" s="67"/>
      <c r="BD383" s="67"/>
      <c r="BE383" s="67"/>
      <c r="BF383" s="96">
        <v>0</v>
      </c>
      <c r="BG383" s="52"/>
      <c r="BH383" s="52"/>
      <c r="BI383" s="52"/>
      <c r="BJ383" s="52"/>
      <c r="BK383" s="52"/>
      <c r="BL383" s="52"/>
      <c r="BM383" s="52"/>
      <c r="BN383" s="53"/>
      <c r="BO383" s="52"/>
      <c r="BP383" s="52"/>
      <c r="BQ383" s="54"/>
    </row>
    <row r="384" spans="1:69" ht="16" x14ac:dyDescent="0.35">
      <c r="A384"/>
      <c r="B384"/>
      <c r="D384"/>
      <c r="G384"/>
      <c r="H384" s="20"/>
      <c r="I384" s="20"/>
      <c r="J384" s="20"/>
      <c r="K384" s="20"/>
      <c r="L384" s="20"/>
      <c r="Q384" s="83"/>
      <c r="Y384" s="20"/>
      <c r="AP384" s="93"/>
      <c r="AQ384" s="31"/>
      <c r="AR384" s="31"/>
      <c r="AS384" s="94"/>
      <c r="AT384" s="31"/>
      <c r="AU384" s="31"/>
      <c r="AV384" s="73" t="s">
        <v>212</v>
      </c>
      <c r="AW384" s="32"/>
      <c r="AX384" s="32"/>
      <c r="AY384" s="32"/>
      <c r="AZ384" s="32"/>
      <c r="BA384" s="32"/>
      <c r="BB384" s="31"/>
      <c r="BC384" s="31"/>
      <c r="BD384" s="31"/>
      <c r="BE384" s="31"/>
      <c r="BF384" s="95">
        <v>0</v>
      </c>
      <c r="BG384" s="48"/>
      <c r="BH384" s="48"/>
      <c r="BI384" s="48"/>
      <c r="BJ384" s="48"/>
      <c r="BK384" s="48"/>
      <c r="BL384" s="48"/>
      <c r="BM384" s="48"/>
      <c r="BN384" s="49"/>
      <c r="BO384" s="48"/>
      <c r="BP384" s="48"/>
      <c r="BQ384" s="50"/>
    </row>
    <row r="385" spans="1:69" ht="16" x14ac:dyDescent="0.35">
      <c r="A385"/>
      <c r="B385"/>
      <c r="D385"/>
      <c r="G385"/>
      <c r="H385" s="20"/>
      <c r="I385" s="20"/>
      <c r="J385" s="20"/>
      <c r="K385" s="20"/>
      <c r="L385" s="20"/>
      <c r="Q385" s="83"/>
      <c r="Y385" s="20"/>
      <c r="AP385" s="92"/>
      <c r="AQ385" s="67"/>
      <c r="AR385" s="67"/>
      <c r="AS385" s="73"/>
      <c r="AT385" s="67"/>
      <c r="AU385" s="67"/>
      <c r="AV385" s="94" t="s">
        <v>212</v>
      </c>
      <c r="AW385" s="68"/>
      <c r="AX385" s="68"/>
      <c r="AY385" s="68"/>
      <c r="AZ385" s="68"/>
      <c r="BA385" s="68"/>
      <c r="BB385" s="67"/>
      <c r="BC385" s="67"/>
      <c r="BD385" s="67"/>
      <c r="BE385" s="67"/>
      <c r="BF385" s="96">
        <v>0</v>
      </c>
      <c r="BG385" s="52"/>
      <c r="BH385" s="52"/>
      <c r="BI385" s="52"/>
      <c r="BJ385" s="52"/>
      <c r="BK385" s="52"/>
      <c r="BL385" s="52"/>
      <c r="BM385" s="52"/>
      <c r="BN385" s="53"/>
      <c r="BO385" s="52"/>
      <c r="BP385" s="52"/>
      <c r="BQ385" s="54"/>
    </row>
    <row r="386" spans="1:69" ht="16" x14ac:dyDescent="0.35">
      <c r="A386"/>
      <c r="B386"/>
      <c r="D386"/>
      <c r="G386"/>
      <c r="H386" s="20"/>
      <c r="I386" s="20"/>
      <c r="J386" s="20"/>
      <c r="K386" s="20"/>
      <c r="L386" s="20"/>
      <c r="Q386" s="83"/>
      <c r="Y386" s="20"/>
      <c r="AP386" s="93"/>
      <c r="AQ386" s="31"/>
      <c r="AR386" s="31"/>
      <c r="AS386" s="94"/>
      <c r="AT386" s="31"/>
      <c r="AU386" s="31"/>
      <c r="AV386" s="73" t="s">
        <v>212</v>
      </c>
      <c r="AW386" s="32"/>
      <c r="AX386" s="32"/>
      <c r="AY386" s="32"/>
      <c r="AZ386" s="32"/>
      <c r="BA386" s="32"/>
      <c r="BB386" s="31"/>
      <c r="BC386" s="31"/>
      <c r="BD386" s="31"/>
      <c r="BE386" s="31"/>
      <c r="BF386" s="95">
        <v>0</v>
      </c>
      <c r="BG386" s="48"/>
      <c r="BH386" s="48"/>
      <c r="BI386" s="48"/>
      <c r="BJ386" s="48"/>
      <c r="BK386" s="48"/>
      <c r="BL386" s="48"/>
      <c r="BM386" s="48"/>
      <c r="BN386" s="49"/>
      <c r="BO386" s="48"/>
      <c r="BP386" s="48"/>
      <c r="BQ386" s="50"/>
    </row>
    <row r="387" spans="1:69" ht="16" x14ac:dyDescent="0.35">
      <c r="A387"/>
      <c r="B387"/>
      <c r="D387"/>
      <c r="G387"/>
      <c r="H387" s="20"/>
      <c r="I387" s="20"/>
      <c r="J387" s="20"/>
      <c r="K387" s="20"/>
      <c r="L387" s="20"/>
      <c r="Q387" s="83"/>
      <c r="Y387" s="20"/>
      <c r="AP387" s="92"/>
      <c r="AQ387" s="67"/>
      <c r="AR387" s="67"/>
      <c r="AS387" s="73"/>
      <c r="AT387" s="67"/>
      <c r="AU387" s="67"/>
      <c r="AV387" s="94" t="s">
        <v>212</v>
      </c>
      <c r="AW387" s="68"/>
      <c r="AX387" s="68"/>
      <c r="AY387" s="68"/>
      <c r="AZ387" s="68"/>
      <c r="BA387" s="68"/>
      <c r="BB387" s="67"/>
      <c r="BC387" s="67"/>
      <c r="BD387" s="67"/>
      <c r="BE387" s="67"/>
      <c r="BF387" s="96">
        <v>0</v>
      </c>
      <c r="BG387" s="52"/>
      <c r="BH387" s="52"/>
      <c r="BI387" s="52"/>
      <c r="BJ387" s="52"/>
      <c r="BK387" s="52"/>
      <c r="BL387" s="52"/>
      <c r="BM387" s="52"/>
      <c r="BN387" s="53"/>
      <c r="BO387" s="52"/>
      <c r="BP387" s="52"/>
      <c r="BQ387" s="54"/>
    </row>
    <row r="388" spans="1:69" ht="16" x14ac:dyDescent="0.35">
      <c r="A388"/>
      <c r="B388"/>
      <c r="D388"/>
      <c r="G388"/>
      <c r="H388" s="20"/>
      <c r="I388" s="20"/>
      <c r="J388" s="20"/>
      <c r="K388" s="20"/>
      <c r="L388" s="20"/>
      <c r="Q388" s="83"/>
      <c r="Y388" s="20"/>
      <c r="AP388" s="93"/>
      <c r="AQ388" s="31"/>
      <c r="AR388" s="31"/>
      <c r="AS388" s="94"/>
      <c r="AT388" s="31"/>
      <c r="AU388" s="31"/>
      <c r="AV388" s="73" t="s">
        <v>212</v>
      </c>
      <c r="AW388" s="32"/>
      <c r="AX388" s="32"/>
      <c r="AY388" s="32"/>
      <c r="AZ388" s="32"/>
      <c r="BA388" s="32"/>
      <c r="BB388" s="31"/>
      <c r="BC388" s="31"/>
      <c r="BD388" s="31"/>
      <c r="BE388" s="31"/>
      <c r="BF388" s="95">
        <v>0</v>
      </c>
      <c r="BG388" s="48"/>
      <c r="BH388" s="48"/>
      <c r="BI388" s="48"/>
      <c r="BJ388" s="48"/>
      <c r="BK388" s="48"/>
      <c r="BL388" s="48"/>
      <c r="BM388" s="48"/>
      <c r="BN388" s="49"/>
      <c r="BO388" s="48"/>
      <c r="BP388" s="48"/>
      <c r="BQ388" s="50"/>
    </row>
    <row r="389" spans="1:69" ht="16" x14ac:dyDescent="0.35">
      <c r="A389"/>
      <c r="B389"/>
      <c r="D389"/>
      <c r="G389"/>
      <c r="H389" s="20"/>
      <c r="I389" s="20"/>
      <c r="J389" s="20"/>
      <c r="K389" s="20"/>
      <c r="L389" s="20"/>
      <c r="Q389" s="83"/>
      <c r="Y389" s="20"/>
      <c r="AP389" s="92"/>
      <c r="AQ389" s="67"/>
      <c r="AR389" s="67"/>
      <c r="AS389" s="73"/>
      <c r="AT389" s="67"/>
      <c r="AU389" s="67"/>
      <c r="AV389" s="94" t="s">
        <v>212</v>
      </c>
      <c r="AW389" s="68"/>
      <c r="AX389" s="68"/>
      <c r="AY389" s="68"/>
      <c r="AZ389" s="68"/>
      <c r="BA389" s="68"/>
      <c r="BB389" s="67"/>
      <c r="BC389" s="67"/>
      <c r="BD389" s="67"/>
      <c r="BE389" s="67"/>
      <c r="BF389" s="96">
        <v>0</v>
      </c>
      <c r="BG389" s="52"/>
      <c r="BH389" s="52"/>
      <c r="BI389" s="52"/>
      <c r="BJ389" s="52"/>
      <c r="BK389" s="52"/>
      <c r="BL389" s="52"/>
      <c r="BM389" s="52"/>
      <c r="BN389" s="53"/>
      <c r="BO389" s="52"/>
      <c r="BP389" s="52"/>
      <c r="BQ389" s="54"/>
    </row>
    <row r="390" spans="1:69" ht="16" x14ac:dyDescent="0.35">
      <c r="A390"/>
      <c r="B390"/>
      <c r="D390"/>
      <c r="G390"/>
      <c r="H390" s="20"/>
      <c r="I390" s="20"/>
      <c r="J390" s="20"/>
      <c r="K390" s="20"/>
      <c r="L390" s="20"/>
      <c r="Q390" s="83"/>
      <c r="Y390" s="20"/>
      <c r="AP390" s="93"/>
      <c r="AQ390" s="31"/>
      <c r="AR390" s="31"/>
      <c r="AS390" s="94"/>
      <c r="AT390" s="31"/>
      <c r="AU390" s="31"/>
      <c r="AV390" s="73" t="s">
        <v>212</v>
      </c>
      <c r="AW390" s="32"/>
      <c r="AX390" s="32"/>
      <c r="AY390" s="32"/>
      <c r="AZ390" s="32"/>
      <c r="BA390" s="32"/>
      <c r="BB390" s="31"/>
      <c r="BC390" s="31"/>
      <c r="BD390" s="31"/>
      <c r="BE390" s="31"/>
      <c r="BF390" s="95">
        <v>0</v>
      </c>
      <c r="BG390" s="48"/>
      <c r="BH390" s="48"/>
      <c r="BI390" s="48"/>
      <c r="BJ390" s="48"/>
      <c r="BK390" s="48"/>
      <c r="BL390" s="48"/>
      <c r="BM390" s="48"/>
      <c r="BN390" s="49"/>
      <c r="BO390" s="48"/>
      <c r="BP390" s="48"/>
      <c r="BQ390" s="50"/>
    </row>
    <row r="391" spans="1:69" ht="16" x14ac:dyDescent="0.35">
      <c r="A391"/>
      <c r="B391"/>
      <c r="D391"/>
      <c r="G391"/>
      <c r="H391" s="20"/>
      <c r="I391" s="20"/>
      <c r="J391" s="20"/>
      <c r="K391" s="20"/>
      <c r="L391" s="20"/>
      <c r="Q391" s="83"/>
      <c r="Y391" s="20"/>
      <c r="AP391" s="92"/>
      <c r="AQ391" s="67"/>
      <c r="AR391" s="67"/>
      <c r="AS391" s="73"/>
      <c r="AT391" s="67"/>
      <c r="AU391" s="67"/>
      <c r="AV391" s="94" t="s">
        <v>213</v>
      </c>
      <c r="AW391" s="68"/>
      <c r="AX391" s="68"/>
      <c r="AY391" s="68"/>
      <c r="AZ391" s="68"/>
      <c r="BA391" s="68"/>
      <c r="BB391" s="67"/>
      <c r="BC391" s="67"/>
      <c r="BD391" s="67"/>
      <c r="BE391" s="67"/>
      <c r="BF391" s="96">
        <v>0</v>
      </c>
      <c r="BG391" s="52"/>
      <c r="BH391" s="52"/>
      <c r="BI391" s="52"/>
      <c r="BJ391" s="52"/>
      <c r="BK391" s="52"/>
      <c r="BL391" s="52"/>
      <c r="BM391" s="52"/>
      <c r="BN391" s="53"/>
      <c r="BO391" s="52"/>
      <c r="BP391" s="52"/>
      <c r="BQ391" s="54"/>
    </row>
    <row r="392" spans="1:69" ht="16" x14ac:dyDescent="0.35">
      <c r="A392"/>
      <c r="B392"/>
      <c r="D392"/>
      <c r="G392"/>
      <c r="H392" s="20"/>
      <c r="I392" s="20"/>
      <c r="J392" s="20"/>
      <c r="K392" s="20"/>
      <c r="L392" s="20"/>
      <c r="Q392" s="83"/>
      <c r="Y392" s="20"/>
      <c r="AP392" s="93"/>
      <c r="AQ392" s="31"/>
      <c r="AR392" s="31"/>
      <c r="AS392" s="94"/>
      <c r="AT392" s="31"/>
      <c r="AU392" s="31"/>
      <c r="AV392" s="73" t="s">
        <v>213</v>
      </c>
      <c r="AW392" s="32"/>
      <c r="AX392" s="32"/>
      <c r="AY392" s="32"/>
      <c r="AZ392" s="32"/>
      <c r="BA392" s="32"/>
      <c r="BB392" s="31"/>
      <c r="BC392" s="31"/>
      <c r="BD392" s="31"/>
      <c r="BE392" s="31"/>
      <c r="BF392" s="95">
        <v>0</v>
      </c>
      <c r="BG392" s="48"/>
      <c r="BH392" s="48"/>
      <c r="BI392" s="48"/>
      <c r="BJ392" s="48"/>
      <c r="BK392" s="48"/>
      <c r="BL392" s="48"/>
      <c r="BM392" s="48"/>
      <c r="BN392" s="49"/>
      <c r="BO392" s="48"/>
      <c r="BP392" s="48"/>
      <c r="BQ392" s="50"/>
    </row>
    <row r="393" spans="1:69" ht="16" x14ac:dyDescent="0.35">
      <c r="A393"/>
      <c r="B393"/>
      <c r="D393"/>
      <c r="G393"/>
      <c r="H393" s="20"/>
      <c r="I393" s="20"/>
      <c r="J393" s="20"/>
      <c r="K393" s="20"/>
      <c r="L393" s="20"/>
      <c r="Q393" s="83"/>
      <c r="Y393" s="20"/>
      <c r="AP393" s="92"/>
      <c r="AQ393" s="67"/>
      <c r="AR393" s="67"/>
      <c r="AS393" s="73"/>
      <c r="AT393" s="67"/>
      <c r="AU393" s="67"/>
      <c r="AV393" s="94" t="s">
        <v>213</v>
      </c>
      <c r="AW393" s="68"/>
      <c r="AX393" s="68"/>
      <c r="AY393" s="68"/>
      <c r="AZ393" s="68"/>
      <c r="BA393" s="68"/>
      <c r="BB393" s="67"/>
      <c r="BC393" s="67"/>
      <c r="BD393" s="67"/>
      <c r="BE393" s="67"/>
      <c r="BF393" s="96">
        <v>0</v>
      </c>
      <c r="BG393" s="52"/>
      <c r="BH393" s="52"/>
      <c r="BI393" s="52"/>
      <c r="BJ393" s="52"/>
      <c r="BK393" s="52"/>
      <c r="BL393" s="52"/>
      <c r="BM393" s="52"/>
      <c r="BN393" s="53"/>
      <c r="BO393" s="52"/>
      <c r="BP393" s="52"/>
      <c r="BQ393" s="54"/>
    </row>
    <row r="394" spans="1:69" ht="16" x14ac:dyDescent="0.35">
      <c r="A394"/>
      <c r="B394"/>
      <c r="D394"/>
      <c r="G394"/>
      <c r="H394" s="20"/>
      <c r="I394" s="20"/>
      <c r="J394" s="20"/>
      <c r="K394" s="20"/>
      <c r="L394" s="20"/>
      <c r="Q394" s="83"/>
      <c r="Y394" s="20"/>
      <c r="AP394" s="93"/>
      <c r="AQ394" s="31"/>
      <c r="AR394" s="31"/>
      <c r="AS394" s="94"/>
      <c r="AT394" s="31"/>
      <c r="AU394" s="31"/>
      <c r="AV394" s="73" t="s">
        <v>213</v>
      </c>
      <c r="AW394" s="32"/>
      <c r="AX394" s="32"/>
      <c r="AY394" s="32"/>
      <c r="AZ394" s="32"/>
      <c r="BA394" s="32"/>
      <c r="BB394" s="31"/>
      <c r="BC394" s="31"/>
      <c r="BD394" s="31"/>
      <c r="BE394" s="31"/>
      <c r="BF394" s="95">
        <v>0</v>
      </c>
      <c r="BG394" s="48"/>
      <c r="BH394" s="48"/>
      <c r="BI394" s="48"/>
      <c r="BJ394" s="48"/>
      <c r="BK394" s="48"/>
      <c r="BL394" s="48"/>
      <c r="BM394" s="48"/>
      <c r="BN394" s="49"/>
      <c r="BO394" s="48"/>
      <c r="BP394" s="48"/>
      <c r="BQ394" s="50"/>
    </row>
    <row r="395" spans="1:69" ht="16" x14ac:dyDescent="0.35">
      <c r="A395"/>
      <c r="B395"/>
      <c r="D395"/>
      <c r="G395"/>
      <c r="H395" s="20"/>
      <c r="I395" s="20"/>
      <c r="J395" s="20"/>
      <c r="K395" s="20"/>
      <c r="L395" s="20"/>
      <c r="Q395" s="83"/>
      <c r="Y395" s="20"/>
      <c r="AP395" s="92"/>
      <c r="AQ395" s="67"/>
      <c r="AR395" s="67"/>
      <c r="AS395" s="73"/>
      <c r="AT395" s="67"/>
      <c r="AU395" s="67"/>
      <c r="AV395" s="94" t="s">
        <v>214</v>
      </c>
      <c r="AW395" s="68"/>
      <c r="AX395" s="68"/>
      <c r="AY395" s="68"/>
      <c r="AZ395" s="68"/>
      <c r="BA395" s="68"/>
      <c r="BB395" s="67"/>
      <c r="BC395" s="67"/>
      <c r="BD395" s="67"/>
      <c r="BE395" s="67"/>
      <c r="BF395" s="96">
        <v>0</v>
      </c>
      <c r="BG395" s="52"/>
      <c r="BH395" s="52"/>
      <c r="BI395" s="52"/>
      <c r="BJ395" s="52"/>
      <c r="BK395" s="52"/>
      <c r="BL395" s="52"/>
      <c r="BM395" s="52"/>
      <c r="BN395" s="53"/>
      <c r="BO395" s="52"/>
      <c r="BP395" s="52"/>
      <c r="BQ395" s="54"/>
    </row>
    <row r="396" spans="1:69" ht="16" x14ac:dyDescent="0.35">
      <c r="A396"/>
      <c r="B396"/>
      <c r="D396"/>
      <c r="G396"/>
      <c r="H396" s="20"/>
      <c r="I396" s="20"/>
      <c r="J396" s="20"/>
      <c r="K396" s="20"/>
      <c r="L396" s="20"/>
      <c r="Q396" s="83"/>
      <c r="Y396" s="20"/>
      <c r="AP396" s="93"/>
      <c r="AQ396" s="31"/>
      <c r="AR396" s="31"/>
      <c r="AS396" s="94"/>
      <c r="AT396" s="31"/>
      <c r="AU396" s="31"/>
      <c r="AV396" s="73" t="s">
        <v>212</v>
      </c>
      <c r="AW396" s="32"/>
      <c r="AX396" s="32"/>
      <c r="AY396" s="32"/>
      <c r="AZ396" s="32"/>
      <c r="BA396" s="32"/>
      <c r="BB396" s="31"/>
      <c r="BC396" s="31"/>
      <c r="BD396" s="31"/>
      <c r="BE396" s="31"/>
      <c r="BF396" s="95">
        <v>0</v>
      </c>
      <c r="BG396" s="48"/>
      <c r="BH396" s="48"/>
      <c r="BI396" s="48"/>
      <c r="BJ396" s="48"/>
      <c r="BK396" s="48"/>
      <c r="BL396" s="48"/>
      <c r="BM396" s="48"/>
      <c r="BN396" s="49"/>
      <c r="BO396" s="48"/>
      <c r="BP396" s="48"/>
      <c r="BQ396" s="50"/>
    </row>
    <row r="397" spans="1:69" ht="16" x14ac:dyDescent="0.35">
      <c r="A397"/>
      <c r="B397"/>
      <c r="D397"/>
      <c r="G397"/>
      <c r="H397" s="20"/>
      <c r="I397" s="20"/>
      <c r="J397" s="20"/>
      <c r="K397" s="20"/>
      <c r="L397" s="20"/>
      <c r="Q397" s="83"/>
      <c r="Y397" s="20"/>
      <c r="AP397" s="92"/>
      <c r="AQ397" s="67"/>
      <c r="AR397" s="67"/>
      <c r="AS397" s="73"/>
      <c r="AT397" s="67"/>
      <c r="AU397" s="67"/>
      <c r="AV397" s="94" t="s">
        <v>212</v>
      </c>
      <c r="AW397" s="68"/>
      <c r="AX397" s="68"/>
      <c r="AY397" s="68"/>
      <c r="AZ397" s="68"/>
      <c r="BA397" s="68"/>
      <c r="BB397" s="67"/>
      <c r="BC397" s="67"/>
      <c r="BD397" s="67"/>
      <c r="BE397" s="67"/>
      <c r="BF397" s="96">
        <v>0</v>
      </c>
      <c r="BG397" s="52"/>
      <c r="BH397" s="52"/>
      <c r="BI397" s="52"/>
      <c r="BJ397" s="52"/>
      <c r="BK397" s="52"/>
      <c r="BL397" s="52"/>
      <c r="BM397" s="52"/>
      <c r="BN397" s="53"/>
      <c r="BO397" s="52"/>
      <c r="BP397" s="52"/>
      <c r="BQ397" s="54"/>
    </row>
    <row r="398" spans="1:69" ht="16" x14ac:dyDescent="0.35">
      <c r="A398"/>
      <c r="B398"/>
      <c r="D398"/>
      <c r="G398"/>
      <c r="H398" s="20"/>
      <c r="I398" s="20"/>
      <c r="J398" s="20"/>
      <c r="K398" s="20"/>
      <c r="L398" s="20"/>
      <c r="Q398" s="83"/>
      <c r="Y398" s="20"/>
      <c r="AP398" s="93"/>
      <c r="AQ398" s="31"/>
      <c r="AR398" s="31"/>
      <c r="AS398" s="94"/>
      <c r="AT398" s="31"/>
      <c r="AU398" s="31"/>
      <c r="AV398" s="73" t="s">
        <v>212</v>
      </c>
      <c r="AW398" s="32"/>
      <c r="AX398" s="32"/>
      <c r="AY398" s="32"/>
      <c r="AZ398" s="32"/>
      <c r="BA398" s="32"/>
      <c r="BB398" s="31"/>
      <c r="BC398" s="31"/>
      <c r="BD398" s="31"/>
      <c r="BE398" s="31"/>
      <c r="BF398" s="95">
        <v>0</v>
      </c>
      <c r="BG398" s="48"/>
      <c r="BH398" s="48"/>
      <c r="BI398" s="48"/>
      <c r="BJ398" s="48"/>
      <c r="BK398" s="48"/>
      <c r="BL398" s="48"/>
      <c r="BM398" s="48"/>
      <c r="BN398" s="49"/>
      <c r="BO398" s="48"/>
      <c r="BP398" s="48"/>
      <c r="BQ398" s="50"/>
    </row>
    <row r="399" spans="1:69" ht="16" x14ac:dyDescent="0.35">
      <c r="A399"/>
      <c r="B399"/>
      <c r="D399"/>
      <c r="G399"/>
      <c r="H399" s="20"/>
      <c r="I399" s="20"/>
      <c r="J399" s="20"/>
      <c r="K399" s="20"/>
      <c r="L399" s="20"/>
      <c r="Q399" s="83"/>
      <c r="Y399" s="20"/>
      <c r="AP399" s="92"/>
      <c r="AQ399" s="67"/>
      <c r="AR399" s="67"/>
      <c r="AS399" s="73"/>
      <c r="AT399" s="67"/>
      <c r="AU399" s="67"/>
      <c r="AV399" s="94" t="s">
        <v>212</v>
      </c>
      <c r="AW399" s="68"/>
      <c r="AX399" s="68"/>
      <c r="AY399" s="68"/>
      <c r="AZ399" s="68"/>
      <c r="BA399" s="68"/>
      <c r="BB399" s="67"/>
      <c r="BC399" s="67"/>
      <c r="BD399" s="67"/>
      <c r="BE399" s="67"/>
      <c r="BF399" s="96">
        <v>0</v>
      </c>
      <c r="BG399" s="52"/>
      <c r="BH399" s="52"/>
      <c r="BI399" s="52"/>
      <c r="BJ399" s="52"/>
      <c r="BK399" s="52"/>
      <c r="BL399" s="52"/>
      <c r="BM399" s="52"/>
      <c r="BN399" s="53"/>
      <c r="BO399" s="52"/>
      <c r="BP399" s="52"/>
      <c r="BQ399" s="54"/>
    </row>
    <row r="400" spans="1:69" ht="16" x14ac:dyDescent="0.35">
      <c r="A400"/>
      <c r="B400"/>
      <c r="D400"/>
      <c r="G400"/>
      <c r="H400" s="20"/>
      <c r="I400" s="20"/>
      <c r="J400" s="20"/>
      <c r="K400" s="20"/>
      <c r="L400" s="20"/>
      <c r="Q400" s="83"/>
      <c r="Y400" s="20"/>
      <c r="AP400" s="93"/>
      <c r="AQ400" s="31"/>
      <c r="AR400" s="31"/>
      <c r="AS400" s="94"/>
      <c r="AT400" s="31"/>
      <c r="AU400" s="31"/>
      <c r="AV400" s="73" t="s">
        <v>212</v>
      </c>
      <c r="AW400" s="32"/>
      <c r="AX400" s="32"/>
      <c r="AY400" s="32"/>
      <c r="AZ400" s="32"/>
      <c r="BA400" s="32"/>
      <c r="BB400" s="31"/>
      <c r="BC400" s="31"/>
      <c r="BD400" s="31"/>
      <c r="BE400" s="31"/>
      <c r="BF400" s="95">
        <v>0</v>
      </c>
      <c r="BG400" s="48"/>
      <c r="BH400" s="48"/>
      <c r="BI400" s="48"/>
      <c r="BJ400" s="48"/>
      <c r="BK400" s="48"/>
      <c r="BL400" s="48"/>
      <c r="BM400" s="48"/>
      <c r="BN400" s="49"/>
      <c r="BO400" s="48"/>
      <c r="BP400" s="48"/>
      <c r="BQ400" s="50"/>
    </row>
    <row r="401" spans="1:69" ht="16" x14ac:dyDescent="0.35">
      <c r="A401"/>
      <c r="B401"/>
      <c r="D401"/>
      <c r="G401"/>
      <c r="H401" s="20"/>
      <c r="I401" s="20"/>
      <c r="J401" s="20"/>
      <c r="K401" s="20"/>
      <c r="L401" s="20"/>
      <c r="Q401" s="83"/>
      <c r="Y401" s="20"/>
      <c r="AP401" s="92"/>
      <c r="AQ401" s="67"/>
      <c r="AR401" s="67"/>
      <c r="AS401" s="73"/>
      <c r="AT401" s="67"/>
      <c r="AU401" s="67"/>
      <c r="AV401" s="94" t="s">
        <v>212</v>
      </c>
      <c r="AW401" s="68"/>
      <c r="AX401" s="68"/>
      <c r="AY401" s="68"/>
      <c r="AZ401" s="68"/>
      <c r="BA401" s="68"/>
      <c r="BB401" s="67"/>
      <c r="BC401" s="67"/>
      <c r="BD401" s="67"/>
      <c r="BE401" s="67"/>
      <c r="BF401" s="96">
        <v>0</v>
      </c>
      <c r="BG401" s="52"/>
      <c r="BH401" s="52"/>
      <c r="BI401" s="52"/>
      <c r="BJ401" s="52"/>
      <c r="BK401" s="52"/>
      <c r="BL401" s="52"/>
      <c r="BM401" s="52"/>
      <c r="BN401" s="53"/>
      <c r="BO401" s="52"/>
      <c r="BP401" s="52"/>
      <c r="BQ401" s="54"/>
    </row>
    <row r="402" spans="1:69" ht="16" x14ac:dyDescent="0.35">
      <c r="A402"/>
      <c r="B402"/>
      <c r="D402"/>
      <c r="G402"/>
      <c r="H402" s="20"/>
      <c r="I402" s="20"/>
      <c r="J402" s="20"/>
      <c r="K402" s="20"/>
      <c r="L402" s="20"/>
      <c r="Q402" s="83"/>
      <c r="Y402" s="20"/>
      <c r="AP402" s="93"/>
      <c r="AQ402" s="31"/>
      <c r="AR402" s="31"/>
      <c r="AS402" s="94"/>
      <c r="AT402" s="31"/>
      <c r="AU402" s="31"/>
      <c r="AV402" s="73" t="s">
        <v>212</v>
      </c>
      <c r="AW402" s="32"/>
      <c r="AX402" s="32"/>
      <c r="AY402" s="32"/>
      <c r="AZ402" s="32"/>
      <c r="BA402" s="32"/>
      <c r="BB402" s="31"/>
      <c r="BC402" s="31"/>
      <c r="BD402" s="31"/>
      <c r="BE402" s="31"/>
      <c r="BF402" s="95">
        <v>0</v>
      </c>
      <c r="BG402" s="48"/>
      <c r="BH402" s="48"/>
      <c r="BI402" s="48"/>
      <c r="BJ402" s="48"/>
      <c r="BK402" s="48"/>
      <c r="BL402" s="48"/>
      <c r="BM402" s="48"/>
      <c r="BN402" s="49"/>
      <c r="BO402" s="48"/>
      <c r="BP402" s="48"/>
      <c r="BQ402" s="50"/>
    </row>
    <row r="403" spans="1:69" ht="16" x14ac:dyDescent="0.35">
      <c r="A403"/>
      <c r="B403"/>
      <c r="D403"/>
      <c r="G403"/>
      <c r="H403" s="20"/>
      <c r="I403" s="20"/>
      <c r="J403" s="20"/>
      <c r="K403" s="20"/>
      <c r="L403" s="20"/>
      <c r="Q403" s="83"/>
      <c r="Y403" s="20"/>
      <c r="AP403" s="92"/>
      <c r="AQ403" s="67"/>
      <c r="AR403" s="67"/>
      <c r="AS403" s="73"/>
      <c r="AT403" s="67"/>
      <c r="AU403" s="67"/>
      <c r="AV403" s="94" t="s">
        <v>212</v>
      </c>
      <c r="AW403" s="68"/>
      <c r="AX403" s="68"/>
      <c r="AY403" s="68"/>
      <c r="AZ403" s="68"/>
      <c r="BA403" s="68"/>
      <c r="BB403" s="67"/>
      <c r="BC403" s="67"/>
      <c r="BD403" s="67"/>
      <c r="BE403" s="67"/>
      <c r="BF403" s="96">
        <v>0</v>
      </c>
      <c r="BG403" s="52"/>
      <c r="BH403" s="52"/>
      <c r="BI403" s="52"/>
      <c r="BJ403" s="52"/>
      <c r="BK403" s="52"/>
      <c r="BL403" s="52"/>
      <c r="BM403" s="52"/>
      <c r="BN403" s="53"/>
      <c r="BO403" s="52"/>
      <c r="BP403" s="52"/>
      <c r="BQ403" s="54"/>
    </row>
    <row r="404" spans="1:69" ht="16" x14ac:dyDescent="0.35">
      <c r="A404"/>
      <c r="B404"/>
      <c r="D404"/>
      <c r="G404"/>
      <c r="H404" s="20"/>
      <c r="I404" s="20"/>
      <c r="J404" s="20"/>
      <c r="K404" s="20"/>
      <c r="L404" s="20"/>
      <c r="Q404" s="83"/>
      <c r="Y404" s="20"/>
      <c r="AP404" s="93"/>
      <c r="AQ404" s="31"/>
      <c r="AR404" s="31"/>
      <c r="AS404" s="94"/>
      <c r="AT404" s="31"/>
      <c r="AU404" s="31"/>
      <c r="AV404" s="73" t="s">
        <v>212</v>
      </c>
      <c r="AW404" s="32"/>
      <c r="AX404" s="32"/>
      <c r="AY404" s="32"/>
      <c r="AZ404" s="32"/>
      <c r="BA404" s="32"/>
      <c r="BB404" s="31"/>
      <c r="BC404" s="31"/>
      <c r="BD404" s="31"/>
      <c r="BE404" s="31"/>
      <c r="BF404" s="95">
        <v>0</v>
      </c>
      <c r="BG404" s="48"/>
      <c r="BH404" s="48"/>
      <c r="BI404" s="48"/>
      <c r="BJ404" s="48"/>
      <c r="BK404" s="48"/>
      <c r="BL404" s="48"/>
      <c r="BM404" s="48"/>
      <c r="BN404" s="49"/>
      <c r="BO404" s="48"/>
      <c r="BP404" s="48"/>
      <c r="BQ404" s="50"/>
    </row>
    <row r="405" spans="1:69" ht="16" x14ac:dyDescent="0.35">
      <c r="A405"/>
      <c r="B405"/>
      <c r="D405"/>
      <c r="G405"/>
      <c r="H405" s="20"/>
      <c r="I405" s="20"/>
      <c r="J405" s="20"/>
      <c r="K405" s="20"/>
      <c r="L405" s="20"/>
      <c r="Q405" s="83"/>
      <c r="Y405" s="20"/>
      <c r="AP405" s="92"/>
      <c r="AQ405" s="67"/>
      <c r="AR405" s="67"/>
      <c r="AS405" s="73"/>
      <c r="AT405" s="67"/>
      <c r="AU405" s="67"/>
      <c r="AV405" s="94" t="s">
        <v>212</v>
      </c>
      <c r="AW405" s="68"/>
      <c r="AX405" s="68"/>
      <c r="AY405" s="68"/>
      <c r="AZ405" s="68"/>
      <c r="BA405" s="68"/>
      <c r="BB405" s="67"/>
      <c r="BC405" s="67"/>
      <c r="BD405" s="67"/>
      <c r="BE405" s="67"/>
      <c r="BF405" s="96">
        <v>0</v>
      </c>
      <c r="BG405" s="52"/>
      <c r="BH405" s="52"/>
      <c r="BI405" s="52"/>
      <c r="BJ405" s="52"/>
      <c r="BK405" s="52"/>
      <c r="BL405" s="52"/>
      <c r="BM405" s="52"/>
      <c r="BN405" s="53"/>
      <c r="BO405" s="52"/>
      <c r="BP405" s="52"/>
      <c r="BQ405" s="54"/>
    </row>
    <row r="406" spans="1:69" ht="16" x14ac:dyDescent="0.35">
      <c r="A406"/>
      <c r="B406"/>
      <c r="D406"/>
      <c r="G406"/>
      <c r="H406" s="20"/>
      <c r="I406" s="20"/>
      <c r="J406" s="20"/>
      <c r="K406" s="20"/>
      <c r="L406" s="20"/>
      <c r="Q406" s="83"/>
      <c r="Y406" s="20"/>
      <c r="AP406" s="93"/>
      <c r="AQ406" s="31"/>
      <c r="AR406" s="31"/>
      <c r="AS406" s="94"/>
      <c r="AT406" s="31"/>
      <c r="AU406" s="31"/>
      <c r="AV406" s="73" t="s">
        <v>212</v>
      </c>
      <c r="AW406" s="32"/>
      <c r="AX406" s="32"/>
      <c r="AY406" s="32"/>
      <c r="AZ406" s="32"/>
      <c r="BA406" s="32"/>
      <c r="BB406" s="31"/>
      <c r="BC406" s="31"/>
      <c r="BD406" s="31"/>
      <c r="BE406" s="31"/>
      <c r="BF406" s="95">
        <v>0</v>
      </c>
      <c r="BG406" s="48"/>
      <c r="BH406" s="48"/>
      <c r="BI406" s="48"/>
      <c r="BJ406" s="48"/>
      <c r="BK406" s="48"/>
      <c r="BL406" s="48"/>
      <c r="BM406" s="48"/>
      <c r="BN406" s="49"/>
      <c r="BO406" s="48"/>
      <c r="BP406" s="48"/>
      <c r="BQ406" s="50"/>
    </row>
    <row r="407" spans="1:69" ht="16" x14ac:dyDescent="0.35">
      <c r="A407"/>
      <c r="B407"/>
      <c r="D407"/>
      <c r="G407"/>
      <c r="H407" s="20"/>
      <c r="I407" s="20"/>
      <c r="J407" s="20"/>
      <c r="K407" s="20"/>
      <c r="L407" s="20"/>
      <c r="Q407" s="83"/>
      <c r="Y407" s="20"/>
      <c r="AP407" s="92"/>
      <c r="AQ407" s="67"/>
      <c r="AR407" s="67"/>
      <c r="AS407" s="73"/>
      <c r="AT407" s="67"/>
      <c r="AU407" s="67"/>
      <c r="AV407" s="94" t="s">
        <v>212</v>
      </c>
      <c r="AW407" s="68"/>
      <c r="AX407" s="68"/>
      <c r="AY407" s="68"/>
      <c r="AZ407" s="68"/>
      <c r="BA407" s="68"/>
      <c r="BB407" s="67"/>
      <c r="BC407" s="67"/>
      <c r="BD407" s="67"/>
      <c r="BE407" s="67"/>
      <c r="BF407" s="96">
        <v>0</v>
      </c>
      <c r="BG407" s="52"/>
      <c r="BH407" s="52"/>
      <c r="BI407" s="52"/>
      <c r="BJ407" s="52"/>
      <c r="BK407" s="52"/>
      <c r="BL407" s="52"/>
      <c r="BM407" s="52"/>
      <c r="BN407" s="53"/>
      <c r="BO407" s="52"/>
      <c r="BP407" s="52"/>
      <c r="BQ407" s="54"/>
    </row>
    <row r="408" spans="1:69" ht="16" x14ac:dyDescent="0.35">
      <c r="A408"/>
      <c r="B408"/>
      <c r="D408"/>
      <c r="G408"/>
      <c r="H408" s="20"/>
      <c r="I408" s="20"/>
      <c r="J408" s="20"/>
      <c r="K408" s="20"/>
      <c r="L408" s="20"/>
      <c r="Q408" s="83"/>
      <c r="Y408" s="20"/>
      <c r="AP408" s="93"/>
      <c r="AQ408" s="31"/>
      <c r="AR408" s="31"/>
      <c r="AS408" s="94"/>
      <c r="AT408" s="31"/>
      <c r="AU408" s="31"/>
      <c r="AV408" s="73" t="s">
        <v>212</v>
      </c>
      <c r="AW408" s="32"/>
      <c r="AX408" s="32"/>
      <c r="AY408" s="32"/>
      <c r="AZ408" s="32"/>
      <c r="BA408" s="32"/>
      <c r="BB408" s="31"/>
      <c r="BC408" s="31"/>
      <c r="BD408" s="31"/>
      <c r="BE408" s="31"/>
      <c r="BF408" s="95">
        <v>0</v>
      </c>
      <c r="BG408" s="48"/>
      <c r="BH408" s="48"/>
      <c r="BI408" s="48"/>
      <c r="BJ408" s="48"/>
      <c r="BK408" s="48"/>
      <c r="BL408" s="48"/>
      <c r="BM408" s="48"/>
      <c r="BN408" s="49"/>
      <c r="BO408" s="48"/>
      <c r="BP408" s="48"/>
      <c r="BQ408" s="50"/>
    </row>
    <row r="409" spans="1:69" ht="16" x14ac:dyDescent="0.35">
      <c r="A409"/>
      <c r="B409"/>
      <c r="D409"/>
      <c r="G409"/>
      <c r="H409" s="20"/>
      <c r="I409" s="20"/>
      <c r="J409" s="20"/>
      <c r="K409" s="20"/>
      <c r="L409" s="20"/>
      <c r="Q409" s="83"/>
      <c r="Y409" s="20"/>
      <c r="AP409" s="92"/>
      <c r="AQ409" s="67"/>
      <c r="AR409" s="67"/>
      <c r="AS409" s="73"/>
      <c r="AT409" s="67"/>
      <c r="AU409" s="67"/>
      <c r="AV409" s="94" t="s">
        <v>212</v>
      </c>
      <c r="AW409" s="68"/>
      <c r="AX409" s="68"/>
      <c r="AY409" s="68"/>
      <c r="AZ409" s="68"/>
      <c r="BA409" s="68"/>
      <c r="BB409" s="67"/>
      <c r="BC409" s="67"/>
      <c r="BD409" s="67"/>
      <c r="BE409" s="67"/>
      <c r="BF409" s="96">
        <v>0</v>
      </c>
      <c r="BG409" s="52"/>
      <c r="BH409" s="52"/>
      <c r="BI409" s="52"/>
      <c r="BJ409" s="52"/>
      <c r="BK409" s="52"/>
      <c r="BL409" s="52"/>
      <c r="BM409" s="52"/>
      <c r="BN409" s="53"/>
      <c r="BO409" s="52"/>
      <c r="BP409" s="52"/>
      <c r="BQ409" s="54"/>
    </row>
    <row r="410" spans="1:69" ht="16" x14ac:dyDescent="0.35">
      <c r="A410"/>
      <c r="B410"/>
      <c r="D410"/>
      <c r="G410"/>
      <c r="H410" s="20"/>
      <c r="I410" s="20"/>
      <c r="J410" s="20"/>
      <c r="K410" s="20"/>
      <c r="L410" s="20"/>
      <c r="Q410" s="83"/>
      <c r="Y410" s="20"/>
      <c r="AP410" s="93"/>
      <c r="AQ410" s="31"/>
      <c r="AR410" s="31"/>
      <c r="AS410" s="94"/>
      <c r="AT410" s="31"/>
      <c r="AU410" s="31"/>
      <c r="AV410" s="73" t="s">
        <v>214</v>
      </c>
      <c r="AW410" s="32"/>
      <c r="AX410" s="32"/>
      <c r="AY410" s="32"/>
      <c r="AZ410" s="32"/>
      <c r="BA410" s="32"/>
      <c r="BB410" s="31"/>
      <c r="BC410" s="31"/>
      <c r="BD410" s="31"/>
      <c r="BE410" s="31"/>
      <c r="BF410" s="95">
        <v>3</v>
      </c>
      <c r="BG410" s="48"/>
      <c r="BH410" s="48"/>
      <c r="BI410" s="48"/>
      <c r="BJ410" s="48"/>
      <c r="BK410" s="48"/>
      <c r="BL410" s="48"/>
      <c r="BM410" s="48"/>
      <c r="BN410" s="49"/>
      <c r="BO410" s="48"/>
      <c r="BP410" s="48"/>
      <c r="BQ410" s="50"/>
    </row>
    <row r="411" spans="1:69" ht="16" x14ac:dyDescent="0.35">
      <c r="A411"/>
      <c r="B411"/>
      <c r="D411"/>
      <c r="G411"/>
      <c r="H411" s="20"/>
      <c r="I411" s="20"/>
      <c r="J411" s="20"/>
      <c r="K411" s="20"/>
      <c r="L411" s="20"/>
      <c r="Q411" s="83"/>
      <c r="Y411" s="20"/>
      <c r="AP411" s="92"/>
      <c r="AQ411" s="67"/>
      <c r="AR411" s="67"/>
      <c r="AS411" s="73"/>
      <c r="AT411" s="67"/>
      <c r="AU411" s="67"/>
      <c r="AV411" s="94" t="s">
        <v>214</v>
      </c>
      <c r="AW411" s="68"/>
      <c r="AX411" s="68"/>
      <c r="AY411" s="68"/>
      <c r="AZ411" s="68"/>
      <c r="BA411" s="68"/>
      <c r="BB411" s="67"/>
      <c r="BC411" s="67"/>
      <c r="BD411" s="67"/>
      <c r="BE411" s="67"/>
      <c r="BF411" s="96">
        <v>3</v>
      </c>
      <c r="BG411" s="52"/>
      <c r="BH411" s="52"/>
      <c r="BI411" s="52"/>
      <c r="BJ411" s="52"/>
      <c r="BK411" s="52"/>
      <c r="BL411" s="52"/>
      <c r="BM411" s="52"/>
      <c r="BN411" s="53"/>
      <c r="BO411" s="52"/>
      <c r="BP411" s="52"/>
      <c r="BQ411" s="54"/>
    </row>
    <row r="412" spans="1:69" ht="16" x14ac:dyDescent="0.35">
      <c r="A412"/>
      <c r="B412"/>
      <c r="D412"/>
      <c r="G412"/>
      <c r="H412" s="20"/>
      <c r="I412" s="20"/>
      <c r="J412" s="20"/>
      <c r="K412" s="20"/>
      <c r="L412" s="20"/>
      <c r="Q412" s="83"/>
      <c r="Y412" s="20"/>
      <c r="AP412" s="93"/>
      <c r="AQ412" s="31"/>
      <c r="AR412" s="31"/>
      <c r="AS412" s="94"/>
      <c r="AT412" s="31"/>
      <c r="AU412" s="31"/>
      <c r="AV412" s="73" t="s">
        <v>214</v>
      </c>
      <c r="AW412" s="32"/>
      <c r="AX412" s="32"/>
      <c r="AY412" s="32"/>
      <c r="AZ412" s="32"/>
      <c r="BA412" s="32"/>
      <c r="BB412" s="31"/>
      <c r="BC412" s="31"/>
      <c r="BD412" s="31"/>
      <c r="BE412" s="31"/>
      <c r="BF412" s="95">
        <v>3</v>
      </c>
      <c r="BG412" s="48"/>
      <c r="BH412" s="48"/>
      <c r="BI412" s="48"/>
      <c r="BJ412" s="48"/>
      <c r="BK412" s="48"/>
      <c r="BL412" s="48"/>
      <c r="BM412" s="48"/>
      <c r="BN412" s="49"/>
      <c r="BO412" s="48"/>
      <c r="BP412" s="48"/>
      <c r="BQ412" s="50"/>
    </row>
    <row r="413" spans="1:69" ht="16" x14ac:dyDescent="0.35">
      <c r="A413"/>
      <c r="B413"/>
      <c r="D413"/>
      <c r="G413"/>
      <c r="H413" s="20"/>
      <c r="I413" s="20"/>
      <c r="J413" s="20"/>
      <c r="K413" s="20"/>
      <c r="L413" s="20"/>
      <c r="Q413" s="83"/>
      <c r="Y413" s="20"/>
      <c r="AP413" s="92"/>
      <c r="AQ413" s="67"/>
      <c r="AR413" s="67"/>
      <c r="AS413" s="73"/>
      <c r="AT413" s="67"/>
      <c r="AU413" s="67"/>
      <c r="AV413" s="94" t="s">
        <v>214</v>
      </c>
      <c r="AW413" s="68"/>
      <c r="AX413" s="68"/>
      <c r="AY413" s="68"/>
      <c r="AZ413" s="68"/>
      <c r="BA413" s="68"/>
      <c r="BB413" s="67"/>
      <c r="BC413" s="67"/>
      <c r="BD413" s="67"/>
      <c r="BE413" s="67"/>
      <c r="BF413" s="96">
        <v>3</v>
      </c>
      <c r="BG413" s="52"/>
      <c r="BH413" s="52"/>
      <c r="BI413" s="52"/>
      <c r="BJ413" s="52"/>
      <c r="BK413" s="52"/>
      <c r="BL413" s="52"/>
      <c r="BM413" s="52"/>
      <c r="BN413" s="53"/>
      <c r="BO413" s="52"/>
      <c r="BP413" s="52"/>
      <c r="BQ413" s="54"/>
    </row>
    <row r="414" spans="1:69" ht="16" x14ac:dyDescent="0.35">
      <c r="A414"/>
      <c r="B414"/>
      <c r="D414"/>
      <c r="G414"/>
      <c r="H414" s="20"/>
      <c r="I414" s="20"/>
      <c r="J414" s="20"/>
      <c r="K414" s="20"/>
      <c r="L414" s="20"/>
      <c r="Q414" s="83"/>
      <c r="Y414" s="20"/>
      <c r="AP414" s="93"/>
      <c r="AQ414" s="31"/>
      <c r="AR414" s="31"/>
      <c r="AS414" s="94"/>
      <c r="AT414" s="31"/>
      <c r="AU414" s="31"/>
      <c r="AV414" s="73" t="s">
        <v>214</v>
      </c>
      <c r="AW414" s="32"/>
      <c r="AX414" s="32"/>
      <c r="AY414" s="32"/>
      <c r="AZ414" s="32"/>
      <c r="BA414" s="32"/>
      <c r="BB414" s="31"/>
      <c r="BC414" s="31"/>
      <c r="BD414" s="31"/>
      <c r="BE414" s="31"/>
      <c r="BF414" s="95">
        <v>3</v>
      </c>
      <c r="BG414" s="48"/>
      <c r="BH414" s="48"/>
      <c r="BI414" s="48"/>
      <c r="BJ414" s="48"/>
      <c r="BK414" s="48"/>
      <c r="BL414" s="48"/>
      <c r="BM414" s="48"/>
      <c r="BN414" s="49"/>
      <c r="BO414" s="48"/>
      <c r="BP414" s="48"/>
      <c r="BQ414" s="50"/>
    </row>
    <row r="415" spans="1:69" ht="16" x14ac:dyDescent="0.35">
      <c r="A415"/>
      <c r="B415"/>
      <c r="D415"/>
      <c r="G415"/>
      <c r="H415" s="20"/>
      <c r="I415" s="20"/>
      <c r="J415" s="20"/>
      <c r="K415" s="20"/>
      <c r="L415" s="20"/>
      <c r="Q415" s="83"/>
      <c r="Y415" s="20"/>
      <c r="AP415" s="92"/>
      <c r="AQ415" s="67"/>
      <c r="AR415" s="67"/>
      <c r="AS415" s="73"/>
      <c r="AT415" s="67"/>
      <c r="AU415" s="67"/>
      <c r="AV415" s="94" t="s">
        <v>214</v>
      </c>
      <c r="AW415" s="68"/>
      <c r="AX415" s="68"/>
      <c r="AY415" s="68"/>
      <c r="AZ415" s="68"/>
      <c r="BA415" s="68"/>
      <c r="BB415" s="67"/>
      <c r="BC415" s="67"/>
      <c r="BD415" s="67"/>
      <c r="BE415" s="67"/>
      <c r="BF415" s="96">
        <v>3</v>
      </c>
      <c r="BG415" s="52"/>
      <c r="BH415" s="52"/>
      <c r="BI415" s="52"/>
      <c r="BJ415" s="52"/>
      <c r="BK415" s="52"/>
      <c r="BL415" s="52"/>
      <c r="BM415" s="52"/>
      <c r="BN415" s="53"/>
      <c r="BO415" s="52"/>
      <c r="BP415" s="52"/>
      <c r="BQ415" s="54"/>
    </row>
    <row r="416" spans="1:69" ht="16" x14ac:dyDescent="0.35">
      <c r="A416"/>
      <c r="B416"/>
      <c r="D416"/>
      <c r="G416"/>
      <c r="H416" s="20"/>
      <c r="I416" s="20"/>
      <c r="J416" s="20"/>
      <c r="K416" s="20"/>
      <c r="L416" s="20"/>
      <c r="Q416" s="83"/>
      <c r="Y416" s="20"/>
      <c r="AP416" s="93"/>
      <c r="AQ416" s="31"/>
      <c r="AR416" s="31"/>
      <c r="AS416" s="94"/>
      <c r="AT416" s="31"/>
      <c r="AU416" s="31"/>
      <c r="AV416" s="73" t="s">
        <v>214</v>
      </c>
      <c r="AW416" s="32"/>
      <c r="AX416" s="32"/>
      <c r="AY416" s="32"/>
      <c r="AZ416" s="32"/>
      <c r="BA416" s="32"/>
      <c r="BB416" s="31"/>
      <c r="BC416" s="31"/>
      <c r="BD416" s="31"/>
      <c r="BE416" s="31"/>
      <c r="BF416" s="95">
        <v>3</v>
      </c>
      <c r="BG416" s="48"/>
      <c r="BH416" s="48"/>
      <c r="BI416" s="48"/>
      <c r="BJ416" s="48"/>
      <c r="BK416" s="48"/>
      <c r="BL416" s="48"/>
      <c r="BM416" s="48"/>
      <c r="BN416" s="49"/>
      <c r="BO416" s="48"/>
      <c r="BP416" s="48"/>
      <c r="BQ416" s="50"/>
    </row>
    <row r="417" spans="1:69" ht="16" x14ac:dyDescent="0.35">
      <c r="A417"/>
      <c r="B417"/>
      <c r="D417"/>
      <c r="G417"/>
      <c r="H417" s="20"/>
      <c r="I417" s="20"/>
      <c r="J417" s="20"/>
      <c r="K417" s="20"/>
      <c r="L417" s="20"/>
      <c r="Q417" s="83"/>
      <c r="Y417" s="20"/>
      <c r="AP417" s="92"/>
      <c r="AQ417" s="67"/>
      <c r="AR417" s="67"/>
      <c r="AS417" s="73"/>
      <c r="AT417" s="67"/>
      <c r="AU417" s="67"/>
      <c r="AV417" s="94" t="s">
        <v>214</v>
      </c>
      <c r="AW417" s="68"/>
      <c r="AX417" s="68"/>
      <c r="AY417" s="68"/>
      <c r="AZ417" s="68"/>
      <c r="BA417" s="68"/>
      <c r="BB417" s="67"/>
      <c r="BC417" s="67"/>
      <c r="BD417" s="67"/>
      <c r="BE417" s="67"/>
      <c r="BF417" s="96">
        <v>3</v>
      </c>
      <c r="BG417" s="52"/>
      <c r="BH417" s="52"/>
      <c r="BI417" s="52"/>
      <c r="BJ417" s="52"/>
      <c r="BK417" s="52"/>
      <c r="BL417" s="52"/>
      <c r="BM417" s="52"/>
      <c r="BN417" s="53"/>
      <c r="BO417" s="52"/>
      <c r="BP417" s="52"/>
      <c r="BQ417" s="54"/>
    </row>
    <row r="418" spans="1:69" ht="16" x14ac:dyDescent="0.35">
      <c r="A418"/>
      <c r="B418"/>
      <c r="D418"/>
      <c r="G418"/>
      <c r="H418" s="20"/>
      <c r="I418" s="20"/>
      <c r="J418" s="20"/>
      <c r="K418" s="20"/>
      <c r="L418" s="20"/>
      <c r="Q418" s="83"/>
      <c r="Y418" s="20"/>
      <c r="AP418" s="93"/>
      <c r="AQ418" s="31"/>
      <c r="AR418" s="31"/>
      <c r="AS418" s="94"/>
      <c r="AT418" s="31"/>
      <c r="AU418" s="31"/>
      <c r="AV418" s="73" t="s">
        <v>214</v>
      </c>
      <c r="AW418" s="32"/>
      <c r="AX418" s="32"/>
      <c r="AY418" s="32"/>
      <c r="AZ418" s="32"/>
      <c r="BA418" s="32"/>
      <c r="BB418" s="31"/>
      <c r="BC418" s="31"/>
      <c r="BD418" s="31"/>
      <c r="BE418" s="31"/>
      <c r="BF418" s="95">
        <v>3</v>
      </c>
      <c r="BG418" s="48"/>
      <c r="BH418" s="48"/>
      <c r="BI418" s="48"/>
      <c r="BJ418" s="48"/>
      <c r="BK418" s="48"/>
      <c r="BL418" s="48"/>
      <c r="BM418" s="48"/>
      <c r="BN418" s="49"/>
      <c r="BO418" s="48"/>
      <c r="BP418" s="48"/>
      <c r="BQ418" s="50"/>
    </row>
    <row r="419" spans="1:69" ht="16" x14ac:dyDescent="0.35">
      <c r="A419"/>
      <c r="B419"/>
      <c r="D419"/>
      <c r="G419"/>
      <c r="H419" s="20"/>
      <c r="I419" s="20"/>
      <c r="J419" s="20"/>
      <c r="K419" s="20"/>
      <c r="L419" s="20"/>
      <c r="Q419" s="83"/>
      <c r="Y419" s="20"/>
      <c r="AP419" s="92"/>
      <c r="AQ419" s="67"/>
      <c r="AR419" s="67"/>
      <c r="AS419" s="73"/>
      <c r="AT419" s="67"/>
      <c r="AU419" s="67"/>
      <c r="AV419" s="94" t="s">
        <v>214</v>
      </c>
      <c r="AW419" s="68"/>
      <c r="AX419" s="68"/>
      <c r="AY419" s="68"/>
      <c r="AZ419" s="68"/>
      <c r="BA419" s="68"/>
      <c r="BB419" s="67"/>
      <c r="BC419" s="67"/>
      <c r="BD419" s="67"/>
      <c r="BE419" s="67"/>
      <c r="BF419" s="96">
        <v>3</v>
      </c>
      <c r="BG419" s="52"/>
      <c r="BH419" s="52"/>
      <c r="BI419" s="52"/>
      <c r="BJ419" s="52"/>
      <c r="BK419" s="52"/>
      <c r="BL419" s="52"/>
      <c r="BM419" s="52"/>
      <c r="BN419" s="53"/>
      <c r="BO419" s="52"/>
      <c r="BP419" s="52"/>
      <c r="BQ419" s="54"/>
    </row>
    <row r="420" spans="1:69" ht="16" x14ac:dyDescent="0.35">
      <c r="A420"/>
      <c r="B420"/>
      <c r="D420"/>
      <c r="G420"/>
      <c r="H420" s="20"/>
      <c r="I420" s="20"/>
      <c r="J420" s="20"/>
      <c r="K420" s="20"/>
      <c r="L420" s="20"/>
      <c r="Q420" s="83"/>
      <c r="Y420" s="20"/>
      <c r="AP420" s="93"/>
      <c r="AQ420" s="31"/>
      <c r="AR420" s="31"/>
      <c r="AS420" s="94"/>
      <c r="AT420" s="31"/>
      <c r="AU420" s="31"/>
      <c r="AV420" s="73" t="s">
        <v>214</v>
      </c>
      <c r="AW420" s="32"/>
      <c r="AX420" s="32"/>
      <c r="AY420" s="32"/>
      <c r="AZ420" s="32"/>
      <c r="BA420" s="32"/>
      <c r="BB420" s="31"/>
      <c r="BC420" s="31"/>
      <c r="BD420" s="31"/>
      <c r="BE420" s="31"/>
      <c r="BF420" s="95">
        <v>3</v>
      </c>
      <c r="BG420" s="48"/>
      <c r="BH420" s="48"/>
      <c r="BI420" s="48"/>
      <c r="BJ420" s="48"/>
      <c r="BK420" s="48"/>
      <c r="BL420" s="48"/>
      <c r="BM420" s="48"/>
      <c r="BN420" s="49"/>
      <c r="BO420" s="48"/>
      <c r="BP420" s="48"/>
      <c r="BQ420" s="50"/>
    </row>
    <row r="421" spans="1:69" ht="16" x14ac:dyDescent="0.35">
      <c r="A421"/>
      <c r="B421"/>
      <c r="D421"/>
      <c r="G421"/>
      <c r="H421" s="20"/>
      <c r="I421" s="20"/>
      <c r="J421" s="20"/>
      <c r="K421" s="20"/>
      <c r="L421" s="20"/>
      <c r="Q421" s="83"/>
      <c r="Y421" s="20"/>
      <c r="AP421" s="92"/>
      <c r="AQ421" s="67"/>
      <c r="AR421" s="67"/>
      <c r="AS421" s="73"/>
      <c r="AT421" s="67"/>
      <c r="AU421" s="67"/>
      <c r="AV421" s="94" t="s">
        <v>214</v>
      </c>
      <c r="AW421" s="68"/>
      <c r="AX421" s="68"/>
      <c r="AY421" s="68"/>
      <c r="AZ421" s="68"/>
      <c r="BA421" s="68"/>
      <c r="BB421" s="67"/>
      <c r="BC421" s="67"/>
      <c r="BD421" s="67"/>
      <c r="BE421" s="67"/>
      <c r="BF421" s="96">
        <v>3</v>
      </c>
      <c r="BG421" s="52"/>
      <c r="BH421" s="52"/>
      <c r="BI421" s="52"/>
      <c r="BJ421" s="52"/>
      <c r="BK421" s="52"/>
      <c r="BL421" s="52"/>
      <c r="BM421" s="52"/>
      <c r="BN421" s="53"/>
      <c r="BO421" s="52"/>
      <c r="BP421" s="52"/>
      <c r="BQ421" s="54"/>
    </row>
    <row r="422" spans="1:69" ht="16" x14ac:dyDescent="0.35">
      <c r="A422"/>
      <c r="B422"/>
      <c r="D422"/>
      <c r="G422"/>
      <c r="H422" s="20"/>
      <c r="I422" s="20"/>
      <c r="J422" s="20"/>
      <c r="K422" s="20"/>
      <c r="L422" s="20"/>
      <c r="Q422" s="83"/>
      <c r="Y422" s="20"/>
      <c r="AP422" s="93"/>
      <c r="AQ422" s="31"/>
      <c r="AR422" s="31"/>
      <c r="AS422" s="94"/>
      <c r="AT422" s="31"/>
      <c r="AU422" s="31"/>
      <c r="AV422" s="73" t="s">
        <v>214</v>
      </c>
      <c r="AW422" s="32"/>
      <c r="AX422" s="32"/>
      <c r="AY422" s="32"/>
      <c r="AZ422" s="32"/>
      <c r="BA422" s="32"/>
      <c r="BB422" s="31"/>
      <c r="BC422" s="31"/>
      <c r="BD422" s="31"/>
      <c r="BE422" s="31"/>
      <c r="BF422" s="95">
        <v>3</v>
      </c>
      <c r="BG422" s="48"/>
      <c r="BH422" s="48"/>
      <c r="BI422" s="48"/>
      <c r="BJ422" s="48"/>
      <c r="BK422" s="48"/>
      <c r="BL422" s="48"/>
      <c r="BM422" s="48"/>
      <c r="BN422" s="49"/>
      <c r="BO422" s="48"/>
      <c r="BP422" s="48"/>
      <c r="BQ422" s="50"/>
    </row>
    <row r="423" spans="1:69" ht="16" x14ac:dyDescent="0.35">
      <c r="A423"/>
      <c r="B423"/>
      <c r="D423"/>
      <c r="G423"/>
      <c r="H423" s="20"/>
      <c r="I423" s="20"/>
      <c r="J423" s="20"/>
      <c r="K423" s="20"/>
      <c r="L423" s="20"/>
      <c r="Q423" s="83"/>
      <c r="Y423" s="20"/>
      <c r="AP423" s="92"/>
      <c r="AQ423" s="67"/>
      <c r="AR423" s="67"/>
      <c r="AS423" s="73"/>
      <c r="AT423" s="67"/>
      <c r="AU423" s="67"/>
      <c r="AV423" s="94" t="s">
        <v>214</v>
      </c>
      <c r="AW423" s="68"/>
      <c r="AX423" s="68"/>
      <c r="AY423" s="68"/>
      <c r="AZ423" s="68"/>
      <c r="BA423" s="68"/>
      <c r="BB423" s="67"/>
      <c r="BC423" s="67"/>
      <c r="BD423" s="67"/>
      <c r="BE423" s="67"/>
      <c r="BF423" s="96">
        <v>3</v>
      </c>
      <c r="BG423" s="52"/>
      <c r="BH423" s="52"/>
      <c r="BI423" s="52"/>
      <c r="BJ423" s="52"/>
      <c r="BK423" s="52"/>
      <c r="BL423" s="52"/>
      <c r="BM423" s="52"/>
      <c r="BN423" s="53"/>
      <c r="BO423" s="52"/>
      <c r="BP423" s="52"/>
      <c r="BQ423" s="54"/>
    </row>
    <row r="424" spans="1:69" ht="16" x14ac:dyDescent="0.35">
      <c r="A424"/>
      <c r="B424"/>
      <c r="D424"/>
      <c r="G424"/>
      <c r="H424" s="20"/>
      <c r="I424" s="20"/>
      <c r="J424" s="20"/>
      <c r="K424" s="20"/>
      <c r="L424" s="20"/>
      <c r="Q424" s="83"/>
      <c r="Y424" s="20"/>
      <c r="AP424" s="93"/>
      <c r="AQ424" s="31"/>
      <c r="AR424" s="31"/>
      <c r="AS424" s="94"/>
      <c r="AT424" s="31"/>
      <c r="AU424" s="31"/>
      <c r="AV424" s="73" t="s">
        <v>214</v>
      </c>
      <c r="AW424" s="32"/>
      <c r="AX424" s="32"/>
      <c r="AY424" s="32"/>
      <c r="AZ424" s="32"/>
      <c r="BA424" s="32"/>
      <c r="BB424" s="31"/>
      <c r="BC424" s="31"/>
      <c r="BD424" s="31"/>
      <c r="BE424" s="31"/>
      <c r="BF424" s="95">
        <v>3</v>
      </c>
      <c r="BG424" s="48"/>
      <c r="BH424" s="48"/>
      <c r="BI424" s="48"/>
      <c r="BJ424" s="48"/>
      <c r="BK424" s="48"/>
      <c r="BL424" s="48"/>
      <c r="BM424" s="48"/>
      <c r="BN424" s="49"/>
      <c r="BO424" s="48"/>
      <c r="BP424" s="48"/>
      <c r="BQ424" s="50"/>
    </row>
    <row r="425" spans="1:69" ht="16" x14ac:dyDescent="0.35">
      <c r="A425"/>
      <c r="B425"/>
      <c r="D425"/>
      <c r="G425"/>
      <c r="H425" s="20"/>
      <c r="I425" s="20"/>
      <c r="J425" s="20"/>
      <c r="K425" s="20"/>
      <c r="L425" s="20"/>
      <c r="Q425" s="83"/>
      <c r="Y425" s="20"/>
      <c r="AP425" s="92"/>
      <c r="AQ425" s="67"/>
      <c r="AR425" s="67"/>
      <c r="AS425" s="73"/>
      <c r="AT425" s="67"/>
      <c r="AU425" s="67"/>
      <c r="AV425" s="94" t="s">
        <v>214</v>
      </c>
      <c r="AW425" s="68"/>
      <c r="AX425" s="68"/>
      <c r="AY425" s="68"/>
      <c r="AZ425" s="68"/>
      <c r="BA425" s="68"/>
      <c r="BB425" s="67"/>
      <c r="BC425" s="67"/>
      <c r="BD425" s="67"/>
      <c r="BE425" s="67"/>
      <c r="BF425" s="96">
        <v>3</v>
      </c>
      <c r="BG425" s="52"/>
      <c r="BH425" s="52"/>
      <c r="BI425" s="52"/>
      <c r="BJ425" s="52"/>
      <c r="BK425" s="52"/>
      <c r="BL425" s="52"/>
      <c r="BM425" s="52"/>
      <c r="BN425" s="53"/>
      <c r="BO425" s="52"/>
      <c r="BP425" s="52"/>
      <c r="BQ425" s="54"/>
    </row>
    <row r="426" spans="1:69" ht="16" x14ac:dyDescent="0.35">
      <c r="A426"/>
      <c r="B426"/>
      <c r="D426"/>
      <c r="G426"/>
      <c r="H426" s="20"/>
      <c r="I426" s="20"/>
      <c r="J426" s="20"/>
      <c r="K426" s="20"/>
      <c r="L426" s="20"/>
      <c r="Q426" s="83"/>
      <c r="Y426" s="20"/>
      <c r="AP426" s="93"/>
      <c r="AQ426" s="31"/>
      <c r="AR426" s="31"/>
      <c r="AS426" s="94"/>
      <c r="AT426" s="31"/>
      <c r="AU426" s="31"/>
      <c r="AV426" s="73" t="s">
        <v>214</v>
      </c>
      <c r="AW426" s="32"/>
      <c r="AX426" s="32"/>
      <c r="AY426" s="32"/>
      <c r="AZ426" s="32"/>
      <c r="BA426" s="32"/>
      <c r="BB426" s="31"/>
      <c r="BC426" s="31"/>
      <c r="BD426" s="31"/>
      <c r="BE426" s="31"/>
      <c r="BF426" s="95">
        <v>3</v>
      </c>
      <c r="BG426" s="48"/>
      <c r="BH426" s="48"/>
      <c r="BI426" s="48"/>
      <c r="BJ426" s="48"/>
      <c r="BK426" s="48"/>
      <c r="BL426" s="48"/>
      <c r="BM426" s="48"/>
      <c r="BN426" s="49"/>
      <c r="BO426" s="48"/>
      <c r="BP426" s="48"/>
      <c r="BQ426" s="50"/>
    </row>
    <row r="427" spans="1:69" ht="16" x14ac:dyDescent="0.35">
      <c r="A427"/>
      <c r="B427"/>
      <c r="D427"/>
      <c r="G427"/>
      <c r="H427" s="20"/>
      <c r="I427" s="20"/>
      <c r="J427" s="20"/>
      <c r="K427" s="20"/>
      <c r="L427" s="20"/>
      <c r="Q427" s="83"/>
      <c r="Y427" s="20"/>
      <c r="AP427" s="92"/>
      <c r="AQ427" s="67"/>
      <c r="AR427" s="67"/>
      <c r="AS427" s="73"/>
      <c r="AT427" s="67"/>
      <c r="AU427" s="67"/>
      <c r="AV427" s="94" t="s">
        <v>214</v>
      </c>
      <c r="AW427" s="68"/>
      <c r="AX427" s="68"/>
      <c r="AY427" s="68"/>
      <c r="AZ427" s="68"/>
      <c r="BA427" s="68"/>
      <c r="BB427" s="67"/>
      <c r="BC427" s="67"/>
      <c r="BD427" s="67"/>
      <c r="BE427" s="67"/>
      <c r="BF427" s="96">
        <v>3</v>
      </c>
      <c r="BG427" s="52"/>
      <c r="BH427" s="52"/>
      <c r="BI427" s="52"/>
      <c r="BJ427" s="52"/>
      <c r="BK427" s="52"/>
      <c r="BL427" s="52"/>
      <c r="BM427" s="52"/>
      <c r="BN427" s="53"/>
      <c r="BO427" s="52"/>
      <c r="BP427" s="52"/>
      <c r="BQ427" s="54"/>
    </row>
    <row r="428" spans="1:69" ht="16" x14ac:dyDescent="0.35">
      <c r="A428"/>
      <c r="B428"/>
      <c r="D428"/>
      <c r="G428"/>
      <c r="H428" s="20"/>
      <c r="I428" s="20"/>
      <c r="J428" s="20"/>
      <c r="K428" s="20"/>
      <c r="L428" s="20"/>
      <c r="Q428" s="83"/>
      <c r="Y428" s="20"/>
      <c r="AP428" s="93"/>
      <c r="AQ428" s="31"/>
      <c r="AR428" s="31"/>
      <c r="AS428" s="94"/>
      <c r="AT428" s="31"/>
      <c r="AU428" s="31"/>
      <c r="AV428" s="73" t="s">
        <v>213</v>
      </c>
      <c r="AW428" s="32"/>
      <c r="AX428" s="32"/>
      <c r="AY428" s="32"/>
      <c r="AZ428" s="32"/>
      <c r="BA428" s="32"/>
      <c r="BB428" s="31"/>
      <c r="BC428" s="31"/>
      <c r="BD428" s="31"/>
      <c r="BE428" s="31"/>
      <c r="BF428" s="95">
        <v>0</v>
      </c>
      <c r="BG428" s="48"/>
      <c r="BH428" s="48"/>
      <c r="BI428" s="48"/>
      <c r="BJ428" s="48"/>
      <c r="BK428" s="48"/>
      <c r="BL428" s="48"/>
      <c r="BM428" s="48"/>
      <c r="BN428" s="49"/>
      <c r="BO428" s="48"/>
      <c r="BP428" s="48"/>
      <c r="BQ428" s="50"/>
    </row>
    <row r="429" spans="1:69" ht="16" x14ac:dyDescent="0.35">
      <c r="A429"/>
      <c r="B429"/>
      <c r="D429"/>
      <c r="G429"/>
      <c r="H429" s="20"/>
      <c r="I429" s="20"/>
      <c r="J429" s="20"/>
      <c r="K429" s="20"/>
      <c r="L429" s="20"/>
      <c r="Q429" s="83"/>
      <c r="Y429" s="20"/>
      <c r="AP429" s="92"/>
      <c r="AQ429" s="67"/>
      <c r="AR429" s="67"/>
      <c r="AS429" s="73"/>
      <c r="AT429" s="67"/>
      <c r="AU429" s="67"/>
      <c r="AV429" s="94" t="s">
        <v>213</v>
      </c>
      <c r="AW429" s="68"/>
      <c r="AX429" s="68"/>
      <c r="AY429" s="68"/>
      <c r="AZ429" s="68"/>
      <c r="BA429" s="68"/>
      <c r="BB429" s="67"/>
      <c r="BC429" s="67"/>
      <c r="BD429" s="67"/>
      <c r="BE429" s="67"/>
      <c r="BF429" s="96">
        <v>0</v>
      </c>
      <c r="BG429" s="52"/>
      <c r="BH429" s="52"/>
      <c r="BI429" s="52"/>
      <c r="BJ429" s="52"/>
      <c r="BK429" s="52"/>
      <c r="BL429" s="52"/>
      <c r="BM429" s="52"/>
      <c r="BN429" s="53"/>
      <c r="BO429" s="52"/>
      <c r="BP429" s="52"/>
      <c r="BQ429" s="54"/>
    </row>
    <row r="430" spans="1:69" ht="16" x14ac:dyDescent="0.35">
      <c r="A430"/>
      <c r="B430"/>
      <c r="D430"/>
      <c r="G430"/>
      <c r="H430" s="20"/>
      <c r="I430" s="20"/>
      <c r="J430" s="20"/>
      <c r="K430" s="20"/>
      <c r="L430" s="20"/>
      <c r="Q430" s="83"/>
      <c r="Y430" s="20"/>
      <c r="AP430" s="93"/>
      <c r="AQ430" s="31"/>
      <c r="AR430" s="31"/>
      <c r="AS430" s="94"/>
      <c r="AT430" s="31"/>
      <c r="AU430" s="31"/>
      <c r="AV430" s="73" t="s">
        <v>214</v>
      </c>
      <c r="AW430" s="32"/>
      <c r="AX430" s="32"/>
      <c r="AY430" s="32"/>
      <c r="AZ430" s="32"/>
      <c r="BA430" s="32"/>
      <c r="BB430" s="31"/>
      <c r="BC430" s="31"/>
      <c r="BD430" s="31"/>
      <c r="BE430" s="31"/>
      <c r="BF430" s="95">
        <v>0</v>
      </c>
      <c r="BG430" s="48"/>
      <c r="BH430" s="48"/>
      <c r="BI430" s="48"/>
      <c r="BJ430" s="48"/>
      <c r="BK430" s="48"/>
      <c r="BL430" s="48"/>
      <c r="BM430" s="48"/>
      <c r="BN430" s="49"/>
      <c r="BO430" s="48"/>
      <c r="BP430" s="48"/>
      <c r="BQ430" s="50"/>
    </row>
    <row r="431" spans="1:69" ht="16" x14ac:dyDescent="0.35">
      <c r="A431"/>
      <c r="B431"/>
      <c r="D431"/>
      <c r="G431"/>
      <c r="H431" s="20"/>
      <c r="I431" s="20"/>
      <c r="J431" s="20"/>
      <c r="K431" s="20"/>
      <c r="L431" s="20"/>
      <c r="Q431" s="83"/>
      <c r="Y431" s="20"/>
      <c r="AP431" s="92"/>
      <c r="AQ431" s="67"/>
      <c r="AR431" s="67"/>
      <c r="AS431" s="73"/>
      <c r="AT431" s="67"/>
      <c r="AU431" s="67"/>
      <c r="AV431" s="94" t="s">
        <v>214</v>
      </c>
      <c r="AW431" s="68"/>
      <c r="AX431" s="68"/>
      <c r="AY431" s="68"/>
      <c r="AZ431" s="68"/>
      <c r="BA431" s="68"/>
      <c r="BB431" s="67"/>
      <c r="BC431" s="67"/>
      <c r="BD431" s="67"/>
      <c r="BE431" s="67"/>
      <c r="BF431" s="96">
        <v>0</v>
      </c>
      <c r="BG431" s="52"/>
      <c r="BH431" s="52"/>
      <c r="BI431" s="52"/>
      <c r="BJ431" s="52"/>
      <c r="BK431" s="52"/>
      <c r="BL431" s="52"/>
      <c r="BM431" s="52"/>
      <c r="BN431" s="53"/>
      <c r="BO431" s="52"/>
      <c r="BP431" s="52"/>
      <c r="BQ431" s="54"/>
    </row>
    <row r="432" spans="1:69" ht="16" x14ac:dyDescent="0.35">
      <c r="A432"/>
      <c r="B432"/>
      <c r="D432"/>
      <c r="G432"/>
      <c r="H432" s="20"/>
      <c r="I432" s="20"/>
      <c r="J432" s="20"/>
      <c r="K432" s="20"/>
      <c r="L432" s="20"/>
      <c r="Q432" s="83"/>
      <c r="Y432" s="20"/>
      <c r="AP432" s="93"/>
      <c r="AQ432" s="31"/>
      <c r="AR432" s="31"/>
      <c r="AS432" s="94"/>
      <c r="AT432" s="31"/>
      <c r="AU432" s="31"/>
      <c r="AV432" s="73" t="s">
        <v>214</v>
      </c>
      <c r="AW432" s="32"/>
      <c r="AX432" s="32"/>
      <c r="AY432" s="32"/>
      <c r="AZ432" s="32"/>
      <c r="BA432" s="32"/>
      <c r="BB432" s="31"/>
      <c r="BC432" s="31"/>
      <c r="BD432" s="31"/>
      <c r="BE432" s="31"/>
      <c r="BF432" s="95">
        <v>0</v>
      </c>
      <c r="BG432" s="48"/>
      <c r="BH432" s="48"/>
      <c r="BI432" s="48"/>
      <c r="BJ432" s="48"/>
      <c r="BK432" s="48"/>
      <c r="BL432" s="48"/>
      <c r="BM432" s="48"/>
      <c r="BN432" s="49"/>
      <c r="BO432" s="48"/>
      <c r="BP432" s="48"/>
      <c r="BQ432" s="50"/>
    </row>
    <row r="433" spans="1:69" ht="16" x14ac:dyDescent="0.35">
      <c r="A433"/>
      <c r="B433"/>
      <c r="D433"/>
      <c r="G433"/>
      <c r="H433" s="20"/>
      <c r="I433" s="20"/>
      <c r="J433" s="20"/>
      <c r="K433" s="20"/>
      <c r="L433" s="20"/>
      <c r="Q433" s="83"/>
      <c r="Y433" s="20"/>
      <c r="AP433" s="92"/>
      <c r="AQ433" s="67"/>
      <c r="AR433" s="67"/>
      <c r="AS433" s="73"/>
      <c r="AT433" s="67"/>
      <c r="AU433" s="67"/>
      <c r="AV433" s="94" t="s">
        <v>214</v>
      </c>
      <c r="AW433" s="68"/>
      <c r="AX433" s="68"/>
      <c r="AY433" s="68"/>
      <c r="AZ433" s="68"/>
      <c r="BA433" s="68"/>
      <c r="BB433" s="67"/>
      <c r="BC433" s="67"/>
      <c r="BD433" s="67"/>
      <c r="BE433" s="67"/>
      <c r="BF433" s="96">
        <v>0</v>
      </c>
      <c r="BG433" s="52"/>
      <c r="BH433" s="52"/>
      <c r="BI433" s="52"/>
      <c r="BJ433" s="52"/>
      <c r="BK433" s="52"/>
      <c r="BL433" s="52"/>
      <c r="BM433" s="52"/>
      <c r="BN433" s="53"/>
      <c r="BO433" s="52"/>
      <c r="BP433" s="52"/>
      <c r="BQ433" s="54"/>
    </row>
    <row r="434" spans="1:69" ht="16" x14ac:dyDescent="0.35">
      <c r="A434"/>
      <c r="B434"/>
      <c r="D434"/>
      <c r="G434"/>
      <c r="H434" s="20"/>
      <c r="I434" s="20"/>
      <c r="J434" s="20"/>
      <c r="K434" s="20"/>
      <c r="L434" s="20"/>
      <c r="Q434" s="83"/>
      <c r="Y434" s="20"/>
      <c r="AP434" s="93"/>
      <c r="AQ434" s="31"/>
      <c r="AR434" s="31"/>
      <c r="AS434" s="94"/>
      <c r="AT434" s="31"/>
      <c r="AU434" s="31"/>
      <c r="AV434" s="73" t="s">
        <v>214</v>
      </c>
      <c r="AW434" s="32"/>
      <c r="AX434" s="32"/>
      <c r="AY434" s="32"/>
      <c r="AZ434" s="32"/>
      <c r="BA434" s="32"/>
      <c r="BB434" s="31"/>
      <c r="BC434" s="31"/>
      <c r="BD434" s="31"/>
      <c r="BE434" s="31"/>
      <c r="BF434" s="95">
        <v>0</v>
      </c>
      <c r="BG434" s="48"/>
      <c r="BH434" s="48"/>
      <c r="BI434" s="48"/>
      <c r="BJ434" s="48"/>
      <c r="BK434" s="48"/>
      <c r="BL434" s="48"/>
      <c r="BM434" s="48"/>
      <c r="BN434" s="49"/>
      <c r="BO434" s="48"/>
      <c r="BP434" s="48"/>
      <c r="BQ434" s="50"/>
    </row>
    <row r="435" spans="1:69" ht="16" x14ac:dyDescent="0.35">
      <c r="A435"/>
      <c r="B435"/>
      <c r="D435"/>
      <c r="G435"/>
      <c r="H435" s="20"/>
      <c r="I435" s="20"/>
      <c r="J435" s="20"/>
      <c r="K435" s="20"/>
      <c r="L435" s="20"/>
      <c r="Q435" s="83"/>
      <c r="Y435" s="20"/>
      <c r="AP435" s="92"/>
      <c r="AQ435" s="67"/>
      <c r="AR435" s="67"/>
      <c r="AS435" s="73"/>
      <c r="AT435" s="67"/>
      <c r="AU435" s="67"/>
      <c r="AV435" s="94" t="s">
        <v>214</v>
      </c>
      <c r="AW435" s="68"/>
      <c r="AX435" s="68"/>
      <c r="AY435" s="68"/>
      <c r="AZ435" s="68"/>
      <c r="BA435" s="68"/>
      <c r="BB435" s="67"/>
      <c r="BC435" s="67"/>
      <c r="BD435" s="67"/>
      <c r="BE435" s="67"/>
      <c r="BF435" s="96">
        <v>0</v>
      </c>
      <c r="BG435" s="52"/>
      <c r="BH435" s="52"/>
      <c r="BI435" s="52"/>
      <c r="BJ435" s="52"/>
      <c r="BK435" s="52"/>
      <c r="BL435" s="52"/>
      <c r="BM435" s="52"/>
      <c r="BN435" s="53"/>
      <c r="BO435" s="52"/>
      <c r="BP435" s="52"/>
      <c r="BQ435" s="54"/>
    </row>
    <row r="436" spans="1:69" ht="16" x14ac:dyDescent="0.35">
      <c r="A436"/>
      <c r="B436"/>
      <c r="D436"/>
      <c r="G436"/>
      <c r="H436" s="20"/>
      <c r="I436" s="20"/>
      <c r="J436" s="20"/>
      <c r="K436" s="20"/>
      <c r="L436" s="20"/>
      <c r="Q436" s="83"/>
      <c r="Y436" s="20"/>
      <c r="AP436" s="93"/>
      <c r="AQ436" s="31"/>
      <c r="AR436" s="31"/>
      <c r="AS436" s="94"/>
      <c r="AT436" s="31"/>
      <c r="AU436" s="31"/>
      <c r="AV436" s="73" t="s">
        <v>214</v>
      </c>
      <c r="AW436" s="32"/>
      <c r="AX436" s="32"/>
      <c r="AY436" s="32"/>
      <c r="AZ436" s="32"/>
      <c r="BA436" s="32"/>
      <c r="BB436" s="31"/>
      <c r="BC436" s="31"/>
      <c r="BD436" s="31"/>
      <c r="BE436" s="31"/>
      <c r="BF436" s="95">
        <v>0</v>
      </c>
      <c r="BG436" s="48"/>
      <c r="BH436" s="48"/>
      <c r="BI436" s="48"/>
      <c r="BJ436" s="48"/>
      <c r="BK436" s="48"/>
      <c r="BL436" s="48"/>
      <c r="BM436" s="48"/>
      <c r="BN436" s="49"/>
      <c r="BO436" s="48"/>
      <c r="BP436" s="48"/>
      <c r="BQ436" s="50"/>
    </row>
    <row r="437" spans="1:69" ht="16" x14ac:dyDescent="0.35">
      <c r="A437"/>
      <c r="B437"/>
      <c r="D437"/>
      <c r="G437"/>
      <c r="H437" s="20"/>
      <c r="I437" s="20"/>
      <c r="J437" s="20"/>
      <c r="K437" s="20"/>
      <c r="L437" s="20"/>
      <c r="Q437" s="83"/>
      <c r="Y437" s="20"/>
      <c r="AP437" s="92"/>
      <c r="AQ437" s="67"/>
      <c r="AR437" s="67"/>
      <c r="AS437" s="73"/>
      <c r="AT437" s="67"/>
      <c r="AU437" s="67"/>
      <c r="AV437" s="94" t="s">
        <v>214</v>
      </c>
      <c r="AW437" s="68"/>
      <c r="AX437" s="68"/>
      <c r="AY437" s="68"/>
      <c r="AZ437" s="68"/>
      <c r="BA437" s="68"/>
      <c r="BB437" s="67"/>
      <c r="BC437" s="67"/>
      <c r="BD437" s="67"/>
      <c r="BE437" s="67"/>
      <c r="BF437" s="96">
        <v>0</v>
      </c>
      <c r="BG437" s="52"/>
      <c r="BH437" s="52"/>
      <c r="BI437" s="52"/>
      <c r="BJ437" s="52"/>
      <c r="BK437" s="52"/>
      <c r="BL437" s="52"/>
      <c r="BM437" s="52"/>
      <c r="BN437" s="53"/>
      <c r="BO437" s="52"/>
      <c r="BP437" s="52"/>
      <c r="BQ437" s="54"/>
    </row>
    <row r="438" spans="1:69" ht="16" x14ac:dyDescent="0.35">
      <c r="A438"/>
      <c r="B438"/>
      <c r="D438"/>
      <c r="G438"/>
      <c r="H438" s="20"/>
      <c r="I438" s="20"/>
      <c r="J438" s="20"/>
      <c r="K438" s="20"/>
      <c r="L438" s="20"/>
      <c r="Q438" s="83"/>
      <c r="Y438" s="20"/>
      <c r="AP438" s="93"/>
      <c r="AQ438" s="31"/>
      <c r="AR438" s="31"/>
      <c r="AS438" s="94"/>
      <c r="AT438" s="31"/>
      <c r="AU438" s="31"/>
      <c r="AV438" s="73" t="s">
        <v>214</v>
      </c>
      <c r="AW438" s="32"/>
      <c r="AX438" s="32"/>
      <c r="AY438" s="32"/>
      <c r="AZ438" s="32"/>
      <c r="BA438" s="32"/>
      <c r="BB438" s="31"/>
      <c r="BC438" s="31"/>
      <c r="BD438" s="31"/>
      <c r="BE438" s="31"/>
      <c r="BF438" s="95">
        <v>0</v>
      </c>
      <c r="BG438" s="48"/>
      <c r="BH438" s="48"/>
      <c r="BI438" s="48"/>
      <c r="BJ438" s="48"/>
      <c r="BK438" s="48"/>
      <c r="BL438" s="48"/>
      <c r="BM438" s="48"/>
      <c r="BN438" s="49"/>
      <c r="BO438" s="48"/>
      <c r="BP438" s="48"/>
      <c r="BQ438" s="50"/>
    </row>
    <row r="439" spans="1:69" ht="16" x14ac:dyDescent="0.35">
      <c r="A439"/>
      <c r="B439"/>
      <c r="D439"/>
      <c r="G439"/>
      <c r="H439" s="20"/>
      <c r="I439" s="20"/>
      <c r="J439" s="20"/>
      <c r="K439" s="20"/>
      <c r="L439" s="20"/>
      <c r="Q439" s="83"/>
      <c r="Y439" s="20"/>
      <c r="AP439" s="92"/>
      <c r="AQ439" s="67"/>
      <c r="AR439" s="67"/>
      <c r="AS439" s="73"/>
      <c r="AT439" s="67"/>
      <c r="AU439" s="67"/>
      <c r="AV439" s="94" t="s">
        <v>214</v>
      </c>
      <c r="AW439" s="68"/>
      <c r="AX439" s="68"/>
      <c r="AY439" s="68"/>
      <c r="AZ439" s="68"/>
      <c r="BA439" s="68"/>
      <c r="BB439" s="67"/>
      <c r="BC439" s="67"/>
      <c r="BD439" s="67"/>
      <c r="BE439" s="67"/>
      <c r="BF439" s="96">
        <v>0</v>
      </c>
      <c r="BG439" s="52"/>
      <c r="BH439" s="52"/>
      <c r="BI439" s="52"/>
      <c r="BJ439" s="52"/>
      <c r="BK439" s="52"/>
      <c r="BL439" s="52"/>
      <c r="BM439" s="52"/>
      <c r="BN439" s="53"/>
      <c r="BO439" s="52"/>
      <c r="BP439" s="52"/>
      <c r="BQ439" s="54"/>
    </row>
    <row r="440" spans="1:69" ht="16" x14ac:dyDescent="0.35">
      <c r="A440"/>
      <c r="B440"/>
      <c r="D440"/>
      <c r="G440"/>
      <c r="H440" s="20"/>
      <c r="I440" s="20"/>
      <c r="J440" s="20"/>
      <c r="K440" s="20"/>
      <c r="L440" s="20"/>
      <c r="Q440" s="83"/>
      <c r="Y440" s="20"/>
      <c r="AP440" s="93"/>
      <c r="AQ440" s="31"/>
      <c r="AR440" s="31"/>
      <c r="AS440" s="94"/>
      <c r="AT440" s="31"/>
      <c r="AU440" s="31"/>
      <c r="AV440" s="73" t="s">
        <v>214</v>
      </c>
      <c r="AW440" s="32"/>
      <c r="AX440" s="32"/>
      <c r="AY440" s="32"/>
      <c r="AZ440" s="32"/>
      <c r="BA440" s="32"/>
      <c r="BB440" s="31"/>
      <c r="BC440" s="31"/>
      <c r="BD440" s="31"/>
      <c r="BE440" s="31"/>
      <c r="BF440" s="95">
        <v>0</v>
      </c>
      <c r="BG440" s="48"/>
      <c r="BH440" s="48"/>
      <c r="BI440" s="48"/>
      <c r="BJ440" s="48"/>
      <c r="BK440" s="48"/>
      <c r="BL440" s="48"/>
      <c r="BM440" s="48"/>
      <c r="BN440" s="49"/>
      <c r="BO440" s="48"/>
      <c r="BP440" s="48"/>
      <c r="BQ440" s="50"/>
    </row>
    <row r="441" spans="1:69" ht="16" x14ac:dyDescent="0.35">
      <c r="A441"/>
      <c r="B441"/>
      <c r="D441"/>
      <c r="G441"/>
      <c r="H441" s="20"/>
      <c r="I441" s="20"/>
      <c r="J441" s="20"/>
      <c r="K441" s="20"/>
      <c r="L441" s="20"/>
      <c r="Q441" s="83"/>
      <c r="Y441" s="20"/>
      <c r="AP441" s="92"/>
      <c r="AQ441" s="67"/>
      <c r="AR441" s="67"/>
      <c r="AS441" s="73"/>
      <c r="AT441" s="67"/>
      <c r="AU441" s="67"/>
      <c r="AV441" s="94" t="s">
        <v>214</v>
      </c>
      <c r="AW441" s="68"/>
      <c r="AX441" s="68"/>
      <c r="AY441" s="68"/>
      <c r="AZ441" s="68"/>
      <c r="BA441" s="68"/>
      <c r="BB441" s="67"/>
      <c r="BC441" s="67"/>
      <c r="BD441" s="67"/>
      <c r="BE441" s="67"/>
      <c r="BF441" s="96">
        <v>0</v>
      </c>
      <c r="BG441" s="52"/>
      <c r="BH441" s="52"/>
      <c r="BI441" s="52"/>
      <c r="BJ441" s="52"/>
      <c r="BK441" s="52"/>
      <c r="BL441" s="52"/>
      <c r="BM441" s="52"/>
      <c r="BN441" s="53"/>
      <c r="BO441" s="52"/>
      <c r="BP441" s="52"/>
      <c r="BQ441" s="54"/>
    </row>
    <row r="442" spans="1:69" ht="16" x14ac:dyDescent="0.35">
      <c r="A442"/>
      <c r="B442"/>
      <c r="D442"/>
      <c r="G442"/>
      <c r="H442" s="20"/>
      <c r="I442" s="20"/>
      <c r="J442" s="20"/>
      <c r="K442" s="20"/>
      <c r="L442" s="20"/>
      <c r="Q442" s="83"/>
      <c r="Y442" s="20"/>
      <c r="AP442" s="93"/>
      <c r="AQ442" s="31"/>
      <c r="AR442" s="31"/>
      <c r="AS442" s="94"/>
      <c r="AT442" s="31"/>
      <c r="AU442" s="31"/>
      <c r="AV442" s="73" t="s">
        <v>214</v>
      </c>
      <c r="AW442" s="32"/>
      <c r="AX442" s="32"/>
      <c r="AY442" s="32"/>
      <c r="AZ442" s="32"/>
      <c r="BA442" s="32"/>
      <c r="BB442" s="31"/>
      <c r="BC442" s="31"/>
      <c r="BD442" s="31"/>
      <c r="BE442" s="31"/>
      <c r="BF442" s="95">
        <v>0</v>
      </c>
      <c r="BG442" s="48"/>
      <c r="BH442" s="48"/>
      <c r="BI442" s="48"/>
      <c r="BJ442" s="48"/>
      <c r="BK442" s="48"/>
      <c r="BL442" s="48"/>
      <c r="BM442" s="48"/>
      <c r="BN442" s="49"/>
      <c r="BO442" s="48"/>
      <c r="BP442" s="48"/>
      <c r="BQ442" s="50"/>
    </row>
    <row r="443" spans="1:69" ht="16" x14ac:dyDescent="0.35">
      <c r="A443"/>
      <c r="B443"/>
      <c r="D443"/>
      <c r="G443"/>
      <c r="H443" s="20"/>
      <c r="I443" s="20"/>
      <c r="J443" s="20"/>
      <c r="K443" s="20"/>
      <c r="L443" s="20"/>
      <c r="Q443" s="83"/>
      <c r="Y443" s="20"/>
      <c r="AP443" s="92"/>
      <c r="AQ443" s="67"/>
      <c r="AR443" s="67"/>
      <c r="AS443" s="73"/>
      <c r="AT443" s="67"/>
      <c r="AU443" s="67"/>
      <c r="AV443" s="94" t="s">
        <v>214</v>
      </c>
      <c r="AW443" s="68"/>
      <c r="AX443" s="68"/>
      <c r="AY443" s="68"/>
      <c r="AZ443" s="68"/>
      <c r="BA443" s="68"/>
      <c r="BB443" s="67"/>
      <c r="BC443" s="67"/>
      <c r="BD443" s="67"/>
      <c r="BE443" s="67"/>
      <c r="BF443" s="96">
        <v>0</v>
      </c>
      <c r="BG443" s="52"/>
      <c r="BH443" s="52"/>
      <c r="BI443" s="52"/>
      <c r="BJ443" s="52"/>
      <c r="BK443" s="52"/>
      <c r="BL443" s="52"/>
      <c r="BM443" s="52"/>
      <c r="BN443" s="53"/>
      <c r="BO443" s="52"/>
      <c r="BP443" s="52"/>
      <c r="BQ443" s="54"/>
    </row>
    <row r="444" spans="1:69" ht="16" x14ac:dyDescent="0.35">
      <c r="A444"/>
      <c r="B444"/>
      <c r="D444"/>
      <c r="G444"/>
      <c r="H444" s="20"/>
      <c r="I444" s="20"/>
      <c r="J444" s="20"/>
      <c r="K444" s="20"/>
      <c r="L444" s="20"/>
      <c r="Q444" s="83"/>
      <c r="Y444" s="20"/>
      <c r="AP444" s="93"/>
      <c r="AQ444" s="31"/>
      <c r="AR444" s="31"/>
      <c r="AS444" s="94"/>
      <c r="AT444" s="31"/>
      <c r="AU444" s="31"/>
      <c r="AV444" s="73" t="s">
        <v>214</v>
      </c>
      <c r="AW444" s="32"/>
      <c r="AX444" s="32"/>
      <c r="AY444" s="32"/>
      <c r="AZ444" s="32"/>
      <c r="BA444" s="32"/>
      <c r="BB444" s="31"/>
      <c r="BC444" s="31"/>
      <c r="BD444" s="31"/>
      <c r="BE444" s="31"/>
      <c r="BF444" s="95">
        <v>0</v>
      </c>
      <c r="BG444" s="48"/>
      <c r="BH444" s="48"/>
      <c r="BI444" s="48"/>
      <c r="BJ444" s="48"/>
      <c r="BK444" s="48"/>
      <c r="BL444" s="48"/>
      <c r="BM444" s="48"/>
      <c r="BN444" s="49"/>
      <c r="BO444" s="48"/>
      <c r="BP444" s="48"/>
      <c r="BQ444" s="50"/>
    </row>
    <row r="445" spans="1:69" ht="16" x14ac:dyDescent="0.35">
      <c r="A445"/>
      <c r="B445"/>
      <c r="D445"/>
      <c r="G445"/>
      <c r="H445" s="20"/>
      <c r="I445" s="20"/>
      <c r="J445" s="20"/>
      <c r="K445" s="20"/>
      <c r="L445" s="20"/>
      <c r="Q445" s="83"/>
      <c r="Y445" s="20"/>
      <c r="AP445" s="92"/>
      <c r="AQ445" s="67"/>
      <c r="AR445" s="67"/>
      <c r="AS445" s="73"/>
      <c r="AT445" s="67"/>
      <c r="AU445" s="67"/>
      <c r="AV445" s="94" t="s">
        <v>214</v>
      </c>
      <c r="AW445" s="68"/>
      <c r="AX445" s="68"/>
      <c r="AY445" s="68"/>
      <c r="AZ445" s="68"/>
      <c r="BA445" s="68"/>
      <c r="BB445" s="67"/>
      <c r="BC445" s="67"/>
      <c r="BD445" s="67"/>
      <c r="BE445" s="67"/>
      <c r="BF445" s="96">
        <v>0</v>
      </c>
      <c r="BG445" s="52"/>
      <c r="BH445" s="52"/>
      <c r="BI445" s="52"/>
      <c r="BJ445" s="52"/>
      <c r="BK445" s="52"/>
      <c r="BL445" s="52"/>
      <c r="BM445" s="52"/>
      <c r="BN445" s="53"/>
      <c r="BO445" s="52"/>
      <c r="BP445" s="52"/>
      <c r="BQ445" s="54"/>
    </row>
    <row r="446" spans="1:69" ht="16" x14ac:dyDescent="0.35">
      <c r="A446"/>
      <c r="B446"/>
      <c r="D446"/>
      <c r="G446"/>
      <c r="H446" s="20"/>
      <c r="I446" s="20"/>
      <c r="J446" s="20"/>
      <c r="K446" s="20"/>
      <c r="L446" s="20"/>
      <c r="Q446" s="83"/>
      <c r="Y446" s="20"/>
      <c r="AP446" s="93"/>
      <c r="AQ446" s="31"/>
      <c r="AR446" s="31"/>
      <c r="AS446" s="94"/>
      <c r="AT446" s="31"/>
      <c r="AU446" s="31"/>
      <c r="AV446" s="73" t="s">
        <v>214</v>
      </c>
      <c r="AW446" s="32"/>
      <c r="AX446" s="32"/>
      <c r="AY446" s="32"/>
      <c r="AZ446" s="32"/>
      <c r="BA446" s="32"/>
      <c r="BB446" s="31"/>
      <c r="BC446" s="31"/>
      <c r="BD446" s="31"/>
      <c r="BE446" s="31"/>
      <c r="BF446" s="95">
        <v>0</v>
      </c>
      <c r="BG446" s="48"/>
      <c r="BH446" s="48"/>
      <c r="BI446" s="48"/>
      <c r="BJ446" s="48"/>
      <c r="BK446" s="48"/>
      <c r="BL446" s="48"/>
      <c r="BM446" s="48"/>
      <c r="BN446" s="49"/>
      <c r="BO446" s="48"/>
      <c r="BP446" s="48"/>
      <c r="BQ446" s="50"/>
    </row>
    <row r="447" spans="1:69" ht="16" x14ac:dyDescent="0.35">
      <c r="A447"/>
      <c r="B447"/>
      <c r="D447"/>
      <c r="G447"/>
      <c r="H447" s="20"/>
      <c r="I447" s="20"/>
      <c r="J447" s="20"/>
      <c r="K447" s="20"/>
      <c r="L447" s="20"/>
      <c r="Q447" s="83"/>
      <c r="Y447" s="20"/>
      <c r="AP447" s="92"/>
      <c r="AQ447" s="67"/>
      <c r="AR447" s="67"/>
      <c r="AS447" s="73"/>
      <c r="AT447" s="67"/>
      <c r="AU447" s="67"/>
      <c r="AV447" s="94" t="s">
        <v>214</v>
      </c>
      <c r="AW447" s="68"/>
      <c r="AX447" s="68"/>
      <c r="AY447" s="68"/>
      <c r="AZ447" s="68"/>
      <c r="BA447" s="68"/>
      <c r="BB447" s="67"/>
      <c r="BC447" s="67"/>
      <c r="BD447" s="67"/>
      <c r="BE447" s="67"/>
      <c r="BF447" s="96">
        <v>0</v>
      </c>
      <c r="BG447" s="52"/>
      <c r="BH447" s="52"/>
      <c r="BI447" s="52"/>
      <c r="BJ447" s="52"/>
      <c r="BK447" s="52"/>
      <c r="BL447" s="52"/>
      <c r="BM447" s="52"/>
      <c r="BN447" s="53"/>
      <c r="BO447" s="52"/>
      <c r="BP447" s="52"/>
      <c r="BQ447" s="54"/>
    </row>
    <row r="448" spans="1:69" ht="16" x14ac:dyDescent="0.35">
      <c r="A448"/>
      <c r="B448"/>
      <c r="D448"/>
      <c r="G448"/>
      <c r="H448" s="20"/>
      <c r="I448" s="20"/>
      <c r="J448" s="20"/>
      <c r="K448" s="20"/>
      <c r="L448" s="20"/>
      <c r="Q448" s="83"/>
      <c r="Y448" s="20"/>
      <c r="AP448" s="93"/>
      <c r="AQ448" s="31"/>
      <c r="AR448" s="31"/>
      <c r="AS448" s="94"/>
      <c r="AT448" s="31"/>
      <c r="AU448" s="31"/>
      <c r="AV448" s="73" t="s">
        <v>214</v>
      </c>
      <c r="AW448" s="32"/>
      <c r="AX448" s="32"/>
      <c r="AY448" s="32"/>
      <c r="AZ448" s="32"/>
      <c r="BA448" s="32"/>
      <c r="BB448" s="31"/>
      <c r="BC448" s="31"/>
      <c r="BD448" s="31"/>
      <c r="BE448" s="31"/>
      <c r="BF448" s="95">
        <v>4</v>
      </c>
      <c r="BG448" s="48"/>
      <c r="BH448" s="48"/>
      <c r="BI448" s="48"/>
      <c r="BJ448" s="48"/>
      <c r="BK448" s="48"/>
      <c r="BL448" s="48"/>
      <c r="BM448" s="48"/>
      <c r="BN448" s="49"/>
      <c r="BO448" s="48"/>
      <c r="BP448" s="48"/>
      <c r="BQ448" s="50"/>
    </row>
    <row r="449" spans="1:69" ht="16" x14ac:dyDescent="0.35">
      <c r="A449"/>
      <c r="B449"/>
      <c r="D449"/>
      <c r="G449"/>
      <c r="H449" s="20"/>
      <c r="I449" s="20"/>
      <c r="J449" s="20"/>
      <c r="K449" s="20"/>
      <c r="L449" s="20"/>
      <c r="Q449" s="83"/>
      <c r="Y449" s="20"/>
      <c r="AP449" s="92"/>
      <c r="AQ449" s="67"/>
      <c r="AR449" s="67"/>
      <c r="AS449" s="73"/>
      <c r="AT449" s="67"/>
      <c r="AU449" s="67"/>
      <c r="AV449" s="94" t="s">
        <v>214</v>
      </c>
      <c r="AW449" s="68"/>
      <c r="AX449" s="68"/>
      <c r="AY449" s="68"/>
      <c r="AZ449" s="68"/>
      <c r="BA449" s="68"/>
      <c r="BB449" s="67"/>
      <c r="BC449" s="67"/>
      <c r="BD449" s="67"/>
      <c r="BE449" s="67"/>
      <c r="BF449" s="96">
        <v>4</v>
      </c>
      <c r="BG449" s="52"/>
      <c r="BH449" s="52"/>
      <c r="BI449" s="52"/>
      <c r="BJ449" s="52"/>
      <c r="BK449" s="52"/>
      <c r="BL449" s="52"/>
      <c r="BM449" s="52"/>
      <c r="BN449" s="53"/>
      <c r="BO449" s="52"/>
      <c r="BP449" s="52"/>
      <c r="BQ449" s="54"/>
    </row>
    <row r="450" spans="1:69" ht="16" x14ac:dyDescent="0.35">
      <c r="A450"/>
      <c r="B450"/>
      <c r="D450"/>
      <c r="G450"/>
      <c r="H450" s="20"/>
      <c r="I450" s="20"/>
      <c r="J450" s="20"/>
      <c r="K450" s="20"/>
      <c r="L450" s="20"/>
      <c r="Q450" s="83"/>
      <c r="Y450" s="20"/>
      <c r="AP450" s="93"/>
      <c r="AQ450" s="31"/>
      <c r="AR450" s="31"/>
      <c r="AS450" s="94"/>
      <c r="AT450" s="31"/>
      <c r="AU450" s="31"/>
      <c r="AV450" s="73" t="s">
        <v>214</v>
      </c>
      <c r="AW450" s="32"/>
      <c r="AX450" s="32"/>
      <c r="AY450" s="32"/>
      <c r="AZ450" s="32"/>
      <c r="BA450" s="32"/>
      <c r="BB450" s="31"/>
      <c r="BC450" s="31"/>
      <c r="BD450" s="31"/>
      <c r="BE450" s="31"/>
      <c r="BF450" s="95">
        <v>0</v>
      </c>
      <c r="BG450" s="48"/>
      <c r="BH450" s="48"/>
      <c r="BI450" s="48"/>
      <c r="BJ450" s="48"/>
      <c r="BK450" s="48"/>
      <c r="BL450" s="48"/>
      <c r="BM450" s="48"/>
      <c r="BN450" s="49"/>
      <c r="BO450" s="48"/>
      <c r="BP450" s="48"/>
      <c r="BQ450" s="50"/>
    </row>
    <row r="451" spans="1:69" ht="16" x14ac:dyDescent="0.35">
      <c r="A451"/>
      <c r="B451"/>
      <c r="D451"/>
      <c r="G451"/>
      <c r="H451" s="20"/>
      <c r="I451" s="20"/>
      <c r="J451" s="20"/>
      <c r="K451" s="20"/>
      <c r="L451" s="20"/>
      <c r="Q451" s="83"/>
      <c r="Y451" s="20"/>
      <c r="AP451" s="92"/>
      <c r="AQ451" s="67"/>
      <c r="AR451" s="67"/>
      <c r="AS451" s="73"/>
      <c r="AT451" s="67"/>
      <c r="AU451" s="67"/>
      <c r="AV451" s="94" t="s">
        <v>214</v>
      </c>
      <c r="AW451" s="68"/>
      <c r="AX451" s="68"/>
      <c r="AY451" s="68"/>
      <c r="AZ451" s="68"/>
      <c r="BA451" s="68"/>
      <c r="BB451" s="67"/>
      <c r="BC451" s="67"/>
      <c r="BD451" s="67"/>
      <c r="BE451" s="67"/>
      <c r="BF451" s="96">
        <v>0</v>
      </c>
      <c r="BG451" s="52"/>
      <c r="BH451" s="52"/>
      <c r="BI451" s="52"/>
      <c r="BJ451" s="52"/>
      <c r="BK451" s="52"/>
      <c r="BL451" s="52"/>
      <c r="BM451" s="52"/>
      <c r="BN451" s="53"/>
      <c r="BO451" s="52"/>
      <c r="BP451" s="52"/>
      <c r="BQ451" s="54"/>
    </row>
    <row r="452" spans="1:69" ht="16" x14ac:dyDescent="0.35">
      <c r="A452"/>
      <c r="B452"/>
      <c r="D452"/>
      <c r="G452"/>
      <c r="H452" s="20"/>
      <c r="I452" s="20"/>
      <c r="J452" s="20"/>
      <c r="K452" s="20"/>
      <c r="L452" s="20"/>
      <c r="Q452" s="83"/>
      <c r="Y452" s="20"/>
      <c r="AP452" s="93"/>
      <c r="AQ452" s="31"/>
      <c r="AR452" s="31"/>
      <c r="AS452" s="94"/>
      <c r="AT452" s="31"/>
      <c r="AU452" s="31"/>
      <c r="AV452" s="73" t="s">
        <v>213</v>
      </c>
      <c r="AW452" s="32"/>
      <c r="AX452" s="32"/>
      <c r="AY452" s="32"/>
      <c r="AZ452" s="32"/>
      <c r="BA452" s="32"/>
      <c r="BB452" s="31"/>
      <c r="BC452" s="31"/>
      <c r="BD452" s="31"/>
      <c r="BE452" s="31"/>
      <c r="BF452" s="95">
        <v>0</v>
      </c>
      <c r="BG452" s="48"/>
      <c r="BH452" s="48"/>
      <c r="BI452" s="48"/>
      <c r="BJ452" s="48"/>
      <c r="BK452" s="48"/>
      <c r="BL452" s="48"/>
      <c r="BM452" s="48"/>
      <c r="BN452" s="49"/>
      <c r="BO452" s="48"/>
      <c r="BP452" s="48"/>
      <c r="BQ452" s="50"/>
    </row>
    <row r="453" spans="1:69" ht="16" x14ac:dyDescent="0.35">
      <c r="A453"/>
      <c r="B453"/>
      <c r="D453"/>
      <c r="G453"/>
      <c r="H453" s="20"/>
      <c r="I453" s="20"/>
      <c r="J453" s="20"/>
      <c r="K453" s="20"/>
      <c r="L453" s="20"/>
      <c r="Q453" s="83"/>
      <c r="Y453" s="20"/>
      <c r="AP453" s="92"/>
      <c r="AQ453" s="67"/>
      <c r="AR453" s="67"/>
      <c r="AS453" s="73"/>
      <c r="AT453" s="67"/>
      <c r="AU453" s="67"/>
      <c r="AV453" s="94" t="s">
        <v>213</v>
      </c>
      <c r="AW453" s="68"/>
      <c r="AX453" s="68"/>
      <c r="AY453" s="68"/>
      <c r="AZ453" s="68"/>
      <c r="BA453" s="68"/>
      <c r="BB453" s="67"/>
      <c r="BC453" s="67"/>
      <c r="BD453" s="67"/>
      <c r="BE453" s="67"/>
      <c r="BF453" s="96">
        <v>0</v>
      </c>
      <c r="BG453" s="52"/>
      <c r="BH453" s="52"/>
      <c r="BI453" s="52"/>
      <c r="BJ453" s="52"/>
      <c r="BK453" s="52"/>
      <c r="BL453" s="52"/>
      <c r="BM453" s="52"/>
      <c r="BN453" s="53"/>
      <c r="BO453" s="52"/>
      <c r="BP453" s="52"/>
      <c r="BQ453" s="54"/>
    </row>
    <row r="454" spans="1:69" ht="16" x14ac:dyDescent="0.35">
      <c r="A454"/>
      <c r="B454"/>
      <c r="D454"/>
      <c r="G454"/>
      <c r="H454" s="20"/>
      <c r="I454" s="20"/>
      <c r="J454" s="20"/>
      <c r="K454" s="20"/>
      <c r="L454" s="20"/>
      <c r="Q454" s="83"/>
      <c r="Y454" s="20"/>
      <c r="AP454" s="93"/>
      <c r="AQ454" s="31"/>
      <c r="AR454" s="31"/>
      <c r="AS454" s="94"/>
      <c r="AT454" s="31"/>
      <c r="AU454" s="31"/>
      <c r="AV454" s="73" t="s">
        <v>213</v>
      </c>
      <c r="AW454" s="32"/>
      <c r="AX454" s="32"/>
      <c r="AY454" s="32"/>
      <c r="AZ454" s="32"/>
      <c r="BA454" s="32"/>
      <c r="BB454" s="31"/>
      <c r="BC454" s="31"/>
      <c r="BD454" s="31"/>
      <c r="BE454" s="31"/>
      <c r="BF454" s="95">
        <v>0</v>
      </c>
      <c r="BG454" s="48"/>
      <c r="BH454" s="48"/>
      <c r="BI454" s="48"/>
      <c r="BJ454" s="48"/>
      <c r="BK454" s="48"/>
      <c r="BL454" s="48"/>
      <c r="BM454" s="48"/>
      <c r="BN454" s="49"/>
      <c r="BO454" s="48"/>
      <c r="BP454" s="48"/>
      <c r="BQ454" s="50"/>
    </row>
    <row r="455" spans="1:69" ht="16" x14ac:dyDescent="0.35">
      <c r="A455"/>
      <c r="B455"/>
      <c r="D455"/>
      <c r="G455"/>
      <c r="H455" s="20"/>
      <c r="I455" s="20"/>
      <c r="J455" s="20"/>
      <c r="K455" s="20"/>
      <c r="L455" s="20"/>
      <c r="Q455" s="83"/>
      <c r="Y455" s="20"/>
      <c r="AP455" s="92"/>
      <c r="AQ455" s="67"/>
      <c r="AR455" s="67"/>
      <c r="AS455" s="73"/>
      <c r="AT455" s="67"/>
      <c r="AU455" s="67"/>
      <c r="AV455" s="94" t="s">
        <v>213</v>
      </c>
      <c r="AW455" s="68"/>
      <c r="AX455" s="68"/>
      <c r="AY455" s="68"/>
      <c r="AZ455" s="68"/>
      <c r="BA455" s="68"/>
      <c r="BB455" s="67"/>
      <c r="BC455" s="67"/>
      <c r="BD455" s="67"/>
      <c r="BE455" s="67"/>
      <c r="BF455" s="96">
        <v>0</v>
      </c>
      <c r="BG455" s="52"/>
      <c r="BH455" s="52"/>
      <c r="BI455" s="52"/>
      <c r="BJ455" s="52"/>
      <c r="BK455" s="52"/>
      <c r="BL455" s="52"/>
      <c r="BM455" s="52"/>
      <c r="BN455" s="53"/>
      <c r="BO455" s="52"/>
      <c r="BP455" s="52"/>
      <c r="BQ455" s="54"/>
    </row>
    <row r="456" spans="1:69" ht="16" x14ac:dyDescent="0.35">
      <c r="A456"/>
      <c r="B456"/>
      <c r="D456"/>
      <c r="G456"/>
      <c r="H456" s="20"/>
      <c r="I456" s="20"/>
      <c r="J456" s="20"/>
      <c r="K456" s="20"/>
      <c r="L456" s="20"/>
      <c r="Q456" s="83"/>
      <c r="Y456" s="20"/>
      <c r="AP456" s="93"/>
      <c r="AQ456" s="31"/>
      <c r="AR456" s="31"/>
      <c r="AS456" s="94"/>
      <c r="AT456" s="31"/>
      <c r="AU456" s="31"/>
      <c r="AV456" s="73" t="s">
        <v>213</v>
      </c>
      <c r="AW456" s="32"/>
      <c r="AX456" s="32"/>
      <c r="AY456" s="32"/>
      <c r="AZ456" s="32"/>
      <c r="BA456" s="32"/>
      <c r="BB456" s="31"/>
      <c r="BC456" s="31"/>
      <c r="BD456" s="31"/>
      <c r="BE456" s="31"/>
      <c r="BF456" s="95">
        <v>0</v>
      </c>
      <c r="BG456" s="48"/>
      <c r="BH456" s="48"/>
      <c r="BI456" s="48"/>
      <c r="BJ456" s="48"/>
      <c r="BK456" s="48"/>
      <c r="BL456" s="48"/>
      <c r="BM456" s="48"/>
      <c r="BN456" s="49"/>
      <c r="BO456" s="48"/>
      <c r="BP456" s="48"/>
      <c r="BQ456" s="50"/>
    </row>
    <row r="457" spans="1:69" ht="16" x14ac:dyDescent="0.35">
      <c r="A457"/>
      <c r="B457"/>
      <c r="D457"/>
      <c r="G457"/>
      <c r="H457" s="20"/>
      <c r="I457" s="20"/>
      <c r="J457" s="20"/>
      <c r="K457" s="20"/>
      <c r="L457" s="20"/>
      <c r="Q457" s="83"/>
      <c r="Y457" s="20"/>
      <c r="AP457" s="92"/>
      <c r="AQ457" s="67"/>
      <c r="AR457" s="67"/>
      <c r="AS457" s="73"/>
      <c r="AT457" s="67"/>
      <c r="AU457" s="67"/>
      <c r="AV457" s="94" t="s">
        <v>213</v>
      </c>
      <c r="AW457" s="68"/>
      <c r="AX457" s="68"/>
      <c r="AY457" s="68"/>
      <c r="AZ457" s="68"/>
      <c r="BA457" s="68"/>
      <c r="BB457" s="67"/>
      <c r="BC457" s="67"/>
      <c r="BD457" s="67"/>
      <c r="BE457" s="67"/>
      <c r="BF457" s="96">
        <v>0</v>
      </c>
      <c r="BG457" s="52"/>
      <c r="BH457" s="52"/>
      <c r="BI457" s="52"/>
      <c r="BJ457" s="52"/>
      <c r="BK457" s="52"/>
      <c r="BL457" s="52"/>
      <c r="BM457" s="52"/>
      <c r="BN457" s="53"/>
      <c r="BO457" s="52"/>
      <c r="BP457" s="52"/>
      <c r="BQ457" s="54"/>
    </row>
    <row r="458" spans="1:69" ht="16" x14ac:dyDescent="0.35">
      <c r="A458"/>
      <c r="B458"/>
      <c r="D458"/>
      <c r="G458"/>
      <c r="H458" s="20"/>
      <c r="I458" s="20"/>
      <c r="J458" s="20"/>
      <c r="K458" s="20"/>
      <c r="L458" s="20"/>
      <c r="Q458" s="83"/>
      <c r="Y458" s="20"/>
      <c r="AP458" s="93"/>
      <c r="AQ458" s="31"/>
      <c r="AR458" s="31"/>
      <c r="AS458" s="94"/>
      <c r="AT458" s="31"/>
      <c r="AU458" s="31"/>
      <c r="AV458" s="73" t="s">
        <v>212</v>
      </c>
      <c r="AW458" s="32"/>
      <c r="AX458" s="32"/>
      <c r="AY458" s="32"/>
      <c r="AZ458" s="32"/>
      <c r="BA458" s="32"/>
      <c r="BB458" s="31"/>
      <c r="BC458" s="31"/>
      <c r="BD458" s="31"/>
      <c r="BE458" s="31"/>
      <c r="BF458" s="95">
        <v>0</v>
      </c>
      <c r="BG458" s="48"/>
      <c r="BH458" s="48"/>
      <c r="BI458" s="48"/>
      <c r="BJ458" s="48"/>
      <c r="BK458" s="48"/>
      <c r="BL458" s="48"/>
      <c r="BM458" s="48"/>
      <c r="BN458" s="49"/>
      <c r="BO458" s="48"/>
      <c r="BP458" s="48"/>
      <c r="BQ458" s="50"/>
    </row>
    <row r="459" spans="1:69" ht="16" x14ac:dyDescent="0.35">
      <c r="A459"/>
      <c r="B459"/>
      <c r="D459"/>
      <c r="G459"/>
      <c r="H459" s="20"/>
      <c r="I459" s="20"/>
      <c r="J459" s="20"/>
      <c r="K459" s="20"/>
      <c r="L459" s="20"/>
      <c r="Q459" s="83"/>
      <c r="Y459" s="20"/>
      <c r="AP459" s="92"/>
      <c r="AQ459" s="67"/>
      <c r="AR459" s="67"/>
      <c r="AS459" s="73"/>
      <c r="AT459" s="67"/>
      <c r="AU459" s="67"/>
      <c r="AV459" s="94" t="s">
        <v>212</v>
      </c>
      <c r="AW459" s="68"/>
      <c r="AX459" s="68"/>
      <c r="AY459" s="68"/>
      <c r="AZ459" s="68"/>
      <c r="BA459" s="68"/>
      <c r="BB459" s="67"/>
      <c r="BC459" s="67"/>
      <c r="BD459" s="67"/>
      <c r="BE459" s="67"/>
      <c r="BF459" s="96">
        <v>0</v>
      </c>
      <c r="BG459" s="52"/>
      <c r="BH459" s="52"/>
      <c r="BI459" s="52"/>
      <c r="BJ459" s="52"/>
      <c r="BK459" s="52"/>
      <c r="BL459" s="52"/>
      <c r="BM459" s="52"/>
      <c r="BN459" s="53"/>
      <c r="BO459" s="52"/>
      <c r="BP459" s="52"/>
      <c r="BQ459" s="54"/>
    </row>
    <row r="460" spans="1:69" ht="16" x14ac:dyDescent="0.35">
      <c r="A460"/>
      <c r="B460"/>
      <c r="D460"/>
      <c r="G460"/>
      <c r="H460" s="20"/>
      <c r="I460" s="20"/>
      <c r="J460" s="20"/>
      <c r="K460" s="20"/>
      <c r="L460" s="20"/>
      <c r="Q460" s="83"/>
      <c r="Y460" s="20"/>
      <c r="AP460" s="93"/>
      <c r="AQ460" s="31"/>
      <c r="AR460" s="31"/>
      <c r="AS460" s="94"/>
      <c r="AT460" s="31"/>
      <c r="AU460" s="31"/>
      <c r="AV460" s="73" t="s">
        <v>218</v>
      </c>
      <c r="AW460" s="32"/>
      <c r="AX460" s="32"/>
      <c r="AY460" s="32"/>
      <c r="AZ460" s="32"/>
      <c r="BA460" s="32"/>
      <c r="BB460" s="31"/>
      <c r="BC460" s="31"/>
      <c r="BD460" s="31"/>
      <c r="BE460" s="31"/>
      <c r="BF460" s="95">
        <v>0</v>
      </c>
      <c r="BG460" s="48"/>
      <c r="BH460" s="48"/>
      <c r="BI460" s="48"/>
      <c r="BJ460" s="48"/>
      <c r="BK460" s="48"/>
      <c r="BL460" s="48"/>
      <c r="BM460" s="48"/>
      <c r="BN460" s="49"/>
      <c r="BO460" s="48"/>
      <c r="BP460" s="48"/>
      <c r="BQ460" s="50"/>
    </row>
    <row r="461" spans="1:69" ht="16" x14ac:dyDescent="0.35">
      <c r="A461"/>
      <c r="B461"/>
      <c r="D461"/>
      <c r="G461"/>
      <c r="H461" s="20"/>
      <c r="I461" s="20"/>
      <c r="J461" s="20"/>
      <c r="K461" s="20"/>
      <c r="L461" s="20"/>
      <c r="Q461" s="83"/>
      <c r="Y461" s="20"/>
      <c r="AP461" s="92"/>
      <c r="AQ461" s="67"/>
      <c r="AR461" s="67"/>
      <c r="AS461" s="73"/>
      <c r="AT461" s="67"/>
      <c r="AU461" s="67"/>
      <c r="AV461" s="94" t="s">
        <v>212</v>
      </c>
      <c r="AW461" s="68"/>
      <c r="AX461" s="68"/>
      <c r="AY461" s="68"/>
      <c r="AZ461" s="68"/>
      <c r="BA461" s="68"/>
      <c r="BB461" s="67"/>
      <c r="BC461" s="67"/>
      <c r="BD461" s="67"/>
      <c r="BE461" s="67"/>
      <c r="BF461" s="96">
        <v>0</v>
      </c>
      <c r="BG461" s="52"/>
      <c r="BH461" s="52"/>
      <c r="BI461" s="52"/>
      <c r="BJ461" s="52"/>
      <c r="BK461" s="52"/>
      <c r="BL461" s="52"/>
      <c r="BM461" s="52"/>
      <c r="BN461" s="53"/>
      <c r="BO461" s="52"/>
      <c r="BP461" s="52"/>
      <c r="BQ461" s="54"/>
    </row>
    <row r="462" spans="1:69" ht="16" x14ac:dyDescent="0.35">
      <c r="A462"/>
      <c r="B462"/>
      <c r="D462"/>
      <c r="G462"/>
      <c r="H462" s="20"/>
      <c r="I462" s="20"/>
      <c r="J462" s="20"/>
      <c r="K462" s="20"/>
      <c r="L462" s="20"/>
      <c r="Q462" s="83"/>
      <c r="Y462" s="20"/>
      <c r="AP462" s="93"/>
      <c r="AQ462" s="31"/>
      <c r="AR462" s="31"/>
      <c r="AS462" s="94"/>
      <c r="AT462" s="31"/>
      <c r="AU462" s="31"/>
      <c r="AV462" s="73" t="s">
        <v>212</v>
      </c>
      <c r="AW462" s="32"/>
      <c r="AX462" s="32"/>
      <c r="AY462" s="32"/>
      <c r="AZ462" s="32"/>
      <c r="BA462" s="32"/>
      <c r="BB462" s="31"/>
      <c r="BC462" s="31"/>
      <c r="BD462" s="31"/>
      <c r="BE462" s="31"/>
      <c r="BF462" s="95">
        <v>0</v>
      </c>
      <c r="BG462" s="48"/>
      <c r="BH462" s="48"/>
      <c r="BI462" s="48"/>
      <c r="BJ462" s="48"/>
      <c r="BK462" s="48"/>
      <c r="BL462" s="48"/>
      <c r="BM462" s="48"/>
      <c r="BN462" s="49"/>
      <c r="BO462" s="48"/>
      <c r="BP462" s="48"/>
      <c r="BQ462" s="50"/>
    </row>
    <row r="463" spans="1:69" ht="16" x14ac:dyDescent="0.35">
      <c r="A463"/>
      <c r="B463"/>
      <c r="D463"/>
      <c r="G463"/>
      <c r="H463" s="20"/>
      <c r="I463" s="20"/>
      <c r="J463" s="20"/>
      <c r="K463" s="20"/>
      <c r="L463" s="20"/>
      <c r="Q463" s="83"/>
      <c r="Y463" s="20"/>
      <c r="AP463" s="92"/>
      <c r="AQ463" s="67"/>
      <c r="AR463" s="67"/>
      <c r="AS463" s="73"/>
      <c r="AT463" s="67"/>
      <c r="AU463" s="67"/>
      <c r="AV463" s="94" t="s">
        <v>213</v>
      </c>
      <c r="AW463" s="68"/>
      <c r="AX463" s="68"/>
      <c r="AY463" s="68"/>
      <c r="AZ463" s="68"/>
      <c r="BA463" s="68"/>
      <c r="BB463" s="67"/>
      <c r="BC463" s="67"/>
      <c r="BD463" s="67"/>
      <c r="BE463" s="67"/>
      <c r="BF463" s="96">
        <v>0</v>
      </c>
      <c r="BG463" s="52"/>
      <c r="BH463" s="52"/>
      <c r="BI463" s="52"/>
      <c r="BJ463" s="52"/>
      <c r="BK463" s="52"/>
      <c r="BL463" s="52"/>
      <c r="BM463" s="52"/>
      <c r="BN463" s="53"/>
      <c r="BO463" s="52"/>
      <c r="BP463" s="52"/>
      <c r="BQ463" s="54"/>
    </row>
    <row r="464" spans="1:69" ht="16" x14ac:dyDescent="0.35">
      <c r="A464"/>
      <c r="B464"/>
      <c r="D464"/>
      <c r="G464"/>
      <c r="H464" s="20"/>
      <c r="I464" s="20"/>
      <c r="J464" s="20"/>
      <c r="K464" s="20"/>
      <c r="L464" s="20"/>
      <c r="Q464" s="83"/>
      <c r="Y464" s="20"/>
      <c r="AP464" s="93"/>
      <c r="AQ464" s="31"/>
      <c r="AR464" s="31"/>
      <c r="AS464" s="94"/>
      <c r="AT464" s="31"/>
      <c r="AU464" s="31"/>
      <c r="AV464" s="73" t="s">
        <v>218</v>
      </c>
      <c r="AW464" s="32"/>
      <c r="AX464" s="32"/>
      <c r="AY464" s="32"/>
      <c r="AZ464" s="32"/>
      <c r="BA464" s="32"/>
      <c r="BB464" s="31"/>
      <c r="BC464" s="31"/>
      <c r="BD464" s="31"/>
      <c r="BE464" s="31"/>
      <c r="BF464" s="95">
        <v>0</v>
      </c>
      <c r="BG464" s="48"/>
      <c r="BH464" s="48"/>
      <c r="BI464" s="48"/>
      <c r="BJ464" s="48"/>
      <c r="BK464" s="48"/>
      <c r="BL464" s="48"/>
      <c r="BM464" s="48"/>
      <c r="BN464" s="49"/>
      <c r="BO464" s="48"/>
      <c r="BP464" s="48"/>
      <c r="BQ464" s="50"/>
    </row>
    <row r="465" spans="1:69" ht="16" x14ac:dyDescent="0.35">
      <c r="A465"/>
      <c r="B465"/>
      <c r="D465"/>
      <c r="G465"/>
      <c r="H465" s="20"/>
      <c r="I465" s="20"/>
      <c r="J465" s="20"/>
      <c r="K465" s="20"/>
      <c r="L465" s="20"/>
      <c r="Q465" s="83"/>
      <c r="Y465" s="20"/>
      <c r="AP465" s="92"/>
      <c r="AQ465" s="67"/>
      <c r="AR465" s="67"/>
      <c r="AS465" s="73"/>
      <c r="AT465" s="67"/>
      <c r="AU465" s="67"/>
      <c r="AV465" s="94" t="s">
        <v>213</v>
      </c>
      <c r="AW465" s="68"/>
      <c r="AX465" s="68"/>
      <c r="AY465" s="68"/>
      <c r="AZ465" s="68"/>
      <c r="BA465" s="68"/>
      <c r="BB465" s="67"/>
      <c r="BC465" s="67"/>
      <c r="BD465" s="67"/>
      <c r="BE465" s="67"/>
      <c r="BF465" s="96">
        <v>0</v>
      </c>
      <c r="BG465" s="52"/>
      <c r="BH465" s="52"/>
      <c r="BI465" s="52"/>
      <c r="BJ465" s="52"/>
      <c r="BK465" s="52"/>
      <c r="BL465" s="52"/>
      <c r="BM465" s="52"/>
      <c r="BN465" s="53"/>
      <c r="BO465" s="52"/>
      <c r="BP465" s="52"/>
      <c r="BQ465" s="54"/>
    </row>
    <row r="466" spans="1:69" ht="16" x14ac:dyDescent="0.35">
      <c r="A466"/>
      <c r="B466"/>
      <c r="D466"/>
      <c r="G466"/>
      <c r="H466" s="20"/>
      <c r="I466" s="20"/>
      <c r="J466" s="20"/>
      <c r="K466" s="20"/>
      <c r="L466" s="20"/>
      <c r="Q466" s="83"/>
      <c r="Y466" s="20"/>
      <c r="AP466" s="93"/>
      <c r="AQ466" s="31"/>
      <c r="AR466" s="31"/>
      <c r="AS466" s="94"/>
      <c r="AT466" s="31"/>
      <c r="AU466" s="31"/>
      <c r="AV466" s="73" t="s">
        <v>213</v>
      </c>
      <c r="AW466" s="32"/>
      <c r="AX466" s="32"/>
      <c r="AY466" s="32"/>
      <c r="AZ466" s="32"/>
      <c r="BA466" s="32"/>
      <c r="BB466" s="31"/>
      <c r="BC466" s="31"/>
      <c r="BD466" s="31"/>
      <c r="BE466" s="31"/>
      <c r="BF466" s="95">
        <v>0</v>
      </c>
      <c r="BG466" s="48"/>
      <c r="BH466" s="48"/>
      <c r="BI466" s="48"/>
      <c r="BJ466" s="48"/>
      <c r="BK466" s="48"/>
      <c r="BL466" s="48"/>
      <c r="BM466" s="48"/>
      <c r="BN466" s="49"/>
      <c r="BO466" s="48"/>
      <c r="BP466" s="48"/>
      <c r="BQ466" s="50"/>
    </row>
    <row r="467" spans="1:69" ht="16" x14ac:dyDescent="0.35">
      <c r="A467"/>
      <c r="B467"/>
      <c r="D467"/>
      <c r="G467"/>
      <c r="H467" s="20"/>
      <c r="I467" s="20"/>
      <c r="J467" s="20"/>
      <c r="K467" s="20"/>
      <c r="L467" s="20"/>
      <c r="Q467" s="83"/>
      <c r="Y467" s="20"/>
      <c r="AP467" s="92"/>
      <c r="AQ467" s="67"/>
      <c r="AR467" s="67"/>
      <c r="AS467" s="73"/>
      <c r="AT467" s="67"/>
      <c r="AU467" s="67"/>
      <c r="AV467" s="94" t="s">
        <v>212</v>
      </c>
      <c r="AW467" s="68"/>
      <c r="AX467" s="68"/>
      <c r="AY467" s="68"/>
      <c r="AZ467" s="68"/>
      <c r="BA467" s="68"/>
      <c r="BB467" s="67"/>
      <c r="BC467" s="67"/>
      <c r="BD467" s="67"/>
      <c r="BE467" s="67"/>
      <c r="BF467" s="96">
        <v>0</v>
      </c>
      <c r="BG467" s="52"/>
      <c r="BH467" s="52"/>
      <c r="BI467" s="52"/>
      <c r="BJ467" s="52"/>
      <c r="BK467" s="52"/>
      <c r="BL467" s="52"/>
      <c r="BM467" s="52"/>
      <c r="BN467" s="53"/>
      <c r="BO467" s="52"/>
      <c r="BP467" s="52"/>
      <c r="BQ467" s="54"/>
    </row>
    <row r="468" spans="1:69" ht="16" x14ac:dyDescent="0.35">
      <c r="A468"/>
      <c r="B468"/>
      <c r="D468"/>
      <c r="G468"/>
      <c r="H468" s="20"/>
      <c r="I468" s="20"/>
      <c r="J468" s="20"/>
      <c r="K468" s="20"/>
      <c r="L468" s="20"/>
      <c r="Q468" s="83"/>
      <c r="Y468" s="20"/>
      <c r="AP468" s="93"/>
      <c r="AQ468" s="31"/>
      <c r="AR468" s="31"/>
      <c r="AS468" s="94"/>
      <c r="AT468" s="31"/>
      <c r="AU468" s="31"/>
      <c r="AV468" s="73" t="s">
        <v>212</v>
      </c>
      <c r="AW468" s="32"/>
      <c r="AX468" s="32"/>
      <c r="AY468" s="32"/>
      <c r="AZ468" s="32"/>
      <c r="BA468" s="32"/>
      <c r="BB468" s="31"/>
      <c r="BC468" s="31"/>
      <c r="BD468" s="31"/>
      <c r="BE468" s="31"/>
      <c r="BF468" s="95">
        <v>0</v>
      </c>
      <c r="BG468" s="48"/>
      <c r="BH468" s="48"/>
      <c r="BI468" s="48"/>
      <c r="BJ468" s="48"/>
      <c r="BK468" s="48"/>
      <c r="BL468" s="48"/>
      <c r="BM468" s="48"/>
      <c r="BN468" s="49"/>
      <c r="BO468" s="48"/>
      <c r="BP468" s="48"/>
      <c r="BQ468" s="50"/>
    </row>
    <row r="469" spans="1:69" ht="16" x14ac:dyDescent="0.35">
      <c r="A469"/>
      <c r="B469"/>
      <c r="D469"/>
      <c r="G469"/>
      <c r="H469" s="20"/>
      <c r="I469" s="20"/>
      <c r="J469" s="20"/>
      <c r="K469" s="20"/>
      <c r="L469" s="20"/>
      <c r="Q469" s="83"/>
      <c r="Y469" s="20"/>
      <c r="AP469" s="92"/>
      <c r="AQ469" s="67"/>
      <c r="AR469" s="67"/>
      <c r="AS469" s="73"/>
      <c r="AT469" s="67"/>
      <c r="AU469" s="67"/>
      <c r="AV469" s="94" t="s">
        <v>212</v>
      </c>
      <c r="AW469" s="68"/>
      <c r="AX469" s="68"/>
      <c r="AY469" s="68"/>
      <c r="AZ469" s="68"/>
      <c r="BA469" s="68"/>
      <c r="BB469" s="67"/>
      <c r="BC469" s="67"/>
      <c r="BD469" s="67"/>
      <c r="BE469" s="67"/>
      <c r="BF469" s="96">
        <v>0</v>
      </c>
      <c r="BG469" s="52"/>
      <c r="BH469" s="52"/>
      <c r="BI469" s="52"/>
      <c r="BJ469" s="52"/>
      <c r="BK469" s="52"/>
      <c r="BL469" s="52"/>
      <c r="BM469" s="52"/>
      <c r="BN469" s="53"/>
      <c r="BO469" s="52"/>
      <c r="BP469" s="52"/>
      <c r="BQ469" s="54"/>
    </row>
    <row r="470" spans="1:69" ht="16" x14ac:dyDescent="0.35">
      <c r="A470"/>
      <c r="B470"/>
      <c r="D470"/>
      <c r="G470"/>
      <c r="H470" s="20"/>
      <c r="I470" s="20"/>
      <c r="J470" s="20"/>
      <c r="K470" s="20"/>
      <c r="L470" s="20"/>
      <c r="Q470" s="83"/>
      <c r="Y470" s="20"/>
      <c r="AP470" s="93"/>
      <c r="AQ470" s="31"/>
      <c r="AR470" s="31"/>
      <c r="AS470" s="94"/>
      <c r="AT470" s="31"/>
      <c r="AU470" s="31"/>
      <c r="AV470" s="73" t="s">
        <v>213</v>
      </c>
      <c r="AW470" s="32"/>
      <c r="AX470" s="32"/>
      <c r="AY470" s="32"/>
      <c r="AZ470" s="32"/>
      <c r="BA470" s="32"/>
      <c r="BB470" s="31"/>
      <c r="BC470" s="31"/>
      <c r="BD470" s="31"/>
      <c r="BE470" s="31"/>
      <c r="BF470" s="95">
        <v>0</v>
      </c>
      <c r="BG470" s="48"/>
      <c r="BH470" s="48"/>
      <c r="BI470" s="48"/>
      <c r="BJ470" s="48"/>
      <c r="BK470" s="48"/>
      <c r="BL470" s="48"/>
      <c r="BM470" s="48"/>
      <c r="BN470" s="49"/>
      <c r="BO470" s="48"/>
      <c r="BP470" s="48"/>
      <c r="BQ470" s="50"/>
    </row>
    <row r="471" spans="1:69" ht="16" x14ac:dyDescent="0.35">
      <c r="A471"/>
      <c r="B471"/>
      <c r="D471"/>
      <c r="G471"/>
      <c r="H471" s="20"/>
      <c r="I471" s="20"/>
      <c r="J471" s="20"/>
      <c r="K471" s="20"/>
      <c r="L471" s="20"/>
      <c r="Q471" s="83"/>
      <c r="Y471" s="20"/>
      <c r="AP471" s="92"/>
      <c r="AQ471" s="67"/>
      <c r="AR471" s="67"/>
      <c r="AS471" s="73"/>
      <c r="AT471" s="67"/>
      <c r="AU471" s="67"/>
      <c r="AV471" s="94" t="s">
        <v>214</v>
      </c>
      <c r="AW471" s="68"/>
      <c r="AX471" s="68"/>
      <c r="AY471" s="68"/>
      <c r="AZ471" s="68"/>
      <c r="BA471" s="68"/>
      <c r="BB471" s="67"/>
      <c r="BC471" s="67"/>
      <c r="BD471" s="67"/>
      <c r="BE471" s="67"/>
      <c r="BF471" s="96">
        <v>8</v>
      </c>
      <c r="BG471" s="52"/>
      <c r="BH471" s="52"/>
      <c r="BI471" s="52"/>
      <c r="BJ471" s="52"/>
      <c r="BK471" s="52"/>
      <c r="BL471" s="52"/>
      <c r="BM471" s="52"/>
      <c r="BN471" s="53"/>
      <c r="BO471" s="52"/>
      <c r="BP471" s="52"/>
      <c r="BQ471" s="54"/>
    </row>
    <row r="472" spans="1:69" ht="16" x14ac:dyDescent="0.35">
      <c r="A472"/>
      <c r="B472"/>
      <c r="D472"/>
      <c r="G472"/>
      <c r="H472" s="20"/>
      <c r="I472" s="20"/>
      <c r="J472" s="20"/>
      <c r="K472" s="20"/>
      <c r="L472" s="20"/>
      <c r="Q472" s="83"/>
      <c r="Y472" s="20"/>
      <c r="AP472" s="93"/>
      <c r="AQ472" s="31"/>
      <c r="AR472" s="31"/>
      <c r="AS472" s="94"/>
      <c r="AT472" s="31"/>
      <c r="AU472" s="31"/>
      <c r="AV472" s="73" t="s">
        <v>214</v>
      </c>
      <c r="AW472" s="32"/>
      <c r="AX472" s="32"/>
      <c r="AY472" s="32"/>
      <c r="AZ472" s="32"/>
      <c r="BA472" s="32"/>
      <c r="BB472" s="31"/>
      <c r="BC472" s="31"/>
      <c r="BD472" s="31"/>
      <c r="BE472" s="31"/>
      <c r="BF472" s="95">
        <v>8</v>
      </c>
      <c r="BG472" s="48"/>
      <c r="BH472" s="48"/>
      <c r="BI472" s="48"/>
      <c r="BJ472" s="48"/>
      <c r="BK472" s="48"/>
      <c r="BL472" s="48"/>
      <c r="BM472" s="48"/>
      <c r="BN472" s="49"/>
      <c r="BO472" s="48"/>
      <c r="BP472" s="48"/>
      <c r="BQ472" s="50"/>
    </row>
    <row r="473" spans="1:69" ht="16" x14ac:dyDescent="0.35">
      <c r="A473"/>
      <c r="B473"/>
      <c r="D473"/>
      <c r="G473"/>
      <c r="H473" s="20"/>
      <c r="I473" s="20"/>
      <c r="J473" s="20"/>
      <c r="K473" s="20"/>
      <c r="L473" s="20"/>
      <c r="Q473" s="83"/>
      <c r="Y473" s="20"/>
      <c r="AP473" s="92"/>
      <c r="AQ473" s="67"/>
      <c r="AR473" s="67"/>
      <c r="AS473" s="73"/>
      <c r="AT473" s="67"/>
      <c r="AU473" s="67"/>
      <c r="AV473" s="94" t="s">
        <v>214</v>
      </c>
      <c r="AW473" s="68"/>
      <c r="AX473" s="68"/>
      <c r="AY473" s="68"/>
      <c r="AZ473" s="68"/>
      <c r="BA473" s="68"/>
      <c r="BB473" s="67"/>
      <c r="BC473" s="67"/>
      <c r="BD473" s="67"/>
      <c r="BE473" s="67"/>
      <c r="BF473" s="96">
        <v>8</v>
      </c>
      <c r="BG473" s="52"/>
      <c r="BH473" s="52"/>
      <c r="BI473" s="52"/>
      <c r="BJ473" s="52"/>
      <c r="BK473" s="52"/>
      <c r="BL473" s="52"/>
      <c r="BM473" s="52"/>
      <c r="BN473" s="53"/>
      <c r="BO473" s="52"/>
      <c r="BP473" s="52"/>
      <c r="BQ473" s="54"/>
    </row>
    <row r="474" spans="1:69" ht="16" x14ac:dyDescent="0.35">
      <c r="A474"/>
      <c r="B474"/>
      <c r="D474"/>
      <c r="G474"/>
      <c r="H474" s="20"/>
      <c r="I474" s="20"/>
      <c r="J474" s="20"/>
      <c r="K474" s="20"/>
      <c r="L474" s="20"/>
      <c r="Q474" s="83"/>
      <c r="Y474" s="20"/>
      <c r="AP474" s="93"/>
      <c r="AQ474" s="31"/>
      <c r="AR474" s="31"/>
      <c r="AS474" s="94"/>
      <c r="AT474" s="31"/>
      <c r="AU474" s="31"/>
      <c r="AV474" s="73" t="s">
        <v>214</v>
      </c>
      <c r="AW474" s="32"/>
      <c r="AX474" s="32"/>
      <c r="AY474" s="32"/>
      <c r="AZ474" s="32"/>
      <c r="BA474" s="32"/>
      <c r="BB474" s="31"/>
      <c r="BC474" s="31"/>
      <c r="BD474" s="31"/>
      <c r="BE474" s="31"/>
      <c r="BF474" s="95">
        <v>8</v>
      </c>
      <c r="BG474" s="48"/>
      <c r="BH474" s="48"/>
      <c r="BI474" s="48"/>
      <c r="BJ474" s="48"/>
      <c r="BK474" s="48"/>
      <c r="BL474" s="48"/>
      <c r="BM474" s="48"/>
      <c r="BN474" s="49"/>
      <c r="BO474" s="48"/>
      <c r="BP474" s="48"/>
      <c r="BQ474" s="50"/>
    </row>
    <row r="475" spans="1:69" ht="16" x14ac:dyDescent="0.35">
      <c r="A475"/>
      <c r="B475"/>
      <c r="D475"/>
      <c r="G475"/>
      <c r="H475" s="20"/>
      <c r="I475" s="20"/>
      <c r="J475" s="20"/>
      <c r="K475" s="20"/>
      <c r="L475" s="20"/>
      <c r="Q475" s="83"/>
      <c r="Y475" s="20"/>
      <c r="AP475" s="92"/>
      <c r="AQ475" s="67"/>
      <c r="AR475" s="67"/>
      <c r="AS475" s="73"/>
      <c r="AT475" s="67"/>
      <c r="AU475" s="67"/>
      <c r="AV475" s="94" t="s">
        <v>214</v>
      </c>
      <c r="AW475" s="68"/>
      <c r="AX475" s="68"/>
      <c r="AY475" s="68"/>
      <c r="AZ475" s="68"/>
      <c r="BA475" s="68"/>
      <c r="BB475" s="67"/>
      <c r="BC475" s="67"/>
      <c r="BD475" s="67"/>
      <c r="BE475" s="67"/>
      <c r="BF475" s="96">
        <v>8</v>
      </c>
      <c r="BG475" s="52"/>
      <c r="BH475" s="52"/>
      <c r="BI475" s="52"/>
      <c r="BJ475" s="52"/>
      <c r="BK475" s="52"/>
      <c r="BL475" s="52"/>
      <c r="BM475" s="52"/>
      <c r="BN475" s="53"/>
      <c r="BO475" s="52"/>
      <c r="BP475" s="52"/>
      <c r="BQ475" s="54"/>
    </row>
    <row r="476" spans="1:69" ht="16" x14ac:dyDescent="0.35">
      <c r="A476"/>
      <c r="B476"/>
      <c r="D476"/>
      <c r="G476"/>
      <c r="H476" s="20"/>
      <c r="I476" s="20"/>
      <c r="J476" s="20"/>
      <c r="K476" s="20"/>
      <c r="L476" s="20"/>
      <c r="Q476" s="83"/>
      <c r="Y476" s="20"/>
      <c r="AP476" s="93"/>
      <c r="AQ476" s="31"/>
      <c r="AR476" s="31"/>
      <c r="AS476" s="94"/>
      <c r="AT476" s="31"/>
      <c r="AU476" s="31"/>
      <c r="AV476" s="73" t="s">
        <v>214</v>
      </c>
      <c r="AW476" s="32"/>
      <c r="AX476" s="32"/>
      <c r="AY476" s="32"/>
      <c r="AZ476" s="32"/>
      <c r="BA476" s="32"/>
      <c r="BB476" s="31"/>
      <c r="BC476" s="31"/>
      <c r="BD476" s="31"/>
      <c r="BE476" s="31"/>
      <c r="BF476" s="95">
        <v>8</v>
      </c>
      <c r="BG476" s="48"/>
      <c r="BH476" s="48"/>
      <c r="BI476" s="48"/>
      <c r="BJ476" s="48"/>
      <c r="BK476" s="48"/>
      <c r="BL476" s="48"/>
      <c r="BM476" s="48"/>
      <c r="BN476" s="49"/>
      <c r="BO476" s="48"/>
      <c r="BP476" s="48"/>
      <c r="BQ476" s="50"/>
    </row>
    <row r="477" spans="1:69" ht="16" x14ac:dyDescent="0.35">
      <c r="A477"/>
      <c r="B477"/>
      <c r="D477"/>
      <c r="G477"/>
      <c r="H477" s="20"/>
      <c r="I477" s="20"/>
      <c r="J477" s="20"/>
      <c r="K477" s="20"/>
      <c r="L477" s="20"/>
      <c r="Q477" s="83"/>
      <c r="Y477" s="20"/>
      <c r="AP477" s="92"/>
      <c r="AQ477" s="67"/>
      <c r="AR477" s="67"/>
      <c r="AS477" s="73"/>
      <c r="AT477" s="67"/>
      <c r="AU477" s="67"/>
      <c r="AV477" s="94" t="s">
        <v>214</v>
      </c>
      <c r="AW477" s="68"/>
      <c r="AX477" s="68"/>
      <c r="AY477" s="68"/>
      <c r="AZ477" s="68"/>
      <c r="BA477" s="68"/>
      <c r="BB477" s="67"/>
      <c r="BC477" s="67"/>
      <c r="BD477" s="67"/>
      <c r="BE477" s="67"/>
      <c r="BF477" s="96">
        <v>8</v>
      </c>
      <c r="BG477" s="52"/>
      <c r="BH477" s="52"/>
      <c r="BI477" s="52"/>
      <c r="BJ477" s="52"/>
      <c r="BK477" s="52"/>
      <c r="BL477" s="52"/>
      <c r="BM477" s="52"/>
      <c r="BN477" s="53"/>
      <c r="BO477" s="52"/>
      <c r="BP477" s="52"/>
      <c r="BQ477" s="54"/>
    </row>
    <row r="478" spans="1:69" ht="16" x14ac:dyDescent="0.35">
      <c r="A478"/>
      <c r="B478"/>
      <c r="D478"/>
      <c r="G478"/>
      <c r="H478" s="20"/>
      <c r="I478" s="20"/>
      <c r="J478" s="20"/>
      <c r="K478" s="20"/>
      <c r="L478" s="20"/>
      <c r="Q478" s="83"/>
      <c r="Y478" s="20"/>
      <c r="AP478" s="93"/>
      <c r="AQ478" s="31"/>
      <c r="AR478" s="31"/>
      <c r="AS478" s="94"/>
      <c r="AT478" s="31"/>
      <c r="AU478" s="31"/>
      <c r="AV478" s="73" t="s">
        <v>214</v>
      </c>
      <c r="AW478" s="32"/>
      <c r="AX478" s="32"/>
      <c r="AY478" s="32"/>
      <c r="AZ478" s="32"/>
      <c r="BA478" s="32"/>
      <c r="BB478" s="31"/>
      <c r="BC478" s="31"/>
      <c r="BD478" s="31"/>
      <c r="BE478" s="31"/>
      <c r="BF478" s="95">
        <v>8</v>
      </c>
      <c r="BG478" s="48"/>
      <c r="BH478" s="48"/>
      <c r="BI478" s="48"/>
      <c r="BJ478" s="48"/>
      <c r="BK478" s="48"/>
      <c r="BL478" s="48"/>
      <c r="BM478" s="48"/>
      <c r="BN478" s="49"/>
      <c r="BO478" s="48"/>
      <c r="BP478" s="48"/>
      <c r="BQ478" s="50"/>
    </row>
    <row r="479" spans="1:69" ht="16" x14ac:dyDescent="0.35">
      <c r="A479"/>
      <c r="B479"/>
      <c r="D479"/>
      <c r="G479"/>
      <c r="H479" s="20"/>
      <c r="I479" s="20"/>
      <c r="J479" s="20"/>
      <c r="K479" s="20"/>
      <c r="L479" s="20"/>
      <c r="Q479" s="83"/>
      <c r="Y479" s="20"/>
      <c r="AP479" s="92"/>
      <c r="AQ479" s="67"/>
      <c r="AR479" s="67"/>
      <c r="AS479" s="73"/>
      <c r="AT479" s="67"/>
      <c r="AU479" s="67"/>
      <c r="AV479" s="94" t="s">
        <v>214</v>
      </c>
      <c r="AW479" s="68"/>
      <c r="AX479" s="68"/>
      <c r="AY479" s="68"/>
      <c r="AZ479" s="68"/>
      <c r="BA479" s="68"/>
      <c r="BB479" s="67"/>
      <c r="BC479" s="67"/>
      <c r="BD479" s="67"/>
      <c r="BE479" s="67"/>
      <c r="BF479" s="96">
        <v>8</v>
      </c>
      <c r="BG479" s="52"/>
      <c r="BH479" s="52"/>
      <c r="BI479" s="52"/>
      <c r="BJ479" s="52"/>
      <c r="BK479" s="52"/>
      <c r="BL479" s="52"/>
      <c r="BM479" s="52"/>
      <c r="BN479" s="53"/>
      <c r="BO479" s="52"/>
      <c r="BP479" s="52"/>
      <c r="BQ479" s="54"/>
    </row>
    <row r="480" spans="1:69" ht="16" x14ac:dyDescent="0.35">
      <c r="A480"/>
      <c r="B480"/>
      <c r="D480"/>
      <c r="G480"/>
      <c r="H480" s="20"/>
      <c r="I480" s="20"/>
      <c r="J480" s="20"/>
      <c r="K480" s="20"/>
      <c r="L480" s="20"/>
      <c r="Q480" s="83"/>
      <c r="Y480" s="20"/>
      <c r="AP480" s="93"/>
      <c r="AQ480" s="31"/>
      <c r="AR480" s="31"/>
      <c r="AS480" s="94"/>
      <c r="AT480" s="31"/>
      <c r="AU480" s="31"/>
      <c r="AV480" s="73" t="s">
        <v>214</v>
      </c>
      <c r="AW480" s="32"/>
      <c r="AX480" s="32"/>
      <c r="AY480" s="32"/>
      <c r="AZ480" s="32"/>
      <c r="BA480" s="32"/>
      <c r="BB480" s="31"/>
      <c r="BC480" s="31"/>
      <c r="BD480" s="31"/>
      <c r="BE480" s="31"/>
      <c r="BF480" s="95">
        <v>8</v>
      </c>
      <c r="BG480" s="48"/>
      <c r="BH480" s="48"/>
      <c r="BI480" s="48"/>
      <c r="BJ480" s="48"/>
      <c r="BK480" s="48"/>
      <c r="BL480" s="48"/>
      <c r="BM480" s="48"/>
      <c r="BN480" s="49"/>
      <c r="BO480" s="48"/>
      <c r="BP480" s="48"/>
      <c r="BQ480" s="50"/>
    </row>
    <row r="481" spans="1:69" ht="16" x14ac:dyDescent="0.35">
      <c r="A481"/>
      <c r="B481"/>
      <c r="D481"/>
      <c r="G481"/>
      <c r="H481" s="20"/>
      <c r="I481" s="20"/>
      <c r="J481" s="20"/>
      <c r="K481" s="20"/>
      <c r="L481" s="20"/>
      <c r="Q481" s="83"/>
      <c r="Y481" s="20"/>
      <c r="AP481" s="92"/>
      <c r="AQ481" s="67"/>
      <c r="AR481" s="67"/>
      <c r="AS481" s="73"/>
      <c r="AT481" s="67"/>
      <c r="AU481" s="67"/>
      <c r="AV481" s="94" t="s">
        <v>214</v>
      </c>
      <c r="AW481" s="68"/>
      <c r="AX481" s="68"/>
      <c r="AY481" s="68"/>
      <c r="AZ481" s="68"/>
      <c r="BA481" s="68"/>
      <c r="BB481" s="67"/>
      <c r="BC481" s="67"/>
      <c r="BD481" s="67"/>
      <c r="BE481" s="67"/>
      <c r="BF481" s="96">
        <v>8</v>
      </c>
      <c r="BG481" s="52"/>
      <c r="BH481" s="52"/>
      <c r="BI481" s="52"/>
      <c r="BJ481" s="52"/>
      <c r="BK481" s="52"/>
      <c r="BL481" s="52"/>
      <c r="BM481" s="52"/>
      <c r="BN481" s="53"/>
      <c r="BO481" s="52"/>
      <c r="BP481" s="52"/>
      <c r="BQ481" s="54"/>
    </row>
    <row r="482" spans="1:69" ht="16" x14ac:dyDescent="0.35">
      <c r="A482"/>
      <c r="B482"/>
      <c r="D482"/>
      <c r="G482"/>
      <c r="H482" s="20"/>
      <c r="I482" s="20"/>
      <c r="J482" s="20"/>
      <c r="K482" s="20"/>
      <c r="L482" s="20"/>
      <c r="Q482" s="83"/>
      <c r="Y482" s="20"/>
      <c r="AP482" s="93"/>
      <c r="AQ482" s="31"/>
      <c r="AR482" s="31"/>
      <c r="AS482" s="94"/>
      <c r="AT482" s="31"/>
      <c r="AU482" s="31"/>
      <c r="AV482" s="73" t="s">
        <v>214</v>
      </c>
      <c r="AW482" s="32"/>
      <c r="AX482" s="32"/>
      <c r="AY482" s="32"/>
      <c r="AZ482" s="32"/>
      <c r="BA482" s="32"/>
      <c r="BB482" s="31"/>
      <c r="BC482" s="31"/>
      <c r="BD482" s="31"/>
      <c r="BE482" s="31"/>
      <c r="BF482" s="95">
        <v>8</v>
      </c>
      <c r="BG482" s="48"/>
      <c r="BH482" s="48"/>
      <c r="BI482" s="48"/>
      <c r="BJ482" s="48"/>
      <c r="BK482" s="48"/>
      <c r="BL482" s="48"/>
      <c r="BM482" s="48"/>
      <c r="BN482" s="49"/>
      <c r="BO482" s="48"/>
      <c r="BP482" s="48"/>
      <c r="BQ482" s="50"/>
    </row>
    <row r="483" spans="1:69" ht="16" x14ac:dyDescent="0.35">
      <c r="A483"/>
      <c r="B483"/>
      <c r="D483"/>
      <c r="G483"/>
      <c r="H483" s="20"/>
      <c r="I483" s="20"/>
      <c r="J483" s="20"/>
      <c r="K483" s="20"/>
      <c r="L483" s="20"/>
      <c r="Q483" s="83"/>
      <c r="Y483" s="20"/>
      <c r="AP483" s="92"/>
      <c r="AQ483" s="67"/>
      <c r="AR483" s="67"/>
      <c r="AS483" s="73"/>
      <c r="AT483" s="67"/>
      <c r="AU483" s="67"/>
      <c r="AV483" s="94" t="s">
        <v>214</v>
      </c>
      <c r="AW483" s="68"/>
      <c r="AX483" s="68"/>
      <c r="AY483" s="68"/>
      <c r="AZ483" s="68"/>
      <c r="BA483" s="68"/>
      <c r="BB483" s="67"/>
      <c r="BC483" s="67"/>
      <c r="BD483" s="67"/>
      <c r="BE483" s="67"/>
      <c r="BF483" s="96">
        <v>8</v>
      </c>
      <c r="BG483" s="52"/>
      <c r="BH483" s="52"/>
      <c r="BI483" s="52"/>
      <c r="BJ483" s="52"/>
      <c r="BK483" s="52"/>
      <c r="BL483" s="52"/>
      <c r="BM483" s="52"/>
      <c r="BN483" s="53"/>
      <c r="BO483" s="52"/>
      <c r="BP483" s="52"/>
      <c r="BQ483" s="54"/>
    </row>
    <row r="484" spans="1:69" ht="16" x14ac:dyDescent="0.35">
      <c r="A484"/>
      <c r="B484"/>
      <c r="D484"/>
      <c r="G484"/>
      <c r="H484" s="20"/>
      <c r="I484" s="20"/>
      <c r="J484" s="20"/>
      <c r="K484" s="20"/>
      <c r="L484" s="20"/>
      <c r="Q484" s="83"/>
      <c r="Y484" s="20"/>
      <c r="AP484" s="93"/>
      <c r="AQ484" s="31"/>
      <c r="AR484" s="31"/>
      <c r="AS484" s="94"/>
      <c r="AT484" s="31"/>
      <c r="AU484" s="31"/>
      <c r="AV484" s="73" t="s">
        <v>214</v>
      </c>
      <c r="AW484" s="32"/>
      <c r="AX484" s="32"/>
      <c r="AY484" s="32"/>
      <c r="AZ484" s="32"/>
      <c r="BA484" s="32"/>
      <c r="BB484" s="31"/>
      <c r="BC484" s="31"/>
      <c r="BD484" s="31"/>
      <c r="BE484" s="31"/>
      <c r="BF484" s="95">
        <v>8</v>
      </c>
      <c r="BG484" s="48"/>
      <c r="BH484" s="48"/>
      <c r="BI484" s="48"/>
      <c r="BJ484" s="48"/>
      <c r="BK484" s="48"/>
      <c r="BL484" s="48"/>
      <c r="BM484" s="48"/>
      <c r="BN484" s="49"/>
      <c r="BO484" s="48"/>
      <c r="BP484" s="48"/>
      <c r="BQ484" s="50"/>
    </row>
    <row r="485" spans="1:69" ht="16" x14ac:dyDescent="0.35">
      <c r="A485"/>
      <c r="B485"/>
      <c r="D485"/>
      <c r="G485"/>
      <c r="H485" s="20"/>
      <c r="I485" s="20"/>
      <c r="J485" s="20"/>
      <c r="K485" s="20"/>
      <c r="L485" s="20"/>
      <c r="Q485" s="83"/>
      <c r="Y485" s="20"/>
      <c r="AP485" s="92"/>
      <c r="AQ485" s="67"/>
      <c r="AR485" s="67"/>
      <c r="AS485" s="73"/>
      <c r="AT485" s="67"/>
      <c r="AU485" s="67"/>
      <c r="AV485" s="94" t="s">
        <v>214</v>
      </c>
      <c r="AW485" s="68"/>
      <c r="AX485" s="68"/>
      <c r="AY485" s="68"/>
      <c r="AZ485" s="68"/>
      <c r="BA485" s="68"/>
      <c r="BB485" s="67"/>
      <c r="BC485" s="67"/>
      <c r="BD485" s="67"/>
      <c r="BE485" s="67"/>
      <c r="BF485" s="96">
        <v>8</v>
      </c>
      <c r="BG485" s="52"/>
      <c r="BH485" s="52"/>
      <c r="BI485" s="52"/>
      <c r="BJ485" s="52"/>
      <c r="BK485" s="52"/>
      <c r="BL485" s="52"/>
      <c r="BM485" s="52"/>
      <c r="BN485" s="53"/>
      <c r="BO485" s="52"/>
      <c r="BP485" s="52"/>
      <c r="BQ485" s="54"/>
    </row>
    <row r="486" spans="1:69" ht="16" x14ac:dyDescent="0.35">
      <c r="A486"/>
      <c r="B486"/>
      <c r="D486"/>
      <c r="G486"/>
      <c r="H486" s="20"/>
      <c r="I486" s="20"/>
      <c r="J486" s="20"/>
      <c r="K486" s="20"/>
      <c r="L486" s="20"/>
      <c r="Q486" s="83"/>
      <c r="Y486" s="20"/>
      <c r="AP486" s="93"/>
      <c r="AQ486" s="31"/>
      <c r="AR486" s="31"/>
      <c r="AS486" s="94"/>
      <c r="AT486" s="31"/>
      <c r="AU486" s="31"/>
      <c r="AV486" s="73" t="s">
        <v>214</v>
      </c>
      <c r="AW486" s="32"/>
      <c r="AX486" s="32"/>
      <c r="AY486" s="32"/>
      <c r="AZ486" s="32"/>
      <c r="BA486" s="32"/>
      <c r="BB486" s="31"/>
      <c r="BC486" s="31"/>
      <c r="BD486" s="31"/>
      <c r="BE486" s="31"/>
      <c r="BF486" s="95">
        <v>8</v>
      </c>
      <c r="BG486" s="48"/>
      <c r="BH486" s="48"/>
      <c r="BI486" s="48"/>
      <c r="BJ486" s="48"/>
      <c r="BK486" s="48"/>
      <c r="BL486" s="48"/>
      <c r="BM486" s="48"/>
      <c r="BN486" s="49"/>
      <c r="BO486" s="48"/>
      <c r="BP486" s="48"/>
      <c r="BQ486" s="50"/>
    </row>
    <row r="487" spans="1:69" ht="16" x14ac:dyDescent="0.35">
      <c r="A487"/>
      <c r="B487"/>
      <c r="D487"/>
      <c r="G487"/>
      <c r="H487" s="20"/>
      <c r="I487" s="20"/>
      <c r="J487" s="20"/>
      <c r="K487" s="20"/>
      <c r="L487" s="20"/>
      <c r="Q487" s="83"/>
      <c r="Y487" s="20"/>
      <c r="AP487" s="92"/>
      <c r="AQ487" s="67"/>
      <c r="AR487" s="67"/>
      <c r="AS487" s="73"/>
      <c r="AT487" s="67"/>
      <c r="AU487" s="67"/>
      <c r="AV487" s="94" t="s">
        <v>214</v>
      </c>
      <c r="AW487" s="68"/>
      <c r="AX487" s="68"/>
      <c r="AY487" s="68"/>
      <c r="AZ487" s="68"/>
      <c r="BA487" s="68"/>
      <c r="BB487" s="67"/>
      <c r="BC487" s="67"/>
      <c r="BD487" s="67"/>
      <c r="BE487" s="67"/>
      <c r="BF487" s="96">
        <v>8</v>
      </c>
      <c r="BG487" s="52"/>
      <c r="BH487" s="52"/>
      <c r="BI487" s="52"/>
      <c r="BJ487" s="52"/>
      <c r="BK487" s="52"/>
      <c r="BL487" s="52"/>
      <c r="BM487" s="52"/>
      <c r="BN487" s="53"/>
      <c r="BO487" s="52"/>
      <c r="BP487" s="52"/>
      <c r="BQ487" s="54"/>
    </row>
    <row r="488" spans="1:69" ht="16" x14ac:dyDescent="0.35">
      <c r="A488"/>
      <c r="B488"/>
      <c r="D488"/>
      <c r="G488"/>
      <c r="H488" s="20"/>
      <c r="I488" s="20"/>
      <c r="J488" s="20"/>
      <c r="K488" s="20"/>
      <c r="L488" s="20"/>
      <c r="Q488" s="83"/>
      <c r="Y488" s="20"/>
      <c r="AP488" s="93"/>
      <c r="AQ488" s="31"/>
      <c r="AR488" s="31"/>
      <c r="AS488" s="94"/>
      <c r="AT488" s="31"/>
      <c r="AU488" s="31"/>
      <c r="AV488" s="73" t="s">
        <v>214</v>
      </c>
      <c r="AW488" s="32"/>
      <c r="AX488" s="32"/>
      <c r="AY488" s="32"/>
      <c r="AZ488" s="32"/>
      <c r="BA488" s="32"/>
      <c r="BB488" s="31"/>
      <c r="BC488" s="31"/>
      <c r="BD488" s="31"/>
      <c r="BE488" s="31"/>
      <c r="BF488" s="95">
        <v>8</v>
      </c>
      <c r="BG488" s="48"/>
      <c r="BH488" s="48"/>
      <c r="BI488" s="48"/>
      <c r="BJ488" s="48"/>
      <c r="BK488" s="48"/>
      <c r="BL488" s="48"/>
      <c r="BM488" s="48"/>
      <c r="BN488" s="49"/>
      <c r="BO488" s="48"/>
      <c r="BP488" s="48"/>
      <c r="BQ488" s="50"/>
    </row>
    <row r="489" spans="1:69" ht="16" x14ac:dyDescent="0.35">
      <c r="A489"/>
      <c r="B489"/>
      <c r="D489"/>
      <c r="G489"/>
      <c r="H489" s="20"/>
      <c r="I489" s="20"/>
      <c r="J489" s="20"/>
      <c r="K489" s="20"/>
      <c r="L489" s="20"/>
      <c r="Q489" s="83"/>
      <c r="Y489" s="20"/>
      <c r="AP489" s="92"/>
      <c r="AQ489" s="67"/>
      <c r="AR489" s="67"/>
      <c r="AS489" s="73"/>
      <c r="AT489" s="67"/>
      <c r="AU489" s="67"/>
      <c r="AV489" s="94" t="s">
        <v>214</v>
      </c>
      <c r="AW489" s="68"/>
      <c r="AX489" s="68"/>
      <c r="AY489" s="68"/>
      <c r="AZ489" s="68"/>
      <c r="BA489" s="68"/>
      <c r="BB489" s="67"/>
      <c r="BC489" s="67"/>
      <c r="BD489" s="67"/>
      <c r="BE489" s="67"/>
      <c r="BF489" s="96">
        <v>8</v>
      </c>
      <c r="BG489" s="52"/>
      <c r="BH489" s="52"/>
      <c r="BI489" s="52"/>
      <c r="BJ489" s="52"/>
      <c r="BK489" s="52"/>
      <c r="BL489" s="52"/>
      <c r="BM489" s="52"/>
      <c r="BN489" s="53"/>
      <c r="BO489" s="52"/>
      <c r="BP489" s="52"/>
      <c r="BQ489" s="54"/>
    </row>
    <row r="490" spans="1:69" ht="16" x14ac:dyDescent="0.35">
      <c r="A490"/>
      <c r="B490"/>
      <c r="D490"/>
      <c r="G490"/>
      <c r="H490" s="20"/>
      <c r="I490" s="20"/>
      <c r="J490" s="20"/>
      <c r="K490" s="20"/>
      <c r="L490" s="20"/>
      <c r="Q490" s="83"/>
      <c r="Y490" s="20"/>
      <c r="AP490" s="93"/>
      <c r="AQ490" s="31"/>
      <c r="AR490" s="31"/>
      <c r="AS490" s="94"/>
      <c r="AT490" s="31"/>
      <c r="AU490" s="31"/>
      <c r="AV490" s="73" t="s">
        <v>214</v>
      </c>
      <c r="AW490" s="32"/>
      <c r="AX490" s="32"/>
      <c r="AY490" s="32"/>
      <c r="AZ490" s="32"/>
      <c r="BA490" s="32"/>
      <c r="BB490" s="31"/>
      <c r="BC490" s="31"/>
      <c r="BD490" s="31"/>
      <c r="BE490" s="31"/>
      <c r="BF490" s="95">
        <v>8</v>
      </c>
      <c r="BG490" s="48"/>
      <c r="BH490" s="48"/>
      <c r="BI490" s="48"/>
      <c r="BJ490" s="48"/>
      <c r="BK490" s="48"/>
      <c r="BL490" s="48"/>
      <c r="BM490" s="48"/>
      <c r="BN490" s="49"/>
      <c r="BO490" s="48"/>
      <c r="BP490" s="48"/>
      <c r="BQ490" s="50"/>
    </row>
    <row r="491" spans="1:69" ht="16" x14ac:dyDescent="0.35">
      <c r="A491"/>
      <c r="B491"/>
      <c r="D491"/>
      <c r="G491"/>
      <c r="H491" s="20"/>
      <c r="I491" s="20"/>
      <c r="J491" s="20"/>
      <c r="K491" s="20"/>
      <c r="L491" s="20"/>
      <c r="Q491" s="83"/>
      <c r="Y491" s="20"/>
      <c r="AP491" s="92"/>
      <c r="AQ491" s="67"/>
      <c r="AR491" s="67"/>
      <c r="AS491" s="73"/>
      <c r="AT491" s="67"/>
      <c r="AU491" s="67"/>
      <c r="AV491" s="94" t="s">
        <v>213</v>
      </c>
      <c r="AW491" s="68"/>
      <c r="AX491" s="68"/>
      <c r="AY491" s="68"/>
      <c r="AZ491" s="68"/>
      <c r="BA491" s="68"/>
      <c r="BB491" s="67"/>
      <c r="BC491" s="67"/>
      <c r="BD491" s="67"/>
      <c r="BE491" s="67"/>
      <c r="BF491" s="96">
        <v>0</v>
      </c>
      <c r="BG491" s="52"/>
      <c r="BH491" s="52"/>
      <c r="BI491" s="52"/>
      <c r="BJ491" s="52"/>
      <c r="BK491" s="52"/>
      <c r="BL491" s="52"/>
      <c r="BM491" s="52"/>
      <c r="BN491" s="53"/>
      <c r="BO491" s="52"/>
      <c r="BP491" s="52"/>
      <c r="BQ491" s="54"/>
    </row>
    <row r="492" spans="1:69" ht="16" x14ac:dyDescent="0.35">
      <c r="A492"/>
      <c r="B492"/>
      <c r="D492"/>
      <c r="G492"/>
      <c r="H492" s="20"/>
      <c r="I492" s="20"/>
      <c r="J492" s="20"/>
      <c r="K492" s="20"/>
      <c r="L492" s="20"/>
      <c r="Q492" s="83"/>
      <c r="Y492" s="20"/>
      <c r="AP492" s="93"/>
      <c r="AQ492" s="31"/>
      <c r="AR492" s="31"/>
      <c r="AS492" s="94"/>
      <c r="AT492" s="31"/>
      <c r="AU492" s="31"/>
      <c r="AV492" s="73" t="s">
        <v>214</v>
      </c>
      <c r="AW492" s="32"/>
      <c r="AX492" s="32"/>
      <c r="AY492" s="32"/>
      <c r="AZ492" s="32"/>
      <c r="BA492" s="32"/>
      <c r="BB492" s="31"/>
      <c r="BC492" s="31"/>
      <c r="BD492" s="31"/>
      <c r="BE492" s="31"/>
      <c r="BF492" s="95">
        <v>0</v>
      </c>
      <c r="BG492" s="48"/>
      <c r="BH492" s="48"/>
      <c r="BI492" s="48"/>
      <c r="BJ492" s="48"/>
      <c r="BK492" s="48"/>
      <c r="BL492" s="48"/>
      <c r="BM492" s="48"/>
      <c r="BN492" s="49"/>
      <c r="BO492" s="48"/>
      <c r="BP492" s="48"/>
      <c r="BQ492" s="50"/>
    </row>
    <row r="493" spans="1:69" ht="16" x14ac:dyDescent="0.35">
      <c r="A493"/>
      <c r="B493"/>
      <c r="D493"/>
      <c r="G493"/>
      <c r="H493" s="20"/>
      <c r="I493" s="20"/>
      <c r="J493" s="20"/>
      <c r="K493" s="20"/>
      <c r="L493" s="20"/>
      <c r="Q493" s="83"/>
      <c r="Y493" s="20"/>
      <c r="AP493" s="92"/>
      <c r="AQ493" s="67"/>
      <c r="AR493" s="67"/>
      <c r="AS493" s="73"/>
      <c r="AT493" s="67"/>
      <c r="AU493" s="67"/>
      <c r="AV493" s="94" t="s">
        <v>214</v>
      </c>
      <c r="AW493" s="68"/>
      <c r="AX493" s="68"/>
      <c r="AY493" s="68"/>
      <c r="AZ493" s="68"/>
      <c r="BA493" s="68"/>
      <c r="BB493" s="67"/>
      <c r="BC493" s="67"/>
      <c r="BD493" s="67"/>
      <c r="BE493" s="67"/>
      <c r="BF493" s="96">
        <v>0</v>
      </c>
      <c r="BG493" s="52"/>
      <c r="BH493" s="52"/>
      <c r="BI493" s="52"/>
      <c r="BJ493" s="52"/>
      <c r="BK493" s="52"/>
      <c r="BL493" s="52"/>
      <c r="BM493" s="52"/>
      <c r="BN493" s="53"/>
      <c r="BO493" s="52"/>
      <c r="BP493" s="52"/>
      <c r="BQ493" s="54"/>
    </row>
    <row r="494" spans="1:69" ht="16" x14ac:dyDescent="0.35">
      <c r="A494"/>
      <c r="B494"/>
      <c r="D494"/>
      <c r="G494"/>
      <c r="H494" s="20"/>
      <c r="I494" s="20"/>
      <c r="J494" s="20"/>
      <c r="K494" s="20"/>
      <c r="L494" s="20"/>
      <c r="Q494" s="83"/>
      <c r="Y494" s="20"/>
      <c r="AP494" s="93"/>
      <c r="AQ494" s="31"/>
      <c r="AR494" s="31"/>
      <c r="AS494" s="94"/>
      <c r="AT494" s="31"/>
      <c r="AU494" s="31"/>
      <c r="AV494" s="73" t="s">
        <v>214</v>
      </c>
      <c r="AW494" s="32"/>
      <c r="AX494" s="32"/>
      <c r="AY494" s="32"/>
      <c r="AZ494" s="32"/>
      <c r="BA494" s="32"/>
      <c r="BB494" s="31"/>
      <c r="BC494" s="31"/>
      <c r="BD494" s="31"/>
      <c r="BE494" s="31"/>
      <c r="BF494" s="95">
        <v>0</v>
      </c>
      <c r="BG494" s="48"/>
      <c r="BH494" s="48"/>
      <c r="BI494" s="48"/>
      <c r="BJ494" s="48"/>
      <c r="BK494" s="48"/>
      <c r="BL494" s="48"/>
      <c r="BM494" s="48"/>
      <c r="BN494" s="49"/>
      <c r="BO494" s="48"/>
      <c r="BP494" s="48"/>
      <c r="BQ494" s="50"/>
    </row>
    <row r="495" spans="1:69" ht="16" x14ac:dyDescent="0.35">
      <c r="A495"/>
      <c r="B495"/>
      <c r="D495"/>
      <c r="G495"/>
      <c r="H495" s="20"/>
      <c r="I495" s="20"/>
      <c r="J495" s="20"/>
      <c r="K495" s="20"/>
      <c r="L495" s="20"/>
      <c r="Q495" s="83"/>
      <c r="Y495" s="20"/>
      <c r="AP495" s="92"/>
      <c r="AQ495" s="67"/>
      <c r="AR495" s="67"/>
      <c r="AS495" s="73"/>
      <c r="AT495" s="67"/>
      <c r="AU495" s="67"/>
      <c r="AV495" s="94" t="s">
        <v>214</v>
      </c>
      <c r="AW495" s="68"/>
      <c r="AX495" s="68"/>
      <c r="AY495" s="68"/>
      <c r="AZ495" s="68"/>
      <c r="BA495" s="68"/>
      <c r="BB495" s="67"/>
      <c r="BC495" s="67"/>
      <c r="BD495" s="67"/>
      <c r="BE495" s="67"/>
      <c r="BF495" s="96">
        <v>0</v>
      </c>
      <c r="BG495" s="52"/>
      <c r="BH495" s="52"/>
      <c r="BI495" s="52"/>
      <c r="BJ495" s="52"/>
      <c r="BK495" s="52"/>
      <c r="BL495" s="52"/>
      <c r="BM495" s="52"/>
      <c r="BN495" s="53"/>
      <c r="BO495" s="52"/>
      <c r="BP495" s="52"/>
      <c r="BQ495" s="54"/>
    </row>
    <row r="496" spans="1:69" ht="16" x14ac:dyDescent="0.35">
      <c r="A496"/>
      <c r="B496"/>
      <c r="D496"/>
      <c r="G496"/>
      <c r="H496" s="20"/>
      <c r="I496" s="20"/>
      <c r="J496" s="20"/>
      <c r="K496" s="20"/>
      <c r="L496" s="20"/>
      <c r="Q496" s="83"/>
      <c r="Y496" s="20"/>
      <c r="AP496" s="93"/>
      <c r="AQ496" s="31"/>
      <c r="AR496" s="31"/>
      <c r="AS496" s="94"/>
      <c r="AT496" s="31"/>
      <c r="AU496" s="31"/>
      <c r="AV496" s="73" t="s">
        <v>214</v>
      </c>
      <c r="AW496" s="32"/>
      <c r="AX496" s="32"/>
      <c r="AY496" s="32"/>
      <c r="AZ496" s="32"/>
      <c r="BA496" s="32"/>
      <c r="BB496" s="31"/>
      <c r="BC496" s="31"/>
      <c r="BD496" s="31"/>
      <c r="BE496" s="31"/>
      <c r="BF496" s="95">
        <v>0</v>
      </c>
      <c r="BG496" s="48"/>
      <c r="BH496" s="48"/>
      <c r="BI496" s="48"/>
      <c r="BJ496" s="48"/>
      <c r="BK496" s="48"/>
      <c r="BL496" s="48"/>
      <c r="BM496" s="48"/>
      <c r="BN496" s="49"/>
      <c r="BO496" s="48"/>
      <c r="BP496" s="48"/>
      <c r="BQ496" s="50"/>
    </row>
    <row r="497" spans="1:69" ht="16" x14ac:dyDescent="0.35">
      <c r="A497"/>
      <c r="B497"/>
      <c r="D497"/>
      <c r="G497"/>
      <c r="H497" s="20"/>
      <c r="I497" s="20"/>
      <c r="J497" s="20"/>
      <c r="K497" s="20"/>
      <c r="L497" s="20"/>
      <c r="Q497" s="83"/>
      <c r="Y497" s="20"/>
      <c r="AP497" s="92"/>
      <c r="AQ497" s="67"/>
      <c r="AR497" s="67"/>
      <c r="AS497" s="73"/>
      <c r="AT497" s="67"/>
      <c r="AU497" s="67"/>
      <c r="AV497" s="94" t="s">
        <v>213</v>
      </c>
      <c r="AW497" s="68"/>
      <c r="AX497" s="68"/>
      <c r="AY497" s="68"/>
      <c r="AZ497" s="68"/>
      <c r="BA497" s="68"/>
      <c r="BB497" s="67"/>
      <c r="BC497" s="67"/>
      <c r="BD497" s="67"/>
      <c r="BE497" s="67"/>
      <c r="BF497" s="96">
        <v>0</v>
      </c>
      <c r="BG497" s="52"/>
      <c r="BH497" s="52"/>
      <c r="BI497" s="52"/>
      <c r="BJ497" s="52"/>
      <c r="BK497" s="52"/>
      <c r="BL497" s="52"/>
      <c r="BM497" s="52"/>
      <c r="BN497" s="53"/>
      <c r="BO497" s="52"/>
      <c r="BP497" s="52"/>
      <c r="BQ497" s="54"/>
    </row>
    <row r="498" spans="1:69" ht="16" x14ac:dyDescent="0.35">
      <c r="A498"/>
      <c r="B498"/>
      <c r="D498"/>
      <c r="G498"/>
      <c r="H498" s="20"/>
      <c r="I498" s="20"/>
      <c r="J498" s="20"/>
      <c r="K498" s="20"/>
      <c r="L498" s="20"/>
      <c r="Q498" s="83"/>
      <c r="Y498" s="20"/>
      <c r="AP498" s="93"/>
      <c r="AQ498" s="31"/>
      <c r="AR498" s="31"/>
      <c r="AS498" s="94"/>
      <c r="AT498" s="31"/>
      <c r="AU498" s="31"/>
      <c r="AV498" s="73" t="s">
        <v>213</v>
      </c>
      <c r="AW498" s="32"/>
      <c r="AX498" s="32"/>
      <c r="AY498" s="32"/>
      <c r="AZ498" s="32"/>
      <c r="BA498" s="32"/>
      <c r="BB498" s="31"/>
      <c r="BC498" s="31"/>
      <c r="BD498" s="31"/>
      <c r="BE498" s="31"/>
      <c r="BF498" s="95">
        <v>0</v>
      </c>
      <c r="BG498" s="48"/>
      <c r="BH498" s="48"/>
      <c r="BI498" s="48"/>
      <c r="BJ498" s="48"/>
      <c r="BK498" s="48"/>
      <c r="BL498" s="48"/>
      <c r="BM498" s="48"/>
      <c r="BN498" s="49"/>
      <c r="BO498" s="48"/>
      <c r="BP498" s="48"/>
      <c r="BQ498" s="50"/>
    </row>
    <row r="499" spans="1:69" ht="16" x14ac:dyDescent="0.35">
      <c r="A499"/>
      <c r="B499"/>
      <c r="D499"/>
      <c r="G499"/>
      <c r="H499" s="20"/>
      <c r="I499" s="20"/>
      <c r="J499" s="20"/>
      <c r="K499" s="20"/>
      <c r="L499" s="20"/>
      <c r="Q499" s="83"/>
      <c r="Y499" s="20"/>
      <c r="AP499" s="92"/>
      <c r="AQ499" s="67"/>
      <c r="AR499" s="67"/>
      <c r="AS499" s="73"/>
      <c r="AT499" s="67"/>
      <c r="AU499" s="67"/>
      <c r="AV499" s="94" t="s">
        <v>213</v>
      </c>
      <c r="AW499" s="68"/>
      <c r="AX499" s="68"/>
      <c r="AY499" s="68"/>
      <c r="AZ499" s="68"/>
      <c r="BA499" s="68"/>
      <c r="BB499" s="67"/>
      <c r="BC499" s="67"/>
      <c r="BD499" s="67"/>
      <c r="BE499" s="67"/>
      <c r="BF499" s="96">
        <v>0</v>
      </c>
      <c r="BG499" s="52"/>
      <c r="BH499" s="52"/>
      <c r="BI499" s="52"/>
      <c r="BJ499" s="52"/>
      <c r="BK499" s="52"/>
      <c r="BL499" s="52"/>
      <c r="BM499" s="52"/>
      <c r="BN499" s="53"/>
      <c r="BO499" s="52"/>
      <c r="BP499" s="52"/>
      <c r="BQ499" s="54"/>
    </row>
    <row r="500" spans="1:69" ht="16" x14ac:dyDescent="0.35">
      <c r="A500"/>
      <c r="B500"/>
      <c r="D500"/>
      <c r="G500"/>
      <c r="H500" s="20"/>
      <c r="I500" s="20"/>
      <c r="J500" s="20"/>
      <c r="K500" s="20"/>
      <c r="L500" s="20"/>
      <c r="Q500" s="83"/>
      <c r="Y500" s="20"/>
      <c r="AP500" s="93"/>
      <c r="AQ500" s="31"/>
      <c r="AR500" s="31"/>
      <c r="AS500" s="94"/>
      <c r="AT500" s="31"/>
      <c r="AU500" s="31"/>
      <c r="AV500" s="73" t="s">
        <v>213</v>
      </c>
      <c r="AW500" s="32"/>
      <c r="AX500" s="32"/>
      <c r="AY500" s="32"/>
      <c r="AZ500" s="32"/>
      <c r="BA500" s="32"/>
      <c r="BB500" s="31"/>
      <c r="BC500" s="31"/>
      <c r="BD500" s="31"/>
      <c r="BE500" s="31"/>
      <c r="BF500" s="95">
        <v>0</v>
      </c>
      <c r="BG500" s="48"/>
      <c r="BH500" s="48"/>
      <c r="BI500" s="48"/>
      <c r="BJ500" s="48"/>
      <c r="BK500" s="48"/>
      <c r="BL500" s="48"/>
      <c r="BM500" s="48"/>
      <c r="BN500" s="49"/>
      <c r="BO500" s="48"/>
      <c r="BP500" s="48"/>
      <c r="BQ500" s="50"/>
    </row>
    <row r="501" spans="1:69" ht="16" x14ac:dyDescent="0.35">
      <c r="A501"/>
      <c r="B501"/>
      <c r="D501"/>
      <c r="G501"/>
      <c r="H501" s="20"/>
      <c r="I501" s="20"/>
      <c r="J501" s="20"/>
      <c r="K501" s="20"/>
      <c r="L501" s="20"/>
      <c r="Q501" s="83"/>
      <c r="Y501" s="20"/>
      <c r="AP501" s="92"/>
      <c r="AQ501" s="67"/>
      <c r="AR501" s="67"/>
      <c r="AS501" s="73"/>
      <c r="AT501" s="67"/>
      <c r="AU501" s="67"/>
      <c r="AV501" s="94" t="s">
        <v>213</v>
      </c>
      <c r="AW501" s="68"/>
      <c r="AX501" s="68"/>
      <c r="AY501" s="68"/>
      <c r="AZ501" s="68"/>
      <c r="BA501" s="68"/>
      <c r="BB501" s="67"/>
      <c r="BC501" s="67"/>
      <c r="BD501" s="67"/>
      <c r="BE501" s="67"/>
      <c r="BF501" s="96">
        <v>0</v>
      </c>
      <c r="BG501" s="52"/>
      <c r="BH501" s="52"/>
      <c r="BI501" s="52"/>
      <c r="BJ501" s="52"/>
      <c r="BK501" s="52"/>
      <c r="BL501" s="52"/>
      <c r="BM501" s="52"/>
      <c r="BN501" s="53"/>
      <c r="BO501" s="52"/>
      <c r="BP501" s="52"/>
      <c r="BQ501" s="54"/>
    </row>
    <row r="502" spans="1:69" ht="16" x14ac:dyDescent="0.35">
      <c r="A502"/>
      <c r="B502"/>
      <c r="D502"/>
      <c r="G502"/>
      <c r="H502" s="20"/>
      <c r="I502" s="20"/>
      <c r="J502" s="20"/>
      <c r="K502" s="20"/>
      <c r="L502" s="20"/>
      <c r="Q502" s="83"/>
      <c r="Y502" s="20"/>
      <c r="AP502" s="93"/>
      <c r="AQ502" s="31"/>
      <c r="AR502" s="31"/>
      <c r="AS502" s="94"/>
      <c r="AT502" s="31"/>
      <c r="AU502" s="31"/>
      <c r="AV502" s="73" t="s">
        <v>213</v>
      </c>
      <c r="AW502" s="32"/>
      <c r="AX502" s="32"/>
      <c r="AY502" s="32"/>
      <c r="AZ502" s="32"/>
      <c r="BA502" s="32"/>
      <c r="BB502" s="31"/>
      <c r="BC502" s="31"/>
      <c r="BD502" s="31"/>
      <c r="BE502" s="31"/>
      <c r="BF502" s="95">
        <v>0</v>
      </c>
      <c r="BG502" s="48"/>
      <c r="BH502" s="48"/>
      <c r="BI502" s="48"/>
      <c r="BJ502" s="48"/>
      <c r="BK502" s="48"/>
      <c r="BL502" s="48"/>
      <c r="BM502" s="48"/>
      <c r="BN502" s="49"/>
      <c r="BO502" s="48"/>
      <c r="BP502" s="48"/>
      <c r="BQ502" s="50"/>
    </row>
    <row r="503" spans="1:69" ht="16" x14ac:dyDescent="0.35">
      <c r="A503"/>
      <c r="B503"/>
      <c r="D503"/>
      <c r="G503"/>
      <c r="H503" s="20"/>
      <c r="I503" s="20"/>
      <c r="J503" s="20"/>
      <c r="K503" s="20"/>
      <c r="L503" s="20"/>
      <c r="Q503" s="83"/>
      <c r="Y503" s="20"/>
      <c r="AP503" s="92"/>
      <c r="AQ503" s="67"/>
      <c r="AR503" s="67"/>
      <c r="AS503" s="73"/>
      <c r="AT503" s="67"/>
      <c r="AU503" s="67"/>
      <c r="AV503" s="94" t="s">
        <v>213</v>
      </c>
      <c r="AW503" s="68"/>
      <c r="AX503" s="68"/>
      <c r="AY503" s="68"/>
      <c r="AZ503" s="68"/>
      <c r="BA503" s="68"/>
      <c r="BB503" s="67"/>
      <c r="BC503" s="67"/>
      <c r="BD503" s="67"/>
      <c r="BE503" s="67"/>
      <c r="BF503" s="96">
        <v>0</v>
      </c>
      <c r="BG503" s="52"/>
      <c r="BH503" s="52"/>
      <c r="BI503" s="52"/>
      <c r="BJ503" s="52"/>
      <c r="BK503" s="52"/>
      <c r="BL503" s="52"/>
      <c r="BM503" s="52"/>
      <c r="BN503" s="53"/>
      <c r="BO503" s="52"/>
      <c r="BP503" s="52"/>
      <c r="BQ503" s="54"/>
    </row>
    <row r="504" spans="1:69" ht="16" x14ac:dyDescent="0.35">
      <c r="A504"/>
      <c r="B504"/>
      <c r="D504"/>
      <c r="G504"/>
      <c r="H504" s="20"/>
      <c r="I504" s="20"/>
      <c r="J504" s="20"/>
      <c r="K504" s="20"/>
      <c r="L504" s="20"/>
      <c r="Q504" s="83"/>
      <c r="Y504" s="20"/>
      <c r="AP504" s="93"/>
      <c r="AQ504" s="31"/>
      <c r="AR504" s="31"/>
      <c r="AS504" s="94"/>
      <c r="AT504" s="31"/>
      <c r="AU504" s="31"/>
      <c r="AV504" s="73" t="s">
        <v>213</v>
      </c>
      <c r="AW504" s="32"/>
      <c r="AX504" s="32"/>
      <c r="AY504" s="32"/>
      <c r="AZ504" s="32"/>
      <c r="BA504" s="32"/>
      <c r="BB504" s="31"/>
      <c r="BC504" s="31"/>
      <c r="BD504" s="31"/>
      <c r="BE504" s="31"/>
      <c r="BF504" s="95">
        <v>0</v>
      </c>
      <c r="BG504" s="48"/>
      <c r="BH504" s="48"/>
      <c r="BI504" s="48"/>
      <c r="BJ504" s="48"/>
      <c r="BK504" s="48"/>
      <c r="BL504" s="48"/>
      <c r="BM504" s="48"/>
      <c r="BN504" s="49"/>
      <c r="BO504" s="48"/>
      <c r="BP504" s="48"/>
      <c r="BQ504" s="50"/>
    </row>
    <row r="505" spans="1:69" ht="16" x14ac:dyDescent="0.35">
      <c r="A505"/>
      <c r="B505"/>
      <c r="D505"/>
      <c r="G505"/>
      <c r="H505" s="20"/>
      <c r="I505" s="20"/>
      <c r="J505" s="20"/>
      <c r="K505" s="20"/>
      <c r="L505" s="20"/>
      <c r="Q505" s="83"/>
      <c r="Y505" s="20"/>
      <c r="AP505" s="92"/>
      <c r="AQ505" s="67"/>
      <c r="AR505" s="67"/>
      <c r="AS505" s="73"/>
      <c r="AT505" s="67"/>
      <c r="AU505" s="67"/>
      <c r="AV505" s="94" t="s">
        <v>213</v>
      </c>
      <c r="AW505" s="68"/>
      <c r="AX505" s="68"/>
      <c r="AY505" s="68"/>
      <c r="AZ505" s="68"/>
      <c r="BA505" s="68"/>
      <c r="BB505" s="67"/>
      <c r="BC505" s="67"/>
      <c r="BD505" s="67"/>
      <c r="BE505" s="67"/>
      <c r="BF505" s="96">
        <v>0</v>
      </c>
      <c r="BG505" s="52"/>
      <c r="BH505" s="52"/>
      <c r="BI505" s="52"/>
      <c r="BJ505" s="52"/>
      <c r="BK505" s="52"/>
      <c r="BL505" s="52"/>
      <c r="BM505" s="52"/>
      <c r="BN505" s="53"/>
      <c r="BO505" s="52"/>
      <c r="BP505" s="52"/>
      <c r="BQ505" s="54"/>
    </row>
    <row r="506" spans="1:69" ht="16" x14ac:dyDescent="0.35">
      <c r="A506"/>
      <c r="B506"/>
      <c r="D506"/>
      <c r="G506"/>
      <c r="H506" s="20"/>
      <c r="I506" s="20"/>
      <c r="J506" s="20"/>
      <c r="K506" s="20"/>
      <c r="L506" s="20"/>
      <c r="Q506" s="83"/>
      <c r="Y506" s="20"/>
      <c r="AP506" s="93"/>
      <c r="AQ506" s="31"/>
      <c r="AR506" s="31"/>
      <c r="AS506" s="94"/>
      <c r="AT506" s="31"/>
      <c r="AU506" s="31"/>
      <c r="AV506" s="73" t="s">
        <v>213</v>
      </c>
      <c r="AW506" s="32"/>
      <c r="AX506" s="32"/>
      <c r="AY506" s="32"/>
      <c r="AZ506" s="32"/>
      <c r="BA506" s="32"/>
      <c r="BB506" s="31"/>
      <c r="BC506" s="31"/>
      <c r="BD506" s="31"/>
      <c r="BE506" s="31"/>
      <c r="BF506" s="95">
        <v>0</v>
      </c>
      <c r="BG506" s="48"/>
      <c r="BH506" s="48"/>
      <c r="BI506" s="48"/>
      <c r="BJ506" s="48"/>
      <c r="BK506" s="48"/>
      <c r="BL506" s="48"/>
      <c r="BM506" s="48"/>
      <c r="BN506" s="49"/>
      <c r="BO506" s="48"/>
      <c r="BP506" s="48"/>
      <c r="BQ506" s="50"/>
    </row>
    <row r="507" spans="1:69" ht="16" x14ac:dyDescent="0.35">
      <c r="A507"/>
      <c r="B507"/>
      <c r="D507"/>
      <c r="G507"/>
      <c r="H507" s="20"/>
      <c r="I507" s="20"/>
      <c r="J507" s="20"/>
      <c r="K507" s="20"/>
      <c r="L507" s="20"/>
      <c r="Q507" s="83"/>
      <c r="Y507" s="20"/>
      <c r="AP507" s="92"/>
      <c r="AQ507" s="67"/>
      <c r="AR507" s="67"/>
      <c r="AS507" s="73"/>
      <c r="AT507" s="67"/>
      <c r="AU507" s="67"/>
      <c r="AV507" s="94" t="s">
        <v>213</v>
      </c>
      <c r="AW507" s="68"/>
      <c r="AX507" s="68"/>
      <c r="AY507" s="68"/>
      <c r="AZ507" s="68"/>
      <c r="BA507" s="68"/>
      <c r="BB507" s="67"/>
      <c r="BC507" s="67"/>
      <c r="BD507" s="67"/>
      <c r="BE507" s="67"/>
      <c r="BF507" s="96">
        <v>0</v>
      </c>
      <c r="BG507" s="52"/>
      <c r="BH507" s="52"/>
      <c r="BI507" s="52"/>
      <c r="BJ507" s="52"/>
      <c r="BK507" s="52"/>
      <c r="BL507" s="52"/>
      <c r="BM507" s="52"/>
      <c r="BN507" s="53"/>
      <c r="BO507" s="52"/>
      <c r="BP507" s="52"/>
      <c r="BQ507" s="54"/>
    </row>
    <row r="508" spans="1:69" ht="16" x14ac:dyDescent="0.35">
      <c r="A508"/>
      <c r="B508"/>
      <c r="D508"/>
      <c r="G508"/>
      <c r="H508" s="20"/>
      <c r="I508" s="20"/>
      <c r="J508" s="20"/>
      <c r="K508" s="20"/>
      <c r="L508" s="20"/>
      <c r="Q508" s="83"/>
      <c r="Y508" s="20"/>
      <c r="AP508" s="93"/>
      <c r="AQ508" s="31"/>
      <c r="AR508" s="31"/>
      <c r="AS508" s="94"/>
      <c r="AT508" s="31"/>
      <c r="AU508" s="31"/>
      <c r="AV508" s="73" t="s">
        <v>213</v>
      </c>
      <c r="AW508" s="32"/>
      <c r="AX508" s="32"/>
      <c r="AY508" s="32"/>
      <c r="AZ508" s="32"/>
      <c r="BA508" s="32"/>
      <c r="BB508" s="31"/>
      <c r="BC508" s="31"/>
      <c r="BD508" s="31"/>
      <c r="BE508" s="31"/>
      <c r="BF508" s="95">
        <v>0</v>
      </c>
      <c r="BG508" s="48"/>
      <c r="BH508" s="48"/>
      <c r="BI508" s="48"/>
      <c r="BJ508" s="48"/>
      <c r="BK508" s="48"/>
      <c r="BL508" s="48"/>
      <c r="BM508" s="48"/>
      <c r="BN508" s="49"/>
      <c r="BO508" s="48"/>
      <c r="BP508" s="48"/>
      <c r="BQ508" s="50"/>
    </row>
    <row r="509" spans="1:69" ht="16" x14ac:dyDescent="0.35">
      <c r="A509"/>
      <c r="B509"/>
      <c r="D509"/>
      <c r="G509"/>
      <c r="H509" s="20"/>
      <c r="I509" s="20"/>
      <c r="J509" s="20"/>
      <c r="K509" s="20"/>
      <c r="L509" s="20"/>
      <c r="Q509" s="83"/>
      <c r="Y509" s="20"/>
      <c r="AP509" s="92"/>
      <c r="AQ509" s="67"/>
      <c r="AR509" s="67"/>
      <c r="AS509" s="73"/>
      <c r="AT509" s="67"/>
      <c r="AU509" s="67"/>
      <c r="AV509" s="94" t="s">
        <v>213</v>
      </c>
      <c r="AW509" s="68"/>
      <c r="AX509" s="68"/>
      <c r="AY509" s="68"/>
      <c r="AZ509" s="68"/>
      <c r="BA509" s="68"/>
      <c r="BB509" s="67"/>
      <c r="BC509" s="67"/>
      <c r="BD509" s="67"/>
      <c r="BE509" s="67"/>
      <c r="BF509" s="96">
        <v>0</v>
      </c>
      <c r="BG509" s="52"/>
      <c r="BH509" s="52"/>
      <c r="BI509" s="52"/>
      <c r="BJ509" s="52"/>
      <c r="BK509" s="52"/>
      <c r="BL509" s="52"/>
      <c r="BM509" s="52"/>
      <c r="BN509" s="53"/>
      <c r="BO509" s="52"/>
      <c r="BP509" s="52"/>
      <c r="BQ509" s="54"/>
    </row>
    <row r="510" spans="1:69" ht="16" x14ac:dyDescent="0.35">
      <c r="A510"/>
      <c r="B510"/>
      <c r="D510"/>
      <c r="G510"/>
      <c r="H510" s="20"/>
      <c r="I510" s="20"/>
      <c r="J510" s="20"/>
      <c r="K510" s="20"/>
      <c r="L510" s="20"/>
      <c r="Q510" s="83"/>
      <c r="Y510" s="20"/>
      <c r="AP510" s="93"/>
      <c r="AQ510" s="31"/>
      <c r="AR510" s="31"/>
      <c r="AS510" s="94"/>
      <c r="AT510" s="31"/>
      <c r="AU510" s="31"/>
      <c r="AV510" s="73" t="s">
        <v>213</v>
      </c>
      <c r="AW510" s="32"/>
      <c r="AX510" s="32"/>
      <c r="AY510" s="32"/>
      <c r="AZ510" s="32"/>
      <c r="BA510" s="32"/>
      <c r="BB510" s="31"/>
      <c r="BC510" s="31"/>
      <c r="BD510" s="31"/>
      <c r="BE510" s="31"/>
      <c r="BF510" s="95">
        <v>0</v>
      </c>
      <c r="BG510" s="48"/>
      <c r="BH510" s="48"/>
      <c r="BI510" s="48"/>
      <c r="BJ510" s="48"/>
      <c r="BK510" s="48"/>
      <c r="BL510" s="48"/>
      <c r="BM510" s="48"/>
      <c r="BN510" s="49"/>
      <c r="BO510" s="48"/>
      <c r="BP510" s="48"/>
      <c r="BQ510" s="50"/>
    </row>
    <row r="511" spans="1:69" ht="16" x14ac:dyDescent="0.35">
      <c r="A511"/>
      <c r="B511"/>
      <c r="D511"/>
      <c r="G511"/>
      <c r="H511" s="20"/>
      <c r="I511" s="20"/>
      <c r="J511" s="20"/>
      <c r="K511" s="20"/>
      <c r="L511" s="20"/>
      <c r="Q511" s="83"/>
      <c r="Y511" s="20"/>
      <c r="AP511" s="92"/>
      <c r="AQ511" s="67"/>
      <c r="AR511" s="67"/>
      <c r="AS511" s="73"/>
      <c r="AT511" s="67"/>
      <c r="AU511" s="67"/>
      <c r="AV511" s="94" t="s">
        <v>212</v>
      </c>
      <c r="AW511" s="68"/>
      <c r="AX511" s="68"/>
      <c r="AY511" s="68"/>
      <c r="AZ511" s="68"/>
      <c r="BA511" s="68"/>
      <c r="BB511" s="67"/>
      <c r="BC511" s="67"/>
      <c r="BD511" s="67"/>
      <c r="BE511" s="67"/>
      <c r="BF511" s="96">
        <v>0</v>
      </c>
      <c r="BG511" s="52"/>
      <c r="BH511" s="52"/>
      <c r="BI511" s="52"/>
      <c r="BJ511" s="52"/>
      <c r="BK511" s="52"/>
      <c r="BL511" s="52"/>
      <c r="BM511" s="52"/>
      <c r="BN511" s="53"/>
      <c r="BO511" s="52"/>
      <c r="BP511" s="52"/>
      <c r="BQ511" s="54"/>
    </row>
    <row r="512" spans="1:69" ht="16" x14ac:dyDescent="0.35">
      <c r="A512"/>
      <c r="B512"/>
      <c r="D512"/>
      <c r="G512"/>
      <c r="H512" s="20"/>
      <c r="I512" s="20"/>
      <c r="J512" s="20"/>
      <c r="K512" s="20"/>
      <c r="L512" s="20"/>
      <c r="Q512" s="83"/>
      <c r="Y512" s="20"/>
      <c r="AP512" s="93"/>
      <c r="AQ512" s="31"/>
      <c r="AR512" s="31"/>
      <c r="AS512" s="94"/>
      <c r="AT512" s="31"/>
      <c r="AU512" s="31"/>
      <c r="AV512" s="73" t="s">
        <v>212</v>
      </c>
      <c r="AW512" s="32"/>
      <c r="AX512" s="32"/>
      <c r="AY512" s="32"/>
      <c r="AZ512" s="32"/>
      <c r="BA512" s="32"/>
      <c r="BB512" s="31"/>
      <c r="BC512" s="31"/>
      <c r="BD512" s="31"/>
      <c r="BE512" s="31"/>
      <c r="BF512" s="95">
        <v>0</v>
      </c>
      <c r="BG512" s="48"/>
      <c r="BH512" s="48"/>
      <c r="BI512" s="48"/>
      <c r="BJ512" s="48"/>
      <c r="BK512" s="48"/>
      <c r="BL512" s="48"/>
      <c r="BM512" s="48"/>
      <c r="BN512" s="49"/>
      <c r="BO512" s="48"/>
      <c r="BP512" s="48"/>
      <c r="BQ512" s="50"/>
    </row>
    <row r="513" spans="1:69" ht="16" x14ac:dyDescent="0.35">
      <c r="A513"/>
      <c r="B513"/>
      <c r="D513"/>
      <c r="G513"/>
      <c r="H513" s="20"/>
      <c r="I513" s="20"/>
      <c r="J513" s="20"/>
      <c r="K513" s="20"/>
      <c r="L513" s="20"/>
      <c r="Q513" s="83"/>
      <c r="Y513" s="20"/>
      <c r="AP513" s="92"/>
      <c r="AQ513" s="67"/>
      <c r="AR513" s="67"/>
      <c r="AS513" s="73"/>
      <c r="AT513" s="67"/>
      <c r="AU513" s="67"/>
      <c r="AV513" s="94" t="s">
        <v>212</v>
      </c>
      <c r="AW513" s="68"/>
      <c r="AX513" s="68"/>
      <c r="AY513" s="68"/>
      <c r="AZ513" s="68"/>
      <c r="BA513" s="68"/>
      <c r="BB513" s="67"/>
      <c r="BC513" s="67"/>
      <c r="BD513" s="67"/>
      <c r="BE513" s="67"/>
      <c r="BF513" s="96">
        <v>0</v>
      </c>
      <c r="BG513" s="52"/>
      <c r="BH513" s="52"/>
      <c r="BI513" s="52"/>
      <c r="BJ513" s="52"/>
      <c r="BK513" s="52"/>
      <c r="BL513" s="52"/>
      <c r="BM513" s="52"/>
      <c r="BN513" s="53"/>
      <c r="BO513" s="52"/>
      <c r="BP513" s="52"/>
      <c r="BQ513" s="54"/>
    </row>
    <row r="514" spans="1:69" ht="16" x14ac:dyDescent="0.35">
      <c r="A514"/>
      <c r="B514"/>
      <c r="D514"/>
      <c r="G514"/>
      <c r="H514" s="20"/>
      <c r="I514" s="20"/>
      <c r="J514" s="20"/>
      <c r="K514" s="20"/>
      <c r="L514" s="20"/>
      <c r="Q514" s="83"/>
      <c r="Y514" s="20"/>
      <c r="AP514" s="93"/>
      <c r="AQ514" s="31"/>
      <c r="AR514" s="31"/>
      <c r="AS514" s="94"/>
      <c r="AT514" s="31"/>
      <c r="AU514" s="31"/>
      <c r="AV514" s="73" t="s">
        <v>212</v>
      </c>
      <c r="AW514" s="32"/>
      <c r="AX514" s="32"/>
      <c r="AY514" s="32"/>
      <c r="AZ514" s="32"/>
      <c r="BA514" s="32"/>
      <c r="BB514" s="31"/>
      <c r="BC514" s="31"/>
      <c r="BD514" s="31"/>
      <c r="BE514" s="31"/>
      <c r="BF514" s="95">
        <v>0</v>
      </c>
      <c r="BG514" s="48"/>
      <c r="BH514" s="48"/>
      <c r="BI514" s="48"/>
      <c r="BJ514" s="48"/>
      <c r="BK514" s="48"/>
      <c r="BL514" s="48"/>
      <c r="BM514" s="48"/>
      <c r="BN514" s="49"/>
      <c r="BO514" s="48"/>
      <c r="BP514" s="48"/>
      <c r="BQ514" s="50"/>
    </row>
    <row r="515" spans="1:69" ht="16" x14ac:dyDescent="0.35">
      <c r="A515"/>
      <c r="B515"/>
      <c r="D515"/>
      <c r="G515"/>
      <c r="H515" s="20"/>
      <c r="I515" s="20"/>
      <c r="J515" s="20"/>
      <c r="K515" s="20"/>
      <c r="L515" s="20"/>
      <c r="Q515" s="83"/>
      <c r="Y515" s="20"/>
      <c r="AP515" s="92"/>
      <c r="AQ515" s="67"/>
      <c r="AR515" s="67"/>
      <c r="AS515" s="73"/>
      <c r="AT515" s="67"/>
      <c r="AU515" s="67"/>
      <c r="AV515" s="94" t="s">
        <v>212</v>
      </c>
      <c r="AW515" s="68"/>
      <c r="AX515" s="68"/>
      <c r="AY515" s="68"/>
      <c r="AZ515" s="68"/>
      <c r="BA515" s="68"/>
      <c r="BB515" s="67"/>
      <c r="BC515" s="67"/>
      <c r="BD515" s="67"/>
      <c r="BE515" s="67"/>
      <c r="BF515" s="96">
        <v>0</v>
      </c>
      <c r="BG515" s="48"/>
      <c r="BH515" s="48"/>
      <c r="BI515" s="48"/>
      <c r="BJ515" s="48"/>
      <c r="BK515" s="48"/>
      <c r="BL515" s="48"/>
      <c r="BM515" s="48"/>
      <c r="BN515" s="49"/>
      <c r="BO515" s="48"/>
      <c r="BP515" s="48"/>
      <c r="BQ515" s="50"/>
    </row>
    <row r="516" spans="1:69" ht="16" x14ac:dyDescent="0.35">
      <c r="A516"/>
      <c r="B516"/>
      <c r="D516"/>
      <c r="G516"/>
      <c r="H516" s="20"/>
      <c r="I516" s="20"/>
      <c r="J516" s="20"/>
      <c r="K516" s="20"/>
      <c r="L516" s="20"/>
      <c r="Q516" s="83"/>
      <c r="Y516" s="20"/>
      <c r="AP516" s="93"/>
      <c r="AQ516" s="31"/>
      <c r="AR516" s="31"/>
      <c r="AS516" s="94"/>
      <c r="AT516" s="31"/>
      <c r="AU516" s="31"/>
      <c r="AV516" s="73" t="s">
        <v>213</v>
      </c>
      <c r="AW516" s="32"/>
      <c r="AX516" s="32"/>
      <c r="AY516" s="32"/>
      <c r="AZ516" s="32"/>
      <c r="BA516" s="32"/>
      <c r="BB516" s="31"/>
      <c r="BC516" s="31"/>
      <c r="BD516" s="31"/>
      <c r="BE516" s="31"/>
      <c r="BF516" s="95">
        <v>0</v>
      </c>
      <c r="BG516" s="52"/>
      <c r="BH516" s="52"/>
      <c r="BI516" s="52"/>
      <c r="BJ516" s="52"/>
      <c r="BK516" s="52"/>
      <c r="BL516" s="52"/>
      <c r="BM516" s="52"/>
      <c r="BN516" s="53"/>
      <c r="BO516" s="52"/>
      <c r="BP516" s="52"/>
      <c r="BQ516" s="54"/>
    </row>
    <row r="517" spans="1:69" ht="16" x14ac:dyDescent="0.35">
      <c r="A517"/>
      <c r="B517"/>
      <c r="D517"/>
      <c r="G517"/>
      <c r="H517" s="20"/>
      <c r="I517" s="20"/>
      <c r="J517" s="20"/>
      <c r="K517" s="20"/>
      <c r="L517" s="20"/>
      <c r="Q517" s="83"/>
      <c r="Y517" s="20"/>
      <c r="AP517" s="92"/>
      <c r="AQ517" s="67"/>
      <c r="AR517" s="67"/>
      <c r="AS517" s="73"/>
      <c r="AT517" s="67"/>
      <c r="AU517" s="67"/>
      <c r="AV517" s="94" t="s">
        <v>213</v>
      </c>
      <c r="AW517" s="68"/>
      <c r="AX517" s="68"/>
      <c r="AY517" s="68"/>
      <c r="AZ517" s="68"/>
      <c r="BA517" s="68"/>
      <c r="BB517" s="67"/>
      <c r="BC517" s="67"/>
      <c r="BD517" s="67"/>
      <c r="BE517" s="67"/>
      <c r="BF517" s="96">
        <v>0</v>
      </c>
      <c r="BG517" s="48"/>
      <c r="BH517" s="48"/>
      <c r="BI517" s="48"/>
      <c r="BJ517" s="48"/>
      <c r="BK517" s="48"/>
      <c r="BL517" s="48"/>
      <c r="BM517" s="48"/>
      <c r="BN517" s="49"/>
      <c r="BO517" s="48"/>
      <c r="BP517" s="48"/>
      <c r="BQ517" s="50"/>
    </row>
    <row r="518" spans="1:69" ht="16" x14ac:dyDescent="0.35">
      <c r="A518"/>
      <c r="B518"/>
      <c r="D518"/>
      <c r="G518"/>
      <c r="H518" s="20"/>
      <c r="I518" s="20"/>
      <c r="J518" s="20"/>
      <c r="K518" s="20"/>
      <c r="L518" s="20"/>
      <c r="Q518" s="83"/>
      <c r="Y518" s="20"/>
      <c r="AP518" s="93"/>
      <c r="AQ518" s="31"/>
      <c r="AR518" s="31"/>
      <c r="AS518" s="94"/>
      <c r="AT518" s="31"/>
      <c r="AU518" s="31"/>
      <c r="AV518" s="73" t="s">
        <v>213</v>
      </c>
      <c r="AW518" s="32"/>
      <c r="AX518" s="32"/>
      <c r="AY518" s="32"/>
      <c r="AZ518" s="32"/>
      <c r="BA518" s="32"/>
      <c r="BB518" s="31"/>
      <c r="BC518" s="31"/>
      <c r="BD518" s="31"/>
      <c r="BE518" s="31"/>
      <c r="BF518" s="95">
        <v>0</v>
      </c>
      <c r="BG518" s="52"/>
      <c r="BH518" s="52"/>
      <c r="BI518" s="52"/>
      <c r="BJ518" s="52"/>
      <c r="BK518" s="52"/>
      <c r="BL518" s="52"/>
      <c r="BM518" s="52"/>
      <c r="BN518" s="53"/>
      <c r="BO518" s="52"/>
      <c r="BP518" s="52"/>
      <c r="BQ518" s="54"/>
    </row>
    <row r="519" spans="1:69" ht="16" x14ac:dyDescent="0.35">
      <c r="A519"/>
      <c r="B519"/>
      <c r="D519"/>
      <c r="G519"/>
      <c r="H519" s="20"/>
      <c r="I519" s="20"/>
      <c r="J519" s="20"/>
      <c r="K519" s="20"/>
      <c r="L519" s="20"/>
      <c r="Q519" s="83"/>
      <c r="Y519" s="20"/>
      <c r="AP519" s="92"/>
      <c r="AQ519" s="67"/>
      <c r="AR519" s="67"/>
      <c r="AS519" s="73"/>
      <c r="AT519" s="67"/>
      <c r="AU519" s="67"/>
      <c r="AV519" s="94" t="s">
        <v>213</v>
      </c>
      <c r="AW519" s="68"/>
      <c r="AX519" s="68"/>
      <c r="AY519" s="68"/>
      <c r="AZ519" s="68"/>
      <c r="BA519" s="68"/>
      <c r="BB519" s="67"/>
      <c r="BC519" s="67"/>
      <c r="BD519" s="67"/>
      <c r="BE519" s="67"/>
      <c r="BF519" s="96">
        <v>0</v>
      </c>
      <c r="BG519" s="48"/>
      <c r="BH519" s="48"/>
      <c r="BI519" s="48"/>
      <c r="BJ519" s="48"/>
      <c r="BK519" s="48"/>
      <c r="BL519" s="48"/>
      <c r="BM519" s="48"/>
      <c r="BN519" s="49"/>
      <c r="BO519" s="48"/>
      <c r="BP519" s="48"/>
      <c r="BQ519" s="50"/>
    </row>
    <row r="520" spans="1:69" ht="16" x14ac:dyDescent="0.35">
      <c r="A520"/>
      <c r="B520"/>
      <c r="D520"/>
      <c r="G520"/>
      <c r="H520" s="20"/>
      <c r="I520" s="20"/>
      <c r="J520" s="20"/>
      <c r="K520" s="20"/>
      <c r="L520" s="20"/>
      <c r="Q520" s="83"/>
      <c r="Y520" s="20"/>
      <c r="AP520" s="93"/>
      <c r="AQ520" s="31"/>
      <c r="AR520" s="31"/>
      <c r="AS520" s="94"/>
      <c r="AT520" s="31"/>
      <c r="AU520" s="31"/>
      <c r="AV520" s="73" t="s">
        <v>213</v>
      </c>
      <c r="AW520" s="32"/>
      <c r="AX520" s="32"/>
      <c r="AY520" s="32"/>
      <c r="AZ520" s="32"/>
      <c r="BA520" s="32"/>
      <c r="BB520" s="31"/>
      <c r="BC520" s="31"/>
      <c r="BD520" s="31"/>
      <c r="BE520" s="31"/>
      <c r="BF520" s="95">
        <v>0</v>
      </c>
      <c r="BG520" s="52"/>
      <c r="BH520" s="52"/>
      <c r="BI520" s="52"/>
      <c r="BJ520" s="52"/>
      <c r="BK520" s="52"/>
      <c r="BL520" s="52"/>
      <c r="BM520" s="52"/>
      <c r="BN520" s="53"/>
      <c r="BO520" s="52"/>
      <c r="BP520" s="52"/>
      <c r="BQ520" s="54"/>
    </row>
    <row r="521" spans="1:69" ht="16" x14ac:dyDescent="0.35">
      <c r="A521"/>
      <c r="B521"/>
      <c r="D521"/>
      <c r="G521"/>
      <c r="H521" s="20"/>
      <c r="I521" s="20"/>
      <c r="J521" s="20"/>
      <c r="K521" s="20"/>
      <c r="L521" s="20"/>
      <c r="Q521" s="83"/>
      <c r="Y521" s="20"/>
      <c r="AP521" s="92"/>
      <c r="AQ521" s="67"/>
      <c r="AR521" s="67"/>
      <c r="AS521" s="73"/>
      <c r="AT521" s="67"/>
      <c r="AU521" s="67"/>
      <c r="AV521" s="94" t="s">
        <v>213</v>
      </c>
      <c r="AW521" s="68"/>
      <c r="AX521" s="68"/>
      <c r="AY521" s="68"/>
      <c r="AZ521" s="68"/>
      <c r="BA521" s="68"/>
      <c r="BB521" s="67"/>
      <c r="BC521" s="67"/>
      <c r="BD521" s="67"/>
      <c r="BE521" s="67"/>
      <c r="BF521" s="96">
        <v>0</v>
      </c>
      <c r="BG521" s="48"/>
      <c r="BH521" s="48"/>
      <c r="BI521" s="48"/>
      <c r="BJ521" s="48"/>
      <c r="BK521" s="48"/>
      <c r="BL521" s="48"/>
      <c r="BM521" s="48"/>
      <c r="BN521" s="49"/>
      <c r="BO521" s="48"/>
      <c r="BP521" s="48"/>
      <c r="BQ521" s="50"/>
    </row>
    <row r="522" spans="1:69" ht="16" x14ac:dyDescent="0.35">
      <c r="A522"/>
      <c r="B522"/>
      <c r="D522"/>
      <c r="G522"/>
      <c r="H522" s="20"/>
      <c r="I522" s="20"/>
      <c r="J522" s="20"/>
      <c r="K522" s="20"/>
      <c r="L522" s="20"/>
      <c r="Q522" s="83"/>
      <c r="Y522" s="20"/>
      <c r="AP522" s="93"/>
      <c r="AQ522" s="31"/>
      <c r="AR522" s="31"/>
      <c r="AS522" s="94"/>
      <c r="AT522" s="31"/>
      <c r="AU522" s="31"/>
      <c r="AV522" s="73" t="s">
        <v>213</v>
      </c>
      <c r="AW522" s="32"/>
      <c r="AX522" s="32"/>
      <c r="AY522" s="32"/>
      <c r="AZ522" s="32"/>
      <c r="BA522" s="32"/>
      <c r="BB522" s="31"/>
      <c r="BC522" s="31"/>
      <c r="BD522" s="31"/>
      <c r="BE522" s="31"/>
      <c r="BF522" s="95">
        <v>0</v>
      </c>
      <c r="BG522" s="52"/>
      <c r="BH522" s="52"/>
      <c r="BI522" s="52"/>
      <c r="BJ522" s="52"/>
      <c r="BK522" s="52"/>
      <c r="BL522" s="52"/>
      <c r="BM522" s="52"/>
      <c r="BN522" s="53"/>
      <c r="BO522" s="52"/>
      <c r="BP522" s="52"/>
      <c r="BQ522" s="54"/>
    </row>
    <row r="523" spans="1:69" ht="16" x14ac:dyDescent="0.35">
      <c r="A523"/>
      <c r="B523"/>
      <c r="D523"/>
      <c r="G523"/>
      <c r="H523" s="20"/>
      <c r="I523" s="20"/>
      <c r="J523" s="20"/>
      <c r="K523" s="20"/>
      <c r="L523" s="20"/>
      <c r="Q523" s="83"/>
      <c r="Y523" s="20"/>
      <c r="AP523" s="92"/>
      <c r="AQ523" s="67"/>
      <c r="AR523" s="67"/>
      <c r="AS523" s="73"/>
      <c r="AT523" s="67"/>
      <c r="AU523" s="67"/>
      <c r="AV523" s="94" t="s">
        <v>213</v>
      </c>
      <c r="AW523" s="68"/>
      <c r="AX523" s="68"/>
      <c r="AY523" s="68"/>
      <c r="AZ523" s="68"/>
      <c r="BA523" s="68"/>
      <c r="BB523" s="67"/>
      <c r="BC523" s="67"/>
      <c r="BD523" s="67"/>
      <c r="BE523" s="67"/>
      <c r="BF523" s="96">
        <v>0</v>
      </c>
      <c r="BG523" s="48"/>
      <c r="BH523" s="48"/>
      <c r="BI523" s="48"/>
      <c r="BJ523" s="48"/>
      <c r="BK523" s="48"/>
      <c r="BL523" s="48"/>
      <c r="BM523" s="48"/>
      <c r="BN523" s="49"/>
      <c r="BO523" s="48"/>
      <c r="BP523" s="48"/>
      <c r="BQ523" s="50"/>
    </row>
    <row r="524" spans="1:69" ht="16" x14ac:dyDescent="0.35">
      <c r="A524"/>
      <c r="B524"/>
      <c r="D524"/>
      <c r="G524"/>
      <c r="H524" s="20"/>
      <c r="I524" s="20"/>
      <c r="J524" s="20"/>
      <c r="K524" s="20"/>
      <c r="L524" s="20"/>
      <c r="Q524" s="83"/>
      <c r="Y524" s="20"/>
      <c r="AP524" s="93"/>
      <c r="AQ524" s="31"/>
      <c r="AR524" s="31"/>
      <c r="AS524" s="94"/>
      <c r="AT524" s="31"/>
      <c r="AU524" s="31"/>
      <c r="AV524" s="73" t="s">
        <v>213</v>
      </c>
      <c r="AW524" s="32"/>
      <c r="AX524" s="32"/>
      <c r="AY524" s="32"/>
      <c r="AZ524" s="32"/>
      <c r="BA524" s="32"/>
      <c r="BB524" s="31"/>
      <c r="BC524" s="31"/>
      <c r="BD524" s="31"/>
      <c r="BE524" s="31"/>
      <c r="BF524" s="95">
        <v>0</v>
      </c>
      <c r="BG524" s="52"/>
      <c r="BH524" s="52"/>
      <c r="BI524" s="52"/>
      <c r="BJ524" s="52"/>
      <c r="BK524" s="52"/>
      <c r="BL524" s="52"/>
      <c r="BM524" s="52"/>
      <c r="BN524" s="53"/>
      <c r="BO524" s="52"/>
      <c r="BP524" s="52"/>
      <c r="BQ524" s="54"/>
    </row>
    <row r="525" spans="1:69" ht="16" x14ac:dyDescent="0.35">
      <c r="A525"/>
      <c r="B525"/>
      <c r="D525"/>
      <c r="G525"/>
      <c r="H525" s="20"/>
      <c r="I525" s="20"/>
      <c r="J525" s="20"/>
      <c r="K525" s="20"/>
      <c r="L525" s="20"/>
      <c r="Q525" s="83"/>
      <c r="Y525" s="20"/>
      <c r="AP525" s="92"/>
      <c r="AQ525" s="67"/>
      <c r="AR525" s="67"/>
      <c r="AS525" s="73"/>
      <c r="AT525" s="67"/>
      <c r="AU525" s="67"/>
      <c r="AV525" s="94" t="s">
        <v>212</v>
      </c>
      <c r="AW525" s="68"/>
      <c r="AX525" s="68"/>
      <c r="AY525" s="68"/>
      <c r="AZ525" s="68"/>
      <c r="BA525" s="68"/>
      <c r="BB525" s="67"/>
      <c r="BC525" s="67"/>
      <c r="BD525" s="67"/>
      <c r="BE525" s="67"/>
      <c r="BF525" s="96">
        <v>0</v>
      </c>
      <c r="BG525" s="48"/>
      <c r="BH525" s="48"/>
      <c r="BI525" s="48"/>
      <c r="BJ525" s="48"/>
      <c r="BK525" s="48"/>
      <c r="BL525" s="48"/>
      <c r="BM525" s="48"/>
      <c r="BN525" s="49"/>
      <c r="BO525" s="48"/>
      <c r="BP525" s="48"/>
      <c r="BQ525" s="50"/>
    </row>
    <row r="526" spans="1:69" ht="16" x14ac:dyDescent="0.35">
      <c r="A526"/>
      <c r="B526"/>
      <c r="D526"/>
      <c r="G526"/>
      <c r="H526" s="20"/>
      <c r="I526" s="20"/>
      <c r="J526" s="20"/>
      <c r="K526" s="20"/>
      <c r="L526" s="20"/>
      <c r="Q526" s="83"/>
      <c r="Y526" s="20"/>
      <c r="AP526" s="93"/>
      <c r="AQ526" s="31"/>
      <c r="AR526" s="31"/>
      <c r="AS526" s="94"/>
      <c r="AT526" s="31"/>
      <c r="AU526" s="31"/>
      <c r="AV526" s="73" t="s">
        <v>212</v>
      </c>
      <c r="AW526" s="32"/>
      <c r="AX526" s="32"/>
      <c r="AY526" s="32"/>
      <c r="AZ526" s="32"/>
      <c r="BA526" s="32"/>
      <c r="BB526" s="31"/>
      <c r="BC526" s="31"/>
      <c r="BD526" s="31"/>
      <c r="BE526" s="31"/>
      <c r="BF526" s="95">
        <v>0</v>
      </c>
      <c r="BG526" s="52"/>
      <c r="BH526" s="52"/>
      <c r="BI526" s="52"/>
      <c r="BJ526" s="52"/>
      <c r="BK526" s="52"/>
      <c r="BL526" s="52"/>
      <c r="BM526" s="52"/>
      <c r="BN526" s="53"/>
      <c r="BO526" s="52"/>
      <c r="BP526" s="52"/>
      <c r="BQ526" s="54"/>
    </row>
    <row r="527" spans="1:69" ht="16" x14ac:dyDescent="0.35">
      <c r="A527"/>
      <c r="B527"/>
      <c r="D527"/>
      <c r="G527"/>
      <c r="H527" s="20"/>
      <c r="I527" s="20"/>
      <c r="J527" s="20"/>
      <c r="K527" s="20"/>
      <c r="L527" s="20"/>
      <c r="Q527" s="83"/>
      <c r="Y527" s="20"/>
      <c r="AP527" s="92"/>
      <c r="AQ527" s="67"/>
      <c r="AR527" s="67"/>
      <c r="AS527" s="73"/>
      <c r="AT527" s="67"/>
      <c r="AU527" s="67"/>
      <c r="AV527" s="94" t="s">
        <v>213</v>
      </c>
      <c r="AW527" s="68"/>
      <c r="AX527" s="68"/>
      <c r="AY527" s="68"/>
      <c r="AZ527" s="68"/>
      <c r="BA527" s="68"/>
      <c r="BB527" s="67"/>
      <c r="BC527" s="67"/>
      <c r="BD527" s="67"/>
      <c r="BE527" s="67"/>
      <c r="BF527" s="96">
        <v>0</v>
      </c>
      <c r="BG527" s="48"/>
      <c r="BH527" s="48"/>
      <c r="BI527" s="48"/>
      <c r="BJ527" s="48"/>
      <c r="BK527" s="48"/>
      <c r="BL527" s="48"/>
      <c r="BM527" s="48"/>
      <c r="BN527" s="49"/>
      <c r="BO527" s="48"/>
      <c r="BP527" s="48"/>
      <c r="BQ527" s="50"/>
    </row>
    <row r="528" spans="1:69" ht="16" x14ac:dyDescent="0.35">
      <c r="A528"/>
      <c r="B528"/>
      <c r="D528"/>
      <c r="G528"/>
      <c r="H528" s="20"/>
      <c r="I528" s="20"/>
      <c r="J528" s="20"/>
      <c r="K528" s="20"/>
      <c r="L528" s="20"/>
      <c r="Q528" s="83"/>
      <c r="Y528" s="20"/>
      <c r="AP528" s="93"/>
      <c r="AQ528" s="31"/>
      <c r="AR528" s="31"/>
      <c r="AS528" s="94"/>
      <c r="AT528" s="31"/>
      <c r="AU528" s="31"/>
      <c r="AV528" s="73" t="s">
        <v>212</v>
      </c>
      <c r="AW528" s="32"/>
      <c r="AX528" s="32"/>
      <c r="AY528" s="32"/>
      <c r="AZ528" s="32"/>
      <c r="BA528" s="32"/>
      <c r="BB528" s="31"/>
      <c r="BC528" s="31"/>
      <c r="BD528" s="31"/>
      <c r="BE528" s="31"/>
      <c r="BF528" s="95">
        <v>0</v>
      </c>
      <c r="BG528" s="52"/>
      <c r="BH528" s="52"/>
      <c r="BI528" s="52"/>
      <c r="BJ528" s="52"/>
      <c r="BK528" s="52"/>
      <c r="BL528" s="52"/>
      <c r="BM528" s="52"/>
      <c r="BN528" s="53"/>
      <c r="BO528" s="52"/>
      <c r="BP528" s="52"/>
      <c r="BQ528" s="54"/>
    </row>
    <row r="529" spans="1:69" ht="16" x14ac:dyDescent="0.35">
      <c r="A529"/>
      <c r="B529"/>
      <c r="D529"/>
      <c r="G529"/>
      <c r="H529" s="20"/>
      <c r="I529" s="20"/>
      <c r="J529" s="20"/>
      <c r="K529" s="20"/>
      <c r="L529" s="20"/>
      <c r="Q529" s="83"/>
      <c r="Y529" s="20"/>
      <c r="AP529" s="92"/>
      <c r="AQ529" s="67"/>
      <c r="AR529" s="67"/>
      <c r="AS529" s="73"/>
      <c r="AT529" s="67"/>
      <c r="AU529" s="67"/>
      <c r="AV529" s="94" t="s">
        <v>212</v>
      </c>
      <c r="AW529" s="68"/>
      <c r="AX529" s="68"/>
      <c r="AY529" s="68"/>
      <c r="AZ529" s="68"/>
      <c r="BA529" s="68"/>
      <c r="BB529" s="67"/>
      <c r="BC529" s="67"/>
      <c r="BD529" s="67"/>
      <c r="BE529" s="67"/>
      <c r="BF529" s="96">
        <v>0</v>
      </c>
      <c r="BG529" s="48"/>
      <c r="BH529" s="48"/>
      <c r="BI529" s="48"/>
      <c r="BJ529" s="48"/>
      <c r="BK529" s="48"/>
      <c r="BL529" s="48"/>
      <c r="BM529" s="48"/>
      <c r="BN529" s="49"/>
      <c r="BO529" s="48"/>
      <c r="BP529" s="48"/>
      <c r="BQ529" s="50"/>
    </row>
    <row r="530" spans="1:69" ht="16" x14ac:dyDescent="0.35">
      <c r="A530"/>
      <c r="B530"/>
      <c r="D530"/>
      <c r="G530"/>
      <c r="H530" s="20"/>
      <c r="I530" s="20"/>
      <c r="J530" s="20"/>
      <c r="K530" s="20"/>
      <c r="L530" s="20"/>
      <c r="Q530" s="83"/>
      <c r="Y530" s="20"/>
      <c r="AP530" s="93"/>
      <c r="AQ530" s="31"/>
      <c r="AR530" s="31"/>
      <c r="AS530" s="94"/>
      <c r="AT530" s="31"/>
      <c r="AU530" s="31"/>
      <c r="AV530" s="73" t="s">
        <v>212</v>
      </c>
      <c r="AW530" s="32"/>
      <c r="AX530" s="32"/>
      <c r="AY530" s="32"/>
      <c r="AZ530" s="32"/>
      <c r="BA530" s="32"/>
      <c r="BB530" s="31"/>
      <c r="BC530" s="31"/>
      <c r="BD530" s="31"/>
      <c r="BE530" s="31"/>
      <c r="BF530" s="95">
        <v>0</v>
      </c>
      <c r="BG530" s="52"/>
      <c r="BH530" s="52"/>
      <c r="BI530" s="52"/>
      <c r="BJ530" s="52"/>
      <c r="BK530" s="52"/>
      <c r="BL530" s="52"/>
      <c r="BM530" s="52"/>
      <c r="BN530" s="53"/>
      <c r="BO530" s="52"/>
      <c r="BP530" s="52"/>
      <c r="BQ530" s="54"/>
    </row>
    <row r="531" spans="1:69" ht="16" x14ac:dyDescent="0.35">
      <c r="A531"/>
      <c r="B531"/>
      <c r="D531"/>
      <c r="G531"/>
      <c r="H531" s="20"/>
      <c r="I531" s="20"/>
      <c r="J531" s="20"/>
      <c r="K531" s="20"/>
      <c r="L531" s="20"/>
      <c r="Q531" s="83"/>
      <c r="Y531" s="20"/>
      <c r="AP531" s="92"/>
      <c r="AQ531" s="67"/>
      <c r="AR531" s="67"/>
      <c r="AS531" s="73"/>
      <c r="AT531" s="67"/>
      <c r="AU531" s="67"/>
      <c r="AV531" s="94" t="s">
        <v>212</v>
      </c>
      <c r="AW531" s="68"/>
      <c r="AX531" s="68"/>
      <c r="AY531" s="68"/>
      <c r="AZ531" s="68"/>
      <c r="BA531" s="68"/>
      <c r="BB531" s="67"/>
      <c r="BC531" s="67"/>
      <c r="BD531" s="67"/>
      <c r="BE531" s="67"/>
      <c r="BF531" s="96">
        <v>0</v>
      </c>
      <c r="BG531" s="48"/>
      <c r="BH531" s="48"/>
      <c r="BI531" s="48"/>
      <c r="BJ531" s="48"/>
      <c r="BK531" s="48"/>
      <c r="BL531" s="48"/>
      <c r="BM531" s="48"/>
      <c r="BN531" s="49"/>
      <c r="BO531" s="48"/>
      <c r="BP531" s="48"/>
      <c r="BQ531" s="50"/>
    </row>
    <row r="532" spans="1:69" ht="16" x14ac:dyDescent="0.35">
      <c r="A532"/>
      <c r="B532"/>
      <c r="D532"/>
      <c r="G532"/>
      <c r="H532" s="20"/>
      <c r="I532" s="20"/>
      <c r="J532" s="20"/>
      <c r="K532" s="20"/>
      <c r="L532" s="20"/>
      <c r="Q532" s="83"/>
      <c r="Y532" s="20"/>
      <c r="AP532" s="93"/>
      <c r="AQ532" s="31"/>
      <c r="AR532" s="31"/>
      <c r="AS532" s="94"/>
      <c r="AT532" s="31"/>
      <c r="AU532" s="31"/>
      <c r="AV532" s="73" t="s">
        <v>212</v>
      </c>
      <c r="AW532" s="32"/>
      <c r="AX532" s="32"/>
      <c r="AY532" s="32"/>
      <c r="AZ532" s="32"/>
      <c r="BA532" s="32"/>
      <c r="BB532" s="31"/>
      <c r="BC532" s="31"/>
      <c r="BD532" s="31"/>
      <c r="BE532" s="31"/>
      <c r="BF532" s="95">
        <v>0</v>
      </c>
      <c r="BG532" s="52"/>
      <c r="BH532" s="52"/>
      <c r="BI532" s="52"/>
      <c r="BJ532" s="52"/>
      <c r="BK532" s="52"/>
      <c r="BL532" s="52"/>
      <c r="BM532" s="52"/>
      <c r="BN532" s="53"/>
      <c r="BO532" s="52"/>
      <c r="BP532" s="52"/>
      <c r="BQ532" s="54"/>
    </row>
    <row r="533" spans="1:69" ht="16" x14ac:dyDescent="0.35">
      <c r="A533"/>
      <c r="B533"/>
      <c r="D533"/>
      <c r="G533"/>
      <c r="H533" s="20"/>
      <c r="I533" s="20"/>
      <c r="J533" s="20"/>
      <c r="K533" s="20"/>
      <c r="L533" s="20"/>
      <c r="Q533" s="83"/>
      <c r="Y533" s="20"/>
      <c r="AP533" s="92"/>
      <c r="AQ533" s="67"/>
      <c r="AR533" s="67"/>
      <c r="AS533" s="73"/>
      <c r="AT533" s="67"/>
      <c r="AU533" s="67"/>
      <c r="AV533" s="94" t="s">
        <v>212</v>
      </c>
      <c r="AW533" s="68"/>
      <c r="AX533" s="68"/>
      <c r="AY533" s="68"/>
      <c r="AZ533" s="68"/>
      <c r="BA533" s="68"/>
      <c r="BB533" s="67"/>
      <c r="BC533" s="67"/>
      <c r="BD533" s="67"/>
      <c r="BE533" s="67"/>
      <c r="BF533" s="96">
        <v>0</v>
      </c>
      <c r="BG533" s="48"/>
      <c r="BH533" s="48"/>
      <c r="BI533" s="48"/>
      <c r="BJ533" s="48"/>
      <c r="BK533" s="48"/>
      <c r="BL533" s="48"/>
      <c r="BM533" s="48"/>
      <c r="BN533" s="49"/>
      <c r="BO533" s="48"/>
      <c r="BP533" s="48"/>
      <c r="BQ533" s="50"/>
    </row>
    <row r="534" spans="1:69" ht="16" x14ac:dyDescent="0.35">
      <c r="A534"/>
      <c r="B534"/>
      <c r="D534"/>
      <c r="G534"/>
      <c r="H534" s="20"/>
      <c r="I534" s="20"/>
      <c r="J534" s="20"/>
      <c r="K534" s="20"/>
      <c r="L534" s="20"/>
      <c r="Q534" s="83"/>
      <c r="Y534" s="20"/>
      <c r="AP534" s="93"/>
      <c r="AQ534" s="31"/>
      <c r="AR534" s="31"/>
      <c r="AS534" s="94"/>
      <c r="AT534" s="31"/>
      <c r="AU534" s="31"/>
      <c r="AV534" s="73" t="s">
        <v>212</v>
      </c>
      <c r="AW534" s="32"/>
      <c r="AX534" s="32"/>
      <c r="AY534" s="32"/>
      <c r="AZ534" s="32"/>
      <c r="BA534" s="32"/>
      <c r="BB534" s="31"/>
      <c r="BC534" s="31"/>
      <c r="BD534" s="31"/>
      <c r="BE534" s="31"/>
      <c r="BF534" s="95">
        <v>0</v>
      </c>
      <c r="BG534" s="52"/>
      <c r="BH534" s="52"/>
      <c r="BI534" s="52"/>
      <c r="BJ534" s="52"/>
      <c r="BK534" s="52"/>
      <c r="BL534" s="52"/>
      <c r="BM534" s="52"/>
      <c r="BN534" s="53"/>
      <c r="BO534" s="52"/>
      <c r="BP534" s="52"/>
      <c r="BQ534" s="54"/>
    </row>
    <row r="535" spans="1:69" ht="16" x14ac:dyDescent="0.35">
      <c r="A535"/>
      <c r="B535"/>
      <c r="D535"/>
      <c r="G535"/>
      <c r="H535" s="20"/>
      <c r="I535" s="20"/>
      <c r="J535" s="20"/>
      <c r="K535" s="20"/>
      <c r="L535" s="20"/>
      <c r="Q535" s="83"/>
      <c r="Y535" s="20"/>
      <c r="AP535" s="92"/>
      <c r="AQ535" s="67"/>
      <c r="AR535" s="67"/>
      <c r="AS535" s="73"/>
      <c r="AT535" s="67"/>
      <c r="AU535" s="67"/>
      <c r="AV535" s="94" t="s">
        <v>212</v>
      </c>
      <c r="AW535" s="68"/>
      <c r="AX535" s="68"/>
      <c r="AY535" s="68"/>
      <c r="AZ535" s="68"/>
      <c r="BA535" s="68"/>
      <c r="BB535" s="67"/>
      <c r="BC535" s="67"/>
      <c r="BD535" s="67"/>
      <c r="BE535" s="67"/>
      <c r="BF535" s="96">
        <v>0</v>
      </c>
      <c r="BG535" s="48"/>
      <c r="BH535" s="48"/>
      <c r="BI535" s="48"/>
      <c r="BJ535" s="48"/>
      <c r="BK535" s="48"/>
      <c r="BL535" s="48"/>
      <c r="BM535" s="48"/>
      <c r="BN535" s="49"/>
      <c r="BO535" s="48"/>
      <c r="BP535" s="48"/>
      <c r="BQ535" s="50"/>
    </row>
    <row r="536" spans="1:69" ht="16" x14ac:dyDescent="0.35">
      <c r="A536"/>
      <c r="B536"/>
      <c r="D536"/>
      <c r="G536"/>
      <c r="H536" s="20"/>
      <c r="I536" s="20"/>
      <c r="J536" s="20"/>
      <c r="K536" s="20"/>
      <c r="L536" s="20"/>
      <c r="Q536" s="83"/>
      <c r="Y536" s="20"/>
      <c r="AP536" s="93"/>
      <c r="AQ536" s="31"/>
      <c r="AR536" s="31"/>
      <c r="AS536" s="94"/>
      <c r="AT536" s="31"/>
      <c r="AU536" s="31"/>
      <c r="AV536" s="73" t="s">
        <v>213</v>
      </c>
      <c r="AW536" s="32"/>
      <c r="AX536" s="32"/>
      <c r="AY536" s="32"/>
      <c r="AZ536" s="32"/>
      <c r="BA536" s="32"/>
      <c r="BB536" s="31"/>
      <c r="BC536" s="31"/>
      <c r="BD536" s="31"/>
      <c r="BE536" s="31"/>
      <c r="BF536" s="95">
        <v>0</v>
      </c>
      <c r="BG536" s="52"/>
      <c r="BH536" s="52"/>
      <c r="BI536" s="52"/>
      <c r="BJ536" s="52"/>
      <c r="BK536" s="52"/>
      <c r="BL536" s="52"/>
      <c r="BM536" s="52"/>
      <c r="BN536" s="53"/>
      <c r="BO536" s="52"/>
      <c r="BP536" s="52"/>
      <c r="BQ536" s="54"/>
    </row>
    <row r="537" spans="1:69" ht="16" x14ac:dyDescent="0.35">
      <c r="A537"/>
      <c r="B537"/>
      <c r="D537"/>
      <c r="G537"/>
      <c r="H537" s="20"/>
      <c r="I537" s="20"/>
      <c r="J537" s="20"/>
      <c r="K537" s="20"/>
      <c r="L537" s="20"/>
      <c r="Q537" s="83"/>
      <c r="Y537" s="20"/>
      <c r="AP537" s="92"/>
      <c r="AQ537" s="67"/>
      <c r="AR537" s="67"/>
      <c r="AS537" s="73"/>
      <c r="AT537" s="67"/>
      <c r="AU537" s="67"/>
      <c r="AV537" s="94" t="s">
        <v>213</v>
      </c>
      <c r="AW537" s="68"/>
      <c r="AX537" s="68"/>
      <c r="AY537" s="68"/>
      <c r="AZ537" s="68"/>
      <c r="BA537" s="68"/>
      <c r="BB537" s="67"/>
      <c r="BC537" s="67"/>
      <c r="BD537" s="67"/>
      <c r="BE537" s="67"/>
      <c r="BF537" s="96">
        <v>0</v>
      </c>
      <c r="BG537" s="48"/>
      <c r="BH537" s="48"/>
      <c r="BI537" s="48"/>
      <c r="BJ537" s="48"/>
      <c r="BK537" s="48"/>
      <c r="BL537" s="48"/>
      <c r="BM537" s="48"/>
      <c r="BN537" s="49"/>
      <c r="BO537" s="48"/>
      <c r="BP537" s="48"/>
      <c r="BQ537" s="50"/>
    </row>
    <row r="538" spans="1:69" ht="16" x14ac:dyDescent="0.35">
      <c r="A538"/>
      <c r="B538"/>
      <c r="D538"/>
      <c r="G538"/>
      <c r="H538" s="20"/>
      <c r="I538" s="20"/>
      <c r="J538" s="20"/>
      <c r="K538" s="20"/>
      <c r="L538" s="20"/>
      <c r="Q538" s="83"/>
      <c r="Y538" s="20"/>
      <c r="AP538" s="93"/>
      <c r="AQ538" s="31"/>
      <c r="AR538" s="31"/>
      <c r="AS538" s="94"/>
      <c r="AT538" s="31"/>
      <c r="AU538" s="31"/>
      <c r="AV538" s="73" t="s">
        <v>214</v>
      </c>
      <c r="AW538" s="32"/>
      <c r="AX538" s="32"/>
      <c r="AY538" s="32"/>
      <c r="AZ538" s="32"/>
      <c r="BA538" s="32"/>
      <c r="BB538" s="31"/>
      <c r="BC538" s="31"/>
      <c r="BD538" s="31"/>
      <c r="BE538" s="31"/>
      <c r="BF538" s="95">
        <v>0</v>
      </c>
      <c r="BG538" s="52"/>
      <c r="BH538" s="52"/>
      <c r="BI538" s="52"/>
      <c r="BJ538" s="52"/>
      <c r="BK538" s="52"/>
      <c r="BL538" s="52"/>
      <c r="BM538" s="52"/>
      <c r="BN538" s="53"/>
      <c r="BO538" s="52"/>
      <c r="BP538" s="52"/>
      <c r="BQ538" s="54"/>
    </row>
    <row r="539" spans="1:69" ht="16" x14ac:dyDescent="0.35">
      <c r="A539"/>
      <c r="B539"/>
      <c r="D539"/>
      <c r="G539"/>
      <c r="H539" s="20"/>
      <c r="I539" s="20"/>
      <c r="J539" s="20"/>
      <c r="K539" s="20"/>
      <c r="L539" s="20"/>
      <c r="Q539" s="83"/>
      <c r="Y539" s="20"/>
      <c r="AP539" s="92"/>
      <c r="AQ539" s="67"/>
      <c r="AR539" s="67"/>
      <c r="AS539" s="73"/>
      <c r="AT539" s="67"/>
      <c r="AU539" s="67"/>
      <c r="AV539" s="94" t="s">
        <v>214</v>
      </c>
      <c r="AW539" s="68"/>
      <c r="AX539" s="68"/>
      <c r="AY539" s="68"/>
      <c r="AZ539" s="68"/>
      <c r="BA539" s="68"/>
      <c r="BB539" s="67"/>
      <c r="BC539" s="67"/>
      <c r="BD539" s="67"/>
      <c r="BE539" s="67"/>
      <c r="BF539" s="96">
        <v>0</v>
      </c>
      <c r="BG539" s="48"/>
      <c r="BH539" s="48"/>
      <c r="BI539" s="48"/>
      <c r="BJ539" s="48"/>
      <c r="BK539" s="48"/>
      <c r="BL539" s="48"/>
      <c r="BM539" s="48"/>
      <c r="BN539" s="49"/>
      <c r="BO539" s="48"/>
      <c r="BP539" s="48"/>
      <c r="BQ539" s="50"/>
    </row>
    <row r="540" spans="1:69" ht="16" x14ac:dyDescent="0.35">
      <c r="A540"/>
      <c r="B540"/>
      <c r="D540"/>
      <c r="G540"/>
      <c r="H540" s="20"/>
      <c r="I540" s="20"/>
      <c r="J540" s="20"/>
      <c r="K540" s="20"/>
      <c r="L540" s="20"/>
      <c r="Q540" s="83"/>
      <c r="Y540" s="20"/>
      <c r="AP540" s="93"/>
      <c r="AQ540" s="31"/>
      <c r="AR540" s="31"/>
      <c r="AS540" s="94"/>
      <c r="AT540" s="31"/>
      <c r="AU540" s="31"/>
      <c r="AV540" s="73" t="s">
        <v>214</v>
      </c>
      <c r="AW540" s="32"/>
      <c r="AX540" s="32"/>
      <c r="AY540" s="32"/>
      <c r="AZ540" s="32"/>
      <c r="BA540" s="32"/>
      <c r="BB540" s="31"/>
      <c r="BC540" s="31"/>
      <c r="BD540" s="31"/>
      <c r="BE540" s="31"/>
      <c r="BF540" s="95">
        <v>0</v>
      </c>
      <c r="BG540" s="52"/>
      <c r="BH540" s="52"/>
      <c r="BI540" s="52"/>
      <c r="BJ540" s="52"/>
      <c r="BK540" s="52"/>
      <c r="BL540" s="52"/>
      <c r="BM540" s="52"/>
      <c r="BN540" s="53"/>
      <c r="BO540" s="52"/>
      <c r="BP540" s="52"/>
      <c r="BQ540" s="54"/>
    </row>
    <row r="541" spans="1:69" ht="16" x14ac:dyDescent="0.35">
      <c r="A541"/>
      <c r="B541"/>
      <c r="D541"/>
      <c r="G541"/>
      <c r="H541" s="20"/>
      <c r="I541" s="20"/>
      <c r="J541" s="20"/>
      <c r="K541" s="20"/>
      <c r="L541" s="20"/>
      <c r="Q541" s="83"/>
      <c r="Y541" s="20"/>
      <c r="AP541" s="92"/>
      <c r="AQ541" s="67"/>
      <c r="AR541" s="67"/>
      <c r="AS541" s="73"/>
      <c r="AT541" s="67"/>
      <c r="AU541" s="67"/>
      <c r="AV541" s="94" t="s">
        <v>214</v>
      </c>
      <c r="AW541" s="68"/>
      <c r="AX541" s="68"/>
      <c r="AY541" s="68"/>
      <c r="AZ541" s="68"/>
      <c r="BA541" s="68"/>
      <c r="BB541" s="67"/>
      <c r="BC541" s="67"/>
      <c r="BD541" s="67"/>
      <c r="BE541" s="67"/>
      <c r="BF541" s="96">
        <v>0</v>
      </c>
      <c r="BG541" s="48"/>
      <c r="BH541" s="48"/>
      <c r="BI541" s="48"/>
      <c r="BJ541" s="48"/>
      <c r="BK541" s="48"/>
      <c r="BL541" s="48"/>
      <c r="BM541" s="48"/>
      <c r="BN541" s="49"/>
      <c r="BO541" s="48"/>
      <c r="BP541" s="48"/>
      <c r="BQ541" s="50"/>
    </row>
    <row r="542" spans="1:69" ht="16" x14ac:dyDescent="0.35">
      <c r="A542"/>
      <c r="B542"/>
      <c r="D542"/>
      <c r="G542"/>
      <c r="H542" s="20"/>
      <c r="I542" s="20"/>
      <c r="J542" s="20"/>
      <c r="K542" s="20"/>
      <c r="L542" s="20"/>
      <c r="Q542" s="83"/>
      <c r="Y542" s="20"/>
      <c r="AP542" s="93"/>
      <c r="AQ542" s="31"/>
      <c r="AR542" s="31"/>
      <c r="AS542" s="94"/>
      <c r="AT542" s="31"/>
      <c r="AU542" s="31"/>
      <c r="AV542" s="73" t="s">
        <v>214</v>
      </c>
      <c r="AW542" s="32"/>
      <c r="AX542" s="32"/>
      <c r="AY542" s="32"/>
      <c r="AZ542" s="32"/>
      <c r="BA542" s="32"/>
      <c r="BB542" s="31"/>
      <c r="BC542" s="31"/>
      <c r="BD542" s="31"/>
      <c r="BE542" s="31"/>
      <c r="BF542" s="95">
        <v>0</v>
      </c>
      <c r="BG542" s="52"/>
      <c r="BH542" s="52"/>
      <c r="BI542" s="52"/>
      <c r="BJ542" s="52"/>
      <c r="BK542" s="52"/>
      <c r="BL542" s="52"/>
      <c r="BM542" s="52"/>
      <c r="BN542" s="53"/>
      <c r="BO542" s="52"/>
      <c r="BP542" s="52"/>
      <c r="BQ542" s="54"/>
    </row>
    <row r="543" spans="1:69" ht="16" x14ac:dyDescent="0.35">
      <c r="A543"/>
      <c r="B543"/>
      <c r="D543"/>
      <c r="G543"/>
      <c r="H543" s="20"/>
      <c r="I543" s="20"/>
      <c r="J543" s="20"/>
      <c r="K543" s="20"/>
      <c r="L543" s="20"/>
      <c r="Q543" s="83"/>
      <c r="Y543" s="20"/>
      <c r="AP543" s="92"/>
      <c r="AQ543" s="67"/>
      <c r="AR543" s="67"/>
      <c r="AS543" s="73"/>
      <c r="AT543" s="67"/>
      <c r="AU543" s="67"/>
      <c r="AV543" s="94" t="s">
        <v>214</v>
      </c>
      <c r="AW543" s="68"/>
      <c r="AX543" s="68"/>
      <c r="AY543" s="68"/>
      <c r="AZ543" s="68"/>
      <c r="BA543" s="68"/>
      <c r="BB543" s="67"/>
      <c r="BC543" s="67"/>
      <c r="BD543" s="67"/>
      <c r="BE543" s="67"/>
      <c r="BF543" s="96">
        <v>0</v>
      </c>
      <c r="BG543" s="48"/>
      <c r="BH543" s="48"/>
      <c r="BI543" s="48"/>
      <c r="BJ543" s="48"/>
      <c r="BK543" s="48"/>
      <c r="BL543" s="48"/>
      <c r="BM543" s="48"/>
      <c r="BN543" s="49"/>
      <c r="BO543" s="48"/>
      <c r="BP543" s="48"/>
      <c r="BQ543" s="50"/>
    </row>
    <row r="544" spans="1:69" ht="16" x14ac:dyDescent="0.35">
      <c r="A544"/>
      <c r="B544"/>
      <c r="D544"/>
      <c r="G544"/>
      <c r="H544" s="20"/>
      <c r="I544" s="20"/>
      <c r="J544" s="20"/>
      <c r="K544" s="20"/>
      <c r="L544" s="20"/>
      <c r="Q544" s="83"/>
      <c r="Y544" s="20"/>
      <c r="AP544" s="93"/>
      <c r="AQ544" s="31"/>
      <c r="AR544" s="31"/>
      <c r="AS544" s="94"/>
      <c r="AT544" s="31"/>
      <c r="AU544" s="31"/>
      <c r="AV544" s="73" t="s">
        <v>214</v>
      </c>
      <c r="AW544" s="32"/>
      <c r="AX544" s="32"/>
      <c r="AY544" s="32"/>
      <c r="AZ544" s="32"/>
      <c r="BA544" s="32"/>
      <c r="BB544" s="31"/>
      <c r="BC544" s="31"/>
      <c r="BD544" s="31"/>
      <c r="BE544" s="31"/>
      <c r="BF544" s="95">
        <v>0</v>
      </c>
      <c r="BG544" s="52"/>
      <c r="BH544" s="52"/>
      <c r="BI544" s="52"/>
      <c r="BJ544" s="52"/>
      <c r="BK544" s="52"/>
      <c r="BL544" s="52"/>
      <c r="BM544" s="52"/>
      <c r="BN544" s="53"/>
      <c r="BO544" s="52"/>
      <c r="BP544" s="52"/>
      <c r="BQ544" s="54"/>
    </row>
    <row r="545" spans="1:69" ht="16" x14ac:dyDescent="0.35">
      <c r="A545"/>
      <c r="B545"/>
      <c r="D545"/>
      <c r="G545"/>
      <c r="H545" s="20"/>
      <c r="I545" s="20"/>
      <c r="J545" s="20"/>
      <c r="K545" s="20"/>
      <c r="L545" s="20"/>
      <c r="Q545" s="83"/>
      <c r="Y545" s="20"/>
      <c r="AP545" s="92"/>
      <c r="AQ545" s="67"/>
      <c r="AR545" s="67"/>
      <c r="AS545" s="73"/>
      <c r="AT545" s="67"/>
      <c r="AU545" s="67"/>
      <c r="AV545" s="94" t="s">
        <v>213</v>
      </c>
      <c r="AW545" s="68"/>
      <c r="AX545" s="68"/>
      <c r="AY545" s="68"/>
      <c r="AZ545" s="68"/>
      <c r="BA545" s="68"/>
      <c r="BB545" s="67"/>
      <c r="BC545" s="67"/>
      <c r="BD545" s="67"/>
      <c r="BE545" s="67"/>
      <c r="BF545" s="96">
        <v>0</v>
      </c>
      <c r="BG545" s="48"/>
      <c r="BH545" s="48"/>
      <c r="BI545" s="48"/>
      <c r="BJ545" s="48"/>
      <c r="BK545" s="48"/>
      <c r="BL545" s="48"/>
      <c r="BM545" s="48"/>
      <c r="BN545" s="49"/>
      <c r="BO545" s="48"/>
      <c r="BP545" s="48"/>
      <c r="BQ545" s="50"/>
    </row>
    <row r="546" spans="1:69" ht="16" x14ac:dyDescent="0.35">
      <c r="A546"/>
      <c r="B546"/>
      <c r="D546"/>
      <c r="G546"/>
      <c r="H546" s="20"/>
      <c r="I546" s="20"/>
      <c r="J546" s="20"/>
      <c r="K546" s="20"/>
      <c r="L546" s="20"/>
      <c r="Q546" s="83"/>
      <c r="Y546" s="20"/>
      <c r="AP546" s="93"/>
      <c r="AQ546" s="31"/>
      <c r="AR546" s="31"/>
      <c r="AS546" s="94"/>
      <c r="AT546" s="31"/>
      <c r="AU546" s="31"/>
      <c r="AV546" s="73" t="s">
        <v>213</v>
      </c>
      <c r="AW546" s="32"/>
      <c r="AX546" s="32"/>
      <c r="AY546" s="32"/>
      <c r="AZ546" s="32"/>
      <c r="BA546" s="32"/>
      <c r="BB546" s="31"/>
      <c r="BC546" s="31"/>
      <c r="BD546" s="31"/>
      <c r="BE546" s="31"/>
      <c r="BF546" s="95">
        <v>0</v>
      </c>
      <c r="BG546" s="52"/>
      <c r="BH546" s="52"/>
      <c r="BI546" s="52"/>
      <c r="BJ546" s="52"/>
      <c r="BK546" s="52"/>
      <c r="BL546" s="52"/>
      <c r="BM546" s="52"/>
      <c r="BN546" s="53"/>
      <c r="BO546" s="52"/>
      <c r="BP546" s="52"/>
      <c r="BQ546" s="54"/>
    </row>
    <row r="547" spans="1:69" ht="16" x14ac:dyDescent="0.35">
      <c r="A547"/>
      <c r="B547"/>
      <c r="D547"/>
      <c r="G547"/>
      <c r="H547" s="20"/>
      <c r="I547" s="20"/>
      <c r="J547" s="20"/>
      <c r="K547" s="20"/>
      <c r="L547" s="20"/>
      <c r="Q547" s="83"/>
      <c r="Y547" s="20"/>
      <c r="AP547" s="92"/>
      <c r="AQ547" s="67"/>
      <c r="AR547" s="67"/>
      <c r="AS547" s="73"/>
      <c r="AT547" s="67"/>
      <c r="AU547" s="67"/>
      <c r="AV547" s="94" t="s">
        <v>213</v>
      </c>
      <c r="AW547" s="68"/>
      <c r="AX547" s="68"/>
      <c r="AY547" s="68"/>
      <c r="AZ547" s="68"/>
      <c r="BA547" s="68"/>
      <c r="BB547" s="67"/>
      <c r="BC547" s="67"/>
      <c r="BD547" s="67"/>
      <c r="BE547" s="67"/>
      <c r="BF547" s="96">
        <v>0</v>
      </c>
      <c r="BG547" s="48"/>
      <c r="BH547" s="48"/>
      <c r="BI547" s="48"/>
      <c r="BJ547" s="48"/>
      <c r="BK547" s="48"/>
      <c r="BL547" s="48"/>
      <c r="BM547" s="48"/>
      <c r="BN547" s="49"/>
      <c r="BO547" s="48"/>
      <c r="BP547" s="48"/>
      <c r="BQ547" s="50"/>
    </row>
    <row r="548" spans="1:69" ht="16" x14ac:dyDescent="0.35">
      <c r="A548"/>
      <c r="B548"/>
      <c r="D548"/>
      <c r="G548"/>
      <c r="H548" s="20"/>
      <c r="I548" s="20"/>
      <c r="J548" s="20"/>
      <c r="K548" s="20"/>
      <c r="L548" s="20"/>
      <c r="Q548" s="83"/>
      <c r="Y548" s="20"/>
      <c r="AP548" s="93"/>
      <c r="AQ548" s="31"/>
      <c r="AR548" s="31"/>
      <c r="AS548" s="94"/>
      <c r="AT548" s="31"/>
      <c r="AU548" s="31"/>
      <c r="AV548" s="73" t="s">
        <v>213</v>
      </c>
      <c r="AW548" s="32"/>
      <c r="AX548" s="32"/>
      <c r="AY548" s="32"/>
      <c r="AZ548" s="32"/>
      <c r="BA548" s="32"/>
      <c r="BB548" s="31"/>
      <c r="BC548" s="31"/>
      <c r="BD548" s="31"/>
      <c r="BE548" s="31"/>
      <c r="BF548" s="95">
        <v>0</v>
      </c>
      <c r="BG548" s="52"/>
      <c r="BH548" s="52"/>
      <c r="BI548" s="52"/>
      <c r="BJ548" s="52"/>
      <c r="BK548" s="52"/>
      <c r="BL548" s="52"/>
      <c r="BM548" s="52"/>
      <c r="BN548" s="53"/>
      <c r="BO548" s="52"/>
      <c r="BP548" s="52"/>
      <c r="BQ548" s="54"/>
    </row>
    <row r="549" spans="1:69" ht="16" x14ac:dyDescent="0.35">
      <c r="A549"/>
      <c r="B549"/>
      <c r="D549"/>
      <c r="G549"/>
      <c r="H549" s="20"/>
      <c r="I549" s="20"/>
      <c r="J549" s="20"/>
      <c r="K549" s="20"/>
      <c r="L549" s="20"/>
      <c r="Q549" s="83"/>
      <c r="Y549" s="20"/>
      <c r="AP549" s="92"/>
      <c r="AQ549" s="67"/>
      <c r="AR549" s="67"/>
      <c r="AS549" s="73"/>
      <c r="AT549" s="67"/>
      <c r="AU549" s="67"/>
      <c r="AV549" s="94" t="s">
        <v>213</v>
      </c>
      <c r="AW549" s="68"/>
      <c r="AX549" s="68"/>
      <c r="AY549" s="68"/>
      <c r="AZ549" s="68"/>
      <c r="BA549" s="68"/>
      <c r="BB549" s="67"/>
      <c r="BC549" s="67"/>
      <c r="BD549" s="67"/>
      <c r="BE549" s="67"/>
      <c r="BF549" s="96">
        <v>0</v>
      </c>
      <c r="BG549" s="48"/>
      <c r="BH549" s="48"/>
      <c r="BI549" s="48"/>
      <c r="BJ549" s="48"/>
      <c r="BK549" s="48"/>
      <c r="BL549" s="48"/>
      <c r="BM549" s="48"/>
      <c r="BN549" s="49"/>
      <c r="BO549" s="48"/>
      <c r="BP549" s="48"/>
      <c r="BQ549" s="50"/>
    </row>
    <row r="550" spans="1:69" ht="16" x14ac:dyDescent="0.35">
      <c r="A550"/>
      <c r="B550"/>
      <c r="D550"/>
      <c r="G550"/>
      <c r="H550" s="20"/>
      <c r="I550" s="20"/>
      <c r="J550" s="20"/>
      <c r="K550" s="20"/>
      <c r="L550" s="20"/>
      <c r="Q550" s="83"/>
      <c r="Y550" s="20"/>
      <c r="AP550" s="93"/>
      <c r="AQ550" s="31"/>
      <c r="AR550" s="31"/>
      <c r="AS550" s="94"/>
      <c r="AT550" s="31"/>
      <c r="AU550" s="31"/>
      <c r="AV550" s="73" t="s">
        <v>212</v>
      </c>
      <c r="AW550" s="32"/>
      <c r="AX550" s="32"/>
      <c r="AY550" s="32"/>
      <c r="AZ550" s="32"/>
      <c r="BA550" s="32"/>
      <c r="BB550" s="31"/>
      <c r="BC550" s="31"/>
      <c r="BD550" s="31"/>
      <c r="BE550" s="31"/>
      <c r="BF550" s="95">
        <v>0</v>
      </c>
      <c r="BG550" s="52"/>
      <c r="BH550" s="52"/>
      <c r="BI550" s="52"/>
      <c r="BJ550" s="52"/>
      <c r="BK550" s="52"/>
      <c r="BL550" s="52"/>
      <c r="BM550" s="52"/>
      <c r="BN550" s="53"/>
      <c r="BO550" s="52"/>
      <c r="BP550" s="52"/>
      <c r="BQ550" s="54"/>
    </row>
    <row r="551" spans="1:69" ht="16" x14ac:dyDescent="0.35">
      <c r="A551"/>
      <c r="B551"/>
      <c r="D551"/>
      <c r="G551"/>
      <c r="H551" s="20"/>
      <c r="I551" s="20"/>
      <c r="J551" s="20"/>
      <c r="K551" s="20"/>
      <c r="L551" s="20"/>
      <c r="Q551" s="83"/>
      <c r="Y551" s="20"/>
      <c r="AP551" s="92"/>
      <c r="AQ551" s="67"/>
      <c r="AR551" s="67"/>
      <c r="AS551" s="73"/>
      <c r="AT551" s="67"/>
      <c r="AU551" s="67"/>
      <c r="AV551" s="94" t="s">
        <v>212</v>
      </c>
      <c r="AW551" s="68"/>
      <c r="AX551" s="68"/>
      <c r="AY551" s="68"/>
      <c r="AZ551" s="68"/>
      <c r="BA551" s="68"/>
      <c r="BB551" s="67"/>
      <c r="BC551" s="67"/>
      <c r="BD551" s="67"/>
      <c r="BE551" s="67"/>
      <c r="BF551" s="96">
        <v>0</v>
      </c>
      <c r="BG551" s="48"/>
      <c r="BH551" s="48"/>
      <c r="BI551" s="48"/>
      <c r="BJ551" s="48"/>
      <c r="BK551" s="48"/>
      <c r="BL551" s="48"/>
      <c r="BM551" s="48"/>
      <c r="BN551" s="49"/>
      <c r="BO551" s="48"/>
      <c r="BP551" s="48"/>
      <c r="BQ551" s="50"/>
    </row>
    <row r="552" spans="1:69" ht="16" x14ac:dyDescent="0.35">
      <c r="A552"/>
      <c r="B552"/>
      <c r="D552"/>
      <c r="G552"/>
      <c r="H552" s="20"/>
      <c r="I552" s="20"/>
      <c r="J552" s="20"/>
      <c r="K552" s="20"/>
      <c r="L552" s="20"/>
      <c r="Q552" s="83"/>
      <c r="Y552" s="20"/>
      <c r="AP552" s="93"/>
      <c r="AQ552" s="31"/>
      <c r="AR552" s="31"/>
      <c r="AS552" s="94"/>
      <c r="AT552" s="31"/>
      <c r="AU552" s="31"/>
      <c r="AV552" s="73" t="s">
        <v>212</v>
      </c>
      <c r="AW552" s="32"/>
      <c r="AX552" s="32"/>
      <c r="AY552" s="32"/>
      <c r="AZ552" s="32"/>
      <c r="BA552" s="32"/>
      <c r="BB552" s="31"/>
      <c r="BC552" s="31"/>
      <c r="BD552" s="31"/>
      <c r="BE552" s="31"/>
      <c r="BF552" s="95">
        <v>0</v>
      </c>
      <c r="BG552" s="52"/>
      <c r="BH552" s="52"/>
      <c r="BI552" s="52"/>
      <c r="BJ552" s="52"/>
      <c r="BK552" s="52"/>
      <c r="BL552" s="52"/>
      <c r="BM552" s="52"/>
      <c r="BN552" s="53"/>
      <c r="BO552" s="52"/>
      <c r="BP552" s="52"/>
      <c r="BQ552" s="54"/>
    </row>
    <row r="553" spans="1:69" ht="16" x14ac:dyDescent="0.35">
      <c r="A553"/>
      <c r="B553"/>
      <c r="D553"/>
      <c r="G553"/>
      <c r="H553" s="20"/>
      <c r="I553" s="20"/>
      <c r="J553" s="20"/>
      <c r="K553" s="20"/>
      <c r="L553" s="20"/>
      <c r="Q553" s="83"/>
      <c r="Y553" s="20"/>
      <c r="AP553" s="92"/>
      <c r="AQ553" s="67"/>
      <c r="AR553" s="67"/>
      <c r="AS553" s="73"/>
      <c r="AT553" s="67"/>
      <c r="AU553" s="67"/>
      <c r="AV553" s="94" t="s">
        <v>213</v>
      </c>
      <c r="AW553" s="68"/>
      <c r="AX553" s="68"/>
      <c r="AY553" s="68"/>
      <c r="AZ553" s="68"/>
      <c r="BA553" s="68"/>
      <c r="BB553" s="67"/>
      <c r="BC553" s="67"/>
      <c r="BD553" s="67"/>
      <c r="BE553" s="67"/>
      <c r="BF553" s="96">
        <v>1</v>
      </c>
      <c r="BG553" s="48"/>
      <c r="BH553" s="48"/>
      <c r="BI553" s="48"/>
      <c r="BJ553" s="48"/>
      <c r="BK553" s="48"/>
      <c r="BL553" s="48"/>
      <c r="BM553" s="48"/>
      <c r="BN553" s="49"/>
      <c r="BO553" s="48"/>
      <c r="BP553" s="48"/>
      <c r="BQ553" s="50"/>
    </row>
    <row r="554" spans="1:69" ht="16" x14ac:dyDescent="0.35">
      <c r="A554"/>
      <c r="B554"/>
      <c r="D554"/>
      <c r="G554"/>
      <c r="H554" s="20"/>
      <c r="I554" s="20"/>
      <c r="J554" s="20"/>
      <c r="K554" s="20"/>
      <c r="L554" s="20"/>
      <c r="Q554" s="83"/>
      <c r="Y554" s="20"/>
      <c r="AP554" s="93"/>
      <c r="AQ554" s="31"/>
      <c r="AR554" s="31"/>
      <c r="AS554" s="94"/>
      <c r="AT554" s="31"/>
      <c r="AU554" s="31"/>
      <c r="AV554" s="73" t="s">
        <v>213</v>
      </c>
      <c r="AW554" s="32"/>
      <c r="AX554" s="32"/>
      <c r="AY554" s="32"/>
      <c r="AZ554" s="32"/>
      <c r="BA554" s="32"/>
      <c r="BB554" s="31"/>
      <c r="BC554" s="31"/>
      <c r="BD554" s="31"/>
      <c r="BE554" s="31"/>
      <c r="BF554" s="95">
        <v>2</v>
      </c>
      <c r="BG554" s="52"/>
      <c r="BH554" s="52"/>
      <c r="BI554" s="52"/>
      <c r="BJ554" s="52"/>
      <c r="BK554" s="52"/>
      <c r="BL554" s="52"/>
      <c r="BM554" s="52"/>
      <c r="BN554" s="53"/>
      <c r="BO554" s="52"/>
      <c r="BP554" s="52"/>
      <c r="BQ554" s="54"/>
    </row>
    <row r="555" spans="1:69" ht="16" x14ac:dyDescent="0.35">
      <c r="A555"/>
      <c r="B555"/>
      <c r="D555"/>
      <c r="G555"/>
      <c r="H555" s="20"/>
      <c r="I555" s="20"/>
      <c r="J555" s="20"/>
      <c r="K555" s="20"/>
      <c r="L555" s="20"/>
      <c r="Q555" s="83"/>
      <c r="Y555" s="20"/>
      <c r="AP555" s="92"/>
      <c r="AQ555" s="67"/>
      <c r="AR555" s="67"/>
      <c r="AS555" s="73"/>
      <c r="AT555" s="67"/>
      <c r="AU555" s="67"/>
      <c r="AV555" s="94" t="s">
        <v>213</v>
      </c>
      <c r="AW555" s="68"/>
      <c r="AX555" s="68"/>
      <c r="AY555" s="68"/>
      <c r="AZ555" s="68"/>
      <c r="BA555" s="68"/>
      <c r="BB555" s="67"/>
      <c r="BC555" s="67"/>
      <c r="BD555" s="67"/>
      <c r="BE555" s="67"/>
      <c r="BF555" s="96">
        <v>2</v>
      </c>
      <c r="BG555" s="48"/>
      <c r="BH555" s="48"/>
      <c r="BI555" s="48"/>
      <c r="BJ555" s="48"/>
      <c r="BK555" s="48"/>
      <c r="BL555" s="48"/>
      <c r="BM555" s="48"/>
      <c r="BN555" s="49"/>
      <c r="BO555" s="48"/>
      <c r="BP555" s="48"/>
      <c r="BQ555" s="50"/>
    </row>
    <row r="556" spans="1:69" ht="16" x14ac:dyDescent="0.35">
      <c r="A556"/>
      <c r="B556"/>
      <c r="D556"/>
      <c r="G556"/>
      <c r="H556" s="20"/>
      <c r="I556" s="20"/>
      <c r="J556" s="20"/>
      <c r="K556" s="20"/>
      <c r="L556" s="20"/>
      <c r="Q556" s="83"/>
      <c r="Y556" s="20"/>
      <c r="AP556" s="93"/>
      <c r="AQ556" s="31"/>
      <c r="AR556" s="31"/>
      <c r="AS556" s="94"/>
      <c r="AT556" s="31"/>
      <c r="AU556" s="31"/>
      <c r="AV556" s="73" t="s">
        <v>213</v>
      </c>
      <c r="AW556" s="32"/>
      <c r="AX556" s="32"/>
      <c r="AY556" s="32"/>
      <c r="AZ556" s="32"/>
      <c r="BA556" s="32"/>
      <c r="BB556" s="31"/>
      <c r="BC556" s="31"/>
      <c r="BD556" s="31"/>
      <c r="BE556" s="31"/>
      <c r="BF556" s="95">
        <v>2</v>
      </c>
      <c r="BG556" s="52"/>
      <c r="BH556" s="52"/>
      <c r="BI556" s="52"/>
      <c r="BJ556" s="52"/>
      <c r="BK556" s="52"/>
      <c r="BL556" s="52"/>
      <c r="BM556" s="52"/>
      <c r="BN556" s="53"/>
      <c r="BO556" s="52"/>
      <c r="BP556" s="52"/>
      <c r="BQ556" s="54"/>
    </row>
    <row r="557" spans="1:69" ht="16" x14ac:dyDescent="0.35">
      <c r="A557"/>
      <c r="B557"/>
      <c r="D557"/>
      <c r="G557"/>
      <c r="H557" s="20"/>
      <c r="I557" s="20"/>
      <c r="J557" s="20"/>
      <c r="K557" s="20"/>
      <c r="L557" s="20"/>
      <c r="Q557" s="83"/>
      <c r="Y557" s="20"/>
      <c r="AP557" s="92"/>
      <c r="AQ557" s="67"/>
      <c r="AR557" s="67"/>
      <c r="AS557" s="73"/>
      <c r="AT557" s="67"/>
      <c r="AU557" s="67"/>
      <c r="AV557" s="94" t="s">
        <v>213</v>
      </c>
      <c r="AW557" s="68"/>
      <c r="AX557" s="68"/>
      <c r="AY557" s="68"/>
      <c r="AZ557" s="68"/>
      <c r="BA557" s="68"/>
      <c r="BB557" s="67"/>
      <c r="BC557" s="67"/>
      <c r="BD557" s="67"/>
      <c r="BE557" s="67"/>
      <c r="BF557" s="96">
        <v>2</v>
      </c>
      <c r="BG557" s="48"/>
      <c r="BH557" s="48"/>
      <c r="BI557" s="48"/>
      <c r="BJ557" s="48"/>
      <c r="BK557" s="48"/>
      <c r="BL557" s="48"/>
      <c r="BM557" s="48"/>
      <c r="BN557" s="49"/>
      <c r="BO557" s="48"/>
      <c r="BP557" s="48"/>
      <c r="BQ557" s="50"/>
    </row>
    <row r="558" spans="1:69" ht="16" x14ac:dyDescent="0.35">
      <c r="A558"/>
      <c r="B558"/>
      <c r="D558"/>
      <c r="G558"/>
      <c r="H558" s="20"/>
      <c r="I558" s="20"/>
      <c r="J558" s="20"/>
      <c r="K558" s="20"/>
      <c r="L558" s="20"/>
      <c r="Q558" s="83"/>
      <c r="Y558" s="20"/>
      <c r="AP558" s="93"/>
      <c r="AQ558" s="31"/>
      <c r="AR558" s="31"/>
      <c r="AS558" s="94"/>
      <c r="AT558" s="31"/>
      <c r="AU558" s="31"/>
      <c r="AV558" s="73" t="s">
        <v>213</v>
      </c>
      <c r="AW558" s="32"/>
      <c r="AX558" s="32"/>
      <c r="AY558" s="32"/>
      <c r="AZ558" s="32"/>
      <c r="BA558" s="32"/>
      <c r="BB558" s="31"/>
      <c r="BC558" s="31"/>
      <c r="BD558" s="31"/>
      <c r="BE558" s="31"/>
      <c r="BF558" s="95">
        <v>2</v>
      </c>
      <c r="BG558" s="52"/>
      <c r="BH558" s="52"/>
      <c r="BI558" s="52"/>
      <c r="BJ558" s="52"/>
      <c r="BK558" s="52"/>
      <c r="BL558" s="52"/>
      <c r="BM558" s="52"/>
      <c r="BN558" s="53"/>
      <c r="BO558" s="52"/>
      <c r="BP558" s="52"/>
      <c r="BQ558" s="54"/>
    </row>
    <row r="559" spans="1:69" ht="16" x14ac:dyDescent="0.35">
      <c r="A559"/>
      <c r="B559"/>
      <c r="D559"/>
      <c r="G559"/>
      <c r="H559" s="20"/>
      <c r="I559" s="20"/>
      <c r="J559" s="20"/>
      <c r="K559" s="20"/>
      <c r="L559" s="20"/>
      <c r="Q559" s="83"/>
      <c r="Y559" s="20"/>
      <c r="AP559" s="92"/>
      <c r="AQ559" s="67"/>
      <c r="AR559" s="67"/>
      <c r="AS559" s="73"/>
      <c r="AT559" s="67"/>
      <c r="AU559" s="67"/>
      <c r="AV559" s="94" t="s">
        <v>213</v>
      </c>
      <c r="AW559" s="68"/>
      <c r="AX559" s="68"/>
      <c r="AY559" s="68"/>
      <c r="AZ559" s="68"/>
      <c r="BA559" s="68"/>
      <c r="BB559" s="67"/>
      <c r="BC559" s="67"/>
      <c r="BD559" s="67"/>
      <c r="BE559" s="67"/>
      <c r="BF559" s="96">
        <v>2</v>
      </c>
      <c r="BG559" s="48"/>
      <c r="BH559" s="48"/>
      <c r="BI559" s="48"/>
      <c r="BJ559" s="48"/>
      <c r="BK559" s="48"/>
      <c r="BL559" s="48"/>
      <c r="BM559" s="48"/>
      <c r="BN559" s="49"/>
      <c r="BO559" s="48"/>
      <c r="BP559" s="48"/>
      <c r="BQ559" s="50"/>
    </row>
    <row r="560" spans="1:69" ht="16" x14ac:dyDescent="0.35">
      <c r="A560"/>
      <c r="B560"/>
      <c r="D560"/>
      <c r="G560"/>
      <c r="H560" s="20"/>
      <c r="I560" s="20"/>
      <c r="J560" s="20"/>
      <c r="K560" s="20"/>
      <c r="L560" s="20"/>
      <c r="Q560" s="83"/>
      <c r="Y560" s="20"/>
      <c r="AP560" s="93"/>
      <c r="AQ560" s="31"/>
      <c r="AR560" s="31"/>
      <c r="AS560" s="94"/>
      <c r="AT560" s="31"/>
      <c r="AU560" s="31"/>
      <c r="AV560" s="73" t="s">
        <v>213</v>
      </c>
      <c r="AW560" s="32"/>
      <c r="AX560" s="32"/>
      <c r="AY560" s="32"/>
      <c r="AZ560" s="32"/>
      <c r="BA560" s="32"/>
      <c r="BB560" s="31"/>
      <c r="BC560" s="31"/>
      <c r="BD560" s="31"/>
      <c r="BE560" s="31"/>
      <c r="BF560" s="95">
        <v>2</v>
      </c>
      <c r="BG560" s="52"/>
      <c r="BH560" s="52"/>
      <c r="BI560" s="52"/>
      <c r="BJ560" s="52"/>
      <c r="BK560" s="52"/>
      <c r="BL560" s="52"/>
      <c r="BM560" s="52"/>
      <c r="BN560" s="53"/>
      <c r="BO560" s="52"/>
      <c r="BP560" s="52"/>
      <c r="BQ560" s="54"/>
    </row>
    <row r="561" spans="1:69" ht="16" x14ac:dyDescent="0.35">
      <c r="A561"/>
      <c r="B561"/>
      <c r="D561"/>
      <c r="G561"/>
      <c r="H561" s="20"/>
      <c r="I561" s="20"/>
      <c r="J561" s="20"/>
      <c r="K561" s="20"/>
      <c r="L561" s="20"/>
      <c r="Q561" s="83"/>
      <c r="Y561" s="20"/>
      <c r="AP561" s="92"/>
      <c r="AQ561" s="67"/>
      <c r="AR561" s="67"/>
      <c r="AS561" s="73"/>
      <c r="AT561" s="67"/>
      <c r="AU561" s="67"/>
      <c r="AV561" s="94" t="s">
        <v>213</v>
      </c>
      <c r="AW561" s="68"/>
      <c r="AX561" s="68"/>
      <c r="AY561" s="68"/>
      <c r="AZ561" s="68"/>
      <c r="BA561" s="68"/>
      <c r="BB561" s="67"/>
      <c r="BC561" s="67"/>
      <c r="BD561" s="67"/>
      <c r="BE561" s="67"/>
      <c r="BF561" s="96">
        <v>2</v>
      </c>
      <c r="BG561" s="48"/>
      <c r="BH561" s="48"/>
      <c r="BI561" s="48"/>
      <c r="BJ561" s="48"/>
      <c r="BK561" s="48"/>
      <c r="BL561" s="48"/>
      <c r="BM561" s="48"/>
      <c r="BN561" s="49"/>
      <c r="BO561" s="48"/>
      <c r="BP561" s="48"/>
      <c r="BQ561" s="50"/>
    </row>
    <row r="562" spans="1:69" ht="16" x14ac:dyDescent="0.35">
      <c r="A562"/>
      <c r="B562"/>
      <c r="D562"/>
      <c r="G562"/>
      <c r="H562" s="20"/>
      <c r="I562" s="20"/>
      <c r="J562" s="20"/>
      <c r="K562" s="20"/>
      <c r="L562" s="20"/>
      <c r="Q562" s="83"/>
      <c r="Y562" s="20"/>
      <c r="AP562" s="93"/>
      <c r="AQ562" s="31"/>
      <c r="AR562" s="31"/>
      <c r="AS562" s="94"/>
      <c r="AT562" s="31"/>
      <c r="AU562" s="31"/>
      <c r="AV562" s="73" t="s">
        <v>213</v>
      </c>
      <c r="AW562" s="32"/>
      <c r="AX562" s="32"/>
      <c r="AY562" s="32"/>
      <c r="AZ562" s="32"/>
      <c r="BA562" s="32"/>
      <c r="BB562" s="31"/>
      <c r="BC562" s="31"/>
      <c r="BD562" s="31"/>
      <c r="BE562" s="31"/>
      <c r="BF562" s="95">
        <v>2</v>
      </c>
      <c r="BG562" s="52"/>
      <c r="BH562" s="52"/>
      <c r="BI562" s="52"/>
      <c r="BJ562" s="52"/>
      <c r="BK562" s="52"/>
      <c r="BL562" s="52"/>
      <c r="BM562" s="52"/>
      <c r="BN562" s="53"/>
      <c r="BO562" s="52"/>
      <c r="BP562" s="52"/>
      <c r="BQ562" s="54"/>
    </row>
    <row r="563" spans="1:69" ht="16" x14ac:dyDescent="0.35">
      <c r="A563"/>
      <c r="B563"/>
      <c r="D563"/>
      <c r="G563"/>
      <c r="H563" s="20"/>
      <c r="I563" s="20"/>
      <c r="J563" s="20"/>
      <c r="K563" s="20"/>
      <c r="L563" s="20"/>
      <c r="Q563" s="83"/>
      <c r="Y563" s="20"/>
      <c r="AP563" s="92"/>
      <c r="AQ563" s="67"/>
      <c r="AR563" s="67"/>
      <c r="AS563" s="73"/>
      <c r="AT563" s="67"/>
      <c r="AU563" s="67"/>
      <c r="AV563" s="94" t="s">
        <v>213</v>
      </c>
      <c r="AW563" s="68"/>
      <c r="AX563" s="68"/>
      <c r="AY563" s="68"/>
      <c r="AZ563" s="68"/>
      <c r="BA563" s="68"/>
      <c r="BB563" s="67"/>
      <c r="BC563" s="67"/>
      <c r="BD563" s="67"/>
      <c r="BE563" s="67"/>
      <c r="BF563" s="96">
        <v>2</v>
      </c>
      <c r="BG563" s="48"/>
      <c r="BH563" s="48"/>
      <c r="BI563" s="48"/>
      <c r="BJ563" s="48"/>
      <c r="BK563" s="48"/>
      <c r="BL563" s="48"/>
      <c r="BM563" s="48"/>
      <c r="BN563" s="49"/>
      <c r="BO563" s="48"/>
      <c r="BP563" s="48"/>
      <c r="BQ563" s="50"/>
    </row>
    <row r="564" spans="1:69" ht="16" x14ac:dyDescent="0.35">
      <c r="A564"/>
      <c r="B564"/>
      <c r="D564"/>
      <c r="G564"/>
      <c r="H564" s="20"/>
      <c r="I564" s="20"/>
      <c r="J564" s="20"/>
      <c r="K564" s="20"/>
      <c r="L564" s="20"/>
      <c r="Q564" s="83"/>
      <c r="Y564" s="20"/>
      <c r="AP564" s="93"/>
      <c r="AQ564" s="31"/>
      <c r="AR564" s="31"/>
      <c r="AS564" s="94"/>
      <c r="AT564" s="31"/>
      <c r="AU564" s="31"/>
      <c r="AV564" s="73" t="s">
        <v>213</v>
      </c>
      <c r="AW564" s="32"/>
      <c r="AX564" s="32"/>
      <c r="AY564" s="32"/>
      <c r="AZ564" s="32"/>
      <c r="BA564" s="32"/>
      <c r="BB564" s="31"/>
      <c r="BC564" s="31"/>
      <c r="BD564" s="31"/>
      <c r="BE564" s="31"/>
      <c r="BF564" s="95">
        <v>2</v>
      </c>
      <c r="BG564" s="52"/>
      <c r="BH564" s="52"/>
      <c r="BI564" s="52"/>
      <c r="BJ564" s="52"/>
      <c r="BK564" s="52"/>
      <c r="BL564" s="52"/>
      <c r="BM564" s="52"/>
      <c r="BN564" s="53"/>
      <c r="BO564" s="52"/>
      <c r="BP564" s="52"/>
      <c r="BQ564" s="54"/>
    </row>
    <row r="565" spans="1:69" ht="16" x14ac:dyDescent="0.35">
      <c r="A565"/>
      <c r="B565"/>
      <c r="D565"/>
      <c r="G565"/>
      <c r="H565" s="20"/>
      <c r="I565" s="20"/>
      <c r="J565" s="20"/>
      <c r="K565" s="20"/>
      <c r="L565" s="20"/>
      <c r="Q565" s="83"/>
      <c r="Y565" s="20"/>
      <c r="AP565" s="92"/>
      <c r="AQ565" s="67"/>
      <c r="AR565" s="67"/>
      <c r="AS565" s="73"/>
      <c r="AT565" s="67"/>
      <c r="AU565" s="67"/>
      <c r="AV565" s="94" t="s">
        <v>213</v>
      </c>
      <c r="AW565" s="68"/>
      <c r="AX565" s="68"/>
      <c r="AY565" s="68"/>
      <c r="AZ565" s="68"/>
      <c r="BA565" s="68"/>
      <c r="BB565" s="67"/>
      <c r="BC565" s="67"/>
      <c r="BD565" s="67"/>
      <c r="BE565" s="67"/>
      <c r="BF565" s="96">
        <v>2</v>
      </c>
      <c r="BG565" s="48"/>
      <c r="BH565" s="48"/>
      <c r="BI565" s="48"/>
      <c r="BJ565" s="48"/>
      <c r="BK565" s="48"/>
      <c r="BL565" s="48"/>
      <c r="BM565" s="48"/>
      <c r="BN565" s="49"/>
      <c r="BO565" s="48"/>
      <c r="BP565" s="48"/>
      <c r="BQ565" s="50"/>
    </row>
    <row r="566" spans="1:69" ht="16" x14ac:dyDescent="0.35">
      <c r="A566"/>
      <c r="B566"/>
      <c r="D566"/>
      <c r="G566"/>
      <c r="H566" s="20"/>
      <c r="I566" s="20"/>
      <c r="J566" s="20"/>
      <c r="K566" s="20"/>
      <c r="L566" s="20"/>
      <c r="Q566" s="83"/>
      <c r="Y566" s="20"/>
      <c r="AP566" s="93"/>
      <c r="AQ566" s="31"/>
      <c r="AR566" s="31"/>
      <c r="AS566" s="94"/>
      <c r="AT566" s="31"/>
      <c r="AU566" s="31"/>
      <c r="AV566" s="73" t="s">
        <v>213</v>
      </c>
      <c r="AW566" s="32"/>
      <c r="AX566" s="32"/>
      <c r="AY566" s="32"/>
      <c r="AZ566" s="32"/>
      <c r="BA566" s="32"/>
      <c r="BB566" s="31"/>
      <c r="BC566" s="31"/>
      <c r="BD566" s="31"/>
      <c r="BE566" s="31"/>
      <c r="BF566" s="95">
        <v>2</v>
      </c>
      <c r="BG566" s="52"/>
      <c r="BH566" s="52"/>
      <c r="BI566" s="52"/>
      <c r="BJ566" s="52"/>
      <c r="BK566" s="52"/>
      <c r="BL566" s="52"/>
      <c r="BM566" s="52"/>
      <c r="BN566" s="53"/>
      <c r="BO566" s="52"/>
      <c r="BP566" s="52"/>
      <c r="BQ566" s="54"/>
    </row>
    <row r="567" spans="1:69" ht="16" x14ac:dyDescent="0.35">
      <c r="A567"/>
      <c r="B567"/>
      <c r="D567"/>
      <c r="G567"/>
      <c r="H567" s="20"/>
      <c r="I567" s="20"/>
      <c r="J567" s="20"/>
      <c r="K567" s="20"/>
      <c r="L567" s="20"/>
      <c r="Q567" s="83"/>
      <c r="Y567" s="20"/>
      <c r="AP567" s="92"/>
      <c r="AQ567" s="67"/>
      <c r="AR567" s="67"/>
      <c r="AS567" s="73"/>
      <c r="AT567" s="67"/>
      <c r="AU567" s="67"/>
      <c r="AV567" s="94" t="s">
        <v>213</v>
      </c>
      <c r="AW567" s="68"/>
      <c r="AX567" s="68"/>
      <c r="AY567" s="68"/>
      <c r="AZ567" s="68"/>
      <c r="BA567" s="68"/>
      <c r="BB567" s="67"/>
      <c r="BC567" s="67"/>
      <c r="BD567" s="67"/>
      <c r="BE567" s="67"/>
      <c r="BF567" s="96">
        <v>2</v>
      </c>
      <c r="BG567" s="48"/>
      <c r="BH567" s="48"/>
      <c r="BI567" s="48"/>
      <c r="BJ567" s="48"/>
      <c r="BK567" s="48"/>
      <c r="BL567" s="48"/>
      <c r="BM567" s="48"/>
      <c r="BN567" s="49"/>
      <c r="BO567" s="48"/>
      <c r="BP567" s="48"/>
      <c r="BQ567" s="50"/>
    </row>
    <row r="568" spans="1:69" ht="16" x14ac:dyDescent="0.35">
      <c r="A568"/>
      <c r="B568"/>
      <c r="D568"/>
      <c r="G568"/>
      <c r="H568" s="20"/>
      <c r="I568" s="20"/>
      <c r="J568" s="20"/>
      <c r="K568" s="20"/>
      <c r="L568" s="20"/>
      <c r="Q568" s="83"/>
      <c r="Y568" s="20"/>
      <c r="AP568" s="93"/>
      <c r="AQ568" s="31"/>
      <c r="AR568" s="31"/>
      <c r="AS568" s="94"/>
      <c r="AT568" s="31"/>
      <c r="AU568" s="31"/>
      <c r="AV568" s="73" t="s">
        <v>213</v>
      </c>
      <c r="AW568" s="32"/>
      <c r="AX568" s="32"/>
      <c r="AY568" s="32"/>
      <c r="AZ568" s="32"/>
      <c r="BA568" s="32"/>
      <c r="BB568" s="31"/>
      <c r="BC568" s="31"/>
      <c r="BD568" s="31"/>
      <c r="BE568" s="31"/>
      <c r="BF568" s="95">
        <v>2</v>
      </c>
      <c r="BG568" s="52"/>
      <c r="BH568" s="52"/>
      <c r="BI568" s="52"/>
      <c r="BJ568" s="52"/>
      <c r="BK568" s="52"/>
      <c r="BL568" s="52"/>
      <c r="BM568" s="52"/>
      <c r="BN568" s="53"/>
      <c r="BO568" s="52"/>
      <c r="BP568" s="52"/>
      <c r="BQ568" s="54"/>
    </row>
    <row r="569" spans="1:69" ht="16" x14ac:dyDescent="0.35">
      <c r="A569"/>
      <c r="B569"/>
      <c r="D569"/>
      <c r="G569"/>
      <c r="H569" s="20"/>
      <c r="I569" s="20"/>
      <c r="J569" s="20"/>
      <c r="K569" s="20"/>
      <c r="L569" s="20"/>
      <c r="Q569" s="83"/>
      <c r="Y569" s="20"/>
      <c r="AP569" s="92"/>
      <c r="AQ569" s="67"/>
      <c r="AR569" s="67"/>
      <c r="AS569" s="73"/>
      <c r="AT569" s="67"/>
      <c r="AU569" s="67"/>
      <c r="AV569" s="94" t="s">
        <v>213</v>
      </c>
      <c r="AW569" s="68"/>
      <c r="AX569" s="68"/>
      <c r="AY569" s="68"/>
      <c r="AZ569" s="68"/>
      <c r="BA569" s="68"/>
      <c r="BB569" s="67"/>
      <c r="BC569" s="67"/>
      <c r="BD569" s="67"/>
      <c r="BE569" s="67"/>
      <c r="BF569" s="96">
        <v>2</v>
      </c>
      <c r="BG569" s="48"/>
      <c r="BH569" s="48"/>
      <c r="BI569" s="48"/>
      <c r="BJ569" s="48"/>
      <c r="BK569" s="48"/>
      <c r="BL569" s="48"/>
      <c r="BM569" s="48"/>
      <c r="BN569" s="49"/>
      <c r="BO569" s="48"/>
      <c r="BP569" s="48"/>
      <c r="BQ569" s="50"/>
    </row>
    <row r="570" spans="1:69" ht="16" x14ac:dyDescent="0.35">
      <c r="A570"/>
      <c r="B570"/>
      <c r="D570"/>
      <c r="G570"/>
      <c r="H570" s="20"/>
      <c r="I570" s="20"/>
      <c r="J570" s="20"/>
      <c r="K570" s="20"/>
      <c r="L570" s="20"/>
      <c r="Q570" s="83"/>
      <c r="Y570" s="20"/>
      <c r="AP570" s="93"/>
      <c r="AQ570" s="31"/>
      <c r="AR570" s="31"/>
      <c r="AS570" s="94"/>
      <c r="AT570" s="31"/>
      <c r="AU570" s="31"/>
      <c r="AV570" s="73" t="s">
        <v>213</v>
      </c>
      <c r="AW570" s="32"/>
      <c r="AX570" s="32"/>
      <c r="AY570" s="32"/>
      <c r="AZ570" s="32"/>
      <c r="BA570" s="32"/>
      <c r="BB570" s="31"/>
      <c r="BC570" s="31"/>
      <c r="BD570" s="31"/>
      <c r="BE570" s="31"/>
      <c r="BF570" s="95">
        <v>2</v>
      </c>
      <c r="BG570" s="52"/>
      <c r="BH570" s="52"/>
      <c r="BI570" s="52"/>
      <c r="BJ570" s="52"/>
      <c r="BK570" s="52"/>
      <c r="BL570" s="52"/>
      <c r="BM570" s="52"/>
      <c r="BN570" s="53"/>
      <c r="BO570" s="52"/>
      <c r="BP570" s="52"/>
      <c r="BQ570" s="54"/>
    </row>
    <row r="571" spans="1:69" ht="16" x14ac:dyDescent="0.35">
      <c r="A571"/>
      <c r="B571"/>
      <c r="D571"/>
      <c r="G571"/>
      <c r="H571" s="20"/>
      <c r="I571" s="20"/>
      <c r="J571" s="20"/>
      <c r="K571" s="20"/>
      <c r="L571" s="20"/>
      <c r="Q571" s="83"/>
      <c r="Y571" s="20"/>
      <c r="AP571" s="92"/>
      <c r="AQ571" s="67"/>
      <c r="AR571" s="67"/>
      <c r="AS571" s="73"/>
      <c r="AT571" s="67"/>
      <c r="AU571" s="67"/>
      <c r="AV571" s="94" t="s">
        <v>213</v>
      </c>
      <c r="AW571" s="68"/>
      <c r="AX571" s="68"/>
      <c r="AY571" s="68"/>
      <c r="AZ571" s="68"/>
      <c r="BA571" s="68"/>
      <c r="BB571" s="67"/>
      <c r="BC571" s="67"/>
      <c r="BD571" s="67"/>
      <c r="BE571" s="67"/>
      <c r="BF571" s="96">
        <v>2</v>
      </c>
      <c r="BG571" s="48"/>
      <c r="BH571" s="48"/>
      <c r="BI571" s="48"/>
      <c r="BJ571" s="48"/>
      <c r="BK571" s="48"/>
      <c r="BL571" s="48"/>
      <c r="BM571" s="48"/>
      <c r="BN571" s="49"/>
      <c r="BO571" s="48"/>
      <c r="BP571" s="48"/>
      <c r="BQ571" s="50"/>
    </row>
    <row r="572" spans="1:69" ht="16" x14ac:dyDescent="0.35">
      <c r="A572"/>
      <c r="B572"/>
      <c r="D572"/>
      <c r="G572"/>
      <c r="H572" s="20"/>
      <c r="I572" s="20"/>
      <c r="J572" s="20"/>
      <c r="K572" s="20"/>
      <c r="L572" s="20"/>
      <c r="Q572" s="83"/>
      <c r="Y572" s="20"/>
      <c r="AP572" s="93"/>
      <c r="AQ572" s="31"/>
      <c r="AR572" s="31"/>
      <c r="AS572" s="94"/>
      <c r="AT572" s="31"/>
      <c r="AU572" s="31"/>
      <c r="AV572" s="73" t="s">
        <v>213</v>
      </c>
      <c r="AW572" s="32"/>
      <c r="AX572" s="32"/>
      <c r="AY572" s="32"/>
      <c r="AZ572" s="32"/>
      <c r="BA572" s="32"/>
      <c r="BB572" s="31"/>
      <c r="BC572" s="31"/>
      <c r="BD572" s="31"/>
      <c r="BE572" s="31"/>
      <c r="BF572" s="95">
        <v>2</v>
      </c>
      <c r="BG572" s="52"/>
      <c r="BH572" s="52"/>
      <c r="BI572" s="52"/>
      <c r="BJ572" s="52"/>
      <c r="BK572" s="52"/>
      <c r="BL572" s="52"/>
      <c r="BM572" s="52"/>
      <c r="BN572" s="53"/>
      <c r="BO572" s="52"/>
      <c r="BP572" s="52"/>
      <c r="BQ572" s="54"/>
    </row>
    <row r="573" spans="1:69" ht="16" x14ac:dyDescent="0.35">
      <c r="A573"/>
      <c r="B573"/>
      <c r="D573"/>
      <c r="G573"/>
      <c r="H573" s="20"/>
      <c r="I573" s="20"/>
      <c r="J573" s="20"/>
      <c r="K573" s="20"/>
      <c r="L573" s="20"/>
      <c r="Q573" s="83"/>
      <c r="Y573" s="20"/>
      <c r="AP573" s="92"/>
      <c r="AQ573" s="67"/>
      <c r="AR573" s="67"/>
      <c r="AS573" s="73"/>
      <c r="AT573" s="67"/>
      <c r="AU573" s="67"/>
      <c r="AV573" s="94" t="s">
        <v>213</v>
      </c>
      <c r="AW573" s="68"/>
      <c r="AX573" s="68"/>
      <c r="AY573" s="68"/>
      <c r="AZ573" s="68"/>
      <c r="BA573" s="68"/>
      <c r="BB573" s="67"/>
      <c r="BC573" s="67"/>
      <c r="BD573" s="67"/>
      <c r="BE573" s="67"/>
      <c r="BF573" s="96">
        <v>2</v>
      </c>
      <c r="BG573" s="48"/>
      <c r="BH573" s="48"/>
      <c r="BI573" s="48"/>
      <c r="BJ573" s="48"/>
      <c r="BK573" s="48"/>
      <c r="BL573" s="48"/>
      <c r="BM573" s="48"/>
      <c r="BN573" s="49"/>
      <c r="BO573" s="48"/>
      <c r="BP573" s="48"/>
      <c r="BQ573" s="50"/>
    </row>
    <row r="574" spans="1:69" ht="16" x14ac:dyDescent="0.35">
      <c r="A574"/>
      <c r="B574"/>
      <c r="D574"/>
      <c r="G574"/>
      <c r="H574" s="20"/>
      <c r="I574" s="20"/>
      <c r="J574" s="20"/>
      <c r="K574" s="20"/>
      <c r="L574" s="20"/>
      <c r="Q574" s="83"/>
      <c r="Y574" s="20"/>
      <c r="AP574" s="93"/>
      <c r="AQ574" s="31"/>
      <c r="AR574" s="31"/>
      <c r="AS574" s="94"/>
      <c r="AT574" s="31"/>
      <c r="AU574" s="31"/>
      <c r="AV574" s="73" t="s">
        <v>213</v>
      </c>
      <c r="AW574" s="32"/>
      <c r="AX574" s="32"/>
      <c r="AY574" s="32"/>
      <c r="AZ574" s="32"/>
      <c r="BA574" s="32"/>
      <c r="BB574" s="31"/>
      <c r="BC574" s="31"/>
      <c r="BD574" s="31"/>
      <c r="BE574" s="31"/>
      <c r="BF574" s="95">
        <v>2</v>
      </c>
      <c r="BG574" s="52"/>
      <c r="BH574" s="52"/>
      <c r="BI574" s="52"/>
      <c r="BJ574" s="52"/>
      <c r="BK574" s="52"/>
      <c r="BL574" s="52"/>
      <c r="BM574" s="52"/>
      <c r="BN574" s="53"/>
      <c r="BO574" s="52"/>
      <c r="BP574" s="52"/>
      <c r="BQ574" s="54"/>
    </row>
    <row r="575" spans="1:69" ht="16" x14ac:dyDescent="0.35">
      <c r="A575"/>
      <c r="B575"/>
      <c r="D575"/>
      <c r="G575"/>
      <c r="H575" s="20"/>
      <c r="I575" s="20"/>
      <c r="J575" s="20"/>
      <c r="K575" s="20"/>
      <c r="L575" s="20"/>
      <c r="Q575" s="83"/>
      <c r="Y575" s="20"/>
      <c r="AP575" s="92"/>
      <c r="AQ575" s="67"/>
      <c r="AR575" s="67"/>
      <c r="AS575" s="73"/>
      <c r="AT575" s="67"/>
      <c r="AU575" s="67"/>
      <c r="AV575" s="94" t="s">
        <v>213</v>
      </c>
      <c r="AW575" s="68"/>
      <c r="AX575" s="68"/>
      <c r="AY575" s="68"/>
      <c r="AZ575" s="68"/>
      <c r="BA575" s="68"/>
      <c r="BB575" s="67"/>
      <c r="BC575" s="67"/>
      <c r="BD575" s="67"/>
      <c r="BE575" s="67"/>
      <c r="BF575" s="96">
        <v>2</v>
      </c>
      <c r="BG575" s="48"/>
      <c r="BH575" s="48"/>
      <c r="BI575" s="48"/>
      <c r="BJ575" s="48"/>
      <c r="BK575" s="48"/>
      <c r="BL575" s="48"/>
      <c r="BM575" s="48"/>
      <c r="BN575" s="49"/>
      <c r="BO575" s="48"/>
      <c r="BP575" s="48"/>
      <c r="BQ575" s="50"/>
    </row>
    <row r="576" spans="1:69" ht="16" x14ac:dyDescent="0.35">
      <c r="A576"/>
      <c r="B576"/>
      <c r="D576"/>
      <c r="G576"/>
      <c r="H576" s="20"/>
      <c r="I576" s="20"/>
      <c r="J576" s="20"/>
      <c r="K576" s="20"/>
      <c r="L576" s="20"/>
      <c r="Q576" s="83"/>
      <c r="Y576" s="20"/>
      <c r="AP576" s="93"/>
      <c r="AQ576" s="31"/>
      <c r="AR576" s="31"/>
      <c r="AS576" s="94"/>
      <c r="AT576" s="31"/>
      <c r="AU576" s="31"/>
      <c r="AV576" s="73" t="s">
        <v>213</v>
      </c>
      <c r="AW576" s="32"/>
      <c r="AX576" s="32"/>
      <c r="AY576" s="32"/>
      <c r="AZ576" s="32"/>
      <c r="BA576" s="32"/>
      <c r="BB576" s="31"/>
      <c r="BC576" s="31"/>
      <c r="BD576" s="31"/>
      <c r="BE576" s="31"/>
      <c r="BF576" s="95">
        <v>2</v>
      </c>
      <c r="BG576" s="52"/>
      <c r="BH576" s="52"/>
      <c r="BI576" s="52"/>
      <c r="BJ576" s="52"/>
      <c r="BK576" s="52"/>
      <c r="BL576" s="52"/>
      <c r="BM576" s="52"/>
      <c r="BN576" s="53"/>
      <c r="BO576" s="52"/>
      <c r="BP576" s="52"/>
      <c r="BQ576" s="54"/>
    </row>
    <row r="577" spans="1:69" ht="16" x14ac:dyDescent="0.35">
      <c r="A577"/>
      <c r="B577"/>
      <c r="D577"/>
      <c r="G577"/>
      <c r="H577" s="20"/>
      <c r="I577" s="20"/>
      <c r="J577" s="20"/>
      <c r="K577" s="20"/>
      <c r="L577" s="20"/>
      <c r="Q577" s="83"/>
      <c r="Y577" s="20"/>
      <c r="AP577" s="92"/>
      <c r="AQ577" s="67"/>
      <c r="AR577" s="67"/>
      <c r="AS577" s="73"/>
      <c r="AT577" s="67"/>
      <c r="AU577" s="67"/>
      <c r="AV577" s="94" t="s">
        <v>213</v>
      </c>
      <c r="AW577" s="68"/>
      <c r="AX577" s="68"/>
      <c r="AY577" s="68"/>
      <c r="AZ577" s="68"/>
      <c r="BA577" s="68"/>
      <c r="BB577" s="67"/>
      <c r="BC577" s="67"/>
      <c r="BD577" s="67"/>
      <c r="BE577" s="67"/>
      <c r="BF577" s="96">
        <v>2</v>
      </c>
      <c r="BG577" s="48"/>
      <c r="BH577" s="48"/>
      <c r="BI577" s="48"/>
      <c r="BJ577" s="48"/>
      <c r="BK577" s="48"/>
      <c r="BL577" s="48"/>
      <c r="BM577" s="48"/>
      <c r="BN577" s="49"/>
      <c r="BO577" s="48"/>
      <c r="BP577" s="48"/>
      <c r="BQ577" s="50"/>
    </row>
    <row r="578" spans="1:69" ht="16" x14ac:dyDescent="0.35">
      <c r="A578"/>
      <c r="B578"/>
      <c r="D578"/>
      <c r="G578"/>
      <c r="H578" s="20"/>
      <c r="I578" s="20"/>
      <c r="J578" s="20"/>
      <c r="K578" s="20"/>
      <c r="L578" s="20"/>
      <c r="Q578" s="83"/>
      <c r="Y578" s="20"/>
      <c r="AP578" s="93"/>
      <c r="AQ578" s="31"/>
      <c r="AR578" s="31"/>
      <c r="AS578" s="94"/>
      <c r="AT578" s="31"/>
      <c r="AU578" s="31"/>
      <c r="AV578" s="73" t="s">
        <v>213</v>
      </c>
      <c r="AW578" s="32"/>
      <c r="AX578" s="32"/>
      <c r="AY578" s="32"/>
      <c r="AZ578" s="32"/>
      <c r="BA578" s="32"/>
      <c r="BB578" s="31"/>
      <c r="BC578" s="31"/>
      <c r="BD578" s="31"/>
      <c r="BE578" s="31"/>
      <c r="BF578" s="95">
        <v>2</v>
      </c>
      <c r="BG578" s="52"/>
      <c r="BH578" s="52"/>
      <c r="BI578" s="52"/>
      <c r="BJ578" s="52"/>
      <c r="BK578" s="52"/>
      <c r="BL578" s="52"/>
      <c r="BM578" s="52"/>
      <c r="BN578" s="53"/>
      <c r="BO578" s="52"/>
      <c r="BP578" s="52"/>
      <c r="BQ578" s="54"/>
    </row>
    <row r="579" spans="1:69" ht="16" x14ac:dyDescent="0.35">
      <c r="A579"/>
      <c r="B579"/>
      <c r="D579"/>
      <c r="G579"/>
      <c r="H579" s="20"/>
      <c r="I579" s="20"/>
      <c r="J579" s="20"/>
      <c r="K579" s="20"/>
      <c r="L579" s="20"/>
      <c r="Q579" s="83"/>
      <c r="Y579" s="20"/>
      <c r="AP579" s="92"/>
      <c r="AQ579" s="67"/>
      <c r="AR579" s="67"/>
      <c r="AS579" s="73"/>
      <c r="AT579" s="67"/>
      <c r="AU579" s="67"/>
      <c r="AV579" s="94" t="s">
        <v>213</v>
      </c>
      <c r="AW579" s="68"/>
      <c r="AX579" s="68"/>
      <c r="AY579" s="68"/>
      <c r="AZ579" s="68"/>
      <c r="BA579" s="68"/>
      <c r="BB579" s="67"/>
      <c r="BC579" s="67"/>
      <c r="BD579" s="67"/>
      <c r="BE579" s="67"/>
      <c r="BF579" s="96">
        <v>2</v>
      </c>
      <c r="BG579" s="48"/>
      <c r="BH579" s="48"/>
      <c r="BI579" s="48"/>
      <c r="BJ579" s="48"/>
      <c r="BK579" s="48"/>
      <c r="BL579" s="48"/>
      <c r="BM579" s="48"/>
      <c r="BN579" s="49"/>
      <c r="BO579" s="48"/>
      <c r="BP579" s="48"/>
      <c r="BQ579" s="50"/>
    </row>
    <row r="580" spans="1:69" ht="16" x14ac:dyDescent="0.35">
      <c r="A580"/>
      <c r="B580"/>
      <c r="D580"/>
      <c r="G580"/>
      <c r="H580" s="20"/>
      <c r="I580" s="20"/>
      <c r="J580" s="20"/>
      <c r="K580" s="20"/>
      <c r="L580" s="20"/>
      <c r="Q580" s="83"/>
      <c r="Y580" s="20"/>
      <c r="AP580" s="93"/>
      <c r="AQ580" s="31"/>
      <c r="AR580" s="31"/>
      <c r="AS580" s="94"/>
      <c r="AT580" s="31"/>
      <c r="AU580" s="31"/>
      <c r="AV580" s="73" t="s">
        <v>213</v>
      </c>
      <c r="AW580" s="32"/>
      <c r="AX580" s="32"/>
      <c r="AY580" s="32"/>
      <c r="AZ580" s="32"/>
      <c r="BA580" s="32"/>
      <c r="BB580" s="31"/>
      <c r="BC580" s="31"/>
      <c r="BD580" s="31"/>
      <c r="BE580" s="31"/>
      <c r="BF580" s="95">
        <v>2</v>
      </c>
      <c r="BG580" s="52"/>
      <c r="BH580" s="52"/>
      <c r="BI580" s="52"/>
      <c r="BJ580" s="52"/>
      <c r="BK580" s="52"/>
      <c r="BL580" s="52"/>
      <c r="BM580" s="52"/>
      <c r="BN580" s="53"/>
      <c r="BO580" s="52"/>
      <c r="BP580" s="52"/>
      <c r="BQ580" s="54"/>
    </row>
    <row r="581" spans="1:69" ht="16" x14ac:dyDescent="0.35">
      <c r="A581"/>
      <c r="B581"/>
      <c r="D581"/>
      <c r="G581"/>
      <c r="H581" s="20"/>
      <c r="I581" s="20"/>
      <c r="J581" s="20"/>
      <c r="K581" s="20"/>
      <c r="L581" s="20"/>
      <c r="Q581" s="83"/>
      <c r="Y581" s="20"/>
      <c r="AP581" s="92"/>
      <c r="AQ581" s="67"/>
      <c r="AR581" s="67"/>
      <c r="AS581" s="73"/>
      <c r="AT581" s="67"/>
      <c r="AU581" s="67"/>
      <c r="AV581" s="94" t="s">
        <v>213</v>
      </c>
      <c r="AW581" s="68"/>
      <c r="AX581" s="68"/>
      <c r="AY581" s="68"/>
      <c r="AZ581" s="68"/>
      <c r="BA581" s="68"/>
      <c r="BB581" s="67"/>
      <c r="BC581" s="67"/>
      <c r="BD581" s="67"/>
      <c r="BE581" s="67"/>
      <c r="BF581" s="96">
        <v>2</v>
      </c>
      <c r="BG581" s="48"/>
      <c r="BH581" s="48"/>
      <c r="BI581" s="48"/>
      <c r="BJ581" s="48"/>
      <c r="BK581" s="48"/>
      <c r="BL581" s="48"/>
      <c r="BM581" s="48"/>
      <c r="BN581" s="49"/>
      <c r="BO581" s="48"/>
      <c r="BP581" s="48"/>
      <c r="BQ581" s="50"/>
    </row>
    <row r="582" spans="1:69" ht="16" x14ac:dyDescent="0.35">
      <c r="A582"/>
      <c r="B582"/>
      <c r="D582"/>
      <c r="G582"/>
      <c r="H582" s="20"/>
      <c r="I582" s="20"/>
      <c r="J582" s="20"/>
      <c r="K582" s="20"/>
      <c r="L582" s="20"/>
      <c r="Q582" s="83"/>
      <c r="Y582" s="20"/>
      <c r="AP582" s="93"/>
      <c r="AQ582" s="31"/>
      <c r="AR582" s="31"/>
      <c r="AS582" s="94"/>
      <c r="AT582" s="31"/>
      <c r="AU582" s="31"/>
      <c r="AV582" s="73" t="s">
        <v>213</v>
      </c>
      <c r="AW582" s="32"/>
      <c r="AX582" s="32"/>
      <c r="AY582" s="32"/>
      <c r="AZ582" s="32"/>
      <c r="BA582" s="32"/>
      <c r="BB582" s="31"/>
      <c r="BC582" s="31"/>
      <c r="BD582" s="31"/>
      <c r="BE582" s="31"/>
      <c r="BF582" s="95">
        <v>2</v>
      </c>
      <c r="BG582" s="52"/>
      <c r="BH582" s="52"/>
      <c r="BI582" s="52"/>
      <c r="BJ582" s="52"/>
      <c r="BK582" s="52"/>
      <c r="BL582" s="52"/>
      <c r="BM582" s="52"/>
      <c r="BN582" s="53"/>
      <c r="BO582" s="52"/>
      <c r="BP582" s="52"/>
      <c r="BQ582" s="54"/>
    </row>
    <row r="583" spans="1:69" ht="16" x14ac:dyDescent="0.35">
      <c r="A583"/>
      <c r="B583"/>
      <c r="D583"/>
      <c r="G583"/>
      <c r="H583" s="20"/>
      <c r="I583" s="20"/>
      <c r="J583" s="20"/>
      <c r="K583" s="20"/>
      <c r="L583" s="20"/>
      <c r="Q583" s="83"/>
      <c r="Y583" s="20"/>
      <c r="AP583" s="92"/>
      <c r="AQ583" s="67"/>
      <c r="AR583" s="67"/>
      <c r="AS583" s="73"/>
      <c r="AT583" s="67"/>
      <c r="AU583" s="67"/>
      <c r="AV583" s="94" t="s">
        <v>213</v>
      </c>
      <c r="AW583" s="68"/>
      <c r="AX583" s="68"/>
      <c r="AY583" s="68"/>
      <c r="AZ583" s="68"/>
      <c r="BA583" s="68"/>
      <c r="BB583" s="67"/>
      <c r="BC583" s="67"/>
      <c r="BD583" s="67"/>
      <c r="BE583" s="67"/>
      <c r="BF583" s="96">
        <v>2</v>
      </c>
      <c r="BG583" s="48"/>
      <c r="BH583" s="48"/>
      <c r="BI583" s="48"/>
      <c r="BJ583" s="48"/>
      <c r="BK583" s="48"/>
      <c r="BL583" s="48"/>
      <c r="BM583" s="48"/>
      <c r="BN583" s="49"/>
      <c r="BO583" s="48"/>
      <c r="BP583" s="48"/>
      <c r="BQ583" s="50"/>
    </row>
    <row r="584" spans="1:69" ht="16" x14ac:dyDescent="0.35">
      <c r="A584"/>
      <c r="B584"/>
      <c r="D584"/>
      <c r="G584"/>
      <c r="H584" s="20"/>
      <c r="I584" s="20"/>
      <c r="J584" s="20"/>
      <c r="K584" s="20"/>
      <c r="L584" s="20"/>
      <c r="Q584" s="83"/>
      <c r="Y584" s="20"/>
      <c r="AP584" s="93"/>
      <c r="AQ584" s="31"/>
      <c r="AR584" s="31"/>
      <c r="AS584" s="94"/>
      <c r="AT584" s="31"/>
      <c r="AU584" s="31"/>
      <c r="AV584" s="73" t="s">
        <v>213</v>
      </c>
      <c r="AW584" s="32"/>
      <c r="AX584" s="32"/>
      <c r="AY584" s="32"/>
      <c r="AZ584" s="32"/>
      <c r="BA584" s="32"/>
      <c r="BB584" s="31"/>
      <c r="BC584" s="31"/>
      <c r="BD584" s="31"/>
      <c r="BE584" s="31"/>
      <c r="BF584" s="95">
        <v>2</v>
      </c>
      <c r="BG584" s="52"/>
      <c r="BH584" s="52"/>
      <c r="BI584" s="52"/>
      <c r="BJ584" s="52"/>
      <c r="BK584" s="52"/>
      <c r="BL584" s="52"/>
      <c r="BM584" s="52"/>
      <c r="BN584" s="53"/>
      <c r="BO584" s="52"/>
      <c r="BP584" s="52"/>
      <c r="BQ584" s="54"/>
    </row>
    <row r="585" spans="1:69" ht="16" x14ac:dyDescent="0.35">
      <c r="A585"/>
      <c r="B585"/>
      <c r="D585"/>
      <c r="G585"/>
      <c r="H585" s="20"/>
      <c r="I585" s="20"/>
      <c r="J585" s="20"/>
      <c r="K585" s="20"/>
      <c r="L585" s="20"/>
      <c r="Q585" s="83"/>
      <c r="Y585" s="20"/>
      <c r="AP585" s="92"/>
      <c r="AQ585" s="67"/>
      <c r="AR585" s="67"/>
      <c r="AS585" s="73"/>
      <c r="AT585" s="67"/>
      <c r="AU585" s="67"/>
      <c r="AV585" s="94" t="s">
        <v>213</v>
      </c>
      <c r="AW585" s="68"/>
      <c r="AX585" s="68"/>
      <c r="AY585" s="68"/>
      <c r="AZ585" s="68"/>
      <c r="BA585" s="68"/>
      <c r="BB585" s="67"/>
      <c r="BC585" s="67"/>
      <c r="BD585" s="67"/>
      <c r="BE585" s="67"/>
      <c r="BF585" s="96">
        <v>2</v>
      </c>
      <c r="BG585" s="48"/>
      <c r="BH585" s="48"/>
      <c r="BI585" s="48"/>
      <c r="BJ585" s="48"/>
      <c r="BK585" s="48"/>
      <c r="BL585" s="48"/>
      <c r="BM585" s="48"/>
      <c r="BN585" s="49"/>
      <c r="BO585" s="48"/>
      <c r="BP585" s="48"/>
      <c r="BQ585" s="50"/>
    </row>
    <row r="586" spans="1:69" ht="16" x14ac:dyDescent="0.35">
      <c r="A586"/>
      <c r="B586"/>
      <c r="D586"/>
      <c r="G586"/>
      <c r="H586" s="20"/>
      <c r="I586" s="20"/>
      <c r="J586" s="20"/>
      <c r="K586" s="20"/>
      <c r="L586" s="20"/>
      <c r="Q586" s="83"/>
      <c r="Y586" s="20"/>
      <c r="AP586" s="93"/>
      <c r="AQ586" s="31"/>
      <c r="AR586" s="31"/>
      <c r="AS586" s="94"/>
      <c r="AT586" s="31"/>
      <c r="AU586" s="31"/>
      <c r="AV586" s="73" t="s">
        <v>213</v>
      </c>
      <c r="AW586" s="32"/>
      <c r="AX586" s="32"/>
      <c r="AY586" s="32"/>
      <c r="AZ586" s="32"/>
      <c r="BA586" s="32"/>
      <c r="BB586" s="31"/>
      <c r="BC586" s="31"/>
      <c r="BD586" s="31"/>
      <c r="BE586" s="31"/>
      <c r="BF586" s="95">
        <v>2</v>
      </c>
      <c r="BG586" s="52"/>
      <c r="BH586" s="52"/>
      <c r="BI586" s="52"/>
      <c r="BJ586" s="52"/>
      <c r="BK586" s="52"/>
      <c r="BL586" s="52"/>
      <c r="BM586" s="52"/>
      <c r="BN586" s="53"/>
      <c r="BO586" s="52"/>
      <c r="BP586" s="52"/>
      <c r="BQ586" s="54"/>
    </row>
    <row r="587" spans="1:69" ht="16" x14ac:dyDescent="0.35">
      <c r="A587"/>
      <c r="B587"/>
      <c r="D587"/>
      <c r="G587"/>
      <c r="H587" s="20"/>
      <c r="I587" s="20"/>
      <c r="J587" s="20"/>
      <c r="K587" s="20"/>
      <c r="L587" s="20"/>
      <c r="Q587" s="83"/>
      <c r="Y587" s="20"/>
      <c r="AP587" s="92"/>
      <c r="AQ587" s="67"/>
      <c r="AR587" s="67"/>
      <c r="AS587" s="73"/>
      <c r="AT587" s="67"/>
      <c r="AU587" s="67"/>
      <c r="AV587" s="94" t="s">
        <v>213</v>
      </c>
      <c r="AW587" s="68"/>
      <c r="AX587" s="68"/>
      <c r="AY587" s="68"/>
      <c r="AZ587" s="68"/>
      <c r="BA587" s="68"/>
      <c r="BB587" s="67"/>
      <c r="BC587" s="67"/>
      <c r="BD587" s="67"/>
      <c r="BE587" s="67"/>
      <c r="BF587" s="96">
        <v>2</v>
      </c>
      <c r="BG587" s="48"/>
      <c r="BH587" s="48"/>
      <c r="BI587" s="48"/>
      <c r="BJ587" s="48"/>
      <c r="BK587" s="48"/>
      <c r="BL587" s="48"/>
      <c r="BM587" s="48"/>
      <c r="BN587" s="49"/>
      <c r="BO587" s="48"/>
      <c r="BP587" s="48"/>
      <c r="BQ587" s="50"/>
    </row>
    <row r="588" spans="1:69" ht="16" x14ac:dyDescent="0.35">
      <c r="A588"/>
      <c r="B588"/>
      <c r="D588"/>
      <c r="G588"/>
      <c r="H588" s="20"/>
      <c r="I588" s="20"/>
      <c r="J588" s="20"/>
      <c r="K588" s="20"/>
      <c r="L588" s="20"/>
      <c r="Q588" s="83"/>
      <c r="Y588" s="20"/>
      <c r="AP588" s="93"/>
      <c r="AQ588" s="31"/>
      <c r="AR588" s="31"/>
      <c r="AS588" s="94"/>
      <c r="AT588" s="31"/>
      <c r="AU588" s="31"/>
      <c r="AV588" s="73" t="s">
        <v>213</v>
      </c>
      <c r="AW588" s="32"/>
      <c r="AX588" s="32"/>
      <c r="AY588" s="32"/>
      <c r="AZ588" s="32"/>
      <c r="BA588" s="32"/>
      <c r="BB588" s="31"/>
      <c r="BC588" s="31"/>
      <c r="BD588" s="31"/>
      <c r="BE588" s="31"/>
      <c r="BF588" s="95">
        <v>2</v>
      </c>
      <c r="BG588" s="52"/>
      <c r="BH588" s="52"/>
      <c r="BI588" s="52"/>
      <c r="BJ588" s="52"/>
      <c r="BK588" s="52"/>
      <c r="BL588" s="52"/>
      <c r="BM588" s="52"/>
      <c r="BN588" s="53"/>
      <c r="BO588" s="52"/>
      <c r="BP588" s="52"/>
      <c r="BQ588" s="54"/>
    </row>
    <row r="589" spans="1:69" ht="16" x14ac:dyDescent="0.35">
      <c r="A589"/>
      <c r="B589"/>
      <c r="D589"/>
      <c r="G589"/>
      <c r="H589" s="20"/>
      <c r="I589" s="20"/>
      <c r="J589" s="20"/>
      <c r="K589" s="20"/>
      <c r="L589" s="20"/>
      <c r="Q589" s="83"/>
      <c r="Y589" s="20"/>
      <c r="AP589" s="92"/>
      <c r="AQ589" s="67"/>
      <c r="AR589" s="67"/>
      <c r="AS589" s="73"/>
      <c r="AT589" s="67"/>
      <c r="AU589" s="67"/>
      <c r="AV589" s="94" t="s">
        <v>213</v>
      </c>
      <c r="AW589" s="68"/>
      <c r="AX589" s="68"/>
      <c r="AY589" s="68"/>
      <c r="AZ589" s="68"/>
      <c r="BA589" s="68"/>
      <c r="BB589" s="67"/>
      <c r="BC589" s="67"/>
      <c r="BD589" s="67"/>
      <c r="BE589" s="67"/>
      <c r="BF589" s="96">
        <v>2</v>
      </c>
      <c r="BG589" s="48"/>
      <c r="BH589" s="48"/>
      <c r="BI589" s="48"/>
      <c r="BJ589" s="48"/>
      <c r="BK589" s="48"/>
      <c r="BL589" s="48"/>
      <c r="BM589" s="48"/>
      <c r="BN589" s="49"/>
      <c r="BO589" s="48"/>
      <c r="BP589" s="48"/>
      <c r="BQ589" s="50"/>
    </row>
    <row r="590" spans="1:69" ht="16" x14ac:dyDescent="0.35">
      <c r="A590"/>
      <c r="B590"/>
      <c r="D590"/>
      <c r="G590"/>
      <c r="H590" s="20"/>
      <c r="I590" s="20"/>
      <c r="J590" s="20"/>
      <c r="K590" s="20"/>
      <c r="L590" s="20"/>
      <c r="Q590" s="83"/>
      <c r="Y590" s="20"/>
      <c r="AP590" s="93"/>
      <c r="AQ590" s="31"/>
      <c r="AR590" s="31"/>
      <c r="AS590" s="94"/>
      <c r="AT590" s="31"/>
      <c r="AU590" s="31"/>
      <c r="AV590" s="73" t="s">
        <v>213</v>
      </c>
      <c r="AW590" s="32"/>
      <c r="AX590" s="32"/>
      <c r="AY590" s="32"/>
      <c r="AZ590" s="32"/>
      <c r="BA590" s="32"/>
      <c r="BB590" s="31"/>
      <c r="BC590" s="31"/>
      <c r="BD590" s="31"/>
      <c r="BE590" s="31"/>
      <c r="BF590" s="95">
        <v>2</v>
      </c>
      <c r="BG590" s="52"/>
      <c r="BH590" s="52"/>
      <c r="BI590" s="52"/>
      <c r="BJ590" s="52"/>
      <c r="BK590" s="52"/>
      <c r="BL590" s="52"/>
      <c r="BM590" s="52"/>
      <c r="BN590" s="53"/>
      <c r="BO590" s="52"/>
      <c r="BP590" s="52"/>
      <c r="BQ590" s="54"/>
    </row>
    <row r="591" spans="1:69" ht="16" x14ac:dyDescent="0.35">
      <c r="A591"/>
      <c r="B591"/>
      <c r="D591"/>
      <c r="G591"/>
      <c r="H591" s="20"/>
      <c r="I591" s="20"/>
      <c r="J591" s="20"/>
      <c r="K591" s="20"/>
      <c r="L591" s="20"/>
      <c r="Q591" s="83"/>
      <c r="Y591" s="20"/>
      <c r="AP591" s="92"/>
      <c r="AQ591" s="67"/>
      <c r="AR591" s="67"/>
      <c r="AS591" s="73"/>
      <c r="AT591" s="67"/>
      <c r="AU591" s="67"/>
      <c r="AV591" s="94" t="s">
        <v>213</v>
      </c>
      <c r="AW591" s="68"/>
      <c r="AX591" s="68"/>
      <c r="AY591" s="68"/>
      <c r="AZ591" s="68"/>
      <c r="BA591" s="68"/>
      <c r="BB591" s="67"/>
      <c r="BC591" s="67"/>
      <c r="BD591" s="67"/>
      <c r="BE591" s="67"/>
      <c r="BF591" s="96">
        <v>1</v>
      </c>
      <c r="BG591" s="48"/>
      <c r="BH591" s="48"/>
      <c r="BI591" s="48"/>
      <c r="BJ591" s="48"/>
      <c r="BK591" s="48"/>
      <c r="BL591" s="48"/>
      <c r="BM591" s="48"/>
      <c r="BN591" s="49"/>
      <c r="BO591" s="48"/>
      <c r="BP591" s="48"/>
      <c r="BQ591" s="50"/>
    </row>
    <row r="592" spans="1:69" ht="16" x14ac:dyDescent="0.35">
      <c r="A592"/>
      <c r="B592"/>
      <c r="D592"/>
      <c r="G592"/>
      <c r="H592" s="20"/>
      <c r="I592" s="20"/>
      <c r="J592" s="20"/>
      <c r="K592" s="20"/>
      <c r="L592" s="20"/>
      <c r="Q592" s="83"/>
      <c r="Y592" s="20"/>
      <c r="AP592" s="93"/>
      <c r="AQ592" s="31"/>
      <c r="AR592" s="31"/>
      <c r="AS592" s="94"/>
      <c r="AT592" s="31"/>
      <c r="AU592" s="31"/>
      <c r="AV592" s="73" t="s">
        <v>212</v>
      </c>
      <c r="AW592" s="32"/>
      <c r="AX592" s="32"/>
      <c r="AY592" s="32"/>
      <c r="AZ592" s="32"/>
      <c r="BA592" s="32"/>
      <c r="BB592" s="31"/>
      <c r="BC592" s="31"/>
      <c r="BD592" s="31"/>
      <c r="BE592" s="31"/>
      <c r="BF592" s="95">
        <v>0</v>
      </c>
      <c r="BG592" s="52"/>
      <c r="BH592" s="52"/>
      <c r="BI592" s="52"/>
      <c r="BJ592" s="52"/>
      <c r="BK592" s="52"/>
      <c r="BL592" s="52"/>
      <c r="BM592" s="52"/>
      <c r="BN592" s="53"/>
      <c r="BO592" s="52"/>
      <c r="BP592" s="52"/>
      <c r="BQ592" s="54"/>
    </row>
    <row r="593" spans="1:69" ht="16" x14ac:dyDescent="0.35">
      <c r="A593"/>
      <c r="B593"/>
      <c r="D593"/>
      <c r="G593"/>
      <c r="H593" s="20"/>
      <c r="I593" s="20"/>
      <c r="J593" s="20"/>
      <c r="K593" s="20"/>
      <c r="L593" s="20"/>
      <c r="Q593" s="83"/>
      <c r="Y593" s="20"/>
      <c r="AP593" s="92"/>
      <c r="AQ593" s="67"/>
      <c r="AR593" s="67"/>
      <c r="AS593" s="73"/>
      <c r="AT593" s="67"/>
      <c r="AU593" s="67"/>
      <c r="AV593" s="94" t="s">
        <v>212</v>
      </c>
      <c r="AW593" s="68"/>
      <c r="AX593" s="68"/>
      <c r="AY593" s="68"/>
      <c r="AZ593" s="68"/>
      <c r="BA593" s="68"/>
      <c r="BB593" s="67"/>
      <c r="BC593" s="67"/>
      <c r="BD593" s="67"/>
      <c r="BE593" s="67"/>
      <c r="BF593" s="96">
        <v>0</v>
      </c>
      <c r="BG593" s="48"/>
      <c r="BH593" s="48"/>
      <c r="BI593" s="48"/>
      <c r="BJ593" s="48"/>
      <c r="BK593" s="48"/>
      <c r="BL593" s="48"/>
      <c r="BM593" s="48"/>
      <c r="BN593" s="49"/>
      <c r="BO593" s="48"/>
      <c r="BP593" s="48"/>
      <c r="BQ593" s="50"/>
    </row>
    <row r="594" spans="1:69" ht="16" x14ac:dyDescent="0.35">
      <c r="A594"/>
      <c r="B594"/>
      <c r="D594"/>
      <c r="G594"/>
      <c r="H594" s="20"/>
      <c r="I594" s="20"/>
      <c r="J594" s="20"/>
      <c r="K594" s="20"/>
      <c r="L594" s="20"/>
      <c r="Q594" s="83"/>
      <c r="Y594" s="20"/>
      <c r="AP594" s="93"/>
      <c r="AQ594" s="31"/>
      <c r="AR594" s="31"/>
      <c r="AS594" s="94"/>
      <c r="AT594" s="31"/>
      <c r="AU594" s="31"/>
      <c r="AV594" s="73" t="s">
        <v>213</v>
      </c>
      <c r="AW594" s="32"/>
      <c r="AX594" s="32"/>
      <c r="AY594" s="32"/>
      <c r="AZ594" s="32"/>
      <c r="BA594" s="32"/>
      <c r="BB594" s="31"/>
      <c r="BC594" s="31"/>
      <c r="BD594" s="31"/>
      <c r="BE594" s="31"/>
      <c r="BF594" s="95">
        <v>0</v>
      </c>
      <c r="BG594" s="52"/>
      <c r="BH594" s="52"/>
      <c r="BI594" s="52"/>
      <c r="BJ594" s="52"/>
      <c r="BK594" s="52"/>
      <c r="BL594" s="52"/>
      <c r="BM594" s="52"/>
      <c r="BN594" s="53"/>
      <c r="BO594" s="52"/>
      <c r="BP594" s="52"/>
      <c r="BQ594" s="54"/>
    </row>
    <row r="595" spans="1:69" ht="16" x14ac:dyDescent="0.35">
      <c r="A595"/>
      <c r="B595"/>
      <c r="D595"/>
      <c r="G595"/>
      <c r="H595" s="20"/>
      <c r="I595" s="20"/>
      <c r="J595" s="20"/>
      <c r="K595" s="20"/>
      <c r="L595" s="20"/>
      <c r="Q595" s="83"/>
      <c r="Y595" s="20"/>
      <c r="AP595" s="92"/>
      <c r="AQ595" s="67"/>
      <c r="AR595" s="67"/>
      <c r="AS595" s="73"/>
      <c r="AT595" s="67"/>
      <c r="AU595" s="67"/>
      <c r="AV595" s="94" t="s">
        <v>213</v>
      </c>
      <c r="AW595" s="68"/>
      <c r="AX595" s="68"/>
      <c r="AY595" s="68"/>
      <c r="AZ595" s="68"/>
      <c r="BA595" s="68"/>
      <c r="BB595" s="67"/>
      <c r="BC595" s="67"/>
      <c r="BD595" s="67"/>
      <c r="BE595" s="67"/>
      <c r="BF595" s="96">
        <v>0</v>
      </c>
      <c r="BG595" s="48"/>
      <c r="BH595" s="48"/>
      <c r="BI595" s="48"/>
      <c r="BJ595" s="48"/>
      <c r="BK595" s="48"/>
      <c r="BL595" s="48"/>
      <c r="BM595" s="48"/>
      <c r="BN595" s="49"/>
      <c r="BO595" s="48"/>
      <c r="BP595" s="48"/>
      <c r="BQ595" s="50"/>
    </row>
    <row r="596" spans="1:69" ht="16" x14ac:dyDescent="0.35">
      <c r="A596"/>
      <c r="B596"/>
      <c r="D596"/>
      <c r="G596"/>
      <c r="H596" s="20"/>
      <c r="I596" s="20"/>
      <c r="J596" s="20"/>
      <c r="K596" s="20"/>
      <c r="L596" s="20"/>
      <c r="Q596" s="83"/>
      <c r="Y596" s="20"/>
      <c r="AP596" s="93"/>
      <c r="AQ596" s="31"/>
      <c r="AR596" s="31"/>
      <c r="AS596" s="94"/>
      <c r="AT596" s="31"/>
      <c r="AU596" s="31"/>
      <c r="AV596" s="73" t="s">
        <v>213</v>
      </c>
      <c r="AW596" s="32"/>
      <c r="AX596" s="32"/>
      <c r="AY596" s="32"/>
      <c r="AZ596" s="32"/>
      <c r="BA596" s="32"/>
      <c r="BB596" s="31"/>
      <c r="BC596" s="31"/>
      <c r="BD596" s="31"/>
      <c r="BE596" s="31"/>
      <c r="BF596" s="95">
        <v>0</v>
      </c>
      <c r="BG596" s="52"/>
      <c r="BH596" s="52"/>
      <c r="BI596" s="52"/>
      <c r="BJ596" s="52"/>
      <c r="BK596" s="52"/>
      <c r="BL596" s="52"/>
      <c r="BM596" s="52"/>
      <c r="BN596" s="53"/>
      <c r="BO596" s="52"/>
      <c r="BP596" s="52"/>
      <c r="BQ596" s="54"/>
    </row>
    <row r="597" spans="1:69" ht="16" x14ac:dyDescent="0.35">
      <c r="A597"/>
      <c r="B597"/>
      <c r="D597"/>
      <c r="G597"/>
      <c r="H597" s="20"/>
      <c r="I597" s="20"/>
      <c r="J597" s="20"/>
      <c r="K597" s="20"/>
      <c r="L597" s="20"/>
      <c r="Q597" s="83"/>
      <c r="Y597" s="20"/>
      <c r="AP597" s="92"/>
      <c r="AQ597" s="67"/>
      <c r="AR597" s="67"/>
      <c r="AS597" s="73"/>
      <c r="AT597" s="67"/>
      <c r="AU597" s="67"/>
      <c r="AV597" s="94" t="s">
        <v>213</v>
      </c>
      <c r="AW597" s="68"/>
      <c r="AX597" s="68"/>
      <c r="AY597" s="68"/>
      <c r="AZ597" s="68"/>
      <c r="BA597" s="68"/>
      <c r="BB597" s="67"/>
      <c r="BC597" s="67"/>
      <c r="BD597" s="67"/>
      <c r="BE597" s="67"/>
      <c r="BF597" s="96">
        <v>0</v>
      </c>
      <c r="BG597" s="48"/>
      <c r="BH597" s="48"/>
      <c r="BI597" s="48"/>
      <c r="BJ597" s="48"/>
      <c r="BK597" s="48"/>
      <c r="BL597" s="48"/>
      <c r="BM597" s="48"/>
      <c r="BN597" s="49"/>
      <c r="BO597" s="48"/>
      <c r="BP597" s="48"/>
      <c r="BQ597" s="50"/>
    </row>
    <row r="598" spans="1:69" ht="16" x14ac:dyDescent="0.35">
      <c r="A598"/>
      <c r="B598"/>
      <c r="D598"/>
      <c r="G598"/>
      <c r="H598" s="20"/>
      <c r="I598" s="20"/>
      <c r="J598" s="20"/>
      <c r="K598" s="20"/>
      <c r="L598" s="20"/>
      <c r="Q598" s="83"/>
      <c r="Y598" s="20"/>
      <c r="AP598" s="93"/>
      <c r="AQ598" s="31"/>
      <c r="AR598" s="31"/>
      <c r="AS598" s="94"/>
      <c r="AT598" s="31"/>
      <c r="AU598" s="31"/>
      <c r="AV598" s="73" t="s">
        <v>213</v>
      </c>
      <c r="AW598" s="32"/>
      <c r="AX598" s="32"/>
      <c r="AY598" s="32"/>
      <c r="AZ598" s="32"/>
      <c r="BA598" s="32"/>
      <c r="BB598" s="31"/>
      <c r="BC598" s="31"/>
      <c r="BD598" s="31"/>
      <c r="BE598" s="31"/>
      <c r="BF598" s="95">
        <v>0</v>
      </c>
      <c r="BG598" s="52"/>
      <c r="BH598" s="52"/>
      <c r="BI598" s="52"/>
      <c r="BJ598" s="52"/>
      <c r="BK598" s="52"/>
      <c r="BL598" s="52"/>
      <c r="BM598" s="52"/>
      <c r="BN598" s="53"/>
      <c r="BO598" s="52"/>
      <c r="BP598" s="52"/>
      <c r="BQ598" s="54"/>
    </row>
    <row r="599" spans="1:69" ht="16" x14ac:dyDescent="0.35">
      <c r="A599"/>
      <c r="B599"/>
      <c r="D599"/>
      <c r="G599"/>
      <c r="H599" s="20"/>
      <c r="I599" s="20"/>
      <c r="J599" s="20"/>
      <c r="K599" s="20"/>
      <c r="L599" s="20"/>
      <c r="Q599" s="83"/>
      <c r="Y599" s="20"/>
      <c r="AP599" s="92"/>
      <c r="AQ599" s="67"/>
      <c r="AR599" s="67"/>
      <c r="AS599" s="73"/>
      <c r="AT599" s="67"/>
      <c r="AU599" s="67"/>
      <c r="AV599" s="94" t="s">
        <v>213</v>
      </c>
      <c r="AW599" s="68"/>
      <c r="AX599" s="68"/>
      <c r="AY599" s="68"/>
      <c r="AZ599" s="68"/>
      <c r="BA599" s="68"/>
      <c r="BB599" s="67"/>
      <c r="BC599" s="67"/>
      <c r="BD599" s="67"/>
      <c r="BE599" s="67"/>
      <c r="BF599" s="96">
        <v>0</v>
      </c>
      <c r="BG599" s="48"/>
      <c r="BH599" s="48"/>
      <c r="BI599" s="48"/>
      <c r="BJ599" s="48"/>
      <c r="BK599" s="48"/>
      <c r="BL599" s="48"/>
      <c r="BM599" s="48"/>
      <c r="BN599" s="49"/>
      <c r="BO599" s="48"/>
      <c r="BP599" s="48"/>
      <c r="BQ599" s="50"/>
    </row>
    <row r="600" spans="1:69" ht="16" x14ac:dyDescent="0.35">
      <c r="A600"/>
      <c r="D600"/>
      <c r="G600"/>
      <c r="H600" s="20"/>
      <c r="I600" s="20"/>
      <c r="J600" s="20"/>
      <c r="K600" s="20"/>
      <c r="L600" s="20"/>
      <c r="Q600" s="83"/>
      <c r="Y600" s="20"/>
      <c r="AO600" s="19" t="s">
        <v>235</v>
      </c>
      <c r="AP600" s="93"/>
      <c r="AQ600" s="31"/>
      <c r="AR600" s="31"/>
      <c r="AS600" s="94"/>
      <c r="AT600" s="31"/>
      <c r="AU600" s="31"/>
      <c r="AV600" s="73" t="s">
        <v>186</v>
      </c>
      <c r="AW600" s="68"/>
      <c r="AX600" s="68"/>
      <c r="AY600" s="68"/>
      <c r="AZ600" s="68"/>
      <c r="BA600" s="68"/>
      <c r="BB600" s="67"/>
      <c r="BC600" s="67"/>
      <c r="BD600" s="67"/>
      <c r="BE600" s="67"/>
      <c r="BF600" s="95">
        <v>1</v>
      </c>
      <c r="BG600" s="52"/>
      <c r="BH600" s="52"/>
      <c r="BI600" s="52"/>
      <c r="BJ600" s="52"/>
      <c r="BK600" s="52"/>
      <c r="BL600" s="52"/>
      <c r="BM600" s="52"/>
      <c r="BN600" s="53"/>
      <c r="BO600" s="52"/>
      <c r="BP600" s="52"/>
      <c r="BQ600" s="54"/>
    </row>
    <row r="601" spans="1:69" ht="16" x14ac:dyDescent="0.35">
      <c r="A601"/>
      <c r="D601"/>
      <c r="G601"/>
      <c r="H601" s="20"/>
      <c r="I601" s="20"/>
      <c r="J601" s="20"/>
      <c r="K601" s="20"/>
      <c r="L601" s="20"/>
      <c r="Q601" s="83"/>
      <c r="Y601" s="20"/>
      <c r="AP601" s="92"/>
      <c r="AQ601" s="67"/>
      <c r="AR601" s="67"/>
      <c r="AS601" s="73"/>
      <c r="AT601" s="67"/>
      <c r="AU601" s="67"/>
      <c r="AV601" s="94" t="s">
        <v>175</v>
      </c>
      <c r="AW601" s="32"/>
      <c r="AX601" s="32"/>
      <c r="AY601" s="32"/>
      <c r="AZ601" s="32"/>
      <c r="BA601" s="32"/>
      <c r="BB601" s="31"/>
      <c r="BC601" s="31"/>
      <c r="BD601" s="31"/>
      <c r="BE601" s="31"/>
      <c r="BF601" s="96">
        <v>0</v>
      </c>
      <c r="BG601" s="48"/>
      <c r="BH601" s="48"/>
      <c r="BI601" s="48"/>
      <c r="BJ601" s="48"/>
      <c r="BK601" s="48"/>
      <c r="BL601" s="48"/>
      <c r="BM601" s="48"/>
      <c r="BN601" s="49"/>
      <c r="BO601" s="48"/>
      <c r="BP601" s="48"/>
      <c r="BQ601" s="50"/>
    </row>
    <row r="602" spans="1:69" ht="16" x14ac:dyDescent="0.35">
      <c r="A602"/>
      <c r="D602"/>
      <c r="G602"/>
      <c r="H602" s="20"/>
      <c r="I602" s="20"/>
      <c r="J602" s="20"/>
      <c r="K602" s="20"/>
      <c r="L602" s="20"/>
      <c r="Q602" s="83"/>
      <c r="Y602" s="20"/>
      <c r="AP602" s="93"/>
      <c r="AQ602" s="31"/>
      <c r="AR602" s="31"/>
      <c r="AS602" s="94"/>
      <c r="AT602" s="31"/>
      <c r="AU602" s="31"/>
      <c r="AV602" s="73" t="s">
        <v>175</v>
      </c>
      <c r="AW602" s="68"/>
      <c r="AX602" s="68"/>
      <c r="AY602" s="68"/>
      <c r="AZ602" s="68"/>
      <c r="BA602" s="68"/>
      <c r="BB602" s="67"/>
      <c r="BC602" s="67"/>
      <c r="BD602" s="67"/>
      <c r="BE602" s="67"/>
      <c r="BF602" s="95">
        <v>0</v>
      </c>
      <c r="BG602" s="52"/>
      <c r="BH602" s="52"/>
      <c r="BI602" s="52"/>
      <c r="BJ602" s="52"/>
      <c r="BK602" s="52"/>
      <c r="BL602" s="52"/>
      <c r="BM602" s="52"/>
      <c r="BN602" s="53"/>
      <c r="BO602" s="52"/>
      <c r="BP602" s="52"/>
      <c r="BQ602" s="54"/>
    </row>
    <row r="603" spans="1:69" ht="16" x14ac:dyDescent="0.35">
      <c r="A603"/>
      <c r="D603"/>
      <c r="G603"/>
      <c r="H603" s="20"/>
      <c r="I603" s="20"/>
      <c r="J603" s="20"/>
      <c r="K603" s="20"/>
      <c r="L603" s="20"/>
      <c r="Q603" s="83"/>
      <c r="Y603" s="20"/>
      <c r="AP603" s="92"/>
      <c r="AQ603" s="67"/>
      <c r="AR603" s="67"/>
      <c r="AS603" s="73"/>
      <c r="AT603" s="67"/>
      <c r="AU603" s="67"/>
      <c r="AV603" s="94" t="s">
        <v>177</v>
      </c>
      <c r="AW603" s="32"/>
      <c r="AX603" s="32"/>
      <c r="AY603" s="32"/>
      <c r="AZ603" s="32"/>
      <c r="BA603" s="32"/>
      <c r="BB603" s="31"/>
      <c r="BC603" s="31"/>
      <c r="BD603" s="31"/>
      <c r="BE603" s="31"/>
      <c r="BF603" s="96">
        <v>0</v>
      </c>
      <c r="BG603" s="48"/>
      <c r="BH603" s="48"/>
      <c r="BI603" s="48"/>
      <c r="BJ603" s="48"/>
      <c r="BK603" s="48"/>
      <c r="BL603" s="48"/>
      <c r="BM603" s="48"/>
      <c r="BN603" s="49"/>
      <c r="BO603" s="48"/>
      <c r="BP603" s="48"/>
      <c r="BQ603" s="50"/>
    </row>
    <row r="604" spans="1:69" ht="16" x14ac:dyDescent="0.35">
      <c r="A604"/>
      <c r="D604"/>
      <c r="G604"/>
      <c r="H604" s="20"/>
      <c r="I604" s="20"/>
      <c r="J604" s="20"/>
      <c r="K604" s="20"/>
      <c r="L604" s="20"/>
      <c r="Q604" s="83"/>
      <c r="Y604" s="20"/>
      <c r="AP604" s="93"/>
      <c r="AQ604" s="31"/>
      <c r="AR604" s="31"/>
      <c r="AS604" s="94"/>
      <c r="AT604" s="31"/>
      <c r="AU604" s="31"/>
      <c r="AV604" s="73" t="s">
        <v>180</v>
      </c>
      <c r="AW604" s="68"/>
      <c r="AX604" s="68"/>
      <c r="AY604" s="68"/>
      <c r="AZ604" s="68"/>
      <c r="BA604" s="68"/>
      <c r="BB604" s="67"/>
      <c r="BC604" s="67"/>
      <c r="BD604" s="67"/>
      <c r="BE604" s="67"/>
      <c r="BF604" s="95">
        <v>0</v>
      </c>
      <c r="BG604" s="52"/>
      <c r="BH604" s="52"/>
      <c r="BI604" s="52"/>
      <c r="BJ604" s="52"/>
      <c r="BK604" s="52"/>
      <c r="BL604" s="52"/>
      <c r="BM604" s="52"/>
      <c r="BN604" s="53"/>
      <c r="BO604" s="52"/>
      <c r="BP604" s="52"/>
      <c r="BQ604" s="54"/>
    </row>
    <row r="605" spans="1:69" ht="16" x14ac:dyDescent="0.35">
      <c r="A605"/>
      <c r="D605"/>
      <c r="G605"/>
      <c r="H605" s="20"/>
      <c r="I605" s="20"/>
      <c r="J605" s="20"/>
      <c r="K605" s="20"/>
      <c r="L605" s="20"/>
      <c r="Q605" s="83"/>
      <c r="Y605" s="20"/>
      <c r="AP605" s="92"/>
      <c r="AQ605" s="67"/>
      <c r="AR605" s="67"/>
      <c r="AS605" s="73"/>
      <c r="AT605" s="67"/>
      <c r="AU605" s="67"/>
      <c r="AV605" s="94" t="s">
        <v>175</v>
      </c>
      <c r="AW605" s="32"/>
      <c r="AX605" s="32"/>
      <c r="AY605" s="32"/>
      <c r="AZ605" s="32"/>
      <c r="BA605" s="32"/>
      <c r="BB605" s="31"/>
      <c r="BC605" s="31"/>
      <c r="BD605" s="31"/>
      <c r="BE605" s="31"/>
      <c r="BF605" s="96">
        <v>0</v>
      </c>
      <c r="BG605" s="48"/>
      <c r="BH605" s="48"/>
      <c r="BI605" s="48"/>
      <c r="BJ605" s="48"/>
      <c r="BK605" s="48"/>
      <c r="BL605" s="48"/>
      <c r="BM605" s="48"/>
      <c r="BN605" s="49"/>
      <c r="BO605" s="48"/>
      <c r="BP605" s="48"/>
      <c r="BQ605" s="50"/>
    </row>
    <row r="606" spans="1:69" ht="16" x14ac:dyDescent="0.35">
      <c r="A606"/>
      <c r="D606"/>
      <c r="G606"/>
      <c r="H606" s="20"/>
      <c r="I606" s="20"/>
      <c r="J606" s="20"/>
      <c r="K606" s="20"/>
      <c r="L606" s="20"/>
      <c r="Q606" s="83"/>
      <c r="Y606" s="20"/>
      <c r="AP606" s="93"/>
      <c r="AQ606" s="31"/>
      <c r="AR606" s="31"/>
      <c r="AS606" s="94"/>
      <c r="AT606" s="31"/>
      <c r="AU606" s="31"/>
      <c r="AV606" s="73" t="s">
        <v>165</v>
      </c>
      <c r="AW606" s="68"/>
      <c r="AX606" s="68"/>
      <c r="AY606" s="68"/>
      <c r="AZ606" s="68"/>
      <c r="BA606" s="68"/>
      <c r="BB606" s="67"/>
      <c r="BC606" s="67"/>
      <c r="BD606" s="67"/>
      <c r="BE606" s="67"/>
      <c r="BF606" s="95">
        <v>0</v>
      </c>
      <c r="BG606" s="52"/>
      <c r="BH606" s="52"/>
      <c r="BI606" s="52"/>
      <c r="BJ606" s="52"/>
      <c r="BK606" s="52"/>
      <c r="BL606" s="52"/>
      <c r="BM606" s="52"/>
      <c r="BN606" s="53"/>
      <c r="BO606" s="52"/>
      <c r="BP606" s="52"/>
      <c r="BQ606" s="54"/>
    </row>
    <row r="607" spans="1:69" ht="16" x14ac:dyDescent="0.35">
      <c r="A607"/>
      <c r="D607"/>
      <c r="G607"/>
      <c r="H607" s="20"/>
      <c r="I607" s="20"/>
      <c r="J607" s="20"/>
      <c r="K607" s="20"/>
      <c r="L607" s="20"/>
      <c r="Q607" s="83"/>
      <c r="Y607" s="20"/>
      <c r="AP607" s="92"/>
      <c r="AQ607" s="67"/>
      <c r="AR607" s="67"/>
      <c r="AS607" s="73"/>
      <c r="AT607" s="67"/>
      <c r="AU607" s="67"/>
      <c r="AV607" s="94" t="s">
        <v>205</v>
      </c>
      <c r="AW607" s="32"/>
      <c r="AX607" s="32"/>
      <c r="AY607" s="32"/>
      <c r="AZ607" s="32"/>
      <c r="BA607" s="32"/>
      <c r="BB607" s="31"/>
      <c r="BC607" s="31"/>
      <c r="BD607" s="31"/>
      <c r="BE607" s="31"/>
      <c r="BF607" s="96">
        <v>0</v>
      </c>
      <c r="BG607" s="48"/>
      <c r="BH607" s="48"/>
      <c r="BI607" s="48"/>
      <c r="BJ607" s="48"/>
      <c r="BK607" s="48"/>
      <c r="BL607" s="48"/>
      <c r="BM607" s="48"/>
      <c r="BN607" s="49"/>
      <c r="BO607" s="48"/>
      <c r="BP607" s="48"/>
      <c r="BQ607" s="50"/>
    </row>
    <row r="608" spans="1:69" ht="16" x14ac:dyDescent="0.35">
      <c r="A608"/>
      <c r="D608"/>
      <c r="G608"/>
      <c r="H608" s="20"/>
      <c r="I608" s="20"/>
      <c r="J608" s="20"/>
      <c r="K608" s="20"/>
      <c r="L608" s="20"/>
      <c r="Q608" s="83"/>
      <c r="Y608" s="20"/>
      <c r="AP608" s="93"/>
      <c r="AQ608" s="31"/>
      <c r="AR608" s="31"/>
      <c r="AS608" s="94"/>
      <c r="AT608" s="31"/>
      <c r="AU608" s="31"/>
      <c r="AV608" s="73" t="s">
        <v>175</v>
      </c>
      <c r="AW608" s="68"/>
      <c r="AX608" s="68"/>
      <c r="AY608" s="68"/>
      <c r="AZ608" s="68"/>
      <c r="BA608" s="68"/>
      <c r="BB608" s="67"/>
      <c r="BC608" s="67"/>
      <c r="BD608" s="67"/>
      <c r="BE608" s="67"/>
      <c r="BF608" s="95">
        <v>0</v>
      </c>
      <c r="BG608" s="52"/>
      <c r="BH608" s="52"/>
      <c r="BI608" s="52"/>
      <c r="BJ608" s="52"/>
      <c r="BK608" s="52"/>
      <c r="BL608" s="52"/>
      <c r="BM608" s="52"/>
      <c r="BN608" s="53"/>
      <c r="BO608" s="52"/>
      <c r="BP608" s="52"/>
      <c r="BQ608" s="54"/>
    </row>
    <row r="609" spans="1:69" ht="16" x14ac:dyDescent="0.35">
      <c r="A609"/>
      <c r="D609"/>
      <c r="G609"/>
      <c r="H609" s="20"/>
      <c r="I609" s="20"/>
      <c r="J609" s="20"/>
      <c r="K609" s="20"/>
      <c r="L609" s="20"/>
      <c r="Q609" s="83"/>
      <c r="Y609" s="20"/>
      <c r="AP609" s="92"/>
      <c r="AQ609" s="67"/>
      <c r="AR609" s="67"/>
      <c r="AS609" s="73"/>
      <c r="AT609" s="67"/>
      <c r="AU609" s="67"/>
      <c r="AV609" s="94" t="s">
        <v>175</v>
      </c>
      <c r="AW609" s="32"/>
      <c r="AX609" s="32"/>
      <c r="AY609" s="32"/>
      <c r="AZ609" s="32"/>
      <c r="BA609" s="32"/>
      <c r="BB609" s="31"/>
      <c r="BC609" s="31"/>
      <c r="BD609" s="31"/>
      <c r="BE609" s="31"/>
      <c r="BF609" s="96">
        <v>0</v>
      </c>
      <c r="BG609" s="48"/>
      <c r="BH609" s="48"/>
      <c r="BI609" s="48"/>
      <c r="BJ609" s="48"/>
      <c r="BK609" s="48"/>
      <c r="BL609" s="48"/>
      <c r="BM609" s="48"/>
      <c r="BN609" s="49"/>
      <c r="BO609" s="48"/>
      <c r="BP609" s="48"/>
      <c r="BQ609" s="50"/>
    </row>
    <row r="610" spans="1:69" ht="16" x14ac:dyDescent="0.35">
      <c r="A610"/>
      <c r="D610"/>
      <c r="G610"/>
      <c r="H610" s="20"/>
      <c r="I610" s="20"/>
      <c r="J610" s="20"/>
      <c r="K610" s="20"/>
      <c r="L610" s="20"/>
      <c r="Q610" s="83"/>
      <c r="Y610" s="20"/>
      <c r="AP610" s="93"/>
      <c r="AQ610" s="31"/>
      <c r="AR610" s="31"/>
      <c r="AS610" s="94"/>
      <c r="AT610" s="31"/>
      <c r="AU610" s="31"/>
      <c r="AV610" s="73" t="s">
        <v>173</v>
      </c>
      <c r="AW610" s="68"/>
      <c r="AX610" s="68"/>
      <c r="AY610" s="68"/>
      <c r="AZ610" s="68"/>
      <c r="BA610" s="68"/>
      <c r="BB610" s="67"/>
      <c r="BC610" s="67"/>
      <c r="BD610" s="67"/>
      <c r="BE610" s="67"/>
      <c r="BF610" s="95">
        <v>0</v>
      </c>
      <c r="BG610" s="52"/>
      <c r="BH610" s="52"/>
      <c r="BI610" s="52"/>
      <c r="BJ610" s="52"/>
      <c r="BK610" s="52"/>
      <c r="BL610" s="52"/>
      <c r="BM610" s="52"/>
      <c r="BN610" s="53"/>
      <c r="BO610" s="52"/>
      <c r="BP610" s="52"/>
      <c r="BQ610" s="54"/>
    </row>
    <row r="611" spans="1:69" ht="16" x14ac:dyDescent="0.35">
      <c r="A611"/>
      <c r="D611"/>
      <c r="G611"/>
      <c r="H611" s="20"/>
      <c r="I611" s="20"/>
      <c r="J611" s="20"/>
      <c r="K611" s="20"/>
      <c r="L611" s="20"/>
      <c r="Q611" s="83"/>
      <c r="Y611" s="20"/>
      <c r="AP611" s="92"/>
      <c r="AQ611" s="67"/>
      <c r="AR611" s="67"/>
      <c r="AS611" s="73"/>
      <c r="AT611" s="67"/>
      <c r="AU611" s="67"/>
      <c r="AV611" s="94" t="s">
        <v>175</v>
      </c>
      <c r="AW611" s="32"/>
      <c r="AX611" s="32"/>
      <c r="AY611" s="32"/>
      <c r="AZ611" s="32"/>
      <c r="BA611" s="32"/>
      <c r="BB611" s="31"/>
      <c r="BC611" s="31"/>
      <c r="BD611" s="31"/>
      <c r="BE611" s="31"/>
      <c r="BF611" s="96">
        <v>0</v>
      </c>
      <c r="BG611" s="48"/>
      <c r="BH611" s="48"/>
      <c r="BI611" s="48"/>
      <c r="BJ611" s="48"/>
      <c r="BK611" s="48"/>
      <c r="BL611" s="48"/>
      <c r="BM611" s="48"/>
      <c r="BN611" s="49"/>
      <c r="BO611" s="48"/>
      <c r="BP611" s="48"/>
      <c r="BQ611" s="50"/>
    </row>
    <row r="612" spans="1:69" ht="16" x14ac:dyDescent="0.35">
      <c r="A612"/>
      <c r="D612"/>
      <c r="G612"/>
      <c r="H612" s="20"/>
      <c r="I612" s="20"/>
      <c r="J612" s="20"/>
      <c r="K612" s="20"/>
      <c r="L612" s="20"/>
      <c r="Q612" s="83"/>
      <c r="Y612" s="20"/>
      <c r="AP612" s="93"/>
      <c r="AQ612" s="31"/>
      <c r="AR612" s="31"/>
      <c r="AS612" s="94"/>
      <c r="AT612" s="31"/>
      <c r="AU612" s="31"/>
      <c r="AV612" s="73" t="s">
        <v>175</v>
      </c>
      <c r="AW612" s="68"/>
      <c r="AX612" s="68"/>
      <c r="AY612" s="68"/>
      <c r="AZ612" s="68"/>
      <c r="BA612" s="68"/>
      <c r="BB612" s="67"/>
      <c r="BC612" s="67"/>
      <c r="BD612" s="67"/>
      <c r="BE612" s="67"/>
      <c r="BF612" s="95">
        <v>0</v>
      </c>
      <c r="BG612" s="52"/>
      <c r="BH612" s="52"/>
      <c r="BI612" s="52"/>
      <c r="BJ612" s="52"/>
      <c r="BK612" s="52"/>
      <c r="BL612" s="52"/>
      <c r="BM612" s="52"/>
      <c r="BN612" s="53"/>
      <c r="BO612" s="52"/>
      <c r="BP612" s="52"/>
      <c r="BQ612" s="54"/>
    </row>
    <row r="613" spans="1:69" ht="16" x14ac:dyDescent="0.35">
      <c r="A613"/>
      <c r="D613"/>
      <c r="G613"/>
      <c r="H613" s="20"/>
      <c r="I613" s="20"/>
      <c r="J613" s="20"/>
      <c r="K613" s="20"/>
      <c r="L613" s="20"/>
      <c r="Q613" s="83"/>
      <c r="Y613" s="20"/>
      <c r="AP613" s="92"/>
      <c r="AQ613" s="67"/>
      <c r="AR613" s="67"/>
      <c r="AS613" s="73"/>
      <c r="AT613" s="67"/>
      <c r="AU613" s="67"/>
      <c r="AV613" s="94" t="s">
        <v>167</v>
      </c>
      <c r="AW613" s="32"/>
      <c r="AX613" s="32"/>
      <c r="AY613" s="32"/>
      <c r="AZ613" s="32"/>
      <c r="BA613" s="32"/>
      <c r="BB613" s="31"/>
      <c r="BC613" s="31"/>
      <c r="BD613" s="31"/>
      <c r="BE613" s="31"/>
      <c r="BF613" s="96">
        <v>0</v>
      </c>
      <c r="BG613" s="48"/>
      <c r="BH613" s="48"/>
      <c r="BI613" s="48"/>
      <c r="BJ613" s="48"/>
      <c r="BK613" s="48"/>
      <c r="BL613" s="48"/>
      <c r="BM613" s="48"/>
      <c r="BN613" s="49"/>
      <c r="BO613" s="48"/>
      <c r="BP613" s="48"/>
      <c r="BQ613" s="50"/>
    </row>
    <row r="614" spans="1:69" ht="16" x14ac:dyDescent="0.35">
      <c r="A614"/>
      <c r="D614"/>
      <c r="G614"/>
      <c r="H614" s="20"/>
      <c r="I614" s="20"/>
      <c r="J614" s="20"/>
      <c r="K614" s="20"/>
      <c r="L614" s="20"/>
      <c r="Q614" s="83"/>
      <c r="Y614" s="20"/>
      <c r="AP614" s="93"/>
      <c r="AQ614" s="31"/>
      <c r="AR614" s="31"/>
      <c r="AS614" s="94"/>
      <c r="AT614" s="31"/>
      <c r="AU614" s="31"/>
      <c r="AV614" s="73" t="s">
        <v>178</v>
      </c>
      <c r="AW614" s="68"/>
      <c r="AX614" s="68"/>
      <c r="AY614" s="68"/>
      <c r="AZ614" s="68"/>
      <c r="BA614" s="68"/>
      <c r="BB614" s="67"/>
      <c r="BC614" s="67"/>
      <c r="BD614" s="67"/>
      <c r="BE614" s="67"/>
      <c r="BF614" s="95">
        <v>0</v>
      </c>
      <c r="BG614" s="52"/>
      <c r="BH614" s="52"/>
      <c r="BI614" s="52"/>
      <c r="BJ614" s="52"/>
      <c r="BK614" s="52"/>
      <c r="BL614" s="52"/>
      <c r="BM614" s="52"/>
      <c r="BN614" s="53"/>
      <c r="BO614" s="52"/>
      <c r="BP614" s="52"/>
      <c r="BQ614" s="54"/>
    </row>
    <row r="615" spans="1:69" ht="16" x14ac:dyDescent="0.35">
      <c r="A615"/>
      <c r="D615"/>
      <c r="G615"/>
      <c r="H615" s="20"/>
      <c r="I615" s="20"/>
      <c r="J615" s="20"/>
      <c r="K615" s="20"/>
      <c r="L615" s="20"/>
      <c r="Q615" s="83"/>
      <c r="Y615" s="20"/>
      <c r="AP615" s="92"/>
      <c r="AQ615" s="67"/>
      <c r="AR615" s="67"/>
      <c r="AS615" s="73"/>
      <c r="AT615" s="67"/>
      <c r="AU615" s="67"/>
      <c r="AV615" s="94" t="s">
        <v>175</v>
      </c>
      <c r="AW615" s="32"/>
      <c r="AX615" s="32"/>
      <c r="AY615" s="32"/>
      <c r="AZ615" s="32"/>
      <c r="BA615" s="32"/>
      <c r="BB615" s="31"/>
      <c r="BC615" s="31"/>
      <c r="BD615" s="31"/>
      <c r="BE615" s="31"/>
      <c r="BF615" s="96">
        <v>0</v>
      </c>
      <c r="BG615" s="48"/>
      <c r="BH615" s="48"/>
      <c r="BI615" s="48"/>
      <c r="BJ615" s="48"/>
      <c r="BK615" s="48"/>
      <c r="BL615" s="48"/>
      <c r="BM615" s="48"/>
      <c r="BN615" s="49"/>
      <c r="BO615" s="48"/>
      <c r="BP615" s="48"/>
      <c r="BQ615" s="50"/>
    </row>
    <row r="616" spans="1:69" ht="16" x14ac:dyDescent="0.35">
      <c r="A616"/>
      <c r="D616"/>
      <c r="G616"/>
      <c r="H616" s="20"/>
      <c r="I616" s="20"/>
      <c r="J616" s="20"/>
      <c r="K616" s="20"/>
      <c r="L616" s="20"/>
      <c r="Q616" s="83"/>
      <c r="Y616" s="20"/>
      <c r="AP616" s="93"/>
      <c r="AQ616" s="31"/>
      <c r="AR616" s="31"/>
      <c r="AS616" s="94"/>
      <c r="AT616" s="31"/>
      <c r="AU616" s="31"/>
      <c r="AV616" s="73" t="s">
        <v>168</v>
      </c>
      <c r="AW616" s="68"/>
      <c r="AX616" s="68"/>
      <c r="AY616" s="68"/>
      <c r="AZ616" s="68"/>
      <c r="BA616" s="68"/>
      <c r="BB616" s="67"/>
      <c r="BC616" s="67"/>
      <c r="BD616" s="67"/>
      <c r="BE616" s="67"/>
      <c r="BF616" s="95">
        <v>0</v>
      </c>
      <c r="BG616" s="52"/>
      <c r="BH616" s="52"/>
      <c r="BI616" s="52"/>
      <c r="BJ616" s="52"/>
      <c r="BK616" s="52"/>
      <c r="BL616" s="52"/>
      <c r="BM616" s="52"/>
      <c r="BN616" s="53"/>
      <c r="BO616" s="52"/>
      <c r="BP616" s="52"/>
      <c r="BQ616" s="54"/>
    </row>
    <row r="617" spans="1:69" ht="16" x14ac:dyDescent="0.35">
      <c r="A617"/>
      <c r="D617"/>
      <c r="G617"/>
      <c r="H617" s="20"/>
      <c r="I617" s="20"/>
      <c r="J617" s="20"/>
      <c r="K617" s="20"/>
      <c r="L617" s="20"/>
      <c r="Q617" s="83"/>
      <c r="Y617" s="20"/>
      <c r="AP617" s="92"/>
      <c r="AQ617" s="67"/>
      <c r="AR617" s="67"/>
      <c r="AS617" s="73"/>
      <c r="AT617" s="67"/>
      <c r="AU617" s="67"/>
      <c r="AV617" s="94" t="s">
        <v>184</v>
      </c>
      <c r="AW617" s="32"/>
      <c r="AX617" s="32"/>
      <c r="AY617" s="32"/>
      <c r="AZ617" s="32"/>
      <c r="BA617" s="32"/>
      <c r="BB617" s="31"/>
      <c r="BC617" s="31"/>
      <c r="BD617" s="31"/>
      <c r="BE617" s="31"/>
      <c r="BF617" s="96">
        <v>0</v>
      </c>
      <c r="BG617" s="48"/>
      <c r="BH617" s="48"/>
      <c r="BI617" s="48"/>
      <c r="BJ617" s="48"/>
      <c r="BK617" s="48"/>
      <c r="BL617" s="48"/>
      <c r="BM617" s="48"/>
      <c r="BN617" s="49"/>
      <c r="BO617" s="48"/>
      <c r="BP617" s="48"/>
      <c r="BQ617" s="50"/>
    </row>
    <row r="618" spans="1:69" ht="16" x14ac:dyDescent="0.35">
      <c r="A618"/>
      <c r="D618"/>
      <c r="G618"/>
      <c r="H618" s="20"/>
      <c r="I618" s="20"/>
      <c r="J618" s="20"/>
      <c r="K618" s="20"/>
      <c r="L618" s="20"/>
      <c r="Q618" s="83"/>
      <c r="Y618" s="20"/>
      <c r="AP618" s="93"/>
      <c r="AQ618" s="31"/>
      <c r="AR618" s="31"/>
      <c r="AS618" s="94"/>
      <c r="AT618" s="31"/>
      <c r="AU618" s="31"/>
      <c r="AV618" s="73" t="s">
        <v>167</v>
      </c>
      <c r="AW618" s="68"/>
      <c r="AX618" s="68"/>
      <c r="AY618" s="68"/>
      <c r="AZ618" s="68"/>
      <c r="BA618" s="68"/>
      <c r="BB618" s="67"/>
      <c r="BC618" s="67"/>
      <c r="BD618" s="67"/>
      <c r="BE618" s="67"/>
      <c r="BF618" s="95">
        <v>5</v>
      </c>
      <c r="BG618" s="52"/>
      <c r="BH618" s="52"/>
      <c r="BI618" s="52"/>
      <c r="BJ618" s="52"/>
      <c r="BK618" s="52"/>
      <c r="BL618" s="52"/>
      <c r="BM618" s="52"/>
      <c r="BN618" s="53"/>
      <c r="BO618" s="52"/>
      <c r="BP618" s="52"/>
      <c r="BQ618" s="54"/>
    </row>
    <row r="619" spans="1:69" ht="16" x14ac:dyDescent="0.35">
      <c r="A619"/>
      <c r="D619"/>
      <c r="G619"/>
      <c r="H619" s="20"/>
      <c r="I619" s="20"/>
      <c r="J619" s="20"/>
      <c r="K619" s="20"/>
      <c r="L619" s="20"/>
      <c r="Q619" s="83"/>
      <c r="Y619" s="20"/>
      <c r="AP619" s="92"/>
      <c r="AQ619" s="67"/>
      <c r="AR619" s="67"/>
      <c r="AS619" s="73"/>
      <c r="AT619" s="67"/>
      <c r="AU619" s="67"/>
      <c r="AV619" s="94" t="s">
        <v>165</v>
      </c>
      <c r="AW619" s="32"/>
      <c r="AX619" s="32"/>
      <c r="AY619" s="32"/>
      <c r="AZ619" s="32"/>
      <c r="BA619" s="32"/>
      <c r="BB619" s="31"/>
      <c r="BC619" s="31"/>
      <c r="BD619" s="31"/>
      <c r="BE619" s="31"/>
      <c r="BF619" s="96">
        <v>2</v>
      </c>
      <c r="BG619" s="48"/>
      <c r="BH619" s="48"/>
      <c r="BI619" s="48"/>
      <c r="BJ619" s="48"/>
      <c r="BK619" s="48"/>
      <c r="BL619" s="48"/>
      <c r="BM619" s="48"/>
      <c r="BN619" s="49"/>
      <c r="BO619" s="48"/>
      <c r="BP619" s="48"/>
      <c r="BQ619" s="50"/>
    </row>
    <row r="620" spans="1:69" ht="16" x14ac:dyDescent="0.35">
      <c r="A620"/>
      <c r="D620"/>
      <c r="G620"/>
      <c r="H620" s="20"/>
      <c r="I620" s="20"/>
      <c r="J620" s="20"/>
      <c r="K620" s="20"/>
      <c r="L620" s="20"/>
      <c r="Q620" s="83"/>
      <c r="Y620" s="20"/>
      <c r="AP620" s="93"/>
      <c r="AQ620" s="31"/>
      <c r="AR620" s="31"/>
      <c r="AS620" s="94"/>
      <c r="AT620" s="31"/>
      <c r="AU620" s="31"/>
      <c r="AV620" s="73" t="s">
        <v>167</v>
      </c>
      <c r="AW620" s="68"/>
      <c r="AX620" s="68"/>
      <c r="AY620" s="68"/>
      <c r="AZ620" s="68"/>
      <c r="BA620" s="68"/>
      <c r="BB620" s="67"/>
      <c r="BC620" s="67"/>
      <c r="BD620" s="67"/>
      <c r="BE620" s="67"/>
      <c r="BF620" s="95">
        <v>0</v>
      </c>
      <c r="BG620" s="52"/>
      <c r="BH620" s="52"/>
      <c r="BI620" s="52"/>
      <c r="BJ620" s="52"/>
      <c r="BK620" s="52"/>
      <c r="BL620" s="52"/>
      <c r="BM620" s="52"/>
      <c r="BN620" s="53"/>
      <c r="BO620" s="52"/>
      <c r="BP620" s="52"/>
      <c r="BQ620" s="54"/>
    </row>
    <row r="621" spans="1:69" ht="16" x14ac:dyDescent="0.35">
      <c r="A621"/>
      <c r="D621"/>
      <c r="G621"/>
      <c r="H621" s="20"/>
      <c r="I621" s="20"/>
      <c r="J621" s="20"/>
      <c r="K621" s="20"/>
      <c r="L621" s="20"/>
      <c r="Q621" s="83"/>
      <c r="Y621" s="20"/>
      <c r="AP621" s="92"/>
      <c r="AQ621" s="67"/>
      <c r="AR621" s="67"/>
      <c r="AS621" s="73"/>
      <c r="AT621" s="67"/>
      <c r="AU621" s="67"/>
      <c r="AV621" s="94" t="s">
        <v>189</v>
      </c>
      <c r="AW621" s="32"/>
      <c r="AX621" s="32"/>
      <c r="AY621" s="32"/>
      <c r="AZ621" s="32"/>
      <c r="BA621" s="32"/>
      <c r="BB621" s="31"/>
      <c r="BC621" s="31"/>
      <c r="BD621" s="31"/>
      <c r="BE621" s="31"/>
      <c r="BF621" s="96">
        <v>0</v>
      </c>
      <c r="BG621" s="48"/>
      <c r="BH621" s="48"/>
      <c r="BI621" s="48"/>
      <c r="BJ621" s="48"/>
      <c r="BK621" s="48"/>
      <c r="BL621" s="48"/>
      <c r="BM621" s="48"/>
      <c r="BN621" s="49"/>
      <c r="BO621" s="48"/>
      <c r="BP621" s="48"/>
      <c r="BQ621" s="50"/>
    </row>
    <row r="622" spans="1:69" ht="16" x14ac:dyDescent="0.35">
      <c r="A622"/>
      <c r="D622"/>
      <c r="G622"/>
      <c r="H622" s="20"/>
      <c r="I622" s="20"/>
      <c r="J622" s="20"/>
      <c r="K622" s="20"/>
      <c r="L622" s="20"/>
      <c r="Q622" s="83"/>
      <c r="Y622" s="20"/>
      <c r="AP622" s="93"/>
      <c r="AQ622" s="31"/>
      <c r="AR622" s="31"/>
      <c r="AS622" s="94"/>
      <c r="AT622" s="31"/>
      <c r="AU622" s="31"/>
      <c r="AV622" s="73" t="s">
        <v>178</v>
      </c>
      <c r="AW622" s="68"/>
      <c r="AX622" s="68"/>
      <c r="AY622" s="68"/>
      <c r="AZ622" s="68"/>
      <c r="BA622" s="68"/>
      <c r="BB622" s="67"/>
      <c r="BC622" s="67"/>
      <c r="BD622" s="67"/>
      <c r="BE622" s="67"/>
      <c r="BF622" s="95">
        <v>0</v>
      </c>
      <c r="BG622" s="52"/>
      <c r="BH622" s="52"/>
      <c r="BI622" s="52"/>
      <c r="BJ622" s="52"/>
      <c r="BK622" s="52"/>
      <c r="BL622" s="52"/>
      <c r="BM622" s="52"/>
      <c r="BN622" s="53"/>
      <c r="BO622" s="52"/>
      <c r="BP622" s="52"/>
      <c r="BQ622" s="54"/>
    </row>
    <row r="623" spans="1:69" ht="16" x14ac:dyDescent="0.35">
      <c r="A623"/>
      <c r="D623"/>
      <c r="G623"/>
      <c r="H623" s="20"/>
      <c r="I623" s="20"/>
      <c r="J623" s="20"/>
      <c r="K623" s="20"/>
      <c r="L623" s="20"/>
      <c r="Q623" s="83"/>
      <c r="Y623" s="20"/>
      <c r="AP623" s="92"/>
      <c r="AQ623" s="67"/>
      <c r="AR623" s="67"/>
      <c r="AS623" s="73"/>
      <c r="AT623" s="67"/>
      <c r="AU623" s="67"/>
      <c r="AV623" s="94" t="s">
        <v>180</v>
      </c>
      <c r="AW623" s="32"/>
      <c r="AX623" s="32"/>
      <c r="AY623" s="32"/>
      <c r="AZ623" s="32"/>
      <c r="BA623" s="32"/>
      <c r="BB623" s="31"/>
      <c r="BC623" s="31"/>
      <c r="BD623" s="31"/>
      <c r="BE623" s="31"/>
      <c r="BF623" s="96">
        <v>0</v>
      </c>
      <c r="BG623" s="48"/>
      <c r="BH623" s="48"/>
      <c r="BI623" s="48"/>
      <c r="BJ623" s="48"/>
      <c r="BK623" s="48"/>
      <c r="BL623" s="48"/>
      <c r="BM623" s="48"/>
      <c r="BN623" s="49"/>
      <c r="BO623" s="48"/>
      <c r="BP623" s="48"/>
      <c r="BQ623" s="50"/>
    </row>
    <row r="624" spans="1:69" ht="16" x14ac:dyDescent="0.35">
      <c r="A624"/>
      <c r="D624"/>
      <c r="G624"/>
      <c r="H624" s="20"/>
      <c r="I624" s="20"/>
      <c r="J624" s="20"/>
      <c r="K624" s="20"/>
      <c r="L624" s="20"/>
      <c r="Q624" s="83"/>
      <c r="Y624" s="20"/>
      <c r="AP624" s="93"/>
      <c r="AQ624" s="31"/>
      <c r="AR624" s="31"/>
      <c r="AS624" s="94"/>
      <c r="AT624" s="31"/>
      <c r="AU624" s="31"/>
      <c r="AV624" s="73" t="s">
        <v>176</v>
      </c>
      <c r="AW624" s="68"/>
      <c r="AX624" s="68"/>
      <c r="AY624" s="68"/>
      <c r="AZ624" s="68"/>
      <c r="BA624" s="68"/>
      <c r="BB624" s="67"/>
      <c r="BC624" s="67"/>
      <c r="BD624" s="67"/>
      <c r="BE624" s="67"/>
      <c r="BF624" s="95">
        <v>0</v>
      </c>
      <c r="BG624" s="52"/>
      <c r="BH624" s="52"/>
      <c r="BI624" s="52"/>
      <c r="BJ624" s="52"/>
      <c r="BK624" s="52"/>
      <c r="BL624" s="52"/>
      <c r="BM624" s="52"/>
      <c r="BN624" s="53"/>
      <c r="BO624" s="52"/>
      <c r="BP624" s="52"/>
      <c r="BQ624" s="54"/>
    </row>
    <row r="625" spans="1:69" ht="16" x14ac:dyDescent="0.35">
      <c r="A625"/>
      <c r="D625"/>
      <c r="G625"/>
      <c r="H625" s="20"/>
      <c r="I625" s="20"/>
      <c r="J625" s="20"/>
      <c r="K625" s="20"/>
      <c r="L625" s="20"/>
      <c r="Q625" s="83"/>
      <c r="Y625" s="20"/>
      <c r="AP625" s="92"/>
      <c r="AQ625" s="67"/>
      <c r="AR625" s="67"/>
      <c r="AS625" s="73"/>
      <c r="AT625" s="67"/>
      <c r="AU625" s="67"/>
      <c r="AV625" s="94" t="s">
        <v>176</v>
      </c>
      <c r="AW625" s="32"/>
      <c r="AX625" s="32"/>
      <c r="AY625" s="32"/>
      <c r="AZ625" s="32"/>
      <c r="BA625" s="32"/>
      <c r="BB625" s="31"/>
      <c r="BC625" s="31"/>
      <c r="BD625" s="31"/>
      <c r="BE625" s="31"/>
      <c r="BF625" s="96">
        <v>0</v>
      </c>
      <c r="BG625" s="48"/>
      <c r="BH625" s="48"/>
      <c r="BI625" s="48"/>
      <c r="BJ625" s="48"/>
      <c r="BK625" s="48"/>
      <c r="BL625" s="48"/>
      <c r="BM625" s="48"/>
      <c r="BN625" s="49"/>
      <c r="BO625" s="48"/>
      <c r="BP625" s="48"/>
      <c r="BQ625" s="50"/>
    </row>
    <row r="626" spans="1:69" ht="16" x14ac:dyDescent="0.35">
      <c r="A626"/>
      <c r="D626"/>
      <c r="G626"/>
      <c r="H626" s="20"/>
      <c r="I626" s="20"/>
      <c r="J626" s="20"/>
      <c r="K626" s="20"/>
      <c r="L626" s="20"/>
      <c r="Q626" s="83"/>
      <c r="Y626" s="20"/>
      <c r="AP626" s="93"/>
      <c r="AQ626" s="31"/>
      <c r="AR626" s="31"/>
      <c r="AS626" s="94"/>
      <c r="AT626" s="31"/>
      <c r="AU626" s="31"/>
      <c r="AV626" s="73" t="s">
        <v>169</v>
      </c>
      <c r="AW626" s="68"/>
      <c r="AX626" s="68"/>
      <c r="AY626" s="68"/>
      <c r="AZ626" s="68"/>
      <c r="BA626" s="68"/>
      <c r="BB626" s="67"/>
      <c r="BC626" s="67"/>
      <c r="BD626" s="67"/>
      <c r="BE626" s="67"/>
      <c r="BF626" s="95">
        <v>0</v>
      </c>
      <c r="BG626" s="52"/>
      <c r="BH626" s="52"/>
      <c r="BI626" s="52"/>
      <c r="BJ626" s="52"/>
      <c r="BK626" s="52"/>
      <c r="BL626" s="52"/>
      <c r="BM626" s="52"/>
      <c r="BN626" s="53"/>
      <c r="BO626" s="52"/>
      <c r="BP626" s="52"/>
      <c r="BQ626" s="54"/>
    </row>
    <row r="627" spans="1:69" ht="16" x14ac:dyDescent="0.35">
      <c r="A627"/>
      <c r="D627"/>
      <c r="G627"/>
      <c r="H627" s="20"/>
      <c r="I627" s="20"/>
      <c r="J627" s="20"/>
      <c r="K627" s="20"/>
      <c r="L627" s="20"/>
      <c r="Q627" s="83"/>
      <c r="Y627" s="20"/>
      <c r="AP627" s="92"/>
      <c r="AQ627" s="67"/>
      <c r="AR627" s="67"/>
      <c r="AS627" s="73"/>
      <c r="AT627" s="67"/>
      <c r="AU627" s="67"/>
      <c r="AV627" s="94" t="s">
        <v>184</v>
      </c>
      <c r="AW627" s="32"/>
      <c r="AX627" s="32"/>
      <c r="AY627" s="32"/>
      <c r="AZ627" s="32"/>
      <c r="BA627" s="32"/>
      <c r="BB627" s="31"/>
      <c r="BC627" s="31"/>
      <c r="BD627" s="31"/>
      <c r="BE627" s="31"/>
      <c r="BF627" s="96">
        <v>2</v>
      </c>
      <c r="BG627" s="48"/>
      <c r="BH627" s="48"/>
      <c r="BI627" s="48"/>
      <c r="BJ627" s="48"/>
      <c r="BK627" s="48"/>
      <c r="BL627" s="48"/>
      <c r="BM627" s="48"/>
      <c r="BN627" s="49"/>
      <c r="BO627" s="48"/>
      <c r="BP627" s="48"/>
      <c r="BQ627" s="50"/>
    </row>
    <row r="628" spans="1:69" ht="16" x14ac:dyDescent="0.35">
      <c r="A628"/>
      <c r="D628"/>
      <c r="G628"/>
      <c r="H628" s="20"/>
      <c r="I628" s="20"/>
      <c r="J628" s="20"/>
      <c r="K628" s="20"/>
      <c r="L628" s="20"/>
      <c r="Q628" s="83"/>
      <c r="Y628" s="20"/>
      <c r="AP628" s="93"/>
      <c r="AQ628" s="31"/>
      <c r="AR628" s="31"/>
      <c r="AS628" s="94"/>
      <c r="AT628" s="31"/>
      <c r="AU628" s="31"/>
      <c r="AV628" s="73" t="s">
        <v>165</v>
      </c>
      <c r="AW628" s="68"/>
      <c r="AX628" s="68"/>
      <c r="AY628" s="68"/>
      <c r="AZ628" s="68"/>
      <c r="BA628" s="68"/>
      <c r="BB628" s="67"/>
      <c r="BC628" s="67"/>
      <c r="BD628" s="67"/>
      <c r="BE628" s="67"/>
      <c r="BF628" s="95">
        <v>0</v>
      </c>
      <c r="BG628" s="52"/>
      <c r="BH628" s="52"/>
      <c r="BI628" s="52"/>
      <c r="BJ628" s="52"/>
      <c r="BK628" s="52"/>
      <c r="BL628" s="52"/>
      <c r="BM628" s="52"/>
      <c r="BN628" s="53"/>
      <c r="BO628" s="52"/>
      <c r="BP628" s="52"/>
      <c r="BQ628" s="54"/>
    </row>
    <row r="629" spans="1:69" ht="16" x14ac:dyDescent="0.35">
      <c r="A629"/>
      <c r="D629"/>
      <c r="G629"/>
      <c r="H629" s="20"/>
      <c r="I629" s="20"/>
      <c r="J629" s="20"/>
      <c r="K629" s="20"/>
      <c r="L629" s="20"/>
      <c r="Q629" s="83"/>
      <c r="Y629" s="20"/>
      <c r="AP629" s="92"/>
      <c r="AQ629" s="67"/>
      <c r="AR629" s="67"/>
      <c r="AS629" s="73"/>
      <c r="AT629" s="67"/>
      <c r="AU629" s="67"/>
      <c r="AV629" s="94" t="s">
        <v>178</v>
      </c>
      <c r="AW629" s="32"/>
      <c r="AX629" s="32"/>
      <c r="AY629" s="32"/>
      <c r="AZ629" s="32"/>
      <c r="BA629" s="32"/>
      <c r="BB629" s="31"/>
      <c r="BC629" s="31"/>
      <c r="BD629" s="31"/>
      <c r="BE629" s="31"/>
      <c r="BF629" s="96">
        <v>0</v>
      </c>
      <c r="BG629" s="48"/>
      <c r="BH629" s="48"/>
      <c r="BI629" s="48"/>
      <c r="BJ629" s="48"/>
      <c r="BK629" s="48"/>
      <c r="BL629" s="48"/>
      <c r="BM629" s="48"/>
      <c r="BN629" s="49"/>
      <c r="BO629" s="48"/>
      <c r="BP629" s="48"/>
      <c r="BQ629" s="50"/>
    </row>
    <row r="630" spans="1:69" ht="16" x14ac:dyDescent="0.35">
      <c r="A630"/>
      <c r="D630"/>
      <c r="G630"/>
      <c r="H630" s="20"/>
      <c r="I630" s="20"/>
      <c r="J630" s="20"/>
      <c r="K630" s="20"/>
      <c r="L630" s="20"/>
      <c r="Q630" s="83"/>
      <c r="Y630" s="20"/>
      <c r="AP630" s="93"/>
      <c r="AQ630" s="31"/>
      <c r="AR630" s="31"/>
      <c r="AS630" s="94"/>
      <c r="AT630" s="31"/>
      <c r="AU630" s="31"/>
      <c r="AV630" s="73" t="s">
        <v>183</v>
      </c>
      <c r="AW630" s="68"/>
      <c r="AX630" s="68"/>
      <c r="AY630" s="68"/>
      <c r="AZ630" s="68"/>
      <c r="BA630" s="68"/>
      <c r="BB630" s="67"/>
      <c r="BC630" s="67"/>
      <c r="BD630" s="67"/>
      <c r="BE630" s="67"/>
      <c r="BF630" s="95">
        <v>0</v>
      </c>
      <c r="BG630" s="52"/>
      <c r="BH630" s="52"/>
      <c r="BI630" s="52"/>
      <c r="BJ630" s="52"/>
      <c r="BK630" s="52"/>
      <c r="BL630" s="52"/>
      <c r="BM630" s="52"/>
      <c r="BN630" s="53"/>
      <c r="BO630" s="52"/>
      <c r="BP630" s="52"/>
      <c r="BQ630" s="54"/>
    </row>
    <row r="631" spans="1:69" ht="16" x14ac:dyDescent="0.35">
      <c r="A631"/>
      <c r="D631"/>
      <c r="G631"/>
      <c r="H631" s="20"/>
      <c r="I631" s="20"/>
      <c r="J631" s="20"/>
      <c r="K631" s="20"/>
      <c r="L631" s="20"/>
      <c r="Q631" s="83"/>
      <c r="Y631" s="20"/>
      <c r="AP631" s="92"/>
      <c r="AQ631" s="67"/>
      <c r="AR631" s="67"/>
      <c r="AS631" s="73"/>
      <c r="AT631" s="67"/>
      <c r="AU631" s="67"/>
      <c r="AV631" s="94" t="s">
        <v>183</v>
      </c>
      <c r="AW631" s="32"/>
      <c r="AX631" s="32"/>
      <c r="AY631" s="32"/>
      <c r="AZ631" s="32"/>
      <c r="BA631" s="32"/>
      <c r="BB631" s="31"/>
      <c r="BC631" s="31"/>
      <c r="BD631" s="31"/>
      <c r="BE631" s="31"/>
      <c r="BF631" s="96">
        <v>0</v>
      </c>
      <c r="BG631" s="48"/>
      <c r="BH631" s="48"/>
      <c r="BI631" s="48"/>
      <c r="BJ631" s="48"/>
      <c r="BK631" s="48"/>
      <c r="BL631" s="48"/>
      <c r="BM631" s="48"/>
      <c r="BN631" s="49"/>
      <c r="BO631" s="48"/>
      <c r="BP631" s="48"/>
      <c r="BQ631" s="50"/>
    </row>
    <row r="632" spans="1:69" ht="16" x14ac:dyDescent="0.35">
      <c r="A632"/>
      <c r="D632"/>
      <c r="G632"/>
      <c r="H632" s="20"/>
      <c r="I632" s="20"/>
      <c r="J632" s="20"/>
      <c r="K632" s="20"/>
      <c r="L632" s="20"/>
      <c r="Q632" s="83"/>
      <c r="Y632" s="20"/>
      <c r="AP632" s="93"/>
      <c r="AQ632" s="31"/>
      <c r="AR632" s="31"/>
      <c r="AS632" s="94"/>
      <c r="AT632" s="31"/>
      <c r="AU632" s="31"/>
      <c r="AV632" s="73" t="s">
        <v>165</v>
      </c>
      <c r="AW632" s="68"/>
      <c r="AX632" s="68"/>
      <c r="AY632" s="68"/>
      <c r="AZ632" s="68"/>
      <c r="BA632" s="68"/>
      <c r="BB632" s="67"/>
      <c r="BC632" s="67"/>
      <c r="BD632" s="67"/>
      <c r="BE632" s="67"/>
      <c r="BF632" s="95">
        <v>0</v>
      </c>
      <c r="BG632" s="52"/>
      <c r="BH632" s="52"/>
      <c r="BI632" s="52"/>
      <c r="BJ632" s="52"/>
      <c r="BK632" s="52"/>
      <c r="BL632" s="52"/>
      <c r="BM632" s="52"/>
      <c r="BN632" s="53"/>
      <c r="BO632" s="52"/>
      <c r="BP632" s="52"/>
      <c r="BQ632" s="54"/>
    </row>
    <row r="633" spans="1:69" ht="16" x14ac:dyDescent="0.35">
      <c r="A633"/>
      <c r="D633"/>
      <c r="G633"/>
      <c r="H633" s="20"/>
      <c r="I633" s="20"/>
      <c r="J633" s="20"/>
      <c r="K633" s="20"/>
      <c r="L633" s="20"/>
      <c r="Q633" s="83"/>
      <c r="Y633" s="20"/>
      <c r="AP633" s="92"/>
      <c r="AQ633" s="67"/>
      <c r="AR633" s="67"/>
      <c r="AS633" s="73"/>
      <c r="AT633" s="67"/>
      <c r="AU633" s="67"/>
      <c r="AV633" s="94" t="s">
        <v>167</v>
      </c>
      <c r="AW633" s="32"/>
      <c r="AX633" s="32"/>
      <c r="AY633" s="32"/>
      <c r="AZ633" s="32"/>
      <c r="BA633" s="32"/>
      <c r="BB633" s="31"/>
      <c r="BC633" s="31"/>
      <c r="BD633" s="31"/>
      <c r="BE633" s="31"/>
      <c r="BF633" s="96">
        <v>2</v>
      </c>
      <c r="BG633" s="48"/>
      <c r="BH633" s="48"/>
      <c r="BI633" s="48"/>
      <c r="BJ633" s="48"/>
      <c r="BK633" s="48"/>
      <c r="BL633" s="48"/>
      <c r="BM633" s="48"/>
      <c r="BN633" s="49"/>
      <c r="BO633" s="48"/>
      <c r="BP633" s="48"/>
      <c r="BQ633" s="50"/>
    </row>
    <row r="634" spans="1:69" ht="16" x14ac:dyDescent="0.35">
      <c r="A634"/>
      <c r="D634"/>
      <c r="G634"/>
      <c r="H634" s="20"/>
      <c r="I634" s="20"/>
      <c r="J634" s="20"/>
      <c r="K634" s="20"/>
      <c r="L634" s="20"/>
      <c r="Q634" s="83"/>
      <c r="Y634" s="20"/>
      <c r="AP634" s="93"/>
      <c r="AQ634" s="31"/>
      <c r="AR634" s="31"/>
      <c r="AS634" s="94"/>
      <c r="AT634" s="31"/>
      <c r="AU634" s="31"/>
      <c r="AV634" s="73" t="s">
        <v>178</v>
      </c>
      <c r="AW634" s="68"/>
      <c r="AX634" s="68"/>
      <c r="AY634" s="68"/>
      <c r="AZ634" s="68"/>
      <c r="BA634" s="68"/>
      <c r="BB634" s="67"/>
      <c r="BC634" s="67"/>
      <c r="BD634" s="67"/>
      <c r="BE634" s="67"/>
      <c r="BF634" s="95">
        <v>1</v>
      </c>
      <c r="BG634" s="52"/>
      <c r="BH634" s="52"/>
      <c r="BI634" s="52"/>
      <c r="BJ634" s="52"/>
      <c r="BK634" s="52"/>
      <c r="BL634" s="52"/>
      <c r="BM634" s="52"/>
      <c r="BN634" s="53"/>
      <c r="BO634" s="52"/>
      <c r="BP634" s="52"/>
      <c r="BQ634" s="54"/>
    </row>
    <row r="635" spans="1:69" ht="16" x14ac:dyDescent="0.35">
      <c r="A635"/>
      <c r="D635"/>
      <c r="G635"/>
      <c r="H635" s="20"/>
      <c r="I635" s="20"/>
      <c r="J635" s="20"/>
      <c r="K635" s="20"/>
      <c r="L635" s="20"/>
      <c r="Q635" s="83"/>
      <c r="Y635" s="20"/>
      <c r="AP635" s="92"/>
      <c r="AQ635" s="67"/>
      <c r="AR635" s="67"/>
      <c r="AS635" s="73"/>
      <c r="AT635" s="67"/>
      <c r="AU635" s="67"/>
      <c r="AV635" s="94" t="s">
        <v>178</v>
      </c>
      <c r="AW635" s="32"/>
      <c r="AX635" s="32"/>
      <c r="AY635" s="32"/>
      <c r="AZ635" s="32"/>
      <c r="BA635" s="32"/>
      <c r="BB635" s="31"/>
      <c r="BC635" s="31"/>
      <c r="BD635" s="31"/>
      <c r="BE635" s="31"/>
      <c r="BF635" s="96">
        <v>0</v>
      </c>
      <c r="BG635" s="48"/>
      <c r="BH635" s="48"/>
      <c r="BI635" s="48"/>
      <c r="BJ635" s="48"/>
      <c r="BK635" s="48"/>
      <c r="BL635" s="48"/>
      <c r="BM635" s="48"/>
      <c r="BN635" s="49"/>
      <c r="BO635" s="48"/>
      <c r="BP635" s="48"/>
      <c r="BQ635" s="50"/>
    </row>
    <row r="636" spans="1:69" ht="16" x14ac:dyDescent="0.35">
      <c r="A636"/>
      <c r="D636"/>
      <c r="G636"/>
      <c r="H636" s="20"/>
      <c r="I636" s="20"/>
      <c r="J636" s="20"/>
      <c r="K636" s="20"/>
      <c r="L636" s="20"/>
      <c r="Q636" s="83"/>
      <c r="Y636" s="20"/>
      <c r="AP636" s="93"/>
      <c r="AQ636" s="31"/>
      <c r="AR636" s="31"/>
      <c r="AS636" s="94"/>
      <c r="AT636" s="31"/>
      <c r="AU636" s="31"/>
      <c r="AV636" s="73" t="s">
        <v>175</v>
      </c>
      <c r="AW636" s="68"/>
      <c r="AX636" s="68"/>
      <c r="AY636" s="68"/>
      <c r="AZ636" s="68"/>
      <c r="BA636" s="68"/>
      <c r="BB636" s="67"/>
      <c r="BC636" s="67"/>
      <c r="BD636" s="67"/>
      <c r="BE636" s="67"/>
      <c r="BF636" s="95">
        <v>0</v>
      </c>
      <c r="BG636" s="52"/>
      <c r="BH636" s="52"/>
      <c r="BI636" s="52"/>
      <c r="BJ636" s="52"/>
      <c r="BK636" s="52"/>
      <c r="BL636" s="52"/>
      <c r="BM636" s="52"/>
      <c r="BN636" s="53"/>
      <c r="BO636" s="52"/>
      <c r="BP636" s="52"/>
      <c r="BQ636" s="54"/>
    </row>
    <row r="637" spans="1:69" ht="16" x14ac:dyDescent="0.35">
      <c r="A637"/>
      <c r="D637"/>
      <c r="G637"/>
      <c r="H637" s="20"/>
      <c r="I637" s="20"/>
      <c r="J637" s="20"/>
      <c r="K637" s="20"/>
      <c r="L637" s="20"/>
      <c r="Q637" s="83"/>
      <c r="Y637" s="20"/>
      <c r="AP637" s="92"/>
      <c r="AQ637" s="67"/>
      <c r="AR637" s="67"/>
      <c r="AS637" s="73"/>
      <c r="AT637" s="67"/>
      <c r="AU637" s="67"/>
      <c r="AV637" s="94" t="s">
        <v>176</v>
      </c>
      <c r="AW637" s="32"/>
      <c r="AX637" s="32"/>
      <c r="AY637" s="32"/>
      <c r="AZ637" s="32"/>
      <c r="BA637" s="32"/>
      <c r="BB637" s="31"/>
      <c r="BC637" s="31"/>
      <c r="BD637" s="31"/>
      <c r="BE637" s="31"/>
      <c r="BF637" s="96">
        <v>0</v>
      </c>
      <c r="BG637" s="48"/>
      <c r="BH637" s="48"/>
      <c r="BI637" s="48"/>
      <c r="BJ637" s="48"/>
      <c r="BK637" s="48"/>
      <c r="BL637" s="48"/>
      <c r="BM637" s="48"/>
      <c r="BN637" s="49"/>
      <c r="BO637" s="48"/>
      <c r="BP637" s="48"/>
      <c r="BQ637" s="50"/>
    </row>
    <row r="638" spans="1:69" ht="16" x14ac:dyDescent="0.35">
      <c r="A638"/>
      <c r="D638"/>
      <c r="G638"/>
      <c r="H638" s="20"/>
      <c r="I638" s="20"/>
      <c r="J638" s="20"/>
      <c r="K638" s="20"/>
      <c r="L638" s="20"/>
      <c r="Q638" s="83"/>
      <c r="Y638" s="20"/>
      <c r="AP638" s="93"/>
      <c r="AQ638" s="31"/>
      <c r="AR638" s="31"/>
      <c r="AS638" s="94"/>
      <c r="AT638" s="31"/>
      <c r="AU638" s="31"/>
      <c r="AV638" s="73" t="s">
        <v>176</v>
      </c>
      <c r="AW638" s="68"/>
      <c r="AX638" s="68"/>
      <c r="AY638" s="68"/>
      <c r="AZ638" s="68"/>
      <c r="BA638" s="68"/>
      <c r="BB638" s="67"/>
      <c r="BC638" s="67"/>
      <c r="BD638" s="67"/>
      <c r="BE638" s="67"/>
      <c r="BF638" s="95">
        <v>0</v>
      </c>
      <c r="BG638" s="52"/>
      <c r="BH638" s="52"/>
      <c r="BI638" s="52"/>
      <c r="BJ638" s="52"/>
      <c r="BK638" s="52"/>
      <c r="BL638" s="52"/>
      <c r="BM638" s="52"/>
      <c r="BN638" s="53"/>
      <c r="BO638" s="52"/>
      <c r="BP638" s="52"/>
      <c r="BQ638" s="54"/>
    </row>
    <row r="639" spans="1:69" ht="16" x14ac:dyDescent="0.35">
      <c r="A639"/>
      <c r="D639"/>
      <c r="G639"/>
      <c r="H639" s="20"/>
      <c r="I639" s="20"/>
      <c r="J639" s="20"/>
      <c r="K639" s="20"/>
      <c r="L639" s="20"/>
      <c r="Q639" s="83"/>
      <c r="Y639" s="20"/>
      <c r="AP639" s="92"/>
      <c r="AQ639" s="67"/>
      <c r="AR639" s="67"/>
      <c r="AS639" s="73"/>
      <c r="AT639" s="67"/>
      <c r="AU639" s="67"/>
      <c r="AV639" s="94" t="s">
        <v>167</v>
      </c>
      <c r="AW639" s="32"/>
      <c r="AX639" s="32"/>
      <c r="AY639" s="32"/>
      <c r="AZ639" s="32"/>
      <c r="BA639" s="32"/>
      <c r="BB639" s="31"/>
      <c r="BC639" s="31"/>
      <c r="BD639" s="31"/>
      <c r="BE639" s="31"/>
      <c r="BF639" s="96">
        <v>1</v>
      </c>
      <c r="BG639" s="48"/>
      <c r="BH639" s="48"/>
      <c r="BI639" s="48"/>
      <c r="BJ639" s="48"/>
      <c r="BK639" s="48"/>
      <c r="BL639" s="48"/>
      <c r="BM639" s="48"/>
      <c r="BN639" s="49"/>
      <c r="BO639" s="48"/>
      <c r="BP639" s="48"/>
      <c r="BQ639" s="50"/>
    </row>
    <row r="640" spans="1:69" ht="16" x14ac:dyDescent="0.35">
      <c r="A640"/>
      <c r="D640"/>
      <c r="G640"/>
      <c r="H640" s="20"/>
      <c r="I640" s="20"/>
      <c r="J640" s="20"/>
      <c r="K640" s="20"/>
      <c r="L640" s="20"/>
      <c r="Q640" s="83"/>
      <c r="Y640" s="20"/>
      <c r="AP640" s="93"/>
      <c r="AQ640" s="31"/>
      <c r="AR640" s="31"/>
      <c r="AS640" s="94"/>
      <c r="AT640" s="31"/>
      <c r="AU640" s="31"/>
      <c r="AV640" s="73" t="s">
        <v>183</v>
      </c>
      <c r="AW640" s="68"/>
      <c r="AX640" s="68"/>
      <c r="AY640" s="68"/>
      <c r="AZ640" s="68"/>
      <c r="BA640" s="68"/>
      <c r="BB640" s="67"/>
      <c r="BC640" s="67"/>
      <c r="BD640" s="67"/>
      <c r="BE640" s="67"/>
      <c r="BF640" s="95">
        <v>0</v>
      </c>
      <c r="BG640" s="52"/>
      <c r="BH640" s="52"/>
      <c r="BI640" s="52"/>
      <c r="BJ640" s="52"/>
      <c r="BK640" s="52"/>
      <c r="BL640" s="52"/>
      <c r="BM640" s="52"/>
      <c r="BN640" s="53"/>
      <c r="BO640" s="52"/>
      <c r="BP640" s="52"/>
      <c r="BQ640" s="54"/>
    </row>
    <row r="641" spans="1:69" ht="16" x14ac:dyDescent="0.35">
      <c r="A641"/>
      <c r="D641"/>
      <c r="G641"/>
      <c r="H641" s="20"/>
      <c r="I641" s="20"/>
      <c r="J641" s="20"/>
      <c r="K641" s="20"/>
      <c r="L641" s="20"/>
      <c r="Q641" s="83"/>
      <c r="Y641" s="20"/>
      <c r="AP641" s="92"/>
      <c r="AQ641" s="67"/>
      <c r="AR641" s="67"/>
      <c r="AS641" s="73"/>
      <c r="AT641" s="67"/>
      <c r="AU641" s="67"/>
      <c r="AV641" s="94" t="s">
        <v>174</v>
      </c>
      <c r="AW641" s="32"/>
      <c r="AX641" s="32"/>
      <c r="AY641" s="32"/>
      <c r="AZ641" s="32"/>
      <c r="BA641" s="32"/>
      <c r="BB641" s="31"/>
      <c r="BC641" s="31"/>
      <c r="BD641" s="31"/>
      <c r="BE641" s="31"/>
      <c r="BF641" s="96">
        <v>0</v>
      </c>
      <c r="BG641" s="48"/>
      <c r="BH641" s="48"/>
      <c r="BI641" s="48"/>
      <c r="BJ641" s="48"/>
      <c r="BK641" s="48"/>
      <c r="BL641" s="48"/>
      <c r="BM641" s="48"/>
      <c r="BN641" s="49"/>
      <c r="BO641" s="48"/>
      <c r="BP641" s="48"/>
      <c r="BQ641" s="50"/>
    </row>
    <row r="642" spans="1:69" ht="16" x14ac:dyDescent="0.35">
      <c r="A642"/>
      <c r="D642"/>
      <c r="G642"/>
      <c r="H642" s="20"/>
      <c r="I642" s="20"/>
      <c r="J642" s="20"/>
      <c r="K642" s="20"/>
      <c r="L642" s="20"/>
      <c r="Q642" s="83"/>
      <c r="Y642" s="20"/>
      <c r="AP642" s="93"/>
      <c r="AQ642" s="31"/>
      <c r="AR642" s="31"/>
      <c r="AS642" s="94"/>
      <c r="AT642" s="31"/>
      <c r="AU642" s="31"/>
      <c r="AV642" s="73" t="s">
        <v>175</v>
      </c>
      <c r="AW642" s="68"/>
      <c r="AX642" s="68"/>
      <c r="AY642" s="68"/>
      <c r="AZ642" s="68"/>
      <c r="BA642" s="68"/>
      <c r="BB642" s="67"/>
      <c r="BC642" s="67"/>
      <c r="BD642" s="67"/>
      <c r="BE642" s="67"/>
      <c r="BF642" s="95">
        <v>0</v>
      </c>
      <c r="BG642" s="52"/>
      <c r="BH642" s="52"/>
      <c r="BI642" s="52"/>
      <c r="BJ642" s="52"/>
      <c r="BK642" s="52"/>
      <c r="BL642" s="52"/>
      <c r="BM642" s="52"/>
      <c r="BN642" s="53"/>
      <c r="BO642" s="52"/>
      <c r="BP642" s="52"/>
      <c r="BQ642" s="54"/>
    </row>
    <row r="643" spans="1:69" ht="16" x14ac:dyDescent="0.35">
      <c r="A643"/>
      <c r="D643"/>
      <c r="G643"/>
      <c r="H643" s="20"/>
      <c r="I643" s="20"/>
      <c r="J643" s="20"/>
      <c r="K643" s="20"/>
      <c r="L643" s="20"/>
      <c r="Q643" s="83"/>
      <c r="Y643" s="20"/>
      <c r="AP643" s="92"/>
      <c r="AQ643" s="67"/>
      <c r="AR643" s="67"/>
      <c r="AS643" s="73"/>
      <c r="AT643" s="67"/>
      <c r="AU643" s="67"/>
      <c r="AV643" s="94" t="s">
        <v>167</v>
      </c>
      <c r="AW643" s="32"/>
      <c r="AX643" s="32"/>
      <c r="AY643" s="32"/>
      <c r="AZ643" s="32"/>
      <c r="BA643" s="32"/>
      <c r="BB643" s="31"/>
      <c r="BC643" s="31"/>
      <c r="BD643" s="31"/>
      <c r="BE643" s="31"/>
      <c r="BF643" s="96">
        <v>0</v>
      </c>
      <c r="BG643" s="48"/>
      <c r="BH643" s="48"/>
      <c r="BI643" s="48"/>
      <c r="BJ643" s="48"/>
      <c r="BK643" s="48"/>
      <c r="BL643" s="48"/>
      <c r="BM643" s="48"/>
      <c r="BN643" s="49"/>
      <c r="BO643" s="48"/>
      <c r="BP643" s="48"/>
      <c r="BQ643" s="50"/>
    </row>
    <row r="644" spans="1:69" ht="16" x14ac:dyDescent="0.35">
      <c r="A644"/>
      <c r="D644"/>
      <c r="G644"/>
      <c r="H644" s="20"/>
      <c r="I644" s="20"/>
      <c r="J644" s="20"/>
      <c r="K644" s="20"/>
      <c r="L644" s="20"/>
      <c r="Q644" s="83"/>
      <c r="Y644" s="20"/>
      <c r="AP644" s="93"/>
      <c r="AQ644" s="31"/>
      <c r="AR644" s="31"/>
      <c r="AS644" s="94"/>
      <c r="AT644" s="31"/>
      <c r="AU644" s="31"/>
      <c r="AV644" s="73" t="s">
        <v>180</v>
      </c>
      <c r="AW644" s="68"/>
      <c r="AX644" s="68"/>
      <c r="AY644" s="68"/>
      <c r="AZ644" s="68"/>
      <c r="BA644" s="68"/>
      <c r="BB644" s="67"/>
      <c r="BC644" s="67"/>
      <c r="BD644" s="67"/>
      <c r="BE644" s="67"/>
      <c r="BF644" s="95">
        <v>0</v>
      </c>
      <c r="BG644" s="48"/>
      <c r="BH644" s="48"/>
      <c r="BI644" s="48"/>
      <c r="BJ644" s="48"/>
      <c r="BK644" s="48"/>
      <c r="BL644" s="48"/>
      <c r="BM644" s="48"/>
      <c r="BN644" s="49"/>
      <c r="BO644" s="48"/>
      <c r="BP644" s="48"/>
      <c r="BQ644" s="50"/>
    </row>
    <row r="645" spans="1:69" ht="16" x14ac:dyDescent="0.35">
      <c r="A645"/>
      <c r="D645"/>
      <c r="G645"/>
      <c r="H645" s="20"/>
      <c r="I645" s="20"/>
      <c r="J645" s="20"/>
      <c r="K645" s="20"/>
      <c r="L645" s="20"/>
      <c r="Q645" s="83"/>
      <c r="Y645" s="20"/>
      <c r="AP645" s="92"/>
      <c r="AQ645" s="67"/>
      <c r="AR645" s="67"/>
      <c r="AS645" s="73"/>
      <c r="AT645" s="67"/>
      <c r="AU645" s="67"/>
      <c r="AV645" s="94" t="s">
        <v>183</v>
      </c>
      <c r="AW645" s="32"/>
      <c r="AX645" s="32"/>
      <c r="AY645" s="32"/>
      <c r="AZ645" s="32"/>
      <c r="BA645" s="32"/>
      <c r="BB645" s="31"/>
      <c r="BC645" s="31"/>
      <c r="BD645" s="31"/>
      <c r="BE645" s="31"/>
      <c r="BF645" s="96">
        <v>0</v>
      </c>
      <c r="BG645" s="52"/>
      <c r="BH645" s="52"/>
      <c r="BI645" s="52"/>
      <c r="BJ645" s="52"/>
      <c r="BK645" s="52"/>
      <c r="BL645" s="52"/>
      <c r="BM645" s="52"/>
      <c r="BN645" s="53"/>
      <c r="BO645" s="52"/>
      <c r="BP645" s="52"/>
      <c r="BQ645" s="54"/>
    </row>
    <row r="646" spans="1:69" ht="16" x14ac:dyDescent="0.35">
      <c r="A646"/>
      <c r="D646"/>
      <c r="G646"/>
      <c r="H646" s="20"/>
      <c r="I646" s="20"/>
      <c r="J646" s="20"/>
      <c r="K646" s="20"/>
      <c r="L646" s="20"/>
      <c r="Q646" s="83"/>
      <c r="Y646" s="20"/>
      <c r="AP646" s="93"/>
      <c r="AQ646" s="31"/>
      <c r="AR646" s="31"/>
      <c r="AS646" s="94"/>
      <c r="AT646" s="31"/>
      <c r="AU646" s="31"/>
      <c r="AV646" s="73" t="s">
        <v>180</v>
      </c>
      <c r="AW646" s="68"/>
      <c r="AX646" s="68"/>
      <c r="AY646" s="68"/>
      <c r="AZ646" s="68"/>
      <c r="BA646" s="68"/>
      <c r="BB646" s="67"/>
      <c r="BC646" s="67"/>
      <c r="BD646" s="67"/>
      <c r="BE646" s="67"/>
      <c r="BF646" s="95">
        <v>0</v>
      </c>
      <c r="BG646" s="48"/>
      <c r="BH646" s="48"/>
      <c r="BI646" s="48"/>
      <c r="BJ646" s="48"/>
      <c r="BK646" s="48"/>
      <c r="BL646" s="48"/>
      <c r="BM646" s="48"/>
      <c r="BN646" s="49"/>
      <c r="BO646" s="48"/>
      <c r="BP646" s="48"/>
      <c r="BQ646" s="50"/>
    </row>
    <row r="647" spans="1:69" ht="16" x14ac:dyDescent="0.35">
      <c r="A647"/>
      <c r="D647"/>
      <c r="G647"/>
      <c r="H647" s="20"/>
      <c r="I647" s="20"/>
      <c r="J647" s="20"/>
      <c r="K647" s="20"/>
      <c r="L647" s="20"/>
      <c r="Q647" s="83"/>
      <c r="Y647" s="20"/>
      <c r="AP647" s="92"/>
      <c r="AQ647" s="67"/>
      <c r="AR647" s="67"/>
      <c r="AS647" s="73"/>
      <c r="AT647" s="67"/>
      <c r="AU647" s="67"/>
      <c r="AV647" s="94" t="s">
        <v>174</v>
      </c>
      <c r="AW647" s="32"/>
      <c r="AX647" s="32"/>
      <c r="AY647" s="32"/>
      <c r="AZ647" s="32"/>
      <c r="BA647" s="32"/>
      <c r="BB647" s="31"/>
      <c r="BC647" s="31"/>
      <c r="BD647" s="31"/>
      <c r="BE647" s="31"/>
      <c r="BF647" s="96">
        <v>0</v>
      </c>
      <c r="BG647" s="52"/>
      <c r="BH647" s="52"/>
      <c r="BI647" s="52"/>
      <c r="BJ647" s="52"/>
      <c r="BK647" s="52"/>
      <c r="BL647" s="52"/>
      <c r="BM647" s="52"/>
      <c r="BN647" s="53"/>
      <c r="BO647" s="52"/>
      <c r="BP647" s="52"/>
      <c r="BQ647" s="54"/>
    </row>
    <row r="648" spans="1:69" ht="16" x14ac:dyDescent="0.35">
      <c r="A648"/>
      <c r="D648"/>
      <c r="G648"/>
      <c r="H648" s="20"/>
      <c r="I648" s="20"/>
      <c r="J648" s="20"/>
      <c r="K648" s="20"/>
      <c r="L648" s="20"/>
      <c r="Q648" s="83"/>
      <c r="Y648" s="20"/>
      <c r="AP648" s="93"/>
      <c r="AQ648" s="31"/>
      <c r="AR648" s="31"/>
      <c r="AS648" s="94"/>
      <c r="AT648" s="31"/>
      <c r="AU648" s="31"/>
      <c r="AV648" s="73" t="s">
        <v>205</v>
      </c>
      <c r="AW648" s="68"/>
      <c r="AX648" s="68"/>
      <c r="AY648" s="68"/>
      <c r="AZ648" s="68"/>
      <c r="BA648" s="68"/>
      <c r="BB648" s="67"/>
      <c r="BC648" s="67"/>
      <c r="BD648" s="67"/>
      <c r="BE648" s="67"/>
      <c r="BF648" s="95">
        <v>3</v>
      </c>
      <c r="BG648" s="48"/>
      <c r="BH648" s="48"/>
      <c r="BI648" s="48"/>
      <c r="BJ648" s="48"/>
      <c r="BK648" s="48"/>
      <c r="BL648" s="48"/>
      <c r="BM648" s="48"/>
      <c r="BN648" s="49"/>
      <c r="BO648" s="48"/>
      <c r="BP648" s="48"/>
      <c r="BQ648" s="50"/>
    </row>
    <row r="649" spans="1:69" ht="16" x14ac:dyDescent="0.35">
      <c r="A649"/>
      <c r="D649"/>
      <c r="G649"/>
      <c r="H649" s="20"/>
      <c r="I649" s="20"/>
      <c r="J649" s="20"/>
      <c r="K649" s="20"/>
      <c r="L649" s="20"/>
      <c r="Q649" s="83"/>
      <c r="Y649" s="20"/>
      <c r="AP649" s="92"/>
      <c r="AQ649" s="67"/>
      <c r="AR649" s="67"/>
      <c r="AS649" s="73"/>
      <c r="AT649" s="67"/>
      <c r="AU649" s="67"/>
      <c r="AV649" s="94" t="s">
        <v>205</v>
      </c>
      <c r="AW649" s="32"/>
      <c r="AX649" s="32"/>
      <c r="AY649" s="32"/>
      <c r="AZ649" s="32"/>
      <c r="BA649" s="32"/>
      <c r="BB649" s="31"/>
      <c r="BC649" s="31"/>
      <c r="BD649" s="31"/>
      <c r="BE649" s="31"/>
      <c r="BF649" s="96">
        <v>3</v>
      </c>
      <c r="BG649" s="52"/>
      <c r="BH649" s="52"/>
      <c r="BI649" s="52"/>
      <c r="BJ649" s="52"/>
      <c r="BK649" s="52"/>
      <c r="BL649" s="52"/>
      <c r="BM649" s="52"/>
      <c r="BN649" s="53"/>
      <c r="BO649" s="52"/>
      <c r="BP649" s="52"/>
      <c r="BQ649" s="54"/>
    </row>
    <row r="650" spans="1:69" ht="16" x14ac:dyDescent="0.35">
      <c r="A650"/>
      <c r="D650"/>
      <c r="G650"/>
      <c r="H650" s="20"/>
      <c r="I650" s="20"/>
      <c r="J650" s="20"/>
      <c r="K650" s="20"/>
      <c r="L650" s="20"/>
      <c r="Q650" s="83"/>
      <c r="Y650" s="20"/>
      <c r="AP650" s="93"/>
      <c r="AQ650" s="31"/>
      <c r="AR650" s="31"/>
      <c r="AS650" s="94"/>
      <c r="AT650" s="31"/>
      <c r="AU650" s="31"/>
      <c r="AV650" s="73" t="s">
        <v>184</v>
      </c>
      <c r="AW650" s="68"/>
      <c r="AX650" s="68"/>
      <c r="AY650" s="68"/>
      <c r="AZ650" s="68"/>
      <c r="BA650" s="68"/>
      <c r="BB650" s="67"/>
      <c r="BC650" s="67"/>
      <c r="BD650" s="67"/>
      <c r="BE650" s="67"/>
      <c r="BF650" s="95">
        <v>0</v>
      </c>
      <c r="BG650" s="48"/>
      <c r="BH650" s="48"/>
      <c r="BI650" s="48"/>
      <c r="BJ650" s="48"/>
      <c r="BK650" s="48"/>
      <c r="BL650" s="48"/>
      <c r="BM650" s="48"/>
      <c r="BN650" s="49"/>
      <c r="BO650" s="48"/>
      <c r="BP650" s="48"/>
      <c r="BQ650" s="50"/>
    </row>
    <row r="651" spans="1:69" ht="16" x14ac:dyDescent="0.35">
      <c r="A651"/>
      <c r="D651"/>
      <c r="G651"/>
      <c r="H651" s="20"/>
      <c r="I651" s="20"/>
      <c r="J651" s="20"/>
      <c r="K651" s="20"/>
      <c r="L651" s="20"/>
      <c r="Q651" s="83"/>
      <c r="Y651" s="20"/>
      <c r="AP651" s="92"/>
      <c r="AQ651" s="67"/>
      <c r="AR651" s="67"/>
      <c r="AS651" s="73"/>
      <c r="AT651" s="67"/>
      <c r="AU651" s="67"/>
      <c r="AV651" s="94" t="s">
        <v>176</v>
      </c>
      <c r="AW651" s="32"/>
      <c r="AX651" s="32"/>
      <c r="AY651" s="32"/>
      <c r="AZ651" s="32"/>
      <c r="BA651" s="32"/>
      <c r="BB651" s="31"/>
      <c r="BC651" s="31"/>
      <c r="BD651" s="31"/>
      <c r="BE651" s="31"/>
      <c r="BF651" s="96">
        <v>0</v>
      </c>
      <c r="BG651" s="52"/>
      <c r="BH651" s="52"/>
      <c r="BI651" s="52"/>
      <c r="BJ651" s="52"/>
      <c r="BK651" s="52"/>
      <c r="BL651" s="52"/>
      <c r="BM651" s="52"/>
      <c r="BN651" s="53"/>
      <c r="BO651" s="52"/>
      <c r="BP651" s="52"/>
      <c r="BQ651" s="54"/>
    </row>
    <row r="652" spans="1:69" ht="16" x14ac:dyDescent="0.35">
      <c r="A652"/>
      <c r="D652"/>
      <c r="G652"/>
      <c r="H652" s="20"/>
      <c r="I652" s="20"/>
      <c r="J652" s="20"/>
      <c r="K652" s="20"/>
      <c r="L652" s="20"/>
      <c r="Q652" s="83"/>
      <c r="Y652" s="20"/>
      <c r="AP652" s="93"/>
      <c r="AQ652" s="31"/>
      <c r="AR652" s="31"/>
      <c r="AS652" s="94"/>
      <c r="AT652" s="31"/>
      <c r="AU652" s="31"/>
      <c r="AV652" s="73" t="s">
        <v>180</v>
      </c>
      <c r="AW652" s="68"/>
      <c r="AX652" s="68"/>
      <c r="AY652" s="68"/>
      <c r="AZ652" s="68"/>
      <c r="BA652" s="68"/>
      <c r="BB652" s="67"/>
      <c r="BC652" s="67"/>
      <c r="BD652" s="67"/>
      <c r="BE652" s="67"/>
      <c r="BF652" s="95">
        <v>0</v>
      </c>
      <c r="BG652" s="48"/>
      <c r="BH652" s="48"/>
      <c r="BI652" s="48"/>
      <c r="BJ652" s="48"/>
      <c r="BK652" s="48"/>
      <c r="BL652" s="48"/>
      <c r="BM652" s="48"/>
      <c r="BN652" s="49"/>
      <c r="BO652" s="48"/>
      <c r="BP652" s="48"/>
      <c r="BQ652" s="50"/>
    </row>
    <row r="653" spans="1:69" ht="16" x14ac:dyDescent="0.35">
      <c r="A653"/>
      <c r="D653"/>
      <c r="G653"/>
      <c r="H653" s="20"/>
      <c r="I653" s="20"/>
      <c r="J653" s="20"/>
      <c r="K653" s="20"/>
      <c r="L653" s="20"/>
      <c r="Q653" s="83"/>
      <c r="Y653" s="20"/>
      <c r="AP653" s="92"/>
      <c r="AQ653" s="67"/>
      <c r="AR653" s="67"/>
      <c r="AS653" s="73"/>
      <c r="AT653" s="67"/>
      <c r="AU653" s="67"/>
      <c r="AV653" s="94" t="s">
        <v>180</v>
      </c>
      <c r="AW653" s="32"/>
      <c r="AX653" s="32"/>
      <c r="AY653" s="32"/>
      <c r="AZ653" s="32"/>
      <c r="BA653" s="32"/>
      <c r="BB653" s="31"/>
      <c r="BC653" s="31"/>
      <c r="BD653" s="31"/>
      <c r="BE653" s="31"/>
      <c r="BF653" s="96">
        <v>0</v>
      </c>
      <c r="BG653" s="52"/>
      <c r="BH653" s="52"/>
      <c r="BI653" s="52"/>
      <c r="BJ653" s="52"/>
      <c r="BK653" s="52"/>
      <c r="BL653" s="52"/>
      <c r="BM653" s="52"/>
      <c r="BN653" s="53"/>
      <c r="BO653" s="52"/>
      <c r="BP653" s="52"/>
      <c r="BQ653" s="54"/>
    </row>
    <row r="654" spans="1:69" ht="16" x14ac:dyDescent="0.35">
      <c r="A654"/>
      <c r="D654"/>
      <c r="G654"/>
      <c r="H654" s="20"/>
      <c r="I654" s="20"/>
      <c r="J654" s="20"/>
      <c r="K654" s="20"/>
      <c r="L654" s="20"/>
      <c r="Q654" s="83"/>
      <c r="Y654" s="20"/>
      <c r="AP654" s="93"/>
      <c r="AQ654" s="31"/>
      <c r="AR654" s="31"/>
      <c r="AS654" s="94"/>
      <c r="AT654" s="31"/>
      <c r="AU654" s="31"/>
      <c r="AV654" s="73" t="s">
        <v>175</v>
      </c>
      <c r="AW654" s="68"/>
      <c r="AX654" s="68"/>
      <c r="AY654" s="68"/>
      <c r="AZ654" s="68"/>
      <c r="BA654" s="68"/>
      <c r="BB654" s="67"/>
      <c r="BC654" s="67"/>
      <c r="BD654" s="67"/>
      <c r="BE654" s="67"/>
      <c r="BF654" s="95">
        <v>0</v>
      </c>
      <c r="BG654" s="48"/>
      <c r="BH654" s="48"/>
      <c r="BI654" s="48"/>
      <c r="BJ654" s="48"/>
      <c r="BK654" s="48"/>
      <c r="BL654" s="48"/>
      <c r="BM654" s="48"/>
      <c r="BN654" s="49"/>
      <c r="BO654" s="48"/>
      <c r="BP654" s="48"/>
      <c r="BQ654" s="50"/>
    </row>
    <row r="655" spans="1:69" ht="16" x14ac:dyDescent="0.35">
      <c r="A655"/>
      <c r="D655"/>
      <c r="G655"/>
      <c r="H655" s="20"/>
      <c r="I655" s="20"/>
      <c r="J655" s="20"/>
      <c r="K655" s="20"/>
      <c r="L655" s="20"/>
      <c r="Q655" s="83"/>
      <c r="Y655" s="20"/>
      <c r="AP655" s="92"/>
      <c r="AQ655" s="67"/>
      <c r="AR655" s="67"/>
      <c r="AS655" s="73"/>
      <c r="AT655" s="67"/>
      <c r="AU655" s="67"/>
      <c r="AV655" s="94" t="s">
        <v>175</v>
      </c>
      <c r="AW655" s="32"/>
      <c r="AX655" s="32"/>
      <c r="AY655" s="32"/>
      <c r="AZ655" s="32"/>
      <c r="BA655" s="32"/>
      <c r="BB655" s="31"/>
      <c r="BC655" s="31"/>
      <c r="BD655" s="31"/>
      <c r="BE655" s="31"/>
      <c r="BF655" s="96">
        <v>0</v>
      </c>
      <c r="BG655" s="52"/>
      <c r="BH655" s="52"/>
      <c r="BI655" s="52"/>
      <c r="BJ655" s="52"/>
      <c r="BK655" s="52"/>
      <c r="BL655" s="52"/>
      <c r="BM655" s="52"/>
      <c r="BN655" s="53"/>
      <c r="BO655" s="52"/>
      <c r="BP655" s="52"/>
      <c r="BQ655" s="54"/>
    </row>
    <row r="656" spans="1:69" ht="16" x14ac:dyDescent="0.35">
      <c r="A656"/>
      <c r="D656"/>
      <c r="G656"/>
      <c r="H656" s="20"/>
      <c r="I656" s="20"/>
      <c r="J656" s="20"/>
      <c r="K656" s="20"/>
      <c r="L656" s="20"/>
      <c r="Q656" s="83"/>
      <c r="Y656" s="20"/>
      <c r="AP656" s="93"/>
      <c r="AQ656" s="31"/>
      <c r="AR656" s="31"/>
      <c r="AS656" s="94"/>
      <c r="AT656" s="31"/>
      <c r="AU656" s="31"/>
      <c r="AV656" s="73" t="s">
        <v>175</v>
      </c>
      <c r="AW656" s="68"/>
      <c r="AX656" s="68"/>
      <c r="AY656" s="68"/>
      <c r="AZ656" s="68"/>
      <c r="BA656" s="68"/>
      <c r="BB656" s="67"/>
      <c r="BC656" s="67"/>
      <c r="BD656" s="67"/>
      <c r="BE656" s="67"/>
      <c r="BF656" s="95">
        <v>0</v>
      </c>
      <c r="BG656" s="48"/>
      <c r="BH656" s="48"/>
      <c r="BI656" s="48"/>
      <c r="BJ656" s="48"/>
      <c r="BK656" s="48"/>
      <c r="BL656" s="48"/>
      <c r="BM656" s="48"/>
      <c r="BN656" s="49"/>
      <c r="BO656" s="48"/>
      <c r="BP656" s="48"/>
      <c r="BQ656" s="50"/>
    </row>
    <row r="657" spans="1:69" ht="16" x14ac:dyDescent="0.35">
      <c r="A657"/>
      <c r="D657"/>
      <c r="G657"/>
      <c r="H657" s="20"/>
      <c r="I657" s="20"/>
      <c r="J657" s="20"/>
      <c r="K657" s="20"/>
      <c r="L657" s="20"/>
      <c r="Q657" s="83"/>
      <c r="Y657" s="20"/>
      <c r="AP657" s="92"/>
      <c r="AQ657" s="67"/>
      <c r="AR657" s="67"/>
      <c r="AS657" s="73"/>
      <c r="AT657" s="67"/>
      <c r="AU657" s="67"/>
      <c r="AV657" s="94" t="s">
        <v>168</v>
      </c>
      <c r="AW657" s="32"/>
      <c r="AX657" s="32"/>
      <c r="AY657" s="32"/>
      <c r="AZ657" s="32"/>
      <c r="BA657" s="32"/>
      <c r="BB657" s="31"/>
      <c r="BC657" s="31"/>
      <c r="BD657" s="31"/>
      <c r="BE657" s="31"/>
      <c r="BF657" s="96">
        <v>0</v>
      </c>
      <c r="BG657" s="52"/>
      <c r="BH657" s="52"/>
      <c r="BI657" s="52"/>
      <c r="BJ657" s="52"/>
      <c r="BK657" s="52"/>
      <c r="BL657" s="52"/>
      <c r="BM657" s="52"/>
      <c r="BN657" s="53"/>
      <c r="BO657" s="52"/>
      <c r="BP657" s="52"/>
      <c r="BQ657" s="54"/>
    </row>
    <row r="658" spans="1:69" ht="16" x14ac:dyDescent="0.35">
      <c r="A658"/>
      <c r="D658"/>
      <c r="G658"/>
      <c r="H658" s="20"/>
      <c r="I658" s="20"/>
      <c r="J658" s="20"/>
      <c r="K658" s="20"/>
      <c r="L658" s="20"/>
      <c r="Q658" s="83"/>
      <c r="Y658" s="20"/>
      <c r="AP658" s="93"/>
      <c r="AQ658" s="31"/>
      <c r="AR658" s="31"/>
      <c r="AS658" s="94"/>
      <c r="AT658" s="31"/>
      <c r="AU658" s="31"/>
      <c r="AV658" s="73" t="s">
        <v>189</v>
      </c>
      <c r="AW658" s="68"/>
      <c r="AX658" s="68"/>
      <c r="AY658" s="68"/>
      <c r="AZ658" s="68"/>
      <c r="BA658" s="68"/>
      <c r="BB658" s="67"/>
      <c r="BC658" s="67"/>
      <c r="BD658" s="67"/>
      <c r="BE658" s="67"/>
      <c r="BF658" s="95">
        <v>0</v>
      </c>
      <c r="BG658" s="48"/>
      <c r="BH658" s="48"/>
      <c r="BI658" s="48"/>
      <c r="BJ658" s="48"/>
      <c r="BK658" s="48"/>
      <c r="BL658" s="48"/>
      <c r="BM658" s="48"/>
      <c r="BN658" s="49"/>
      <c r="BO658" s="48"/>
      <c r="BP658" s="48"/>
      <c r="BQ658" s="50"/>
    </row>
    <row r="659" spans="1:69" ht="16" x14ac:dyDescent="0.35">
      <c r="A659"/>
      <c r="D659"/>
      <c r="G659"/>
      <c r="H659" s="20"/>
      <c r="I659" s="20"/>
      <c r="J659" s="20"/>
      <c r="K659" s="20"/>
      <c r="L659" s="20"/>
      <c r="Q659" s="83"/>
      <c r="Y659" s="20"/>
      <c r="AP659" s="92"/>
      <c r="AQ659" s="67"/>
      <c r="AR659" s="67"/>
      <c r="AS659" s="73"/>
      <c r="AT659" s="67"/>
      <c r="AU659" s="67"/>
      <c r="AV659" s="94" t="s">
        <v>175</v>
      </c>
      <c r="AW659" s="32"/>
      <c r="AX659" s="32"/>
      <c r="AY659" s="32"/>
      <c r="AZ659" s="32"/>
      <c r="BA659" s="32"/>
      <c r="BB659" s="31"/>
      <c r="BC659" s="31"/>
      <c r="BD659" s="31"/>
      <c r="BE659" s="31"/>
      <c r="BF659" s="96">
        <v>0</v>
      </c>
      <c r="BG659" s="52"/>
      <c r="BH659" s="52"/>
      <c r="BI659" s="52"/>
      <c r="BJ659" s="52"/>
      <c r="BK659" s="52"/>
      <c r="BL659" s="52"/>
      <c r="BM659" s="52"/>
      <c r="BN659" s="53"/>
      <c r="BO659" s="52"/>
      <c r="BP659" s="52"/>
      <c r="BQ659" s="54"/>
    </row>
    <row r="660" spans="1:69" ht="16" x14ac:dyDescent="0.35">
      <c r="A660"/>
      <c r="D660"/>
      <c r="G660"/>
      <c r="H660" s="20"/>
      <c r="I660" s="20"/>
      <c r="J660" s="20"/>
      <c r="K660" s="20"/>
      <c r="L660" s="20"/>
      <c r="Q660" s="83"/>
      <c r="Y660" s="20"/>
      <c r="AP660" s="93"/>
      <c r="AQ660" s="31"/>
      <c r="AR660" s="31"/>
      <c r="AS660" s="94"/>
      <c r="AT660" s="31"/>
      <c r="AU660" s="31"/>
      <c r="AV660" s="73" t="s">
        <v>175</v>
      </c>
      <c r="AW660" s="68"/>
      <c r="AX660" s="68"/>
      <c r="AY660" s="68"/>
      <c r="AZ660" s="68"/>
      <c r="BA660" s="68"/>
      <c r="BB660" s="67"/>
      <c r="BC660" s="67"/>
      <c r="BD660" s="67"/>
      <c r="BE660" s="67"/>
      <c r="BF660" s="95">
        <v>0</v>
      </c>
      <c r="BG660" s="48"/>
      <c r="BH660" s="48"/>
      <c r="BI660" s="48"/>
      <c r="BJ660" s="48"/>
      <c r="BK660" s="48"/>
      <c r="BL660" s="48"/>
      <c r="BM660" s="48"/>
      <c r="BN660" s="49"/>
      <c r="BO660" s="48"/>
      <c r="BP660" s="48"/>
      <c r="BQ660" s="50"/>
    </row>
    <row r="661" spans="1:69" ht="16" x14ac:dyDescent="0.35">
      <c r="A661"/>
      <c r="D661"/>
      <c r="G661"/>
      <c r="H661" s="20"/>
      <c r="I661" s="20"/>
      <c r="J661" s="20"/>
      <c r="K661" s="20"/>
      <c r="L661" s="20"/>
      <c r="Q661" s="83"/>
      <c r="Y661" s="20"/>
      <c r="AP661" s="92"/>
      <c r="AQ661" s="67"/>
      <c r="AR661" s="67"/>
      <c r="AS661" s="73"/>
      <c r="AT661" s="67"/>
      <c r="AU661" s="67"/>
      <c r="AV661" s="94" t="s">
        <v>184</v>
      </c>
      <c r="AW661" s="32"/>
      <c r="AX661" s="32"/>
      <c r="AY661" s="32"/>
      <c r="AZ661" s="32"/>
      <c r="BA661" s="32"/>
      <c r="BB661" s="31"/>
      <c r="BC661" s="31"/>
      <c r="BD661" s="31"/>
      <c r="BE661" s="31"/>
      <c r="BF661" s="96">
        <v>0</v>
      </c>
      <c r="BG661" s="52"/>
      <c r="BH661" s="52"/>
      <c r="BI661" s="52"/>
      <c r="BJ661" s="52"/>
      <c r="BK661" s="52"/>
      <c r="BL661" s="52"/>
      <c r="BM661" s="52"/>
      <c r="BN661" s="53"/>
      <c r="BO661" s="52"/>
      <c r="BP661" s="52"/>
      <c r="BQ661" s="54"/>
    </row>
    <row r="662" spans="1:69" ht="16" x14ac:dyDescent="0.35">
      <c r="A662"/>
      <c r="D662"/>
      <c r="G662"/>
      <c r="H662" s="20"/>
      <c r="I662" s="20"/>
      <c r="J662" s="20"/>
      <c r="K662" s="20"/>
      <c r="L662" s="20"/>
      <c r="Q662" s="83"/>
      <c r="Y662" s="20"/>
      <c r="AP662" s="93"/>
      <c r="AQ662" s="31"/>
      <c r="AR662" s="31"/>
      <c r="AS662" s="94"/>
      <c r="AT662" s="31"/>
      <c r="AU662" s="31"/>
      <c r="AV662" s="73" t="s">
        <v>180</v>
      </c>
      <c r="AW662" s="68"/>
      <c r="AX662" s="68"/>
      <c r="AY662" s="68"/>
      <c r="AZ662" s="68"/>
      <c r="BA662" s="68"/>
      <c r="BB662" s="67"/>
      <c r="BC662" s="67"/>
      <c r="BD662" s="67"/>
      <c r="BE662" s="67"/>
      <c r="BF662" s="95">
        <v>0</v>
      </c>
      <c r="BG662" s="48"/>
      <c r="BH662" s="48"/>
      <c r="BI662" s="48"/>
      <c r="BJ662" s="48"/>
      <c r="BK662" s="48"/>
      <c r="BL662" s="48"/>
      <c r="BM662" s="48"/>
      <c r="BN662" s="49"/>
      <c r="BO662" s="48"/>
      <c r="BP662" s="48"/>
      <c r="BQ662" s="50"/>
    </row>
    <row r="663" spans="1:69" ht="16" x14ac:dyDescent="0.35">
      <c r="A663"/>
      <c r="D663"/>
      <c r="G663"/>
      <c r="H663" s="20"/>
      <c r="I663" s="20"/>
      <c r="J663" s="20"/>
      <c r="K663" s="20"/>
      <c r="L663" s="20"/>
      <c r="Q663" s="83"/>
      <c r="Y663" s="20"/>
      <c r="AP663" s="92"/>
      <c r="AQ663" s="67"/>
      <c r="AR663" s="67"/>
      <c r="AS663" s="73"/>
      <c r="AT663" s="67"/>
      <c r="AU663" s="67"/>
      <c r="AV663" s="94" t="s">
        <v>183</v>
      </c>
      <c r="AW663" s="32"/>
      <c r="AX663" s="32"/>
      <c r="AY663" s="32"/>
      <c r="AZ663" s="32"/>
      <c r="BA663" s="32"/>
      <c r="BB663" s="31"/>
      <c r="BC663" s="31"/>
      <c r="BD663" s="31"/>
      <c r="BE663" s="31"/>
      <c r="BF663" s="96">
        <v>0</v>
      </c>
      <c r="BG663" s="52"/>
      <c r="BH663" s="52"/>
      <c r="BI663" s="52"/>
      <c r="BJ663" s="52"/>
      <c r="BK663" s="52"/>
      <c r="BL663" s="52"/>
      <c r="BM663" s="52"/>
      <c r="BN663" s="53"/>
      <c r="BO663" s="52"/>
      <c r="BP663" s="52"/>
      <c r="BQ663" s="54"/>
    </row>
    <row r="664" spans="1:69" ht="16" x14ac:dyDescent="0.35">
      <c r="A664"/>
      <c r="D664"/>
      <c r="G664"/>
      <c r="H664" s="20"/>
      <c r="I664" s="20"/>
      <c r="J664" s="20"/>
      <c r="K664" s="20"/>
      <c r="L664" s="20"/>
      <c r="Q664" s="83"/>
      <c r="Y664" s="20"/>
      <c r="AP664" s="93"/>
      <c r="AQ664" s="31"/>
      <c r="AR664" s="31"/>
      <c r="AS664" s="94"/>
      <c r="AT664" s="31"/>
      <c r="AU664" s="31"/>
      <c r="AV664" s="73" t="s">
        <v>165</v>
      </c>
      <c r="AW664" s="68"/>
      <c r="AX664" s="68"/>
      <c r="AY664" s="68"/>
      <c r="AZ664" s="68"/>
      <c r="BA664" s="68"/>
      <c r="BB664" s="67"/>
      <c r="BC664" s="67"/>
      <c r="BD664" s="67"/>
      <c r="BE664" s="67"/>
      <c r="BF664" s="95">
        <v>0</v>
      </c>
      <c r="BG664" s="48"/>
      <c r="BH664" s="48"/>
      <c r="BI664" s="48"/>
      <c r="BJ664" s="48"/>
      <c r="BK664" s="48"/>
      <c r="BL664" s="48"/>
      <c r="BM664" s="48"/>
      <c r="BN664" s="49"/>
      <c r="BO664" s="48"/>
      <c r="BP664" s="48"/>
      <c r="BQ664" s="50"/>
    </row>
    <row r="665" spans="1:69" ht="16" x14ac:dyDescent="0.35">
      <c r="A665"/>
      <c r="D665"/>
      <c r="G665"/>
      <c r="H665" s="20"/>
      <c r="I665" s="20"/>
      <c r="J665" s="20"/>
      <c r="K665" s="20"/>
      <c r="L665" s="20"/>
      <c r="Q665" s="83"/>
      <c r="Y665" s="20"/>
      <c r="AP665" s="92"/>
      <c r="AQ665" s="67"/>
      <c r="AR665" s="67"/>
      <c r="AS665" s="73"/>
      <c r="AT665" s="67"/>
      <c r="AU665" s="67"/>
      <c r="AV665" s="94" t="s">
        <v>176</v>
      </c>
      <c r="AW665" s="32"/>
      <c r="AX665" s="32"/>
      <c r="AY665" s="32"/>
      <c r="AZ665" s="32"/>
      <c r="BA665" s="32"/>
      <c r="BB665" s="31"/>
      <c r="BC665" s="31"/>
      <c r="BD665" s="31"/>
      <c r="BE665" s="31"/>
      <c r="BF665" s="96">
        <v>0</v>
      </c>
      <c r="BG665" s="52"/>
      <c r="BH665" s="52"/>
      <c r="BI665" s="52"/>
      <c r="BJ665" s="52"/>
      <c r="BK665" s="52"/>
      <c r="BL665" s="52"/>
      <c r="BM665" s="52"/>
      <c r="BN665" s="53"/>
      <c r="BO665" s="52"/>
      <c r="BP665" s="52"/>
      <c r="BQ665" s="54"/>
    </row>
    <row r="666" spans="1:69" ht="16" x14ac:dyDescent="0.35">
      <c r="A666"/>
      <c r="D666"/>
      <c r="G666"/>
      <c r="H666" s="20"/>
      <c r="I666" s="20"/>
      <c r="J666" s="20"/>
      <c r="K666" s="20"/>
      <c r="L666" s="20"/>
      <c r="Q666" s="83"/>
      <c r="Y666" s="20"/>
      <c r="AP666" s="93"/>
      <c r="AQ666" s="31"/>
      <c r="AR666" s="31"/>
      <c r="AS666" s="94"/>
      <c r="AT666" s="31"/>
      <c r="AU666" s="31"/>
      <c r="AV666" s="73" t="s">
        <v>170</v>
      </c>
      <c r="AW666" s="68"/>
      <c r="AX666" s="68"/>
      <c r="AY666" s="68"/>
      <c r="AZ666" s="68"/>
      <c r="BA666" s="68"/>
      <c r="BB666" s="67"/>
      <c r="BC666" s="67"/>
      <c r="BD666" s="67"/>
      <c r="BE666" s="67"/>
      <c r="BF666" s="95">
        <v>1</v>
      </c>
      <c r="BG666" s="48"/>
      <c r="BH666" s="48"/>
      <c r="BI666" s="48"/>
      <c r="BJ666" s="48"/>
      <c r="BK666" s="48"/>
      <c r="BL666" s="48"/>
      <c r="BM666" s="48"/>
      <c r="BN666" s="49"/>
      <c r="BO666" s="48"/>
      <c r="BP666" s="48"/>
      <c r="BQ666" s="50"/>
    </row>
    <row r="667" spans="1:69" ht="16" x14ac:dyDescent="0.35">
      <c r="A667"/>
      <c r="D667"/>
      <c r="G667"/>
      <c r="H667" s="20"/>
      <c r="I667" s="20"/>
      <c r="J667" s="20"/>
      <c r="K667" s="20"/>
      <c r="L667" s="20"/>
      <c r="Q667" s="83"/>
      <c r="Y667" s="20"/>
      <c r="AP667" s="92"/>
      <c r="AQ667" s="67"/>
      <c r="AR667" s="67"/>
      <c r="AS667" s="73"/>
      <c r="AT667" s="67"/>
      <c r="AU667" s="67"/>
      <c r="AV667" s="94" t="s">
        <v>175</v>
      </c>
      <c r="AW667" s="32"/>
      <c r="AX667" s="32"/>
      <c r="AY667" s="32"/>
      <c r="AZ667" s="32"/>
      <c r="BA667" s="32"/>
      <c r="BB667" s="31"/>
      <c r="BC667" s="31"/>
      <c r="BD667" s="31"/>
      <c r="BE667" s="31"/>
      <c r="BF667" s="96">
        <v>0</v>
      </c>
      <c r="BG667" s="52"/>
      <c r="BH667" s="52"/>
      <c r="BI667" s="52"/>
      <c r="BJ667" s="52"/>
      <c r="BK667" s="52"/>
      <c r="BL667" s="52"/>
      <c r="BM667" s="52"/>
      <c r="BN667" s="53"/>
      <c r="BO667" s="52"/>
      <c r="BP667" s="52"/>
      <c r="BQ667" s="54"/>
    </row>
    <row r="668" spans="1:69" ht="16" x14ac:dyDescent="0.35">
      <c r="A668"/>
      <c r="D668"/>
      <c r="G668"/>
      <c r="H668" s="20"/>
      <c r="I668" s="20"/>
      <c r="J668" s="20"/>
      <c r="K668" s="20"/>
      <c r="L668" s="20"/>
      <c r="Q668" s="83"/>
      <c r="Y668" s="20"/>
      <c r="AP668" s="93"/>
      <c r="AQ668" s="31"/>
      <c r="AR668" s="31"/>
      <c r="AS668" s="94"/>
      <c r="AT668" s="31"/>
      <c r="AU668" s="31"/>
      <c r="AV668" s="73" t="s">
        <v>183</v>
      </c>
      <c r="AW668" s="68"/>
      <c r="AX668" s="68"/>
      <c r="AY668" s="68"/>
      <c r="AZ668" s="68"/>
      <c r="BA668" s="68"/>
      <c r="BB668" s="67"/>
      <c r="BC668" s="67"/>
      <c r="BD668" s="67"/>
      <c r="BE668" s="67"/>
      <c r="BF668" s="95">
        <v>0</v>
      </c>
      <c r="BG668" s="48"/>
      <c r="BH668" s="48"/>
      <c r="BI668" s="48"/>
      <c r="BJ668" s="48"/>
      <c r="BK668" s="48"/>
      <c r="BL668" s="48"/>
      <c r="BM668" s="48"/>
      <c r="BN668" s="49"/>
      <c r="BO668" s="48"/>
      <c r="BP668" s="48"/>
      <c r="BQ668" s="50"/>
    </row>
    <row r="669" spans="1:69" ht="16" x14ac:dyDescent="0.35">
      <c r="A669"/>
      <c r="D669"/>
      <c r="G669"/>
      <c r="H669" s="20"/>
      <c r="I669" s="20"/>
      <c r="J669" s="20"/>
      <c r="K669" s="20"/>
      <c r="L669" s="20"/>
      <c r="Q669" s="83"/>
      <c r="Y669" s="20"/>
      <c r="AP669" s="92"/>
      <c r="AQ669" s="67"/>
      <c r="AR669" s="67"/>
      <c r="AS669" s="73"/>
      <c r="AT669" s="67"/>
      <c r="AU669" s="67"/>
      <c r="AV669" s="94" t="s">
        <v>183</v>
      </c>
      <c r="AW669" s="32"/>
      <c r="AX669" s="32"/>
      <c r="AY669" s="32"/>
      <c r="AZ669" s="32"/>
      <c r="BA669" s="32"/>
      <c r="BB669" s="31"/>
      <c r="BC669" s="31"/>
      <c r="BD669" s="31"/>
      <c r="BE669" s="31"/>
      <c r="BF669" s="96">
        <v>0</v>
      </c>
      <c r="BG669" s="52"/>
      <c r="BH669" s="52"/>
      <c r="BI669" s="52"/>
      <c r="BJ669" s="52"/>
      <c r="BK669" s="52"/>
      <c r="BL669" s="52"/>
      <c r="BM669" s="52"/>
      <c r="BN669" s="53"/>
      <c r="BO669" s="52"/>
      <c r="BP669" s="52"/>
      <c r="BQ669" s="54"/>
    </row>
    <row r="670" spans="1:69" ht="16" x14ac:dyDescent="0.35">
      <c r="A670"/>
      <c r="D670"/>
      <c r="G670"/>
      <c r="H670" s="20"/>
      <c r="I670" s="20"/>
      <c r="J670" s="20"/>
      <c r="K670" s="20"/>
      <c r="L670" s="20"/>
      <c r="Q670" s="83"/>
      <c r="Y670" s="20"/>
      <c r="AP670" s="93"/>
      <c r="AQ670" s="31"/>
      <c r="AR670" s="31"/>
      <c r="AS670" s="94"/>
      <c r="AT670" s="31"/>
      <c r="AU670" s="31"/>
      <c r="AV670" s="73" t="s">
        <v>189</v>
      </c>
      <c r="AW670" s="68"/>
      <c r="AX670" s="68"/>
      <c r="AY670" s="68"/>
      <c r="AZ670" s="68"/>
      <c r="BA670" s="68"/>
      <c r="BB670" s="67"/>
      <c r="BC670" s="67"/>
      <c r="BD670" s="67"/>
      <c r="BE670" s="67"/>
      <c r="BF670" s="95">
        <v>0</v>
      </c>
      <c r="BG670" s="48"/>
      <c r="BH670" s="48"/>
      <c r="BI670" s="48"/>
      <c r="BJ670" s="48"/>
      <c r="BK670" s="48"/>
      <c r="BL670" s="48"/>
      <c r="BM670" s="48"/>
      <c r="BN670" s="49"/>
      <c r="BO670" s="48"/>
      <c r="BP670" s="48"/>
      <c r="BQ670" s="50"/>
    </row>
    <row r="671" spans="1:69" ht="16" x14ac:dyDescent="0.35">
      <c r="A671"/>
      <c r="D671"/>
      <c r="G671"/>
      <c r="H671" s="20"/>
      <c r="I671" s="20"/>
      <c r="J671" s="20"/>
      <c r="K671" s="20"/>
      <c r="L671" s="20"/>
      <c r="Q671" s="83"/>
      <c r="Y671" s="20"/>
      <c r="AP671" s="92"/>
      <c r="AQ671" s="67"/>
      <c r="AR671" s="67"/>
      <c r="AS671" s="73"/>
      <c r="AT671" s="67"/>
      <c r="AU671" s="67"/>
      <c r="AV671" s="94" t="s">
        <v>167</v>
      </c>
      <c r="AW671" s="32"/>
      <c r="AX671" s="32"/>
      <c r="AY671" s="32"/>
      <c r="AZ671" s="32"/>
      <c r="BA671" s="32"/>
      <c r="BB671" s="31"/>
      <c r="BC671" s="31"/>
      <c r="BD671" s="31"/>
      <c r="BE671" s="31"/>
      <c r="BF671" s="96">
        <v>0</v>
      </c>
      <c r="BG671" s="52"/>
      <c r="BH671" s="52"/>
      <c r="BI671" s="52"/>
      <c r="BJ671" s="52"/>
      <c r="BK671" s="52"/>
      <c r="BL671" s="52"/>
      <c r="BM671" s="52"/>
      <c r="BN671" s="53"/>
      <c r="BO671" s="52"/>
      <c r="BP671" s="52"/>
      <c r="BQ671" s="54"/>
    </row>
    <row r="672" spans="1:69" ht="16" x14ac:dyDescent="0.35">
      <c r="A672"/>
      <c r="D672"/>
      <c r="G672"/>
      <c r="H672" s="20"/>
      <c r="I672" s="20"/>
      <c r="J672" s="20"/>
      <c r="K672" s="20"/>
      <c r="L672" s="20"/>
      <c r="Q672" s="83"/>
      <c r="Y672" s="20"/>
      <c r="AP672" s="93"/>
      <c r="AQ672" s="31"/>
      <c r="AR672" s="31"/>
      <c r="AS672" s="94"/>
      <c r="AT672" s="31"/>
      <c r="AU672" s="31"/>
      <c r="AV672" s="73" t="s">
        <v>180</v>
      </c>
      <c r="AW672" s="68"/>
      <c r="AX672" s="68"/>
      <c r="AY672" s="68"/>
      <c r="AZ672" s="68"/>
      <c r="BA672" s="68"/>
      <c r="BB672" s="67"/>
      <c r="BC672" s="67"/>
      <c r="BD672" s="67"/>
      <c r="BE672" s="67"/>
      <c r="BF672" s="95">
        <v>0</v>
      </c>
      <c r="BG672" s="48"/>
      <c r="BH672" s="48"/>
      <c r="BI672" s="48"/>
      <c r="BJ672" s="48"/>
      <c r="BK672" s="48"/>
      <c r="BL672" s="48"/>
      <c r="BM672" s="48"/>
      <c r="BN672" s="49"/>
      <c r="BO672" s="48"/>
      <c r="BP672" s="48"/>
      <c r="BQ672" s="50"/>
    </row>
    <row r="673" spans="1:69" ht="16" x14ac:dyDescent="0.35">
      <c r="A673"/>
      <c r="D673"/>
      <c r="G673"/>
      <c r="H673" s="20"/>
      <c r="I673" s="20"/>
      <c r="J673" s="20"/>
      <c r="K673" s="20"/>
      <c r="L673" s="20"/>
      <c r="Q673" s="83"/>
      <c r="Y673" s="20"/>
      <c r="AP673" s="92"/>
      <c r="AQ673" s="67"/>
      <c r="AR673" s="67"/>
      <c r="AS673" s="73"/>
      <c r="AT673" s="67"/>
      <c r="AU673" s="67"/>
      <c r="AV673" s="94" t="s">
        <v>167</v>
      </c>
      <c r="AW673" s="32"/>
      <c r="AX673" s="32"/>
      <c r="AY673" s="32"/>
      <c r="AZ673" s="32"/>
      <c r="BA673" s="32"/>
      <c r="BB673" s="31"/>
      <c r="BC673" s="31"/>
      <c r="BD673" s="31"/>
      <c r="BE673" s="31"/>
      <c r="BF673" s="96">
        <v>2</v>
      </c>
      <c r="BG673" s="52"/>
      <c r="BH673" s="52"/>
      <c r="BI673" s="52"/>
      <c r="BJ673" s="52"/>
      <c r="BK673" s="52"/>
      <c r="BL673" s="52"/>
      <c r="BM673" s="52"/>
      <c r="BN673" s="53"/>
      <c r="BO673" s="52"/>
      <c r="BP673" s="52"/>
      <c r="BQ673" s="54"/>
    </row>
    <row r="674" spans="1:69" ht="16" x14ac:dyDescent="0.35">
      <c r="A674"/>
      <c r="D674"/>
      <c r="G674"/>
      <c r="H674" s="20"/>
      <c r="I674" s="20"/>
      <c r="J674" s="20"/>
      <c r="K674" s="20"/>
      <c r="L674" s="20"/>
      <c r="Q674" s="83"/>
      <c r="Y674" s="20"/>
      <c r="AP674" s="93"/>
      <c r="AQ674" s="31"/>
      <c r="AR674" s="31"/>
      <c r="AS674" s="94"/>
      <c r="AT674" s="31"/>
      <c r="AU674" s="31"/>
      <c r="AV674" s="73" t="s">
        <v>189</v>
      </c>
      <c r="AW674" s="68"/>
      <c r="AX674" s="68"/>
      <c r="AY674" s="68"/>
      <c r="AZ674" s="68"/>
      <c r="BA674" s="68"/>
      <c r="BB674" s="67"/>
      <c r="BC674" s="67"/>
      <c r="BD674" s="67"/>
      <c r="BE674" s="67"/>
      <c r="BF674" s="95">
        <v>0</v>
      </c>
      <c r="BG674" s="48"/>
      <c r="BH674" s="48"/>
      <c r="BI674" s="48"/>
      <c r="BJ674" s="48"/>
      <c r="BK674" s="48"/>
      <c r="BL674" s="48"/>
      <c r="BM674" s="48"/>
      <c r="BN674" s="49"/>
      <c r="BO674" s="48"/>
      <c r="BP674" s="48"/>
      <c r="BQ674" s="50"/>
    </row>
    <row r="675" spans="1:69" ht="16" x14ac:dyDescent="0.35">
      <c r="A675"/>
      <c r="D675"/>
      <c r="G675"/>
      <c r="H675" s="20"/>
      <c r="I675" s="20"/>
      <c r="J675" s="20"/>
      <c r="K675" s="20"/>
      <c r="L675" s="20"/>
      <c r="Q675" s="83"/>
      <c r="Y675" s="20"/>
      <c r="AP675" s="92"/>
      <c r="AQ675" s="67"/>
      <c r="AR675" s="67"/>
      <c r="AS675" s="73"/>
      <c r="AT675" s="67"/>
      <c r="AU675" s="67"/>
      <c r="AV675" s="94" t="s">
        <v>177</v>
      </c>
      <c r="AW675" s="32"/>
      <c r="AX675" s="32"/>
      <c r="AY675" s="32"/>
      <c r="AZ675" s="32"/>
      <c r="BA675" s="32"/>
      <c r="BB675" s="31"/>
      <c r="BC675" s="31"/>
      <c r="BD675" s="31"/>
      <c r="BE675" s="31"/>
      <c r="BF675" s="96">
        <v>0</v>
      </c>
      <c r="BG675" s="52"/>
      <c r="BH675" s="52"/>
      <c r="BI675" s="52"/>
      <c r="BJ675" s="52"/>
      <c r="BK675" s="52"/>
      <c r="BL675" s="52"/>
      <c r="BM675" s="52"/>
      <c r="BN675" s="53"/>
      <c r="BO675" s="52"/>
      <c r="BP675" s="52"/>
      <c r="BQ675" s="54"/>
    </row>
    <row r="676" spans="1:69" ht="16" x14ac:dyDescent="0.35">
      <c r="A676"/>
      <c r="D676"/>
      <c r="G676"/>
      <c r="H676" s="20"/>
      <c r="I676" s="20"/>
      <c r="J676" s="20"/>
      <c r="K676" s="20"/>
      <c r="L676" s="20"/>
      <c r="Q676" s="83"/>
      <c r="Y676" s="20"/>
      <c r="AP676" s="93"/>
      <c r="AQ676" s="31"/>
      <c r="AR676" s="31"/>
      <c r="AS676" s="94"/>
      <c r="AT676" s="31"/>
      <c r="AU676" s="31"/>
      <c r="AV676" s="73" t="s">
        <v>167</v>
      </c>
      <c r="AW676" s="68"/>
      <c r="AX676" s="68"/>
      <c r="AY676" s="68"/>
      <c r="AZ676" s="68"/>
      <c r="BA676" s="68"/>
      <c r="BB676" s="67"/>
      <c r="BC676" s="67"/>
      <c r="BD676" s="67"/>
      <c r="BE676" s="67"/>
      <c r="BF676" s="95">
        <v>1</v>
      </c>
      <c r="BG676" s="48"/>
      <c r="BH676" s="48"/>
      <c r="BI676" s="48"/>
      <c r="BJ676" s="48"/>
      <c r="BK676" s="48"/>
      <c r="BL676" s="48"/>
      <c r="BM676" s="48"/>
      <c r="BN676" s="49"/>
      <c r="BO676" s="48"/>
      <c r="BP676" s="48"/>
      <c r="BQ676" s="50"/>
    </row>
    <row r="677" spans="1:69" ht="16" x14ac:dyDescent="0.35">
      <c r="A677"/>
      <c r="D677"/>
      <c r="G677"/>
      <c r="H677" s="20"/>
      <c r="I677" s="20"/>
      <c r="J677" s="20"/>
      <c r="K677" s="20"/>
      <c r="L677" s="20"/>
      <c r="Q677" s="83"/>
      <c r="Y677" s="20"/>
      <c r="AP677" s="92"/>
      <c r="AQ677" s="67"/>
      <c r="AR677" s="67"/>
      <c r="AS677" s="73"/>
      <c r="AT677" s="67"/>
      <c r="AU677" s="67"/>
      <c r="AV677" s="94" t="s">
        <v>167</v>
      </c>
      <c r="AW677" s="32"/>
      <c r="AX677" s="32"/>
      <c r="AY677" s="32"/>
      <c r="AZ677" s="32"/>
      <c r="BA677" s="32"/>
      <c r="BB677" s="31"/>
      <c r="BC677" s="31"/>
      <c r="BD677" s="31"/>
      <c r="BE677" s="31"/>
      <c r="BF677" s="96">
        <v>0</v>
      </c>
      <c r="BG677" s="52"/>
      <c r="BH677" s="52"/>
      <c r="BI677" s="52"/>
      <c r="BJ677" s="52"/>
      <c r="BK677" s="52"/>
      <c r="BL677" s="52"/>
      <c r="BM677" s="52"/>
      <c r="BN677" s="53"/>
      <c r="BO677" s="52"/>
      <c r="BP677" s="52"/>
      <c r="BQ677" s="54"/>
    </row>
    <row r="678" spans="1:69" ht="16" x14ac:dyDescent="0.35">
      <c r="A678"/>
      <c r="D678"/>
      <c r="G678"/>
      <c r="H678" s="20"/>
      <c r="I678" s="20"/>
      <c r="J678" s="20"/>
      <c r="K678" s="20"/>
      <c r="L678" s="20"/>
      <c r="Q678" s="83"/>
      <c r="Y678" s="20"/>
      <c r="AP678" s="93"/>
      <c r="AQ678" s="31"/>
      <c r="AR678" s="31"/>
      <c r="AS678" s="94"/>
      <c r="AT678" s="31"/>
      <c r="AU678" s="31"/>
      <c r="AV678" s="73" t="s">
        <v>189</v>
      </c>
      <c r="AW678" s="68"/>
      <c r="AX678" s="68"/>
      <c r="AY678" s="68"/>
      <c r="AZ678" s="68"/>
      <c r="BA678" s="68"/>
      <c r="BB678" s="67"/>
      <c r="BC678" s="67"/>
      <c r="BD678" s="67"/>
      <c r="BE678" s="67"/>
      <c r="BF678" s="95">
        <v>0</v>
      </c>
      <c r="BG678" s="48"/>
      <c r="BH678" s="48"/>
      <c r="BI678" s="48"/>
      <c r="BJ678" s="48"/>
      <c r="BK678" s="48"/>
      <c r="BL678" s="48"/>
      <c r="BM678" s="48"/>
      <c r="BN678" s="49"/>
      <c r="BO678" s="48"/>
      <c r="BP678" s="48"/>
      <c r="BQ678" s="50"/>
    </row>
    <row r="679" spans="1:69" ht="16" x14ac:dyDescent="0.35">
      <c r="A679"/>
      <c r="D679"/>
      <c r="G679"/>
      <c r="H679" s="20"/>
      <c r="I679" s="20"/>
      <c r="J679" s="20"/>
      <c r="K679" s="20"/>
      <c r="L679" s="20"/>
      <c r="Q679" s="83"/>
      <c r="Y679" s="20"/>
      <c r="AP679" s="92"/>
      <c r="AQ679" s="67"/>
      <c r="AR679" s="67"/>
      <c r="AS679" s="73"/>
      <c r="AT679" s="67"/>
      <c r="AU679" s="67"/>
      <c r="AV679" s="94" t="s">
        <v>183</v>
      </c>
      <c r="AW679" s="32"/>
      <c r="AX679" s="32"/>
      <c r="AY679" s="32"/>
      <c r="AZ679" s="32"/>
      <c r="BA679" s="32"/>
      <c r="BB679" s="31"/>
      <c r="BC679" s="31"/>
      <c r="BD679" s="31"/>
      <c r="BE679" s="31"/>
      <c r="BF679" s="96">
        <v>0</v>
      </c>
      <c r="BG679" s="52"/>
      <c r="BH679" s="52"/>
      <c r="BI679" s="52"/>
      <c r="BJ679" s="52"/>
      <c r="BK679" s="52"/>
      <c r="BL679" s="52"/>
      <c r="BM679" s="52"/>
      <c r="BN679" s="53"/>
      <c r="BO679" s="52"/>
      <c r="BP679" s="52"/>
      <c r="BQ679" s="54"/>
    </row>
    <row r="680" spans="1:69" ht="16" x14ac:dyDescent="0.35">
      <c r="A680"/>
      <c r="D680"/>
      <c r="G680"/>
      <c r="H680" s="20"/>
      <c r="I680" s="20"/>
      <c r="J680" s="20"/>
      <c r="K680" s="20"/>
      <c r="L680" s="20"/>
      <c r="Q680" s="83"/>
      <c r="Y680" s="20"/>
      <c r="AP680" s="93"/>
      <c r="AQ680" s="31"/>
      <c r="AR680" s="31"/>
      <c r="AS680" s="94"/>
      <c r="AT680" s="31"/>
      <c r="AU680" s="31"/>
      <c r="AV680" s="73" t="s">
        <v>173</v>
      </c>
      <c r="AW680" s="68"/>
      <c r="AX680" s="68"/>
      <c r="AY680" s="68"/>
      <c r="AZ680" s="68"/>
      <c r="BA680" s="68"/>
      <c r="BB680" s="67"/>
      <c r="BC680" s="67"/>
      <c r="BD680" s="67"/>
      <c r="BE680" s="67"/>
      <c r="BF680" s="95">
        <v>0</v>
      </c>
      <c r="BG680" s="48"/>
      <c r="BH680" s="48"/>
      <c r="BI680" s="48"/>
      <c r="BJ680" s="48"/>
      <c r="BK680" s="48"/>
      <c r="BL680" s="48"/>
      <c r="BM680" s="48"/>
      <c r="BN680" s="49"/>
      <c r="BO680" s="48"/>
      <c r="BP680" s="48"/>
      <c r="BQ680" s="50"/>
    </row>
    <row r="681" spans="1:69" ht="16" x14ac:dyDescent="0.35">
      <c r="A681"/>
      <c r="D681"/>
      <c r="G681"/>
      <c r="H681" s="20"/>
      <c r="I681" s="20"/>
      <c r="J681" s="20"/>
      <c r="K681" s="20"/>
      <c r="L681" s="20"/>
      <c r="Q681" s="83"/>
      <c r="Y681" s="20"/>
      <c r="AP681" s="92"/>
      <c r="AQ681" s="67"/>
      <c r="AR681" s="67"/>
      <c r="AS681" s="73"/>
      <c r="AT681" s="67"/>
      <c r="AU681" s="67"/>
      <c r="AV681" s="94" t="s">
        <v>167</v>
      </c>
      <c r="AW681" s="32"/>
      <c r="AX681" s="32"/>
      <c r="AY681" s="32"/>
      <c r="AZ681" s="32"/>
      <c r="BA681" s="32"/>
      <c r="BB681" s="31"/>
      <c r="BC681" s="31"/>
      <c r="BD681" s="31"/>
      <c r="BE681" s="31"/>
      <c r="BF681" s="96">
        <v>0</v>
      </c>
      <c r="BG681" s="52"/>
      <c r="BH681" s="52"/>
      <c r="BI681" s="52"/>
      <c r="BJ681" s="52"/>
      <c r="BK681" s="52"/>
      <c r="BL681" s="52"/>
      <c r="BM681" s="52"/>
      <c r="BN681" s="53"/>
      <c r="BO681" s="52"/>
      <c r="BP681" s="52"/>
      <c r="BQ681" s="54"/>
    </row>
    <row r="682" spans="1:69" ht="16" x14ac:dyDescent="0.35">
      <c r="A682"/>
      <c r="D682"/>
      <c r="G682"/>
      <c r="H682" s="20"/>
      <c r="I682" s="20"/>
      <c r="J682" s="20"/>
      <c r="K682" s="20"/>
      <c r="L682" s="20"/>
      <c r="Q682" s="83"/>
      <c r="Y682" s="20"/>
      <c r="AP682" s="93"/>
      <c r="AQ682" s="31"/>
      <c r="AR682" s="31"/>
      <c r="AS682" s="94"/>
      <c r="AT682" s="31"/>
      <c r="AU682" s="31"/>
      <c r="AV682" s="73" t="s">
        <v>180</v>
      </c>
      <c r="AW682" s="68"/>
      <c r="AX682" s="68"/>
      <c r="AY682" s="68"/>
      <c r="AZ682" s="68"/>
      <c r="BA682" s="68"/>
      <c r="BB682" s="67"/>
      <c r="BC682" s="67"/>
      <c r="BD682" s="67"/>
      <c r="BE682" s="67"/>
      <c r="BF682" s="95">
        <v>0</v>
      </c>
      <c r="BG682" s="48"/>
      <c r="BH682" s="48"/>
      <c r="BI682" s="48"/>
      <c r="BJ682" s="48"/>
      <c r="BK682" s="48"/>
      <c r="BL682" s="48"/>
      <c r="BM682" s="48"/>
      <c r="BN682" s="49"/>
      <c r="BO682" s="48"/>
      <c r="BP682" s="48"/>
      <c r="BQ682" s="50"/>
    </row>
    <row r="683" spans="1:69" ht="16" x14ac:dyDescent="0.35">
      <c r="A683"/>
      <c r="D683"/>
      <c r="G683"/>
      <c r="H683" s="20"/>
      <c r="I683" s="20"/>
      <c r="J683" s="20"/>
      <c r="K683" s="20"/>
      <c r="L683" s="20"/>
      <c r="Q683" s="83"/>
      <c r="Y683" s="20"/>
      <c r="AP683" s="92"/>
      <c r="AQ683" s="67"/>
      <c r="AR683" s="67"/>
      <c r="AS683" s="73"/>
      <c r="AT683" s="67"/>
      <c r="AU683" s="67"/>
      <c r="AV683" s="94" t="s">
        <v>189</v>
      </c>
      <c r="AW683" s="32"/>
      <c r="AX683" s="32"/>
      <c r="AY683" s="32"/>
      <c r="AZ683" s="32"/>
      <c r="BA683" s="32"/>
      <c r="BB683" s="31"/>
      <c r="BC683" s="31"/>
      <c r="BD683" s="31"/>
      <c r="BE683" s="31"/>
      <c r="BF683" s="96">
        <v>0</v>
      </c>
      <c r="BG683" s="52"/>
      <c r="BH683" s="52"/>
      <c r="BI683" s="52"/>
      <c r="BJ683" s="52"/>
      <c r="BK683" s="52"/>
      <c r="BL683" s="52"/>
      <c r="BM683" s="52"/>
      <c r="BN683" s="53"/>
      <c r="BO683" s="52"/>
      <c r="BP683" s="52"/>
      <c r="BQ683" s="54"/>
    </row>
    <row r="684" spans="1:69" ht="16" x14ac:dyDescent="0.35">
      <c r="A684"/>
      <c r="D684"/>
      <c r="G684"/>
      <c r="H684" s="20"/>
      <c r="I684" s="20"/>
      <c r="J684" s="20"/>
      <c r="K684" s="20"/>
      <c r="L684" s="20"/>
      <c r="Q684" s="83"/>
      <c r="Y684" s="20"/>
      <c r="AP684" s="93"/>
      <c r="AQ684" s="31"/>
      <c r="AR684" s="31"/>
      <c r="AS684" s="94"/>
      <c r="AT684" s="31"/>
      <c r="AU684" s="31"/>
      <c r="AV684" s="73" t="s">
        <v>167</v>
      </c>
      <c r="AW684" s="68"/>
      <c r="AX684" s="68"/>
      <c r="AY684" s="68"/>
      <c r="AZ684" s="68"/>
      <c r="BA684" s="68"/>
      <c r="BB684" s="67"/>
      <c r="BC684" s="67"/>
      <c r="BD684" s="67"/>
      <c r="BE684" s="67"/>
      <c r="BF684" s="95">
        <v>0</v>
      </c>
      <c r="BG684" s="48"/>
      <c r="BH684" s="48"/>
      <c r="BI684" s="48"/>
      <c r="BJ684" s="48"/>
      <c r="BK684" s="48"/>
      <c r="BL684" s="48"/>
      <c r="BM684" s="48"/>
      <c r="BN684" s="49"/>
      <c r="BO684" s="48"/>
      <c r="BP684" s="48"/>
      <c r="BQ684" s="50"/>
    </row>
    <row r="685" spans="1:69" ht="16" x14ac:dyDescent="0.35">
      <c r="A685"/>
      <c r="D685"/>
      <c r="G685"/>
      <c r="H685" s="20"/>
      <c r="I685" s="20"/>
      <c r="J685" s="20"/>
      <c r="K685" s="20"/>
      <c r="L685" s="20"/>
      <c r="Q685" s="83"/>
      <c r="Y685" s="20"/>
      <c r="AP685" s="92"/>
      <c r="AQ685" s="67"/>
      <c r="AR685" s="67"/>
      <c r="AS685" s="73"/>
      <c r="AT685" s="67"/>
      <c r="AU685" s="67"/>
      <c r="AV685" s="94" t="s">
        <v>173</v>
      </c>
      <c r="AW685" s="32"/>
      <c r="AX685" s="32"/>
      <c r="AY685" s="32"/>
      <c r="AZ685" s="32"/>
      <c r="BA685" s="32"/>
      <c r="BB685" s="31"/>
      <c r="BC685" s="31"/>
      <c r="BD685" s="31"/>
      <c r="BE685" s="31"/>
      <c r="BF685" s="96">
        <v>17</v>
      </c>
      <c r="BG685" s="52"/>
      <c r="BH685" s="52"/>
      <c r="BI685" s="52"/>
      <c r="BJ685" s="52"/>
      <c r="BK685" s="52"/>
      <c r="BL685" s="52"/>
      <c r="BM685" s="52"/>
      <c r="BN685" s="53"/>
      <c r="BO685" s="52"/>
      <c r="BP685" s="52"/>
      <c r="BQ685" s="54"/>
    </row>
    <row r="686" spans="1:69" ht="16" x14ac:dyDescent="0.35">
      <c r="A686"/>
      <c r="D686"/>
      <c r="G686"/>
      <c r="H686" s="20"/>
      <c r="I686" s="20"/>
      <c r="J686" s="20"/>
      <c r="K686" s="20"/>
      <c r="L686" s="20"/>
      <c r="Q686" s="83"/>
      <c r="Y686" s="20"/>
      <c r="AP686" s="93"/>
      <c r="AQ686" s="31"/>
      <c r="AR686" s="31"/>
      <c r="AS686" s="94"/>
      <c r="AT686" s="31"/>
      <c r="AU686" s="31"/>
      <c r="AV686" s="73" t="s">
        <v>184</v>
      </c>
      <c r="AW686" s="68"/>
      <c r="AX686" s="68"/>
      <c r="AY686" s="68"/>
      <c r="AZ686" s="68"/>
      <c r="BA686" s="68"/>
      <c r="BB686" s="67"/>
      <c r="BC686" s="67"/>
      <c r="BD686" s="67"/>
      <c r="BE686" s="67"/>
      <c r="BF686" s="95">
        <v>1</v>
      </c>
      <c r="BG686" s="48"/>
      <c r="BH686" s="48"/>
      <c r="BI686" s="48"/>
      <c r="BJ686" s="48"/>
      <c r="BK686" s="48"/>
      <c r="BL686" s="48"/>
      <c r="BM686" s="48"/>
      <c r="BN686" s="49"/>
      <c r="BO686" s="48"/>
      <c r="BP686" s="48"/>
      <c r="BQ686" s="50"/>
    </row>
    <row r="687" spans="1:69" ht="16" x14ac:dyDescent="0.35">
      <c r="A687"/>
      <c r="D687"/>
      <c r="G687"/>
      <c r="H687" s="20"/>
      <c r="I687" s="20"/>
      <c r="J687" s="20"/>
      <c r="K687" s="20"/>
      <c r="L687" s="20"/>
      <c r="Q687" s="83"/>
      <c r="Y687" s="20"/>
      <c r="AP687" s="92"/>
      <c r="AQ687" s="67"/>
      <c r="AR687" s="67"/>
      <c r="AS687" s="73"/>
      <c r="AT687" s="67"/>
      <c r="AU687" s="67"/>
      <c r="AV687" s="94" t="s">
        <v>174</v>
      </c>
      <c r="AW687" s="32"/>
      <c r="AX687" s="32"/>
      <c r="AY687" s="32"/>
      <c r="AZ687" s="32"/>
      <c r="BA687" s="32"/>
      <c r="BB687" s="31"/>
      <c r="BC687" s="31"/>
      <c r="BD687" s="31"/>
      <c r="BE687" s="31"/>
      <c r="BF687" s="96">
        <v>0</v>
      </c>
      <c r="BG687" s="52"/>
      <c r="BH687" s="52"/>
      <c r="BI687" s="52"/>
      <c r="BJ687" s="52"/>
      <c r="BK687" s="52"/>
      <c r="BL687" s="52"/>
      <c r="BM687" s="52"/>
      <c r="BN687" s="53"/>
      <c r="BO687" s="52"/>
      <c r="BP687" s="52"/>
      <c r="BQ687" s="54"/>
    </row>
    <row r="688" spans="1:69" ht="16" x14ac:dyDescent="0.35">
      <c r="A688"/>
      <c r="D688"/>
      <c r="G688"/>
      <c r="H688" s="20"/>
      <c r="I688" s="20"/>
      <c r="J688" s="20"/>
      <c r="K688" s="20"/>
      <c r="L688" s="20"/>
      <c r="Q688" s="83"/>
      <c r="Y688" s="20"/>
      <c r="AP688" s="93"/>
      <c r="AQ688" s="31"/>
      <c r="AR688" s="31"/>
      <c r="AS688" s="94"/>
      <c r="AT688" s="31"/>
      <c r="AU688" s="31"/>
      <c r="AV688" s="73" t="s">
        <v>176</v>
      </c>
      <c r="AW688" s="68"/>
      <c r="AX688" s="68"/>
      <c r="AY688" s="68"/>
      <c r="AZ688" s="68"/>
      <c r="BA688" s="68"/>
      <c r="BB688" s="67"/>
      <c r="BC688" s="67"/>
      <c r="BD688" s="67"/>
      <c r="BE688" s="67"/>
      <c r="BF688" s="95">
        <v>17</v>
      </c>
      <c r="BG688" s="48"/>
      <c r="BH688" s="48"/>
      <c r="BI688" s="48"/>
      <c r="BJ688" s="48"/>
      <c r="BK688" s="48"/>
      <c r="BL688" s="48"/>
      <c r="BM688" s="48"/>
      <c r="BN688" s="49"/>
      <c r="BO688" s="48"/>
      <c r="BP688" s="48"/>
      <c r="BQ688" s="50"/>
    </row>
    <row r="689" spans="1:69" ht="16" x14ac:dyDescent="0.35">
      <c r="A689"/>
      <c r="D689"/>
      <c r="G689"/>
      <c r="H689" s="20"/>
      <c r="I689" s="20"/>
      <c r="J689" s="20"/>
      <c r="K689" s="20"/>
      <c r="L689" s="20"/>
      <c r="Q689" s="83"/>
      <c r="Y689" s="20"/>
      <c r="AP689" s="92"/>
      <c r="AQ689" s="67"/>
      <c r="AR689" s="67"/>
      <c r="AS689" s="73"/>
      <c r="AT689" s="67"/>
      <c r="AU689" s="67"/>
      <c r="AV689" s="94" t="s">
        <v>167</v>
      </c>
      <c r="AW689" s="32"/>
      <c r="AX689" s="32"/>
      <c r="AY689" s="32"/>
      <c r="AZ689" s="32"/>
      <c r="BA689" s="32"/>
      <c r="BB689" s="31"/>
      <c r="BC689" s="31"/>
      <c r="BD689" s="31"/>
      <c r="BE689" s="31"/>
      <c r="BF689" s="96">
        <v>1</v>
      </c>
      <c r="BG689" s="52"/>
      <c r="BH689" s="52"/>
      <c r="BI689" s="52"/>
      <c r="BJ689" s="52"/>
      <c r="BK689" s="52"/>
      <c r="BL689" s="52"/>
      <c r="BM689" s="52"/>
      <c r="BN689" s="53"/>
      <c r="BO689" s="52"/>
      <c r="BP689" s="52"/>
      <c r="BQ689" s="54"/>
    </row>
    <row r="690" spans="1:69" ht="16" x14ac:dyDescent="0.35">
      <c r="A690"/>
      <c r="D690"/>
      <c r="G690"/>
      <c r="H690" s="20"/>
      <c r="I690" s="20"/>
      <c r="J690" s="20"/>
      <c r="K690" s="20"/>
      <c r="L690" s="20"/>
      <c r="Q690" s="83"/>
      <c r="Y690" s="20"/>
      <c r="AP690" s="93"/>
      <c r="AQ690" s="31"/>
      <c r="AR690" s="31"/>
      <c r="AS690" s="94"/>
      <c r="AT690" s="31"/>
      <c r="AU690" s="31"/>
      <c r="AV690" s="73" t="s">
        <v>175</v>
      </c>
      <c r="AW690" s="68"/>
      <c r="AX690" s="68"/>
      <c r="AY690" s="68"/>
      <c r="AZ690" s="68"/>
      <c r="BA690" s="68"/>
      <c r="BB690" s="67"/>
      <c r="BC690" s="67"/>
      <c r="BD690" s="67"/>
      <c r="BE690" s="67"/>
      <c r="BF690" s="95">
        <v>0</v>
      </c>
      <c r="BG690" s="48"/>
      <c r="BH690" s="48"/>
      <c r="BI690" s="48"/>
      <c r="BJ690" s="48"/>
      <c r="BK690" s="48"/>
      <c r="BL690" s="48"/>
      <c r="BM690" s="48"/>
      <c r="BN690" s="49"/>
      <c r="BO690" s="48"/>
      <c r="BP690" s="48"/>
      <c r="BQ690" s="50"/>
    </row>
    <row r="691" spans="1:69" ht="16" x14ac:dyDescent="0.35">
      <c r="A691"/>
      <c r="D691"/>
      <c r="G691"/>
      <c r="H691" s="20"/>
      <c r="I691" s="20"/>
      <c r="J691" s="20"/>
      <c r="K691" s="20"/>
      <c r="L691" s="20"/>
      <c r="Q691" s="83"/>
      <c r="Y691" s="20"/>
      <c r="AP691" s="92"/>
      <c r="AQ691" s="67"/>
      <c r="AR691" s="67"/>
      <c r="AS691" s="73"/>
      <c r="AT691" s="67"/>
      <c r="AU691" s="67"/>
      <c r="AV691" s="94" t="s">
        <v>189</v>
      </c>
      <c r="AW691" s="32"/>
      <c r="AX691" s="32"/>
      <c r="AY691" s="32"/>
      <c r="AZ691" s="32"/>
      <c r="BA691" s="32"/>
      <c r="BB691" s="31"/>
      <c r="BC691" s="31"/>
      <c r="BD691" s="31"/>
      <c r="BE691" s="31"/>
      <c r="BF691" s="96">
        <v>0</v>
      </c>
      <c r="BG691" s="52"/>
      <c r="BH691" s="52"/>
      <c r="BI691" s="52"/>
      <c r="BJ691" s="52"/>
      <c r="BK691" s="52"/>
      <c r="BL691" s="52"/>
      <c r="BM691" s="52"/>
      <c r="BN691" s="53"/>
      <c r="BO691" s="52"/>
      <c r="BP691" s="52"/>
      <c r="BQ691" s="54"/>
    </row>
    <row r="692" spans="1:69" ht="16" x14ac:dyDescent="0.35">
      <c r="A692"/>
      <c r="D692"/>
      <c r="G692"/>
      <c r="H692" s="20"/>
      <c r="I692" s="20"/>
      <c r="J692" s="20"/>
      <c r="K692" s="20"/>
      <c r="L692" s="20"/>
      <c r="Q692" s="83"/>
      <c r="Y692" s="20"/>
      <c r="AP692" s="93"/>
      <c r="AQ692" s="31"/>
      <c r="AR692" s="31"/>
      <c r="AS692" s="94"/>
      <c r="AT692" s="31"/>
      <c r="AU692" s="31"/>
      <c r="AV692" s="73" t="s">
        <v>167</v>
      </c>
      <c r="AW692" s="68"/>
      <c r="AX692" s="68"/>
      <c r="AY692" s="68"/>
      <c r="AZ692" s="68"/>
      <c r="BA692" s="68"/>
      <c r="BB692" s="67"/>
      <c r="BC692" s="67"/>
      <c r="BD692" s="67"/>
      <c r="BE692" s="67"/>
      <c r="BF692" s="95">
        <v>0</v>
      </c>
      <c r="BG692" s="48"/>
      <c r="BH692" s="48"/>
      <c r="BI692" s="48"/>
      <c r="BJ692" s="48"/>
      <c r="BK692" s="48"/>
      <c r="BL692" s="48"/>
      <c r="BM692" s="48"/>
      <c r="BN692" s="49"/>
      <c r="BO692" s="48"/>
      <c r="BP692" s="48"/>
      <c r="BQ692" s="50"/>
    </row>
    <row r="693" spans="1:69" ht="16" x14ac:dyDescent="0.35">
      <c r="A693"/>
      <c r="D693"/>
      <c r="G693"/>
      <c r="H693" s="20"/>
      <c r="I693" s="20"/>
      <c r="J693" s="20"/>
      <c r="K693" s="20"/>
      <c r="L693" s="20"/>
      <c r="Q693" s="83"/>
      <c r="Y693" s="20"/>
      <c r="AP693" s="92"/>
      <c r="AQ693" s="67"/>
      <c r="AR693" s="67"/>
      <c r="AS693" s="73"/>
      <c r="AT693" s="67"/>
      <c r="AU693" s="67"/>
      <c r="AV693" s="94" t="s">
        <v>176</v>
      </c>
      <c r="AW693" s="32"/>
      <c r="AX693" s="32"/>
      <c r="AY693" s="32"/>
      <c r="AZ693" s="32"/>
      <c r="BA693" s="32"/>
      <c r="BB693" s="31"/>
      <c r="BC693" s="31"/>
      <c r="BD693" s="31"/>
      <c r="BE693" s="31"/>
      <c r="BF693" s="96">
        <v>0</v>
      </c>
      <c r="BG693" s="52"/>
      <c r="BH693" s="52"/>
      <c r="BI693" s="52"/>
      <c r="BJ693" s="52"/>
      <c r="BK693" s="52"/>
      <c r="BL693" s="52"/>
      <c r="BM693" s="52"/>
      <c r="BN693" s="53"/>
      <c r="BO693" s="52"/>
      <c r="BP693" s="52"/>
      <c r="BQ693" s="54"/>
    </row>
    <row r="694" spans="1:69" ht="16" x14ac:dyDescent="0.35">
      <c r="A694"/>
      <c r="D694"/>
      <c r="G694"/>
      <c r="H694" s="20"/>
      <c r="I694" s="20"/>
      <c r="J694" s="20"/>
      <c r="K694" s="20"/>
      <c r="L694" s="20"/>
      <c r="Q694" s="83"/>
      <c r="Y694" s="20"/>
      <c r="AP694" s="93"/>
      <c r="AQ694" s="31"/>
      <c r="AR694" s="31"/>
      <c r="AS694" s="94"/>
      <c r="AT694" s="31"/>
      <c r="AU694" s="31"/>
      <c r="AV694" s="73" t="s">
        <v>168</v>
      </c>
      <c r="AW694" s="68"/>
      <c r="AX694" s="68"/>
      <c r="AY694" s="68"/>
      <c r="AZ694" s="68"/>
      <c r="BA694" s="68"/>
      <c r="BB694" s="67"/>
      <c r="BC694" s="67"/>
      <c r="BD694" s="67"/>
      <c r="BE694" s="67"/>
      <c r="BF694" s="95">
        <v>0</v>
      </c>
      <c r="BG694" s="48"/>
      <c r="BH694" s="48"/>
      <c r="BI694" s="48"/>
      <c r="BJ694" s="48"/>
      <c r="BK694" s="48"/>
      <c r="BL694" s="48"/>
      <c r="BM694" s="48"/>
      <c r="BN694" s="49"/>
      <c r="BO694" s="48"/>
      <c r="BP694" s="48"/>
      <c r="BQ694" s="50"/>
    </row>
    <row r="695" spans="1:69" ht="16" x14ac:dyDescent="0.35">
      <c r="A695"/>
      <c r="D695"/>
      <c r="G695"/>
      <c r="H695" s="20"/>
      <c r="I695" s="20"/>
      <c r="J695" s="20"/>
      <c r="K695" s="20"/>
      <c r="L695" s="20"/>
      <c r="Q695" s="83"/>
      <c r="Y695" s="20"/>
      <c r="AP695" s="92"/>
      <c r="AQ695" s="67"/>
      <c r="AR695" s="67"/>
      <c r="AS695" s="73"/>
      <c r="AT695" s="67"/>
      <c r="AU695" s="67"/>
      <c r="AV695" s="94" t="s">
        <v>189</v>
      </c>
      <c r="AW695" s="32"/>
      <c r="AX695" s="32"/>
      <c r="AY695" s="32"/>
      <c r="AZ695" s="32"/>
      <c r="BA695" s="32"/>
      <c r="BB695" s="31"/>
      <c r="BC695" s="31"/>
      <c r="BD695" s="31"/>
      <c r="BE695" s="31"/>
      <c r="BF695" s="96">
        <v>0</v>
      </c>
      <c r="BG695" s="52"/>
      <c r="BH695" s="52"/>
      <c r="BI695" s="52"/>
      <c r="BJ695" s="52"/>
      <c r="BK695" s="52"/>
      <c r="BL695" s="52"/>
      <c r="BM695" s="52"/>
      <c r="BN695" s="53"/>
      <c r="BO695" s="52"/>
      <c r="BP695" s="52"/>
      <c r="BQ695" s="54"/>
    </row>
    <row r="696" spans="1:69" ht="16" x14ac:dyDescent="0.35">
      <c r="A696"/>
      <c r="D696"/>
      <c r="G696"/>
      <c r="H696" s="20"/>
      <c r="I696" s="20"/>
      <c r="J696" s="20"/>
      <c r="K696" s="20"/>
      <c r="L696" s="20"/>
      <c r="Q696" s="83"/>
      <c r="Y696" s="20"/>
      <c r="AP696" s="93"/>
      <c r="AQ696" s="31"/>
      <c r="AR696" s="31"/>
      <c r="AS696" s="94"/>
      <c r="AT696" s="31"/>
      <c r="AU696" s="31"/>
      <c r="AV696" s="73" t="s">
        <v>205</v>
      </c>
      <c r="AW696" s="68"/>
      <c r="AX696" s="68"/>
      <c r="AY696" s="68"/>
      <c r="AZ696" s="68"/>
      <c r="BA696" s="68"/>
      <c r="BB696" s="67"/>
      <c r="BC696" s="67"/>
      <c r="BD696" s="67"/>
      <c r="BE696" s="67"/>
      <c r="BF696" s="95">
        <v>0</v>
      </c>
      <c r="BG696" s="48"/>
      <c r="BH696" s="48"/>
      <c r="BI696" s="48"/>
      <c r="BJ696" s="48"/>
      <c r="BK696" s="48"/>
      <c r="BL696" s="48"/>
      <c r="BM696" s="48"/>
      <c r="BN696" s="49"/>
      <c r="BO696" s="48"/>
      <c r="BP696" s="48"/>
      <c r="BQ696" s="50"/>
    </row>
    <row r="697" spans="1:69" ht="16" x14ac:dyDescent="0.35">
      <c r="A697"/>
      <c r="D697"/>
      <c r="G697"/>
      <c r="H697" s="20"/>
      <c r="I697" s="20"/>
      <c r="J697" s="20"/>
      <c r="K697" s="20"/>
      <c r="L697" s="20"/>
      <c r="Q697" s="83"/>
      <c r="Y697" s="20"/>
      <c r="AP697" s="92"/>
      <c r="AQ697" s="67"/>
      <c r="AR697" s="67"/>
      <c r="AS697" s="73"/>
      <c r="AT697" s="67"/>
      <c r="AU697" s="67"/>
      <c r="AV697" s="94" t="s">
        <v>175</v>
      </c>
      <c r="AW697" s="32"/>
      <c r="AX697" s="32"/>
      <c r="AY697" s="32"/>
      <c r="AZ697" s="32"/>
      <c r="BA697" s="32"/>
      <c r="BB697" s="31"/>
      <c r="BC697" s="31"/>
      <c r="BD697" s="31"/>
      <c r="BE697" s="31"/>
      <c r="BF697" s="96">
        <v>0</v>
      </c>
      <c r="BG697" s="52"/>
      <c r="BH697" s="52"/>
      <c r="BI697" s="52"/>
      <c r="BJ697" s="52"/>
      <c r="BK697" s="52"/>
      <c r="BL697" s="52"/>
      <c r="BM697" s="52"/>
      <c r="BN697" s="53"/>
      <c r="BO697" s="52"/>
      <c r="BP697" s="52"/>
      <c r="BQ697" s="54"/>
    </row>
    <row r="698" spans="1:69" ht="16" x14ac:dyDescent="0.35">
      <c r="A698"/>
      <c r="D698"/>
      <c r="G698"/>
      <c r="H698" s="20"/>
      <c r="I698" s="20"/>
      <c r="J698" s="20"/>
      <c r="K698" s="20"/>
      <c r="L698" s="20"/>
      <c r="Q698" s="83"/>
      <c r="Y698" s="20"/>
      <c r="AP698" s="93"/>
      <c r="AQ698" s="31"/>
      <c r="AR698" s="31"/>
      <c r="AS698" s="94"/>
      <c r="AT698" s="31"/>
      <c r="AU698" s="31"/>
      <c r="AV698" s="73" t="s">
        <v>183</v>
      </c>
      <c r="AW698" s="68"/>
      <c r="AX698" s="68"/>
      <c r="AY698" s="68"/>
      <c r="AZ698" s="68"/>
      <c r="BA698" s="68"/>
      <c r="BB698" s="67"/>
      <c r="BC698" s="67"/>
      <c r="BD698" s="67"/>
      <c r="BE698" s="67"/>
      <c r="BF698" s="95">
        <v>0</v>
      </c>
      <c r="BG698" s="48"/>
      <c r="BH698" s="48"/>
      <c r="BI698" s="48"/>
      <c r="BJ698" s="48"/>
      <c r="BK698" s="48"/>
      <c r="BL698" s="48"/>
      <c r="BM698" s="48"/>
      <c r="BN698" s="49"/>
      <c r="BO698" s="48"/>
      <c r="BP698" s="48"/>
      <c r="BQ698" s="50"/>
    </row>
    <row r="699" spans="1:69" ht="16" x14ac:dyDescent="0.35">
      <c r="A699"/>
      <c r="D699"/>
      <c r="G699"/>
      <c r="H699" s="20"/>
      <c r="I699" s="20"/>
      <c r="J699" s="20"/>
      <c r="K699" s="20"/>
      <c r="L699" s="20"/>
      <c r="Q699" s="83"/>
      <c r="Y699" s="20"/>
      <c r="AP699" s="92"/>
      <c r="AQ699" s="67"/>
      <c r="AR699" s="67"/>
      <c r="AS699" s="73"/>
      <c r="AT699" s="67"/>
      <c r="AU699" s="67"/>
      <c r="AV699" s="94" t="s">
        <v>205</v>
      </c>
      <c r="AW699" s="32"/>
      <c r="AX699" s="32"/>
      <c r="AY699" s="32"/>
      <c r="AZ699" s="32"/>
      <c r="BA699" s="32"/>
      <c r="BB699" s="31"/>
      <c r="BC699" s="31"/>
      <c r="BD699" s="31"/>
      <c r="BE699" s="31"/>
      <c r="BF699" s="96">
        <v>0</v>
      </c>
      <c r="BG699" s="52"/>
      <c r="BH699" s="52"/>
      <c r="BI699" s="52"/>
      <c r="BJ699" s="52"/>
      <c r="BK699" s="52"/>
      <c r="BL699" s="52"/>
      <c r="BM699" s="52"/>
      <c r="BN699" s="53"/>
      <c r="BO699" s="52"/>
      <c r="BP699" s="52"/>
      <c r="BQ699" s="54"/>
    </row>
    <row r="700" spans="1:69" ht="16" x14ac:dyDescent="0.35">
      <c r="A700"/>
      <c r="D700"/>
      <c r="G700"/>
      <c r="H700" s="20"/>
      <c r="I700" s="20"/>
      <c r="J700" s="20"/>
      <c r="K700" s="20"/>
      <c r="L700" s="20"/>
      <c r="Q700" s="83"/>
      <c r="Y700" s="20"/>
      <c r="AP700" s="93"/>
      <c r="AQ700" s="31"/>
      <c r="AR700" s="31"/>
      <c r="AS700" s="94"/>
      <c r="AT700" s="31"/>
      <c r="AU700" s="31"/>
      <c r="AV700" s="73" t="s">
        <v>175</v>
      </c>
      <c r="AW700" s="68"/>
      <c r="AX700" s="68"/>
      <c r="AY700" s="68"/>
      <c r="AZ700" s="68"/>
      <c r="BA700" s="68"/>
      <c r="BB700" s="67"/>
      <c r="BC700" s="67"/>
      <c r="BD700" s="67"/>
      <c r="BE700" s="67"/>
      <c r="BF700" s="95">
        <v>0</v>
      </c>
      <c r="BG700" s="48"/>
      <c r="BH700" s="48"/>
      <c r="BI700" s="48"/>
      <c r="BJ700" s="48"/>
      <c r="BK700" s="48"/>
      <c r="BL700" s="48"/>
      <c r="BM700" s="48"/>
      <c r="BN700" s="49"/>
      <c r="BO700" s="48"/>
      <c r="BP700" s="48"/>
      <c r="BQ700" s="50"/>
    </row>
    <row r="701" spans="1:69" ht="16" x14ac:dyDescent="0.35">
      <c r="A701"/>
      <c r="D701"/>
      <c r="G701"/>
      <c r="H701" s="20"/>
      <c r="I701" s="20"/>
      <c r="J701" s="20"/>
      <c r="K701" s="20"/>
      <c r="L701" s="20"/>
      <c r="Q701" s="83"/>
      <c r="Y701" s="20"/>
      <c r="AP701" s="92"/>
      <c r="AQ701" s="67"/>
      <c r="AR701" s="67"/>
      <c r="AS701" s="73"/>
      <c r="AT701" s="67"/>
      <c r="AU701" s="67"/>
      <c r="AV701" s="94" t="s">
        <v>209</v>
      </c>
      <c r="AW701" s="32"/>
      <c r="AX701" s="32"/>
      <c r="AY701" s="32"/>
      <c r="AZ701" s="32"/>
      <c r="BA701" s="32"/>
      <c r="BB701" s="31"/>
      <c r="BC701" s="31"/>
      <c r="BD701" s="31"/>
      <c r="BE701" s="31"/>
      <c r="BF701" s="96">
        <v>2</v>
      </c>
      <c r="BG701" s="52"/>
      <c r="BH701" s="52"/>
      <c r="BI701" s="52"/>
      <c r="BJ701" s="52"/>
      <c r="BK701" s="52"/>
      <c r="BL701" s="52"/>
      <c r="BM701" s="52"/>
      <c r="BN701" s="53"/>
      <c r="BO701" s="52"/>
      <c r="BP701" s="52"/>
      <c r="BQ701" s="54"/>
    </row>
    <row r="702" spans="1:69" ht="16" x14ac:dyDescent="0.35">
      <c r="A702"/>
      <c r="D702"/>
      <c r="G702"/>
      <c r="H702" s="20"/>
      <c r="I702" s="20"/>
      <c r="J702" s="20"/>
      <c r="K702" s="20"/>
      <c r="L702" s="20"/>
      <c r="Q702" s="83"/>
      <c r="Y702" s="20"/>
      <c r="AP702" s="93"/>
      <c r="AQ702" s="31"/>
      <c r="AR702" s="31"/>
      <c r="AS702" s="94"/>
      <c r="AT702" s="31"/>
      <c r="AU702" s="31"/>
      <c r="AV702" s="73" t="s">
        <v>208</v>
      </c>
      <c r="AW702" s="68"/>
      <c r="AX702" s="68"/>
      <c r="AY702" s="68"/>
      <c r="AZ702" s="68"/>
      <c r="BA702" s="68"/>
      <c r="BB702" s="67"/>
      <c r="BC702" s="67"/>
      <c r="BD702" s="67"/>
      <c r="BE702" s="67"/>
      <c r="BF702" s="95">
        <v>1</v>
      </c>
      <c r="BG702" s="48"/>
      <c r="BH702" s="48"/>
      <c r="BI702" s="48"/>
      <c r="BJ702" s="48"/>
      <c r="BK702" s="48"/>
      <c r="BL702" s="48"/>
      <c r="BM702" s="48"/>
      <c r="BN702" s="49"/>
      <c r="BO702" s="48"/>
      <c r="BP702" s="48"/>
      <c r="BQ702" s="50"/>
    </row>
    <row r="703" spans="1:69" ht="16" x14ac:dyDescent="0.35">
      <c r="A703"/>
      <c r="D703"/>
      <c r="G703"/>
      <c r="H703" s="20"/>
      <c r="I703" s="20"/>
      <c r="J703" s="20"/>
      <c r="K703" s="20"/>
      <c r="L703" s="20"/>
      <c r="Q703" s="83"/>
      <c r="Y703" s="20"/>
      <c r="AP703" s="92"/>
      <c r="AQ703" s="67"/>
      <c r="AR703" s="67"/>
      <c r="AS703" s="73"/>
      <c r="AT703" s="67"/>
      <c r="AU703" s="67"/>
      <c r="AV703" s="94" t="s">
        <v>207</v>
      </c>
      <c r="AW703" s="32"/>
      <c r="AX703" s="32"/>
      <c r="AY703" s="32"/>
      <c r="AZ703" s="32"/>
      <c r="BA703" s="32"/>
      <c r="BB703" s="31"/>
      <c r="BC703" s="31"/>
      <c r="BD703" s="31"/>
      <c r="BE703" s="31"/>
      <c r="BF703" s="96">
        <v>1</v>
      </c>
      <c r="BG703" s="52"/>
      <c r="BH703" s="52"/>
      <c r="BI703" s="52"/>
      <c r="BJ703" s="52"/>
      <c r="BK703" s="52"/>
      <c r="BL703" s="52"/>
      <c r="BM703" s="52"/>
      <c r="BN703" s="53"/>
      <c r="BO703" s="52"/>
      <c r="BP703" s="52"/>
      <c r="BQ703" s="54"/>
    </row>
    <row r="704" spans="1:69" ht="16" x14ac:dyDescent="0.35">
      <c r="A704"/>
      <c r="D704"/>
      <c r="G704"/>
      <c r="H704" s="20"/>
      <c r="I704" s="20"/>
      <c r="J704" s="20"/>
      <c r="K704" s="20"/>
      <c r="L704" s="20"/>
      <c r="Q704" s="83"/>
      <c r="Y704" s="20"/>
      <c r="AP704" s="93"/>
      <c r="AQ704" s="31"/>
      <c r="AR704" s="31"/>
      <c r="AS704" s="94"/>
      <c r="AT704" s="31"/>
      <c r="AU704" s="31"/>
      <c r="AV704" s="73" t="s">
        <v>207</v>
      </c>
      <c r="AW704" s="68"/>
      <c r="AX704" s="68"/>
      <c r="AY704" s="68"/>
      <c r="AZ704" s="68"/>
      <c r="BA704" s="68"/>
      <c r="BB704" s="67"/>
      <c r="BC704" s="67"/>
      <c r="BD704" s="67"/>
      <c r="BE704" s="67"/>
      <c r="BF704" s="95">
        <v>1</v>
      </c>
      <c r="BG704" s="48"/>
      <c r="BH704" s="48"/>
      <c r="BI704" s="48"/>
      <c r="BJ704" s="48"/>
      <c r="BK704" s="48"/>
      <c r="BL704" s="48"/>
      <c r="BM704" s="48"/>
      <c r="BN704" s="49"/>
      <c r="BO704" s="48"/>
      <c r="BP704" s="48"/>
      <c r="BQ704" s="50"/>
    </row>
    <row r="705" spans="1:69" ht="16" x14ac:dyDescent="0.35">
      <c r="A705"/>
      <c r="D705"/>
      <c r="G705"/>
      <c r="H705" s="20"/>
      <c r="I705" s="20"/>
      <c r="J705" s="20"/>
      <c r="K705" s="20"/>
      <c r="L705" s="20"/>
      <c r="Q705" s="83"/>
      <c r="Y705" s="20"/>
      <c r="AP705" s="92"/>
      <c r="AQ705" s="67"/>
      <c r="AR705" s="67"/>
      <c r="AS705" s="73"/>
      <c r="AT705" s="67"/>
      <c r="AU705" s="67"/>
      <c r="AV705" s="94" t="s">
        <v>207</v>
      </c>
      <c r="AW705" s="32"/>
      <c r="AX705" s="32"/>
      <c r="AY705" s="32"/>
      <c r="AZ705" s="32"/>
      <c r="BA705" s="32"/>
      <c r="BB705" s="31"/>
      <c r="BC705" s="31"/>
      <c r="BD705" s="31"/>
      <c r="BE705" s="31"/>
      <c r="BF705" s="96">
        <v>0</v>
      </c>
      <c r="BG705" s="52"/>
      <c r="BH705" s="52"/>
      <c r="BI705" s="52"/>
      <c r="BJ705" s="52"/>
      <c r="BK705" s="52"/>
      <c r="BL705" s="52"/>
      <c r="BM705" s="52"/>
      <c r="BN705" s="53"/>
      <c r="BO705" s="52"/>
      <c r="BP705" s="52"/>
      <c r="BQ705" s="54"/>
    </row>
    <row r="706" spans="1:69" ht="16" x14ac:dyDescent="0.35">
      <c r="A706"/>
      <c r="D706"/>
      <c r="G706"/>
      <c r="H706" s="20"/>
      <c r="I706" s="20"/>
      <c r="J706" s="20"/>
      <c r="K706" s="20"/>
      <c r="L706" s="20"/>
      <c r="Q706" s="83"/>
      <c r="Y706" s="20"/>
      <c r="AP706" s="93"/>
      <c r="AQ706" s="31"/>
      <c r="AR706" s="31"/>
      <c r="AS706" s="94"/>
      <c r="AT706" s="31"/>
      <c r="AU706" s="31"/>
      <c r="AV706" s="73" t="s">
        <v>236</v>
      </c>
      <c r="AW706" s="68"/>
      <c r="AX706" s="68"/>
      <c r="AY706" s="68"/>
      <c r="AZ706" s="68"/>
      <c r="BA706" s="68"/>
      <c r="BB706" s="67"/>
      <c r="BC706" s="67"/>
      <c r="BD706" s="67"/>
      <c r="BE706" s="67"/>
      <c r="BF706" s="95">
        <v>1</v>
      </c>
      <c r="BG706" s="48"/>
      <c r="BH706" s="48"/>
      <c r="BI706" s="48"/>
      <c r="BJ706" s="48"/>
      <c r="BK706" s="48"/>
      <c r="BL706" s="48"/>
      <c r="BM706" s="48"/>
      <c r="BN706" s="49"/>
      <c r="BO706" s="48"/>
      <c r="BP706" s="48"/>
      <c r="BQ706" s="50"/>
    </row>
    <row r="707" spans="1:69" ht="16" x14ac:dyDescent="0.35">
      <c r="A707"/>
      <c r="D707"/>
      <c r="G707"/>
      <c r="H707" s="20"/>
      <c r="I707" s="20"/>
      <c r="J707" s="20"/>
      <c r="K707" s="20"/>
      <c r="L707" s="20"/>
      <c r="Q707" s="83"/>
      <c r="Y707" s="20"/>
      <c r="AP707" s="92"/>
      <c r="AQ707" s="67"/>
      <c r="AR707" s="67"/>
      <c r="AS707" s="73"/>
      <c r="AT707" s="67"/>
      <c r="AU707" s="67"/>
      <c r="AV707" s="94" t="s">
        <v>207</v>
      </c>
      <c r="AW707" s="32"/>
      <c r="AX707" s="32"/>
      <c r="AY707" s="32"/>
      <c r="AZ707" s="32"/>
      <c r="BA707" s="32"/>
      <c r="BB707" s="31"/>
      <c r="BC707" s="31"/>
      <c r="BD707" s="31"/>
      <c r="BE707" s="31"/>
      <c r="BF707" s="96">
        <v>0</v>
      </c>
      <c r="BG707" s="52"/>
      <c r="BH707" s="52"/>
      <c r="BI707" s="52"/>
      <c r="BJ707" s="52"/>
      <c r="BK707" s="52"/>
      <c r="BL707" s="52"/>
      <c r="BM707" s="52"/>
      <c r="BN707" s="53"/>
      <c r="BO707" s="52"/>
      <c r="BP707" s="52"/>
      <c r="BQ707" s="54"/>
    </row>
    <row r="708" spans="1:69" ht="16" x14ac:dyDescent="0.35">
      <c r="A708"/>
      <c r="D708"/>
      <c r="G708"/>
      <c r="H708" s="20"/>
      <c r="I708" s="20"/>
      <c r="J708" s="20"/>
      <c r="K708" s="20"/>
      <c r="L708" s="20"/>
      <c r="Q708" s="83"/>
      <c r="Y708" s="20"/>
      <c r="AP708" s="93"/>
      <c r="AQ708" s="31"/>
      <c r="AR708" s="31"/>
      <c r="AS708" s="94"/>
      <c r="AT708" s="31"/>
      <c r="AU708" s="31"/>
      <c r="AV708" s="73" t="s">
        <v>208</v>
      </c>
      <c r="AW708" s="68"/>
      <c r="AX708" s="68"/>
      <c r="AY708" s="68"/>
      <c r="AZ708" s="68"/>
      <c r="BA708" s="68"/>
      <c r="BB708" s="67"/>
      <c r="BC708" s="67"/>
      <c r="BD708" s="67"/>
      <c r="BE708" s="67"/>
      <c r="BF708" s="95">
        <v>1</v>
      </c>
      <c r="BG708" s="48"/>
      <c r="BH708" s="48"/>
      <c r="BI708" s="48"/>
      <c r="BJ708" s="48"/>
      <c r="BK708" s="48"/>
      <c r="BL708" s="48"/>
      <c r="BM708" s="48"/>
      <c r="BN708" s="49"/>
      <c r="BO708" s="48"/>
      <c r="BP708" s="48"/>
      <c r="BQ708" s="50"/>
    </row>
    <row r="709" spans="1:69" ht="16" x14ac:dyDescent="0.35">
      <c r="A709"/>
      <c r="D709"/>
      <c r="G709"/>
      <c r="H709" s="20"/>
      <c r="I709" s="20"/>
      <c r="J709" s="20"/>
      <c r="K709" s="20"/>
      <c r="L709" s="20"/>
      <c r="Q709" s="83"/>
      <c r="Y709" s="20"/>
      <c r="AP709" s="92"/>
      <c r="AQ709" s="67"/>
      <c r="AR709" s="67"/>
      <c r="AS709" s="73"/>
      <c r="AT709" s="67"/>
      <c r="AU709" s="67"/>
      <c r="AV709" s="94" t="s">
        <v>207</v>
      </c>
      <c r="AW709" s="32"/>
      <c r="AX709" s="32"/>
      <c r="AY709" s="32"/>
      <c r="AZ709" s="32"/>
      <c r="BA709" s="32"/>
      <c r="BB709" s="31"/>
      <c r="BC709" s="31"/>
      <c r="BD709" s="31"/>
      <c r="BE709" s="31"/>
      <c r="BF709" s="96">
        <v>1</v>
      </c>
      <c r="BG709" s="52"/>
      <c r="BH709" s="52"/>
      <c r="BI709" s="52"/>
      <c r="BJ709" s="52"/>
      <c r="BK709" s="52"/>
      <c r="BL709" s="52"/>
      <c r="BM709" s="52"/>
      <c r="BN709" s="53"/>
      <c r="BO709" s="52"/>
      <c r="BP709" s="52"/>
      <c r="BQ709" s="54"/>
    </row>
    <row r="710" spans="1:69" ht="16" x14ac:dyDescent="0.35">
      <c r="A710"/>
      <c r="D710"/>
      <c r="G710"/>
      <c r="H710" s="20"/>
      <c r="I710" s="20"/>
      <c r="J710" s="20"/>
      <c r="K710" s="20"/>
      <c r="L710" s="20"/>
      <c r="Q710" s="83"/>
      <c r="Y710" s="20"/>
      <c r="AP710" s="93"/>
      <c r="AQ710" s="31"/>
      <c r="AR710" s="31"/>
      <c r="AS710" s="94"/>
      <c r="AT710" s="31"/>
      <c r="AU710" s="31"/>
      <c r="AV710" s="73" t="s">
        <v>207</v>
      </c>
      <c r="AW710" s="68"/>
      <c r="AX710" s="68"/>
      <c r="AY710" s="68"/>
      <c r="AZ710" s="68"/>
      <c r="BA710" s="68"/>
      <c r="BB710" s="67"/>
      <c r="BC710" s="67"/>
      <c r="BD710" s="67"/>
      <c r="BE710" s="67"/>
      <c r="BF710" s="95">
        <v>1</v>
      </c>
      <c r="BG710" s="48"/>
      <c r="BH710" s="48"/>
      <c r="BI710" s="48"/>
      <c r="BJ710" s="48"/>
      <c r="BK710" s="48"/>
      <c r="BL710" s="48"/>
      <c r="BM710" s="48"/>
      <c r="BN710" s="49"/>
      <c r="BO710" s="48"/>
      <c r="BP710" s="48"/>
      <c r="BQ710" s="50"/>
    </row>
    <row r="711" spans="1:69" ht="16" x14ac:dyDescent="0.35">
      <c r="A711"/>
      <c r="D711"/>
      <c r="G711"/>
      <c r="H711" s="20"/>
      <c r="I711" s="20"/>
      <c r="J711" s="20"/>
      <c r="K711" s="20"/>
      <c r="L711" s="20"/>
      <c r="Q711" s="83"/>
      <c r="Y711" s="20"/>
      <c r="AP711" s="92"/>
      <c r="AQ711" s="67"/>
      <c r="AR711" s="67"/>
      <c r="AS711" s="73"/>
      <c r="AT711" s="67"/>
      <c r="AU711" s="67"/>
      <c r="AV711" s="94" t="s">
        <v>207</v>
      </c>
      <c r="AW711" s="32"/>
      <c r="AX711" s="32"/>
      <c r="AY711" s="32"/>
      <c r="AZ711" s="32"/>
      <c r="BA711" s="32"/>
      <c r="BB711" s="31"/>
      <c r="BC711" s="31"/>
      <c r="BD711" s="31"/>
      <c r="BE711" s="31"/>
      <c r="BF711" s="96">
        <v>1</v>
      </c>
      <c r="BG711" s="52"/>
      <c r="BH711" s="52"/>
      <c r="BI711" s="52"/>
      <c r="BJ711" s="52"/>
      <c r="BK711" s="52"/>
      <c r="BL711" s="52"/>
      <c r="BM711" s="52"/>
      <c r="BN711" s="53"/>
      <c r="BO711" s="52"/>
      <c r="BP711" s="52"/>
      <c r="BQ711" s="54"/>
    </row>
    <row r="712" spans="1:69" ht="16" x14ac:dyDescent="0.35">
      <c r="A712"/>
      <c r="D712"/>
      <c r="G712"/>
      <c r="H712" s="20"/>
      <c r="I712" s="20"/>
      <c r="J712" s="20"/>
      <c r="K712" s="20"/>
      <c r="L712" s="20"/>
      <c r="Q712" s="83"/>
      <c r="Y712" s="20"/>
      <c r="AP712" s="93"/>
      <c r="AQ712" s="31"/>
      <c r="AR712" s="31"/>
      <c r="AS712" s="94"/>
      <c r="AT712" s="31"/>
      <c r="AU712" s="31"/>
      <c r="AV712" s="73" t="s">
        <v>209</v>
      </c>
      <c r="AW712" s="68"/>
      <c r="AX712" s="68"/>
      <c r="AY712" s="68"/>
      <c r="AZ712" s="68"/>
      <c r="BA712" s="68"/>
      <c r="BB712" s="67"/>
      <c r="BC712" s="67"/>
      <c r="BD712" s="67"/>
      <c r="BE712" s="67"/>
      <c r="BF712" s="95">
        <v>1</v>
      </c>
      <c r="BG712" s="48"/>
      <c r="BH712" s="48"/>
      <c r="BI712" s="48"/>
      <c r="BJ712" s="48"/>
      <c r="BK712" s="48"/>
      <c r="BL712" s="48"/>
      <c r="BM712" s="48"/>
      <c r="BN712" s="49"/>
      <c r="BO712" s="48"/>
      <c r="BP712" s="48"/>
      <c r="BQ712" s="50"/>
    </row>
    <row r="713" spans="1:69" ht="16" x14ac:dyDescent="0.35">
      <c r="A713"/>
      <c r="D713"/>
      <c r="G713"/>
      <c r="H713" s="20"/>
      <c r="I713" s="20"/>
      <c r="J713" s="20"/>
      <c r="K713" s="20"/>
      <c r="L713" s="20"/>
      <c r="Q713" s="83"/>
      <c r="Y713" s="20"/>
      <c r="AP713" s="92"/>
      <c r="AQ713" s="67"/>
      <c r="AR713" s="67"/>
      <c r="AS713" s="73"/>
      <c r="AT713" s="67"/>
      <c r="AU713" s="67"/>
      <c r="AV713" s="94" t="s">
        <v>207</v>
      </c>
      <c r="AW713" s="32"/>
      <c r="AX713" s="32"/>
      <c r="AY713" s="32"/>
      <c r="AZ713" s="32"/>
      <c r="BA713" s="32"/>
      <c r="BB713" s="31"/>
      <c r="BC713" s="31"/>
      <c r="BD713" s="31"/>
      <c r="BE713" s="31"/>
      <c r="BF713" s="96">
        <v>0</v>
      </c>
      <c r="BG713" s="52"/>
      <c r="BH713" s="52"/>
      <c r="BI713" s="52"/>
      <c r="BJ713" s="52"/>
      <c r="BK713" s="52"/>
      <c r="BL713" s="52"/>
      <c r="BM713" s="52"/>
      <c r="BN713" s="53"/>
      <c r="BO713" s="52"/>
      <c r="BP713" s="52"/>
      <c r="BQ713" s="54"/>
    </row>
    <row r="714" spans="1:69" ht="16" x14ac:dyDescent="0.35">
      <c r="A714"/>
      <c r="D714"/>
      <c r="G714"/>
      <c r="H714" s="20"/>
      <c r="I714" s="20"/>
      <c r="J714" s="20"/>
      <c r="K714" s="20"/>
      <c r="L714" s="20"/>
      <c r="Q714" s="83"/>
      <c r="Y714" s="20"/>
      <c r="AP714" s="93"/>
      <c r="AQ714" s="31"/>
      <c r="AR714" s="31"/>
      <c r="AS714" s="94"/>
      <c r="AT714" s="31"/>
      <c r="AU714" s="31"/>
      <c r="AV714" s="73" t="s">
        <v>209</v>
      </c>
      <c r="AW714" s="68"/>
      <c r="AX714" s="68"/>
      <c r="AY714" s="68"/>
      <c r="AZ714" s="68"/>
      <c r="BA714" s="68"/>
      <c r="BB714" s="67"/>
      <c r="BC714" s="67"/>
      <c r="BD714" s="67"/>
      <c r="BE714" s="67"/>
      <c r="BF714" s="95">
        <v>2</v>
      </c>
      <c r="BG714" s="48"/>
      <c r="BH714" s="48"/>
      <c r="BI714" s="48"/>
      <c r="BJ714" s="48"/>
      <c r="BK714" s="48"/>
      <c r="BL714" s="48"/>
      <c r="BM714" s="48"/>
      <c r="BN714" s="49"/>
      <c r="BO714" s="48"/>
      <c r="BP714" s="48"/>
      <c r="BQ714" s="50"/>
    </row>
    <row r="715" spans="1:69" ht="16" x14ac:dyDescent="0.35">
      <c r="A715"/>
      <c r="D715"/>
      <c r="G715"/>
      <c r="H715" s="20"/>
      <c r="I715" s="20"/>
      <c r="J715" s="20"/>
      <c r="K715" s="20"/>
      <c r="L715" s="20"/>
      <c r="Q715" s="83"/>
      <c r="Y715" s="20"/>
      <c r="AP715" s="92"/>
      <c r="AQ715" s="67"/>
      <c r="AR715" s="67"/>
      <c r="AS715" s="73"/>
      <c r="AT715" s="67"/>
      <c r="AU715" s="67"/>
      <c r="AV715" s="94" t="s">
        <v>207</v>
      </c>
      <c r="AW715" s="32"/>
      <c r="AX715" s="32"/>
      <c r="AY715" s="32"/>
      <c r="AZ715" s="32"/>
      <c r="BA715" s="32"/>
      <c r="BB715" s="31"/>
      <c r="BC715" s="31"/>
      <c r="BD715" s="31"/>
      <c r="BE715" s="31"/>
      <c r="BF715" s="96">
        <v>1</v>
      </c>
      <c r="BG715" s="52"/>
      <c r="BH715" s="52"/>
      <c r="BI715" s="52"/>
      <c r="BJ715" s="52"/>
      <c r="BK715" s="52"/>
      <c r="BL715" s="52"/>
      <c r="BM715" s="52"/>
      <c r="BN715" s="53"/>
      <c r="BO715" s="52"/>
      <c r="BP715" s="52"/>
      <c r="BQ715" s="54"/>
    </row>
    <row r="716" spans="1:69" ht="16" x14ac:dyDescent="0.35">
      <c r="A716"/>
      <c r="D716"/>
      <c r="G716"/>
      <c r="H716" s="20"/>
      <c r="I716" s="20"/>
      <c r="J716" s="20"/>
      <c r="K716" s="20"/>
      <c r="L716" s="20"/>
      <c r="Q716" s="83"/>
      <c r="Y716" s="20"/>
      <c r="AP716" s="93"/>
      <c r="AQ716" s="31"/>
      <c r="AR716" s="31"/>
      <c r="AS716" s="94"/>
      <c r="AT716" s="31"/>
      <c r="AU716" s="31"/>
      <c r="AV716" s="73" t="s">
        <v>207</v>
      </c>
      <c r="AW716" s="68"/>
      <c r="AX716" s="68"/>
      <c r="AY716" s="68"/>
      <c r="AZ716" s="68"/>
      <c r="BA716" s="68"/>
      <c r="BB716" s="67"/>
      <c r="BC716" s="67"/>
      <c r="BD716" s="67"/>
      <c r="BE716" s="67"/>
      <c r="BF716" s="95">
        <v>0</v>
      </c>
      <c r="BG716" s="48"/>
      <c r="BH716" s="48"/>
      <c r="BI716" s="48"/>
      <c r="BJ716" s="48"/>
      <c r="BK716" s="48"/>
      <c r="BL716" s="48"/>
      <c r="BM716" s="48"/>
      <c r="BN716" s="49"/>
      <c r="BO716" s="48"/>
      <c r="BP716" s="48"/>
      <c r="BQ716" s="50"/>
    </row>
    <row r="717" spans="1:69" ht="16" x14ac:dyDescent="0.35">
      <c r="A717"/>
      <c r="D717"/>
      <c r="G717"/>
      <c r="H717" s="20"/>
      <c r="I717" s="20"/>
      <c r="J717" s="20"/>
      <c r="K717" s="20"/>
      <c r="L717" s="20"/>
      <c r="Q717" s="83"/>
      <c r="Y717" s="20"/>
      <c r="AP717" s="92"/>
      <c r="AQ717" s="67"/>
      <c r="AR717" s="67"/>
      <c r="AS717" s="73"/>
      <c r="AT717" s="67"/>
      <c r="AU717" s="67"/>
      <c r="AV717" s="94" t="s">
        <v>207</v>
      </c>
      <c r="AW717" s="32"/>
      <c r="AX717" s="32"/>
      <c r="AY717" s="32"/>
      <c r="AZ717" s="32"/>
      <c r="BA717" s="32"/>
      <c r="BB717" s="31"/>
      <c r="BC717" s="31"/>
      <c r="BD717" s="31"/>
      <c r="BE717" s="31"/>
      <c r="BF717" s="96">
        <v>0</v>
      </c>
      <c r="BG717" s="52"/>
      <c r="BH717" s="52"/>
      <c r="BI717" s="52"/>
      <c r="BJ717" s="52"/>
      <c r="BK717" s="52"/>
      <c r="BL717" s="52"/>
      <c r="BM717" s="52"/>
      <c r="BN717" s="53"/>
      <c r="BO717" s="52"/>
      <c r="BP717" s="52"/>
      <c r="BQ717" s="54"/>
    </row>
    <row r="718" spans="1:69" ht="16" x14ac:dyDescent="0.35">
      <c r="A718"/>
      <c r="D718"/>
      <c r="G718"/>
      <c r="H718" s="20"/>
      <c r="I718" s="20"/>
      <c r="J718" s="20"/>
      <c r="K718" s="20"/>
      <c r="L718" s="20"/>
      <c r="Q718" s="83"/>
      <c r="Y718" s="20"/>
      <c r="AP718" s="93"/>
      <c r="AQ718" s="31"/>
      <c r="AR718" s="31"/>
      <c r="AS718" s="94"/>
      <c r="AT718" s="31"/>
      <c r="AU718" s="31"/>
      <c r="AV718" s="73" t="s">
        <v>208</v>
      </c>
      <c r="AW718" s="68"/>
      <c r="AX718" s="68"/>
      <c r="AY718" s="68"/>
      <c r="AZ718" s="68"/>
      <c r="BA718" s="68"/>
      <c r="BB718" s="67"/>
      <c r="BC718" s="67"/>
      <c r="BD718" s="67"/>
      <c r="BE718" s="67"/>
      <c r="BF718" s="95">
        <v>3</v>
      </c>
      <c r="BG718" s="48"/>
      <c r="BH718" s="48"/>
      <c r="BI718" s="48"/>
      <c r="BJ718" s="48"/>
      <c r="BK718" s="48"/>
      <c r="BL718" s="48"/>
      <c r="BM718" s="48"/>
      <c r="BN718" s="49"/>
      <c r="BO718" s="48"/>
      <c r="BP718" s="48"/>
      <c r="BQ718" s="50"/>
    </row>
    <row r="719" spans="1:69" ht="16" x14ac:dyDescent="0.35">
      <c r="A719"/>
      <c r="D719"/>
      <c r="G719"/>
      <c r="H719" s="20"/>
      <c r="I719" s="20"/>
      <c r="J719" s="20"/>
      <c r="K719" s="20"/>
      <c r="L719" s="20"/>
      <c r="Q719" s="83"/>
      <c r="Y719" s="20"/>
      <c r="AP719" s="92"/>
      <c r="AQ719" s="67"/>
      <c r="AR719" s="67"/>
      <c r="AS719" s="73"/>
      <c r="AT719" s="67"/>
      <c r="AU719" s="67"/>
      <c r="AV719" s="94" t="s">
        <v>207</v>
      </c>
      <c r="AW719" s="32"/>
      <c r="AX719" s="32"/>
      <c r="AY719" s="32"/>
      <c r="AZ719" s="32"/>
      <c r="BA719" s="32"/>
      <c r="BB719" s="31"/>
      <c r="BC719" s="31"/>
      <c r="BD719" s="31"/>
      <c r="BE719" s="31"/>
      <c r="BF719" s="96">
        <v>0</v>
      </c>
      <c r="BG719" s="52"/>
      <c r="BH719" s="52"/>
      <c r="BI719" s="52"/>
      <c r="BJ719" s="52"/>
      <c r="BK719" s="52"/>
      <c r="BL719" s="52"/>
      <c r="BM719" s="52"/>
      <c r="BN719" s="53"/>
      <c r="BO719" s="52"/>
      <c r="BP719" s="52"/>
      <c r="BQ719" s="54"/>
    </row>
    <row r="720" spans="1:69" ht="16" x14ac:dyDescent="0.35">
      <c r="A720"/>
      <c r="D720"/>
      <c r="G720"/>
      <c r="H720" s="20"/>
      <c r="I720" s="20"/>
      <c r="J720" s="20"/>
      <c r="K720" s="20"/>
      <c r="L720" s="20"/>
      <c r="Q720" s="83"/>
      <c r="Y720" s="20"/>
      <c r="AP720" s="93"/>
      <c r="AQ720" s="31"/>
      <c r="AR720" s="31"/>
      <c r="AS720" s="94"/>
      <c r="AT720" s="31"/>
      <c r="AU720" s="31"/>
      <c r="AV720" s="73" t="s">
        <v>237</v>
      </c>
      <c r="AW720" s="68"/>
      <c r="AX720" s="68"/>
      <c r="AY720" s="68"/>
      <c r="AZ720" s="68"/>
      <c r="BA720" s="68"/>
      <c r="BB720" s="67"/>
      <c r="BC720" s="67"/>
      <c r="BD720" s="67"/>
      <c r="BE720" s="67"/>
      <c r="BF720" s="95">
        <v>0</v>
      </c>
      <c r="BG720" s="48"/>
      <c r="BH720" s="48"/>
      <c r="BI720" s="48"/>
      <c r="BJ720" s="48"/>
      <c r="BK720" s="48"/>
      <c r="BL720" s="48"/>
      <c r="BM720" s="48"/>
      <c r="BN720" s="49"/>
      <c r="BO720" s="48"/>
      <c r="BP720" s="48"/>
      <c r="BQ720" s="50"/>
    </row>
    <row r="721" spans="1:69" ht="16" x14ac:dyDescent="0.35">
      <c r="A721"/>
      <c r="D721"/>
      <c r="G721"/>
      <c r="H721" s="20"/>
      <c r="I721" s="20"/>
      <c r="J721" s="20"/>
      <c r="K721" s="20"/>
      <c r="L721" s="20"/>
      <c r="Q721" s="83"/>
      <c r="Y721" s="20"/>
      <c r="AP721" s="92"/>
      <c r="AQ721" s="67"/>
      <c r="AR721" s="67"/>
      <c r="AS721" s="73"/>
      <c r="AT721" s="67"/>
      <c r="AU721" s="67"/>
      <c r="AV721" s="94" t="s">
        <v>238</v>
      </c>
      <c r="AW721" s="32"/>
      <c r="AX721" s="32"/>
      <c r="AY721" s="32"/>
      <c r="AZ721" s="32"/>
      <c r="BA721" s="32"/>
      <c r="BB721" s="31"/>
      <c r="BC721" s="31"/>
      <c r="BD721" s="31"/>
      <c r="BE721" s="31"/>
      <c r="BF721" s="96">
        <v>0</v>
      </c>
      <c r="BG721" s="52"/>
      <c r="BH721" s="52"/>
      <c r="BI721" s="52"/>
      <c r="BJ721" s="52"/>
      <c r="BK721" s="52"/>
      <c r="BL721" s="52"/>
      <c r="BM721" s="52"/>
      <c r="BN721" s="53"/>
      <c r="BO721" s="52"/>
      <c r="BP721" s="52"/>
      <c r="BQ721" s="54"/>
    </row>
    <row r="722" spans="1:69" ht="16" x14ac:dyDescent="0.35">
      <c r="A722"/>
      <c r="D722"/>
      <c r="G722"/>
      <c r="H722" s="20"/>
      <c r="I722" s="20"/>
      <c r="J722" s="20"/>
      <c r="K722" s="20"/>
      <c r="L722" s="20"/>
      <c r="Q722" s="83"/>
      <c r="Y722" s="20"/>
      <c r="AP722" s="93"/>
      <c r="AQ722" s="31"/>
      <c r="AR722" s="31"/>
      <c r="AS722" s="94"/>
      <c r="AT722" s="31"/>
      <c r="AU722" s="31"/>
      <c r="AV722" s="73" t="s">
        <v>238</v>
      </c>
      <c r="AW722" s="68"/>
      <c r="AX722" s="68"/>
      <c r="AY722" s="68"/>
      <c r="AZ722" s="68"/>
      <c r="BA722" s="68"/>
      <c r="BB722" s="67"/>
      <c r="BC722" s="67"/>
      <c r="BD722" s="67"/>
      <c r="BE722" s="67"/>
      <c r="BF722" s="95">
        <v>0</v>
      </c>
      <c r="BG722" s="48"/>
      <c r="BH722" s="48"/>
      <c r="BI722" s="48"/>
      <c r="BJ722" s="48"/>
      <c r="BK722" s="48"/>
      <c r="BL722" s="48"/>
      <c r="BM722" s="48"/>
      <c r="BN722" s="49"/>
      <c r="BO722" s="48"/>
      <c r="BP722" s="48"/>
      <c r="BQ722" s="50"/>
    </row>
    <row r="723" spans="1:69" ht="16" x14ac:dyDescent="0.35">
      <c r="A723"/>
      <c r="D723"/>
      <c r="G723"/>
      <c r="H723" s="20"/>
      <c r="I723" s="20"/>
      <c r="J723" s="20"/>
      <c r="K723" s="20"/>
      <c r="L723" s="20"/>
      <c r="Q723" s="83"/>
      <c r="Y723" s="20"/>
      <c r="AP723" s="92"/>
      <c r="AQ723" s="67"/>
      <c r="AR723" s="67"/>
      <c r="AS723" s="73"/>
      <c r="AT723" s="67"/>
      <c r="AU723" s="67"/>
      <c r="AV723" s="94" t="s">
        <v>238</v>
      </c>
      <c r="AW723" s="32"/>
      <c r="AX723" s="32"/>
      <c r="AY723" s="32"/>
      <c r="AZ723" s="32"/>
      <c r="BA723" s="32"/>
      <c r="BB723" s="31"/>
      <c r="BC723" s="31"/>
      <c r="BD723" s="31"/>
      <c r="BE723" s="31"/>
      <c r="BF723" s="96">
        <v>0</v>
      </c>
      <c r="BG723" s="52"/>
      <c r="BH723" s="52"/>
      <c r="BI723" s="52"/>
      <c r="BJ723" s="52"/>
      <c r="BK723" s="52"/>
      <c r="BL723" s="52"/>
      <c r="BM723" s="52"/>
      <c r="BN723" s="53"/>
      <c r="BO723" s="52"/>
      <c r="BP723" s="52"/>
      <c r="BQ723" s="54"/>
    </row>
    <row r="724" spans="1:69" ht="16" x14ac:dyDescent="0.35">
      <c r="A724"/>
      <c r="D724"/>
      <c r="G724"/>
      <c r="H724" s="20"/>
      <c r="I724" s="20"/>
      <c r="J724" s="20"/>
      <c r="K724" s="20"/>
      <c r="L724" s="20"/>
      <c r="Q724" s="83"/>
      <c r="Y724" s="20"/>
      <c r="AP724" s="93"/>
      <c r="AQ724" s="31"/>
      <c r="AR724" s="31"/>
      <c r="AS724" s="94"/>
      <c r="AT724" s="31"/>
      <c r="AU724" s="31"/>
      <c r="AV724" s="73" t="s">
        <v>238</v>
      </c>
      <c r="AW724" s="68"/>
      <c r="AX724" s="68"/>
      <c r="AY724" s="68"/>
      <c r="AZ724" s="68"/>
      <c r="BA724" s="68"/>
      <c r="BB724" s="67"/>
      <c r="BC724" s="67"/>
      <c r="BD724" s="67"/>
      <c r="BE724" s="67"/>
      <c r="BF724" s="95">
        <v>0</v>
      </c>
      <c r="BG724" s="48"/>
      <c r="BH724" s="48"/>
      <c r="BI724" s="48"/>
      <c r="BJ724" s="48"/>
      <c r="BK724" s="48"/>
      <c r="BL724" s="48"/>
      <c r="BM724" s="48"/>
      <c r="BN724" s="49"/>
      <c r="BO724" s="48"/>
      <c r="BP724" s="48"/>
      <c r="BQ724" s="50"/>
    </row>
    <row r="725" spans="1:69" ht="16" x14ac:dyDescent="0.35">
      <c r="A725"/>
      <c r="D725"/>
      <c r="G725"/>
      <c r="H725" s="20"/>
      <c r="I725" s="20"/>
      <c r="J725" s="20"/>
      <c r="K725" s="20"/>
      <c r="L725" s="20"/>
      <c r="Q725" s="83"/>
      <c r="Y725" s="20"/>
      <c r="AP725" s="92"/>
      <c r="AQ725" s="67"/>
      <c r="AR725" s="67"/>
      <c r="AS725" s="73"/>
      <c r="AT725" s="67"/>
      <c r="AU725" s="67"/>
      <c r="AV725" s="94" t="s">
        <v>238</v>
      </c>
      <c r="AW725" s="32"/>
      <c r="AX725" s="32"/>
      <c r="AY725" s="32"/>
      <c r="AZ725" s="32"/>
      <c r="BA725" s="32"/>
      <c r="BB725" s="31"/>
      <c r="BC725" s="31"/>
      <c r="BD725" s="31"/>
      <c r="BE725" s="31"/>
      <c r="BF725" s="96">
        <v>0</v>
      </c>
      <c r="BG725" s="52"/>
      <c r="BH725" s="52"/>
      <c r="BI725" s="52"/>
      <c r="BJ725" s="52"/>
      <c r="BK725" s="52"/>
      <c r="BL725" s="52"/>
      <c r="BM725" s="52"/>
      <c r="BN725" s="53"/>
      <c r="BO725" s="52"/>
      <c r="BP725" s="52"/>
      <c r="BQ725" s="54"/>
    </row>
    <row r="726" spans="1:69" ht="16" x14ac:dyDescent="0.35">
      <c r="A726"/>
      <c r="D726"/>
      <c r="G726"/>
      <c r="H726" s="20"/>
      <c r="I726" s="20"/>
      <c r="J726" s="20"/>
      <c r="K726" s="20"/>
      <c r="L726" s="20"/>
      <c r="Q726" s="83"/>
      <c r="Y726" s="20"/>
      <c r="AP726" s="93"/>
      <c r="AQ726" s="31"/>
      <c r="AR726" s="31"/>
      <c r="AS726" s="94"/>
      <c r="AT726" s="31"/>
      <c r="AU726" s="31"/>
      <c r="AV726" s="73" t="s">
        <v>207</v>
      </c>
      <c r="AW726" s="68"/>
      <c r="AX726" s="68"/>
      <c r="AY726" s="68"/>
      <c r="AZ726" s="68"/>
      <c r="BA726" s="68"/>
      <c r="BB726" s="67"/>
      <c r="BC726" s="67"/>
      <c r="BD726" s="67"/>
      <c r="BE726" s="67"/>
      <c r="BF726" s="95">
        <v>0</v>
      </c>
      <c r="BG726" s="48"/>
      <c r="BH726" s="48"/>
      <c r="BI726" s="48"/>
      <c r="BJ726" s="48"/>
      <c r="BK726" s="48"/>
      <c r="BL726" s="48"/>
      <c r="BM726" s="48"/>
      <c r="BN726" s="49"/>
      <c r="BO726" s="48"/>
      <c r="BP726" s="48"/>
      <c r="BQ726" s="50"/>
    </row>
    <row r="727" spans="1:69" ht="16" x14ac:dyDescent="0.35">
      <c r="A727"/>
      <c r="D727"/>
      <c r="G727"/>
      <c r="H727" s="20"/>
      <c r="I727" s="20"/>
      <c r="J727" s="20"/>
      <c r="K727" s="20"/>
      <c r="L727" s="20"/>
      <c r="Q727" s="83"/>
      <c r="Y727" s="20"/>
      <c r="AP727" s="92"/>
      <c r="AQ727" s="67"/>
      <c r="AR727" s="67"/>
      <c r="AS727" s="73"/>
      <c r="AT727" s="67"/>
      <c r="AU727" s="67"/>
      <c r="AV727" s="94" t="s">
        <v>238</v>
      </c>
      <c r="AW727" s="32"/>
      <c r="AX727" s="32"/>
      <c r="AY727" s="32"/>
      <c r="AZ727" s="32"/>
      <c r="BA727" s="32"/>
      <c r="BB727" s="31"/>
      <c r="BC727" s="31"/>
      <c r="BD727" s="31"/>
      <c r="BE727" s="31"/>
      <c r="BF727" s="96">
        <v>1</v>
      </c>
      <c r="BG727" s="52"/>
      <c r="BH727" s="52"/>
      <c r="BI727" s="52"/>
      <c r="BJ727" s="52"/>
      <c r="BK727" s="52"/>
      <c r="BL727" s="52"/>
      <c r="BM727" s="52"/>
      <c r="BN727" s="53"/>
      <c r="BO727" s="52"/>
      <c r="BP727" s="52"/>
      <c r="BQ727" s="54"/>
    </row>
    <row r="728" spans="1:69" ht="16" x14ac:dyDescent="0.35">
      <c r="A728"/>
      <c r="D728"/>
      <c r="G728"/>
      <c r="H728" s="20"/>
      <c r="I728" s="20"/>
      <c r="J728" s="20"/>
      <c r="K728" s="20"/>
      <c r="L728" s="20"/>
      <c r="Q728" s="83"/>
      <c r="Y728" s="20"/>
      <c r="AP728" s="93"/>
      <c r="AQ728" s="31"/>
      <c r="AR728" s="31"/>
      <c r="AS728" s="94"/>
      <c r="AT728" s="31"/>
      <c r="AU728" s="31"/>
      <c r="AV728" s="73" t="s">
        <v>238</v>
      </c>
      <c r="AW728" s="68"/>
      <c r="AX728" s="68"/>
      <c r="AY728" s="68"/>
      <c r="AZ728" s="68"/>
      <c r="BA728" s="68"/>
      <c r="BB728" s="67"/>
      <c r="BC728" s="67"/>
      <c r="BD728" s="67"/>
      <c r="BE728" s="67"/>
      <c r="BF728" s="95">
        <v>1</v>
      </c>
      <c r="BG728" s="48"/>
      <c r="BH728" s="48"/>
      <c r="BI728" s="48"/>
      <c r="BJ728" s="48"/>
      <c r="BK728" s="48"/>
      <c r="BL728" s="48"/>
      <c r="BM728" s="48"/>
      <c r="BN728" s="49"/>
      <c r="BO728" s="48"/>
      <c r="BP728" s="48"/>
      <c r="BQ728" s="50"/>
    </row>
    <row r="729" spans="1:69" ht="16" x14ac:dyDescent="0.35">
      <c r="A729"/>
      <c r="D729"/>
      <c r="G729"/>
      <c r="H729" s="20"/>
      <c r="I729" s="20"/>
      <c r="J729" s="20"/>
      <c r="K729" s="20"/>
      <c r="L729" s="20"/>
      <c r="Q729" s="83"/>
      <c r="Y729" s="20"/>
      <c r="AP729" s="92"/>
      <c r="AQ729" s="67"/>
      <c r="AR729" s="67"/>
      <c r="AS729" s="73"/>
      <c r="AT729" s="67"/>
      <c r="AU729" s="67"/>
      <c r="AV729" s="94" t="s">
        <v>207</v>
      </c>
      <c r="AW729" s="32"/>
      <c r="AX729" s="32"/>
      <c r="AY729" s="32"/>
      <c r="AZ729" s="32"/>
      <c r="BA729" s="32"/>
      <c r="BB729" s="31"/>
      <c r="BC729" s="31"/>
      <c r="BD729" s="31"/>
      <c r="BE729" s="31"/>
      <c r="BF729" s="96">
        <v>0</v>
      </c>
      <c r="BG729" s="52"/>
      <c r="BH729" s="52"/>
      <c r="BI729" s="52"/>
      <c r="BJ729" s="52"/>
      <c r="BK729" s="52"/>
      <c r="BL729" s="52"/>
      <c r="BM729" s="52"/>
      <c r="BN729" s="53"/>
      <c r="BO729" s="52"/>
      <c r="BP729" s="52"/>
      <c r="BQ729" s="54"/>
    </row>
    <row r="730" spans="1:69" ht="16" x14ac:dyDescent="0.35">
      <c r="A730"/>
      <c r="D730"/>
      <c r="G730"/>
      <c r="H730" s="20"/>
      <c r="I730" s="20"/>
      <c r="J730" s="20"/>
      <c r="K730" s="20"/>
      <c r="L730" s="20"/>
      <c r="Q730" s="83"/>
      <c r="Y730" s="20"/>
      <c r="AP730" s="93"/>
      <c r="AQ730" s="31"/>
      <c r="AR730" s="31"/>
      <c r="AS730" s="94"/>
      <c r="AT730" s="31"/>
      <c r="AU730" s="31"/>
      <c r="AV730" s="73" t="s">
        <v>207</v>
      </c>
      <c r="AW730" s="68"/>
      <c r="AX730" s="68"/>
      <c r="AY730" s="68"/>
      <c r="AZ730" s="68"/>
      <c r="BA730" s="68"/>
      <c r="BB730" s="67"/>
      <c r="BC730" s="67"/>
      <c r="BD730" s="67"/>
      <c r="BE730" s="67"/>
      <c r="BF730" s="95">
        <v>14</v>
      </c>
      <c r="BG730" s="48"/>
      <c r="BH730" s="48"/>
      <c r="BI730" s="48"/>
      <c r="BJ730" s="48"/>
      <c r="BK730" s="48"/>
      <c r="BL730" s="48"/>
      <c r="BM730" s="48"/>
      <c r="BN730" s="49"/>
      <c r="BO730" s="48"/>
      <c r="BP730" s="48"/>
      <c r="BQ730" s="50"/>
    </row>
    <row r="731" spans="1:69" ht="16" x14ac:dyDescent="0.35">
      <c r="A731"/>
      <c r="D731"/>
      <c r="G731"/>
      <c r="H731" s="20"/>
      <c r="I731" s="20"/>
      <c r="J731" s="20"/>
      <c r="K731" s="20"/>
      <c r="L731" s="20"/>
      <c r="Q731" s="83"/>
      <c r="Y731" s="20"/>
      <c r="AP731" s="92"/>
      <c r="AQ731" s="67"/>
      <c r="AR731" s="67"/>
      <c r="AS731" s="73"/>
      <c r="AT731" s="67"/>
      <c r="AU731" s="67"/>
      <c r="AV731" s="94" t="s">
        <v>207</v>
      </c>
      <c r="AW731" s="32"/>
      <c r="AX731" s="32"/>
      <c r="AY731" s="32"/>
      <c r="AZ731" s="32"/>
      <c r="BA731" s="32"/>
      <c r="BB731" s="31"/>
      <c r="BC731" s="31"/>
      <c r="BD731" s="31"/>
      <c r="BE731" s="31"/>
      <c r="BF731" s="96">
        <v>1</v>
      </c>
      <c r="BG731" s="52"/>
      <c r="BH731" s="52"/>
      <c r="BI731" s="52"/>
      <c r="BJ731" s="52"/>
      <c r="BK731" s="52"/>
      <c r="BL731" s="52"/>
      <c r="BM731" s="52"/>
      <c r="BN731" s="53"/>
      <c r="BO731" s="52"/>
      <c r="BP731" s="52"/>
      <c r="BQ731" s="54"/>
    </row>
    <row r="732" spans="1:69" ht="16" x14ac:dyDescent="0.35">
      <c r="A732"/>
      <c r="D732"/>
      <c r="G732"/>
      <c r="H732" s="20"/>
      <c r="I732" s="20"/>
      <c r="J732" s="20"/>
      <c r="K732" s="20"/>
      <c r="L732" s="20"/>
      <c r="Q732" s="83"/>
      <c r="Y732" s="20"/>
      <c r="AP732" s="93"/>
      <c r="AQ732" s="31"/>
      <c r="AR732" s="31"/>
      <c r="AS732" s="94"/>
      <c r="AT732" s="31"/>
      <c r="AU732" s="31"/>
      <c r="AV732" s="73" t="s">
        <v>207</v>
      </c>
      <c r="AW732" s="68"/>
      <c r="AX732" s="68"/>
      <c r="AY732" s="68"/>
      <c r="AZ732" s="68"/>
      <c r="BA732" s="68"/>
      <c r="BB732" s="67"/>
      <c r="BC732" s="67"/>
      <c r="BD732" s="67"/>
      <c r="BE732" s="67"/>
      <c r="BF732" s="95">
        <v>1</v>
      </c>
      <c r="BG732" s="48"/>
      <c r="BH732" s="48"/>
      <c r="BI732" s="48"/>
      <c r="BJ732" s="48"/>
      <c r="BK732" s="48"/>
      <c r="BL732" s="48"/>
      <c r="BM732" s="48"/>
      <c r="BN732" s="49"/>
      <c r="BO732" s="48"/>
      <c r="BP732" s="48"/>
      <c r="BQ732" s="50"/>
    </row>
    <row r="733" spans="1:69" ht="16" x14ac:dyDescent="0.35">
      <c r="A733"/>
      <c r="D733"/>
      <c r="G733"/>
      <c r="H733" s="20"/>
      <c r="I733" s="20"/>
      <c r="J733" s="20"/>
      <c r="K733" s="20"/>
      <c r="L733" s="20"/>
      <c r="Q733" s="83"/>
      <c r="Y733" s="20"/>
      <c r="AP733" s="92"/>
      <c r="AQ733" s="67"/>
      <c r="AR733" s="67"/>
      <c r="AS733" s="73"/>
      <c r="AT733" s="67"/>
      <c r="AU733" s="67"/>
      <c r="AV733" s="94" t="s">
        <v>207</v>
      </c>
      <c r="AW733" s="32"/>
      <c r="AX733" s="32"/>
      <c r="AY733" s="32"/>
      <c r="AZ733" s="32"/>
      <c r="BA733" s="32"/>
      <c r="BB733" s="31"/>
      <c r="BC733" s="31"/>
      <c r="BD733" s="31"/>
      <c r="BE733" s="31"/>
      <c r="BF733" s="96">
        <v>1</v>
      </c>
      <c r="BG733" s="52"/>
      <c r="BH733" s="52"/>
      <c r="BI733" s="52"/>
      <c r="BJ733" s="52"/>
      <c r="BK733" s="52"/>
      <c r="BL733" s="52"/>
      <c r="BM733" s="52"/>
      <c r="BN733" s="53"/>
      <c r="BO733" s="52"/>
      <c r="BP733" s="52"/>
      <c r="BQ733" s="54"/>
    </row>
    <row r="734" spans="1:69" ht="16" x14ac:dyDescent="0.35">
      <c r="A734"/>
      <c r="D734"/>
      <c r="G734"/>
      <c r="H734" s="20"/>
      <c r="I734" s="20"/>
      <c r="J734" s="20"/>
      <c r="K734" s="20"/>
      <c r="L734" s="20"/>
      <c r="Q734" s="83"/>
      <c r="Y734" s="20"/>
      <c r="AP734" s="93"/>
      <c r="AQ734" s="31"/>
      <c r="AR734" s="31"/>
      <c r="AS734" s="94"/>
      <c r="AT734" s="31"/>
      <c r="AU734" s="31"/>
      <c r="AV734" s="73" t="s">
        <v>207</v>
      </c>
      <c r="AW734" s="68"/>
      <c r="AX734" s="68"/>
      <c r="AY734" s="68"/>
      <c r="AZ734" s="68"/>
      <c r="BA734" s="68"/>
      <c r="BB734" s="67"/>
      <c r="BC734" s="67"/>
      <c r="BD734" s="67"/>
      <c r="BE734" s="67"/>
      <c r="BF734" s="95">
        <v>1</v>
      </c>
      <c r="BG734" s="48"/>
      <c r="BH734" s="48"/>
      <c r="BI734" s="48"/>
      <c r="BJ734" s="48"/>
      <c r="BK734" s="48"/>
      <c r="BL734" s="48"/>
      <c r="BM734" s="48"/>
      <c r="BN734" s="49"/>
      <c r="BO734" s="48"/>
      <c r="BP734" s="48"/>
      <c r="BQ734" s="50"/>
    </row>
    <row r="735" spans="1:69" ht="16" x14ac:dyDescent="0.35">
      <c r="A735"/>
      <c r="D735"/>
      <c r="G735"/>
      <c r="H735" s="20"/>
      <c r="I735" s="20"/>
      <c r="J735" s="20"/>
      <c r="K735" s="20"/>
      <c r="L735" s="20"/>
      <c r="Q735" s="83"/>
      <c r="Y735" s="20"/>
      <c r="AP735" s="92"/>
      <c r="AQ735" s="67"/>
      <c r="AR735" s="67"/>
      <c r="AS735" s="73"/>
      <c r="AT735" s="67"/>
      <c r="AU735" s="67"/>
      <c r="AV735" s="94" t="s">
        <v>207</v>
      </c>
      <c r="AW735" s="32"/>
      <c r="AX735" s="32"/>
      <c r="AY735" s="32"/>
      <c r="AZ735" s="32"/>
      <c r="BA735" s="32"/>
      <c r="BB735" s="31"/>
      <c r="BC735" s="31"/>
      <c r="BD735" s="31"/>
      <c r="BE735" s="31"/>
      <c r="BF735" s="96">
        <v>0</v>
      </c>
      <c r="BG735" s="52"/>
      <c r="BH735" s="52"/>
      <c r="BI735" s="52"/>
      <c r="BJ735" s="52"/>
      <c r="BK735" s="52"/>
      <c r="BL735" s="52"/>
      <c r="BM735" s="52"/>
      <c r="BN735" s="53"/>
      <c r="BO735" s="52"/>
      <c r="BP735" s="52"/>
      <c r="BQ735" s="54"/>
    </row>
    <row r="736" spans="1:69" ht="16" x14ac:dyDescent="0.35">
      <c r="A736"/>
      <c r="D736"/>
      <c r="G736"/>
      <c r="H736" s="20"/>
      <c r="I736" s="20"/>
      <c r="J736" s="20"/>
      <c r="K736" s="20"/>
      <c r="L736" s="20"/>
      <c r="Q736" s="83"/>
      <c r="Y736" s="20"/>
      <c r="AP736" s="93"/>
      <c r="AQ736" s="31"/>
      <c r="AR736" s="31"/>
      <c r="AS736" s="94"/>
      <c r="AT736" s="31"/>
      <c r="AU736" s="31"/>
      <c r="AV736" s="73" t="s">
        <v>186</v>
      </c>
      <c r="AW736" s="68"/>
      <c r="AX736" s="68"/>
      <c r="AY736" s="68"/>
      <c r="AZ736" s="68"/>
      <c r="BA736" s="68"/>
      <c r="BB736" s="67"/>
      <c r="BC736" s="67"/>
      <c r="BD736" s="67"/>
      <c r="BE736" s="67"/>
      <c r="BF736" s="95">
        <v>7</v>
      </c>
      <c r="BG736" s="48"/>
      <c r="BH736" s="48"/>
      <c r="BI736" s="48"/>
      <c r="BJ736" s="48"/>
      <c r="BK736" s="48"/>
      <c r="BL736" s="48"/>
      <c r="BM736" s="48"/>
      <c r="BN736" s="49"/>
      <c r="BO736" s="48"/>
      <c r="BP736" s="48"/>
      <c r="BQ736" s="50"/>
    </row>
    <row r="737" spans="1:69" ht="16" x14ac:dyDescent="0.35">
      <c r="A737"/>
      <c r="D737"/>
      <c r="G737"/>
      <c r="H737" s="20"/>
      <c r="I737" s="20"/>
      <c r="J737" s="20"/>
      <c r="K737" s="20"/>
      <c r="L737" s="20"/>
      <c r="Q737" s="83"/>
      <c r="Y737" s="20"/>
      <c r="AP737" s="92"/>
      <c r="AQ737" s="67"/>
      <c r="AR737" s="67"/>
      <c r="AS737" s="73"/>
      <c r="AT737" s="67"/>
      <c r="AU737" s="67"/>
      <c r="AV737" s="94" t="s">
        <v>209</v>
      </c>
      <c r="AW737" s="32"/>
      <c r="AX737" s="32"/>
      <c r="AY737" s="32"/>
      <c r="AZ737" s="32"/>
      <c r="BA737" s="32"/>
      <c r="BB737" s="31"/>
      <c r="BC737" s="31"/>
      <c r="BD737" s="31"/>
      <c r="BE737" s="31"/>
      <c r="BF737" s="96">
        <v>1</v>
      </c>
      <c r="BG737" s="52"/>
      <c r="BH737" s="52"/>
      <c r="BI737" s="52"/>
      <c r="BJ737" s="52"/>
      <c r="BK737" s="52"/>
      <c r="BL737" s="52"/>
      <c r="BM737" s="52"/>
      <c r="BN737" s="53"/>
      <c r="BO737" s="52"/>
      <c r="BP737" s="52"/>
      <c r="BQ737" s="54"/>
    </row>
    <row r="738" spans="1:69" ht="16" x14ac:dyDescent="0.35">
      <c r="A738"/>
      <c r="D738"/>
      <c r="G738"/>
      <c r="H738" s="20"/>
      <c r="I738" s="20"/>
      <c r="J738" s="20"/>
      <c r="K738" s="20"/>
      <c r="L738" s="20"/>
      <c r="Q738" s="83"/>
      <c r="Y738" s="20"/>
      <c r="AP738" s="93"/>
      <c r="AQ738" s="31"/>
      <c r="AR738" s="31"/>
      <c r="AS738" s="94"/>
      <c r="AT738" s="31"/>
      <c r="AU738" s="31"/>
      <c r="AV738" s="73" t="s">
        <v>238</v>
      </c>
      <c r="AW738" s="68"/>
      <c r="AX738" s="68"/>
      <c r="AY738" s="68"/>
      <c r="AZ738" s="68"/>
      <c r="BA738" s="68"/>
      <c r="BB738" s="67"/>
      <c r="BC738" s="67"/>
      <c r="BD738" s="67"/>
      <c r="BE738" s="67"/>
      <c r="BF738" s="95">
        <v>1</v>
      </c>
      <c r="BG738" s="48"/>
      <c r="BH738" s="48"/>
      <c r="BI738" s="48"/>
      <c r="BJ738" s="48"/>
      <c r="BK738" s="48"/>
      <c r="BL738" s="48"/>
      <c r="BM738" s="48"/>
      <c r="BN738" s="49"/>
      <c r="BO738" s="48"/>
      <c r="BP738" s="48"/>
      <c r="BQ738" s="50"/>
    </row>
    <row r="739" spans="1:69" ht="16" x14ac:dyDescent="0.35">
      <c r="A739"/>
      <c r="D739"/>
      <c r="G739"/>
      <c r="H739" s="20"/>
      <c r="I739" s="20"/>
      <c r="J739" s="20"/>
      <c r="K739" s="20"/>
      <c r="L739" s="20"/>
      <c r="Q739" s="83"/>
      <c r="Y739" s="20"/>
      <c r="AP739" s="92"/>
      <c r="AQ739" s="67"/>
      <c r="AR739" s="67"/>
      <c r="AS739" s="73"/>
      <c r="AT739" s="67"/>
      <c r="AU739" s="67"/>
      <c r="AV739" s="94" t="s">
        <v>238</v>
      </c>
      <c r="AW739" s="32"/>
      <c r="AX739" s="32"/>
      <c r="AY739" s="32"/>
      <c r="AZ739" s="32"/>
      <c r="BA739" s="32"/>
      <c r="BB739" s="31"/>
      <c r="BC739" s="31"/>
      <c r="BD739" s="31"/>
      <c r="BE739" s="31"/>
      <c r="BF739" s="96">
        <v>1</v>
      </c>
      <c r="BG739" s="52"/>
      <c r="BH739" s="52"/>
      <c r="BI739" s="52"/>
      <c r="BJ739" s="52"/>
      <c r="BK739" s="52"/>
      <c r="BL739" s="52"/>
      <c r="BM739" s="52"/>
      <c r="BN739" s="53"/>
      <c r="BO739" s="52"/>
      <c r="BP739" s="52"/>
      <c r="BQ739" s="54"/>
    </row>
    <row r="740" spans="1:69" ht="16" x14ac:dyDescent="0.35">
      <c r="A740"/>
      <c r="D740"/>
      <c r="G740"/>
      <c r="H740" s="20"/>
      <c r="I740" s="20"/>
      <c r="J740" s="20"/>
      <c r="K740" s="20"/>
      <c r="L740" s="20"/>
      <c r="Q740" s="83"/>
      <c r="Y740" s="20"/>
      <c r="AP740" s="93"/>
      <c r="AQ740" s="31"/>
      <c r="AR740" s="31"/>
      <c r="AS740" s="94"/>
      <c r="AT740" s="31"/>
      <c r="AU740" s="31"/>
      <c r="AV740" s="73" t="s">
        <v>238</v>
      </c>
      <c r="AW740" s="68"/>
      <c r="AX740" s="68"/>
      <c r="AY740" s="68"/>
      <c r="AZ740" s="68"/>
      <c r="BA740" s="68"/>
      <c r="BB740" s="67"/>
      <c r="BC740" s="67"/>
      <c r="BD740" s="67"/>
      <c r="BE740" s="67"/>
      <c r="BF740" s="95">
        <v>1</v>
      </c>
      <c r="BG740" s="48"/>
      <c r="BH740" s="48"/>
      <c r="BI740" s="48"/>
      <c r="BJ740" s="48"/>
      <c r="BK740" s="48"/>
      <c r="BL740" s="48"/>
      <c r="BM740" s="48"/>
      <c r="BN740" s="49"/>
      <c r="BO740" s="48"/>
      <c r="BP740" s="48"/>
      <c r="BQ740" s="50"/>
    </row>
    <row r="741" spans="1:69" ht="16" x14ac:dyDescent="0.35">
      <c r="A741"/>
      <c r="D741"/>
      <c r="G741"/>
      <c r="H741" s="20"/>
      <c r="I741" s="20"/>
      <c r="J741" s="20"/>
      <c r="K741" s="20"/>
      <c r="L741" s="20"/>
      <c r="Q741" s="83"/>
      <c r="Y741" s="20"/>
      <c r="AP741" s="92"/>
      <c r="AQ741" s="67"/>
      <c r="AR741" s="67"/>
      <c r="AS741" s="73"/>
      <c r="AT741" s="67"/>
      <c r="AU741" s="67"/>
      <c r="AV741" s="94" t="s">
        <v>238</v>
      </c>
      <c r="AW741" s="32"/>
      <c r="AX741" s="32"/>
      <c r="AY741" s="32"/>
      <c r="AZ741" s="32"/>
      <c r="BA741" s="32"/>
      <c r="BB741" s="31"/>
      <c r="BC741" s="31"/>
      <c r="BD741" s="31"/>
      <c r="BE741" s="31"/>
      <c r="BF741" s="96">
        <v>1</v>
      </c>
      <c r="BG741" s="52"/>
      <c r="BH741" s="52"/>
      <c r="BI741" s="52"/>
      <c r="BJ741" s="52"/>
      <c r="BK741" s="52"/>
      <c r="BL741" s="52"/>
      <c r="BM741" s="52"/>
      <c r="BN741" s="53"/>
      <c r="BO741" s="52"/>
      <c r="BP741" s="52"/>
      <c r="BQ741" s="54"/>
    </row>
    <row r="742" spans="1:69" ht="16" x14ac:dyDescent="0.35">
      <c r="A742"/>
      <c r="D742"/>
      <c r="G742"/>
      <c r="H742" s="20"/>
      <c r="I742" s="20"/>
      <c r="J742" s="20"/>
      <c r="K742" s="20"/>
      <c r="L742" s="20"/>
      <c r="Q742" s="83"/>
      <c r="Y742" s="20"/>
      <c r="AP742" s="93"/>
      <c r="AQ742" s="31"/>
      <c r="AR742" s="31"/>
      <c r="AS742" s="94"/>
      <c r="AT742" s="31"/>
      <c r="AU742" s="31"/>
      <c r="AV742" s="73" t="s">
        <v>207</v>
      </c>
      <c r="AW742" s="68"/>
      <c r="AX742" s="68"/>
      <c r="AY742" s="68"/>
      <c r="AZ742" s="68"/>
      <c r="BA742" s="68"/>
      <c r="BB742" s="67"/>
      <c r="BC742" s="67"/>
      <c r="BD742" s="67"/>
      <c r="BE742" s="67"/>
      <c r="BF742" s="95">
        <v>0</v>
      </c>
      <c r="BG742" s="48"/>
      <c r="BH742" s="48"/>
      <c r="BI742" s="48"/>
      <c r="BJ742" s="48"/>
      <c r="BK742" s="48"/>
      <c r="BL742" s="48"/>
      <c r="BM742" s="48"/>
      <c r="BN742" s="49"/>
      <c r="BO742" s="48"/>
      <c r="BP742" s="48"/>
      <c r="BQ742" s="50"/>
    </row>
    <row r="743" spans="1:69" ht="16" x14ac:dyDescent="0.35">
      <c r="A743"/>
      <c r="D743"/>
      <c r="G743"/>
      <c r="H743" s="20"/>
      <c r="I743" s="20"/>
      <c r="J743" s="20"/>
      <c r="K743" s="20"/>
      <c r="L743" s="20"/>
      <c r="Q743" s="83"/>
      <c r="Y743" s="20"/>
      <c r="AP743" s="92"/>
      <c r="AQ743" s="67"/>
      <c r="AR743" s="67"/>
      <c r="AS743" s="73"/>
      <c r="AT743" s="67"/>
      <c r="AU743" s="67"/>
      <c r="AV743" s="94" t="s">
        <v>207</v>
      </c>
      <c r="AW743" s="32"/>
      <c r="AX743" s="32"/>
      <c r="AY743" s="32"/>
      <c r="AZ743" s="32"/>
      <c r="BA743" s="32"/>
      <c r="BB743" s="31"/>
      <c r="BC743" s="31"/>
      <c r="BD743" s="31"/>
      <c r="BE743" s="31"/>
      <c r="BF743" s="96">
        <v>0</v>
      </c>
      <c r="BG743" s="52"/>
      <c r="BH743" s="52"/>
      <c r="BI743" s="52"/>
      <c r="BJ743" s="52"/>
      <c r="BK743" s="52"/>
      <c r="BL743" s="52"/>
      <c r="BM743" s="52"/>
      <c r="BN743" s="53"/>
      <c r="BO743" s="52"/>
      <c r="BP743" s="52"/>
      <c r="BQ743" s="54"/>
    </row>
    <row r="744" spans="1:69" ht="16" x14ac:dyDescent="0.35">
      <c r="A744"/>
      <c r="D744"/>
      <c r="G744"/>
      <c r="H744" s="20"/>
      <c r="I744" s="20"/>
      <c r="J744" s="20"/>
      <c r="K744" s="20"/>
      <c r="L744" s="20"/>
      <c r="Q744" s="83"/>
      <c r="Y744" s="20"/>
      <c r="AP744" s="93"/>
      <c r="AQ744" s="31"/>
      <c r="AR744" s="31"/>
      <c r="AS744" s="94"/>
      <c r="AT744" s="31"/>
      <c r="AU744" s="31"/>
      <c r="AV744" s="73" t="s">
        <v>209</v>
      </c>
      <c r="AW744" s="68"/>
      <c r="AX744" s="68"/>
      <c r="AY744" s="68"/>
      <c r="AZ744" s="68"/>
      <c r="BA744" s="68"/>
      <c r="BB744" s="67"/>
      <c r="BC744" s="67"/>
      <c r="BD744" s="67"/>
      <c r="BE744" s="67"/>
      <c r="BF744" s="95">
        <v>1</v>
      </c>
      <c r="BG744" s="48"/>
      <c r="BH744" s="48"/>
      <c r="BI744" s="48"/>
      <c r="BJ744" s="48"/>
      <c r="BK744" s="48"/>
      <c r="BL744" s="48"/>
      <c r="BM744" s="48"/>
      <c r="BN744" s="49"/>
      <c r="BO744" s="48"/>
      <c r="BP744" s="48"/>
      <c r="BQ744" s="50"/>
    </row>
    <row r="745" spans="1:69" ht="16" x14ac:dyDescent="0.35">
      <c r="A745"/>
      <c r="D745"/>
      <c r="G745"/>
      <c r="H745" s="20"/>
      <c r="I745" s="20"/>
      <c r="J745" s="20"/>
      <c r="K745" s="20"/>
      <c r="L745" s="20"/>
      <c r="Q745" s="83"/>
      <c r="Y745" s="20"/>
      <c r="AP745" s="92"/>
      <c r="AQ745" s="67"/>
      <c r="AR745" s="67"/>
      <c r="AS745" s="73"/>
      <c r="AT745" s="67"/>
      <c r="AU745" s="67"/>
      <c r="AV745" s="94" t="s">
        <v>209</v>
      </c>
      <c r="AW745" s="32"/>
      <c r="AX745" s="32"/>
      <c r="AY745" s="32"/>
      <c r="AZ745" s="32"/>
      <c r="BA745" s="32"/>
      <c r="BB745" s="31"/>
      <c r="BC745" s="31"/>
      <c r="BD745" s="31"/>
      <c r="BE745" s="31"/>
      <c r="BF745" s="96">
        <v>1</v>
      </c>
      <c r="BG745" s="52"/>
      <c r="BH745" s="52"/>
      <c r="BI745" s="52"/>
      <c r="BJ745" s="52"/>
      <c r="BK745" s="52"/>
      <c r="BL745" s="52"/>
      <c r="BM745" s="52"/>
      <c r="BN745" s="53"/>
      <c r="BO745" s="52"/>
      <c r="BP745" s="52"/>
      <c r="BQ745" s="54"/>
    </row>
    <row r="746" spans="1:69" ht="16" x14ac:dyDescent="0.35">
      <c r="A746"/>
      <c r="D746"/>
      <c r="G746"/>
      <c r="H746" s="20"/>
      <c r="I746" s="20"/>
      <c r="J746" s="20"/>
      <c r="K746" s="20"/>
      <c r="L746" s="20"/>
      <c r="Q746" s="83"/>
      <c r="Y746" s="20"/>
      <c r="AP746" s="93"/>
      <c r="AQ746" s="31"/>
      <c r="AR746" s="31"/>
      <c r="AS746" s="94"/>
      <c r="AT746" s="31"/>
      <c r="AU746" s="31"/>
      <c r="AV746" s="73" t="s">
        <v>209</v>
      </c>
      <c r="AW746" s="68"/>
      <c r="AX746" s="68"/>
      <c r="AY746" s="68"/>
      <c r="AZ746" s="68"/>
      <c r="BA746" s="68"/>
      <c r="BB746" s="67"/>
      <c r="BC746" s="67"/>
      <c r="BD746" s="67"/>
      <c r="BE746" s="67"/>
      <c r="BF746" s="95">
        <v>1</v>
      </c>
      <c r="BG746" s="48"/>
      <c r="BH746" s="48"/>
      <c r="BI746" s="48"/>
      <c r="BJ746" s="48"/>
      <c r="BK746" s="48"/>
      <c r="BL746" s="48"/>
      <c r="BM746" s="48"/>
      <c r="BN746" s="49"/>
      <c r="BO746" s="48"/>
      <c r="BP746" s="48"/>
      <c r="BQ746" s="50"/>
    </row>
    <row r="747" spans="1:69" ht="16" x14ac:dyDescent="0.35">
      <c r="A747"/>
      <c r="D747"/>
      <c r="G747"/>
      <c r="H747" s="20"/>
      <c r="I747" s="20"/>
      <c r="J747" s="20"/>
      <c r="K747" s="20"/>
      <c r="L747" s="20"/>
      <c r="Q747" s="83"/>
      <c r="Y747" s="20"/>
      <c r="AP747" s="92"/>
      <c r="AQ747" s="67"/>
      <c r="AR747" s="67"/>
      <c r="AS747" s="73"/>
      <c r="AT747" s="67"/>
      <c r="AU747" s="67"/>
      <c r="AV747" s="94" t="s">
        <v>209</v>
      </c>
      <c r="AW747" s="32"/>
      <c r="AX747" s="32"/>
      <c r="AY747" s="32"/>
      <c r="AZ747" s="32"/>
      <c r="BA747" s="32"/>
      <c r="BB747" s="31"/>
      <c r="BC747" s="31"/>
      <c r="BD747" s="31"/>
      <c r="BE747" s="31"/>
      <c r="BF747" s="96">
        <v>1</v>
      </c>
      <c r="BG747" s="52"/>
      <c r="BH747" s="52"/>
      <c r="BI747" s="52"/>
      <c r="BJ747" s="52"/>
      <c r="BK747" s="52"/>
      <c r="BL747" s="52"/>
      <c r="BM747" s="52"/>
      <c r="BN747" s="53"/>
      <c r="BO747" s="52"/>
      <c r="BP747" s="52"/>
      <c r="BQ747" s="54"/>
    </row>
    <row r="748" spans="1:69" ht="16" x14ac:dyDescent="0.35">
      <c r="A748"/>
      <c r="D748"/>
      <c r="G748"/>
      <c r="H748" s="20"/>
      <c r="I748" s="20"/>
      <c r="J748" s="20"/>
      <c r="K748" s="20"/>
      <c r="L748" s="20"/>
      <c r="Q748" s="83"/>
      <c r="Y748" s="20"/>
      <c r="AP748" s="93"/>
      <c r="AQ748" s="31"/>
      <c r="AR748" s="31"/>
      <c r="AS748" s="94"/>
      <c r="AT748" s="31"/>
      <c r="AU748" s="31"/>
      <c r="AV748" s="73" t="s">
        <v>209</v>
      </c>
      <c r="AW748" s="68"/>
      <c r="AX748" s="68"/>
      <c r="AY748" s="68"/>
      <c r="AZ748" s="68"/>
      <c r="BA748" s="68"/>
      <c r="BB748" s="67"/>
      <c r="BC748" s="67"/>
      <c r="BD748" s="67"/>
      <c r="BE748" s="67"/>
      <c r="BF748" s="95">
        <v>1</v>
      </c>
      <c r="BG748" s="48"/>
      <c r="BH748" s="48"/>
      <c r="BI748" s="48"/>
      <c r="BJ748" s="48"/>
      <c r="BK748" s="48"/>
      <c r="BL748" s="48"/>
      <c r="BM748" s="48"/>
      <c r="BN748" s="49"/>
      <c r="BO748" s="48"/>
      <c r="BP748" s="48"/>
      <c r="BQ748" s="50"/>
    </row>
    <row r="749" spans="1:69" ht="16" x14ac:dyDescent="0.35">
      <c r="A749"/>
      <c r="D749"/>
      <c r="G749"/>
      <c r="H749" s="20"/>
      <c r="I749" s="20"/>
      <c r="J749" s="20"/>
      <c r="K749" s="20"/>
      <c r="L749" s="20"/>
      <c r="Q749" s="83"/>
      <c r="Y749" s="20"/>
      <c r="AP749" s="92"/>
      <c r="AQ749" s="67"/>
      <c r="AR749" s="67"/>
      <c r="AS749" s="73"/>
      <c r="AT749" s="67"/>
      <c r="AU749" s="67"/>
      <c r="AV749" s="94" t="s">
        <v>209</v>
      </c>
      <c r="AW749" s="32"/>
      <c r="AX749" s="32"/>
      <c r="AY749" s="32"/>
      <c r="AZ749" s="32"/>
      <c r="BA749" s="32"/>
      <c r="BB749" s="31"/>
      <c r="BC749" s="31"/>
      <c r="BD749" s="31"/>
      <c r="BE749" s="31"/>
      <c r="BF749" s="96">
        <v>1</v>
      </c>
      <c r="BG749" s="52"/>
      <c r="BH749" s="52"/>
      <c r="BI749" s="52"/>
      <c r="BJ749" s="52"/>
      <c r="BK749" s="52"/>
      <c r="BL749" s="52"/>
      <c r="BM749" s="52"/>
      <c r="BN749" s="53"/>
      <c r="BO749" s="52"/>
      <c r="BP749" s="52"/>
      <c r="BQ749" s="54"/>
    </row>
    <row r="750" spans="1:69" ht="16" x14ac:dyDescent="0.35">
      <c r="A750"/>
      <c r="D750"/>
      <c r="G750"/>
      <c r="H750" s="20"/>
      <c r="I750" s="20"/>
      <c r="J750" s="20"/>
      <c r="K750" s="20"/>
      <c r="L750" s="20"/>
      <c r="Q750" s="83"/>
      <c r="Y750" s="20"/>
      <c r="AP750" s="93"/>
      <c r="AQ750" s="31"/>
      <c r="AR750" s="31"/>
      <c r="AS750" s="94"/>
      <c r="AT750" s="31"/>
      <c r="AU750" s="31"/>
      <c r="AV750" s="73" t="s">
        <v>209</v>
      </c>
      <c r="AW750" s="68"/>
      <c r="AX750" s="68"/>
      <c r="AY750" s="68"/>
      <c r="AZ750" s="68"/>
      <c r="BA750" s="68"/>
      <c r="BB750" s="67"/>
      <c r="BC750" s="67"/>
      <c r="BD750" s="67"/>
      <c r="BE750" s="67"/>
      <c r="BF750" s="95">
        <v>1</v>
      </c>
      <c r="BG750" s="48"/>
      <c r="BH750" s="48"/>
      <c r="BI750" s="48"/>
      <c r="BJ750" s="48"/>
      <c r="BK750" s="48"/>
      <c r="BL750" s="48"/>
      <c r="BM750" s="48"/>
      <c r="BN750" s="49"/>
      <c r="BO750" s="48"/>
      <c r="BP750" s="48"/>
      <c r="BQ750" s="50"/>
    </row>
    <row r="751" spans="1:69" ht="16" x14ac:dyDescent="0.35">
      <c r="A751"/>
      <c r="D751"/>
      <c r="G751"/>
      <c r="H751" s="20"/>
      <c r="I751" s="20"/>
      <c r="J751" s="20"/>
      <c r="K751" s="20"/>
      <c r="L751" s="20"/>
      <c r="Q751" s="83"/>
      <c r="Y751" s="20"/>
      <c r="AP751" s="92"/>
      <c r="AQ751" s="67"/>
      <c r="AR751" s="67"/>
      <c r="AS751" s="73"/>
      <c r="AT751" s="67"/>
      <c r="AU751" s="67"/>
      <c r="AV751" s="94" t="s">
        <v>238</v>
      </c>
      <c r="AW751" s="32"/>
      <c r="AX751" s="32"/>
      <c r="AY751" s="32"/>
      <c r="AZ751" s="32"/>
      <c r="BA751" s="32"/>
      <c r="BB751" s="31"/>
      <c r="BC751" s="31"/>
      <c r="BD751" s="31"/>
      <c r="BE751" s="31"/>
      <c r="BF751" s="96">
        <v>1</v>
      </c>
      <c r="BG751" s="52"/>
      <c r="BH751" s="52"/>
      <c r="BI751" s="52"/>
      <c r="BJ751" s="52"/>
      <c r="BK751" s="52"/>
      <c r="BL751" s="52"/>
      <c r="BM751" s="52"/>
      <c r="BN751" s="53"/>
      <c r="BO751" s="52"/>
      <c r="BP751" s="52"/>
      <c r="BQ751" s="54"/>
    </row>
    <row r="752" spans="1:69" ht="16" x14ac:dyDescent="0.35">
      <c r="A752"/>
      <c r="D752"/>
      <c r="G752"/>
      <c r="H752" s="20"/>
      <c r="I752" s="20"/>
      <c r="J752" s="20"/>
      <c r="K752" s="20"/>
      <c r="L752" s="20"/>
      <c r="Q752" s="83"/>
      <c r="Y752" s="20"/>
      <c r="AP752" s="93"/>
      <c r="AQ752" s="31"/>
      <c r="AR752" s="31"/>
      <c r="AS752" s="94"/>
      <c r="AT752" s="31"/>
      <c r="AU752" s="31"/>
      <c r="AV752" s="73" t="s">
        <v>207</v>
      </c>
      <c r="AW752" s="68"/>
      <c r="AX752" s="68"/>
      <c r="AY752" s="68"/>
      <c r="AZ752" s="68"/>
      <c r="BA752" s="68"/>
      <c r="BB752" s="67"/>
      <c r="BC752" s="67"/>
      <c r="BD752" s="67"/>
      <c r="BE752" s="67"/>
      <c r="BF752" s="95">
        <v>0</v>
      </c>
      <c r="BG752" s="48"/>
      <c r="BH752" s="48"/>
      <c r="BI752" s="48"/>
      <c r="BJ752" s="48"/>
      <c r="BK752" s="48"/>
      <c r="BL752" s="48"/>
      <c r="BM752" s="48"/>
      <c r="BN752" s="49"/>
      <c r="BO752" s="48"/>
      <c r="BP752" s="48"/>
      <c r="BQ752" s="50"/>
    </row>
    <row r="753" spans="1:69" ht="16" x14ac:dyDescent="0.35">
      <c r="A753"/>
      <c r="D753"/>
      <c r="G753"/>
      <c r="H753" s="20"/>
      <c r="I753" s="20"/>
      <c r="J753" s="20"/>
      <c r="K753" s="20"/>
      <c r="L753" s="20"/>
      <c r="Q753" s="83"/>
      <c r="Y753" s="20"/>
      <c r="AP753" s="92"/>
      <c r="AQ753" s="67"/>
      <c r="AR753" s="67"/>
      <c r="AS753" s="73"/>
      <c r="AT753" s="67"/>
      <c r="AU753" s="67"/>
      <c r="AV753" s="94" t="s">
        <v>207</v>
      </c>
      <c r="AW753" s="32"/>
      <c r="AX753" s="32"/>
      <c r="AY753" s="32"/>
      <c r="AZ753" s="32"/>
      <c r="BA753" s="32"/>
      <c r="BB753" s="31"/>
      <c r="BC753" s="31"/>
      <c r="BD753" s="31"/>
      <c r="BE753" s="31"/>
      <c r="BF753" s="96">
        <v>0</v>
      </c>
      <c r="BG753" s="52"/>
      <c r="BH753" s="52"/>
      <c r="BI753" s="52"/>
      <c r="BJ753" s="52"/>
      <c r="BK753" s="52"/>
      <c r="BL753" s="52"/>
      <c r="BM753" s="52"/>
      <c r="BN753" s="53"/>
      <c r="BO753" s="52"/>
      <c r="BP753" s="52"/>
      <c r="BQ753" s="54"/>
    </row>
    <row r="754" spans="1:69" ht="16" x14ac:dyDescent="0.35">
      <c r="A754"/>
      <c r="D754"/>
      <c r="G754"/>
      <c r="H754" s="20"/>
      <c r="I754" s="20"/>
      <c r="J754" s="20"/>
      <c r="K754" s="20"/>
      <c r="L754" s="20"/>
      <c r="Q754" s="83"/>
      <c r="Y754" s="20"/>
      <c r="AP754" s="93"/>
      <c r="AQ754" s="31"/>
      <c r="AR754" s="31"/>
      <c r="AS754" s="94"/>
      <c r="AT754" s="31"/>
      <c r="AU754" s="31"/>
      <c r="AV754" s="73" t="s">
        <v>207</v>
      </c>
      <c r="AW754" s="68"/>
      <c r="AX754" s="68"/>
      <c r="AY754" s="68"/>
      <c r="AZ754" s="68"/>
      <c r="BA754" s="68"/>
      <c r="BB754" s="67"/>
      <c r="BC754" s="67"/>
      <c r="BD754" s="67"/>
      <c r="BE754" s="67"/>
      <c r="BF754" s="95">
        <v>0</v>
      </c>
      <c r="BG754" s="48"/>
      <c r="BH754" s="48"/>
      <c r="BI754" s="48"/>
      <c r="BJ754" s="48"/>
      <c r="BK754" s="48"/>
      <c r="BL754" s="48"/>
      <c r="BM754" s="48"/>
      <c r="BN754" s="49"/>
      <c r="BO754" s="48"/>
      <c r="BP754" s="48"/>
      <c r="BQ754" s="50"/>
    </row>
    <row r="755" spans="1:69" ht="16" x14ac:dyDescent="0.35">
      <c r="A755"/>
      <c r="D755"/>
      <c r="G755"/>
      <c r="H755" s="20"/>
      <c r="I755" s="20"/>
      <c r="J755" s="20"/>
      <c r="K755" s="20"/>
      <c r="L755" s="20"/>
      <c r="Q755" s="83"/>
      <c r="Y755" s="20"/>
      <c r="AP755" s="92"/>
      <c r="AQ755" s="67"/>
      <c r="AR755" s="67"/>
      <c r="AS755" s="73"/>
      <c r="AT755" s="67"/>
      <c r="AU755" s="67"/>
      <c r="AV755" s="94" t="s">
        <v>209</v>
      </c>
      <c r="AW755" s="32"/>
      <c r="AX755" s="32"/>
      <c r="AY755" s="32"/>
      <c r="AZ755" s="32"/>
      <c r="BA755" s="32"/>
      <c r="BB755" s="31"/>
      <c r="BC755" s="31"/>
      <c r="BD755" s="31"/>
      <c r="BE755" s="31"/>
      <c r="BF755" s="96">
        <v>1</v>
      </c>
      <c r="BG755" s="52"/>
      <c r="BH755" s="52"/>
      <c r="BI755" s="52"/>
      <c r="BJ755" s="52"/>
      <c r="BK755" s="52"/>
      <c r="BL755" s="52"/>
      <c r="BM755" s="52"/>
      <c r="BN755" s="53"/>
      <c r="BO755" s="52"/>
      <c r="BP755" s="52"/>
      <c r="BQ755" s="54"/>
    </row>
    <row r="756" spans="1:69" ht="16" x14ac:dyDescent="0.35">
      <c r="A756"/>
      <c r="D756"/>
      <c r="G756"/>
      <c r="H756" s="20"/>
      <c r="I756" s="20"/>
      <c r="J756" s="20"/>
      <c r="K756" s="20"/>
      <c r="L756" s="20"/>
      <c r="Q756" s="83"/>
      <c r="Y756" s="20"/>
      <c r="AP756" s="93"/>
      <c r="AQ756" s="31"/>
      <c r="AR756" s="31"/>
      <c r="AS756" s="94"/>
      <c r="AT756" s="31"/>
      <c r="AU756" s="31"/>
      <c r="AV756" s="73" t="s">
        <v>238</v>
      </c>
      <c r="AW756" s="68"/>
      <c r="AX756" s="68"/>
      <c r="AY756" s="68"/>
      <c r="AZ756" s="68"/>
      <c r="BA756" s="68"/>
      <c r="BB756" s="67"/>
      <c r="BC756" s="67"/>
      <c r="BD756" s="67"/>
      <c r="BE756" s="67"/>
      <c r="BF756" s="95">
        <v>1</v>
      </c>
      <c r="BG756" s="48"/>
      <c r="BH756" s="48"/>
      <c r="BI756" s="48"/>
      <c r="BJ756" s="48"/>
      <c r="BK756" s="48"/>
      <c r="BL756" s="48"/>
      <c r="BM756" s="48"/>
      <c r="BN756" s="49"/>
      <c r="BO756" s="48"/>
      <c r="BP756" s="48"/>
      <c r="BQ756" s="50"/>
    </row>
    <row r="757" spans="1:69" ht="16" x14ac:dyDescent="0.35">
      <c r="A757"/>
      <c r="D757"/>
      <c r="G757"/>
      <c r="H757" s="20"/>
      <c r="I757" s="20"/>
      <c r="J757" s="20"/>
      <c r="K757" s="20"/>
      <c r="L757" s="20"/>
      <c r="Q757" s="83"/>
      <c r="Y757" s="20"/>
      <c r="AP757" s="92"/>
      <c r="AQ757" s="67"/>
      <c r="AR757" s="67"/>
      <c r="AS757" s="73"/>
      <c r="AT757" s="67"/>
      <c r="AU757" s="67"/>
      <c r="AV757" s="94" t="s">
        <v>207</v>
      </c>
      <c r="AW757" s="32"/>
      <c r="AX757" s="32"/>
      <c r="AY757" s="32"/>
      <c r="AZ757" s="32"/>
      <c r="BA757" s="32"/>
      <c r="BB757" s="31"/>
      <c r="BC757" s="31"/>
      <c r="BD757" s="31"/>
      <c r="BE757" s="31"/>
      <c r="BF757" s="96">
        <v>0</v>
      </c>
      <c r="BG757" s="52"/>
      <c r="BH757" s="52"/>
      <c r="BI757" s="52"/>
      <c r="BJ757" s="52"/>
      <c r="BK757" s="52"/>
      <c r="BL757" s="52"/>
      <c r="BM757" s="52"/>
      <c r="BN757" s="53"/>
      <c r="BO757" s="52"/>
      <c r="BP757" s="52"/>
      <c r="BQ757" s="54"/>
    </row>
    <row r="758" spans="1:69" ht="16" x14ac:dyDescent="0.35">
      <c r="A758"/>
      <c r="D758"/>
      <c r="G758"/>
      <c r="H758" s="20"/>
      <c r="I758" s="20"/>
      <c r="J758" s="20"/>
      <c r="K758" s="20"/>
      <c r="L758" s="20"/>
      <c r="Q758" s="83"/>
      <c r="Y758" s="20"/>
      <c r="AP758" s="93"/>
      <c r="AQ758" s="31"/>
      <c r="AR758" s="31"/>
      <c r="AS758" s="94"/>
      <c r="AT758" s="31"/>
      <c r="AU758" s="31"/>
      <c r="AV758" s="73" t="s">
        <v>238</v>
      </c>
      <c r="AW758" s="68"/>
      <c r="AX758" s="68"/>
      <c r="AY758" s="68"/>
      <c r="AZ758" s="68"/>
      <c r="BA758" s="68"/>
      <c r="BB758" s="67"/>
      <c r="BC758" s="67"/>
      <c r="BD758" s="67"/>
      <c r="BE758" s="67"/>
      <c r="BF758" s="95">
        <v>0</v>
      </c>
      <c r="BG758" s="48"/>
      <c r="BH758" s="48"/>
      <c r="BI758" s="48"/>
      <c r="BJ758" s="48"/>
      <c r="BK758" s="48"/>
      <c r="BL758" s="48"/>
      <c r="BM758" s="48"/>
      <c r="BN758" s="49"/>
      <c r="BO758" s="48"/>
      <c r="BP758" s="48"/>
      <c r="BQ758" s="50"/>
    </row>
    <row r="759" spans="1:69" ht="16" x14ac:dyDescent="0.35">
      <c r="A759"/>
      <c r="D759"/>
      <c r="G759"/>
      <c r="H759" s="20"/>
      <c r="I759" s="20"/>
      <c r="J759" s="20"/>
      <c r="K759" s="20"/>
      <c r="L759" s="20"/>
      <c r="Q759" s="83"/>
      <c r="Y759" s="20"/>
      <c r="AP759" s="92"/>
      <c r="AQ759" s="67"/>
      <c r="AR759" s="67"/>
      <c r="AS759" s="73"/>
      <c r="AT759" s="67"/>
      <c r="AU759" s="67"/>
      <c r="AV759" s="94" t="s">
        <v>238</v>
      </c>
      <c r="AW759" s="32"/>
      <c r="AX759" s="32"/>
      <c r="AY759" s="32"/>
      <c r="AZ759" s="32"/>
      <c r="BA759" s="32"/>
      <c r="BB759" s="31"/>
      <c r="BC759" s="31"/>
      <c r="BD759" s="31"/>
      <c r="BE759" s="31"/>
      <c r="BF759" s="96">
        <v>0</v>
      </c>
      <c r="BG759" s="52"/>
      <c r="BH759" s="52"/>
      <c r="BI759" s="52"/>
      <c r="BJ759" s="52"/>
      <c r="BK759" s="52"/>
      <c r="BL759" s="52"/>
      <c r="BM759" s="52"/>
      <c r="BN759" s="53"/>
      <c r="BO759" s="52"/>
      <c r="BP759" s="52"/>
      <c r="BQ759" s="54"/>
    </row>
    <row r="760" spans="1:69" ht="16" x14ac:dyDescent="0.35">
      <c r="A760"/>
      <c r="D760"/>
      <c r="G760"/>
      <c r="H760" s="20"/>
      <c r="I760" s="20"/>
      <c r="J760" s="20"/>
      <c r="K760" s="20"/>
      <c r="L760" s="20"/>
      <c r="Q760" s="83"/>
      <c r="Y760" s="20"/>
      <c r="AP760" s="93"/>
      <c r="AQ760" s="31"/>
      <c r="AR760" s="31"/>
      <c r="AS760" s="94"/>
      <c r="AT760" s="31"/>
      <c r="AU760" s="31"/>
      <c r="AV760" s="73" t="s">
        <v>238</v>
      </c>
      <c r="AW760" s="68"/>
      <c r="AX760" s="68"/>
      <c r="AY760" s="68"/>
      <c r="AZ760" s="68"/>
      <c r="BA760" s="68"/>
      <c r="BB760" s="67"/>
      <c r="BC760" s="67"/>
      <c r="BD760" s="67"/>
      <c r="BE760" s="67"/>
      <c r="BF760" s="95">
        <v>0</v>
      </c>
      <c r="BG760" s="48"/>
      <c r="BH760" s="48"/>
      <c r="BI760" s="48"/>
      <c r="BJ760" s="48"/>
      <c r="BK760" s="48"/>
      <c r="BL760" s="48"/>
      <c r="BM760" s="48"/>
      <c r="BN760" s="49"/>
      <c r="BO760" s="48"/>
      <c r="BP760" s="48"/>
      <c r="BQ760" s="50"/>
    </row>
    <row r="761" spans="1:69" ht="16" x14ac:dyDescent="0.35">
      <c r="A761"/>
      <c r="D761"/>
      <c r="G761"/>
      <c r="H761" s="20"/>
      <c r="I761" s="20"/>
      <c r="J761" s="20"/>
      <c r="K761" s="20"/>
      <c r="L761" s="20"/>
      <c r="Q761" s="83"/>
      <c r="Y761" s="20"/>
      <c r="AP761" s="92"/>
      <c r="AQ761" s="67"/>
      <c r="AR761" s="67"/>
      <c r="AS761" s="73"/>
      <c r="AT761" s="67"/>
      <c r="AU761" s="67"/>
      <c r="AV761" s="94" t="s">
        <v>209</v>
      </c>
      <c r="AW761" s="32"/>
      <c r="AX761" s="32"/>
      <c r="AY761" s="32"/>
      <c r="AZ761" s="32"/>
      <c r="BA761" s="32"/>
      <c r="BB761" s="31"/>
      <c r="BC761" s="31"/>
      <c r="BD761" s="31"/>
      <c r="BE761" s="31"/>
      <c r="BF761" s="96">
        <v>1</v>
      </c>
      <c r="BG761" s="52"/>
      <c r="BH761" s="52"/>
      <c r="BI761" s="52"/>
      <c r="BJ761" s="52"/>
      <c r="BK761" s="52"/>
      <c r="BL761" s="52"/>
      <c r="BM761" s="52"/>
      <c r="BN761" s="53"/>
      <c r="BO761" s="52"/>
      <c r="BP761" s="52"/>
      <c r="BQ761" s="54"/>
    </row>
    <row r="762" spans="1:69" ht="16" x14ac:dyDescent="0.35">
      <c r="A762"/>
      <c r="D762"/>
      <c r="G762"/>
      <c r="H762" s="20"/>
      <c r="I762" s="20"/>
      <c r="J762" s="20"/>
      <c r="K762" s="20"/>
      <c r="L762" s="20"/>
      <c r="Q762" s="83"/>
      <c r="Y762" s="20"/>
      <c r="AP762" s="93"/>
      <c r="AQ762" s="31"/>
      <c r="AR762" s="31"/>
      <c r="AS762" s="94"/>
      <c r="AT762" s="31"/>
      <c r="AU762" s="31"/>
      <c r="AV762" s="73" t="s">
        <v>207</v>
      </c>
      <c r="AW762" s="68"/>
      <c r="AX762" s="68"/>
      <c r="AY762" s="68"/>
      <c r="AZ762" s="68"/>
      <c r="BA762" s="68"/>
      <c r="BB762" s="67"/>
      <c r="BC762" s="67"/>
      <c r="BD762" s="67"/>
      <c r="BE762" s="67"/>
      <c r="BF762" s="95">
        <v>0</v>
      </c>
      <c r="BG762" s="48"/>
      <c r="BH762" s="48"/>
      <c r="BI762" s="48"/>
      <c r="BJ762" s="48"/>
      <c r="BK762" s="48"/>
      <c r="BL762" s="48"/>
      <c r="BM762" s="48"/>
      <c r="BN762" s="49"/>
      <c r="BO762" s="48"/>
      <c r="BP762" s="48"/>
      <c r="BQ762" s="50"/>
    </row>
    <row r="763" spans="1:69" ht="16" x14ac:dyDescent="0.35">
      <c r="A763"/>
      <c r="D763"/>
      <c r="G763"/>
      <c r="H763" s="20"/>
      <c r="I763" s="20"/>
      <c r="J763" s="20"/>
      <c r="K763" s="20"/>
      <c r="L763" s="20"/>
      <c r="Q763" s="83"/>
      <c r="Y763" s="20"/>
      <c r="AP763" s="92"/>
      <c r="AQ763" s="67"/>
      <c r="AR763" s="67"/>
      <c r="AS763" s="73"/>
      <c r="AT763" s="67"/>
      <c r="AU763" s="67"/>
      <c r="AV763" s="94" t="s">
        <v>207</v>
      </c>
      <c r="AW763" s="32"/>
      <c r="AX763" s="32"/>
      <c r="AY763" s="32"/>
      <c r="AZ763" s="32"/>
      <c r="BA763" s="32"/>
      <c r="BB763" s="31"/>
      <c r="BC763" s="31"/>
      <c r="BD763" s="31"/>
      <c r="BE763" s="31"/>
      <c r="BF763" s="96">
        <v>1</v>
      </c>
      <c r="BG763" s="48"/>
      <c r="BH763" s="48"/>
      <c r="BI763" s="48"/>
      <c r="BJ763" s="48"/>
      <c r="BK763" s="48"/>
      <c r="BL763" s="48"/>
      <c r="BM763" s="48"/>
      <c r="BN763" s="49"/>
      <c r="BO763" s="48"/>
      <c r="BP763" s="48"/>
      <c r="BQ763" s="50"/>
    </row>
    <row r="764" spans="1:69" ht="16" x14ac:dyDescent="0.35">
      <c r="A764"/>
      <c r="D764"/>
      <c r="G764"/>
      <c r="H764" s="20"/>
      <c r="I764" s="20"/>
      <c r="J764" s="20"/>
      <c r="K764" s="20"/>
      <c r="L764" s="20"/>
      <c r="Q764" s="83"/>
      <c r="Y764" s="20"/>
      <c r="AP764" s="93"/>
      <c r="AQ764" s="31"/>
      <c r="AR764" s="31"/>
      <c r="AS764" s="94"/>
      <c r="AT764" s="31"/>
      <c r="AU764" s="31"/>
      <c r="AV764" s="73" t="s">
        <v>238</v>
      </c>
      <c r="AW764" s="68"/>
      <c r="AX764" s="68"/>
      <c r="AY764" s="68"/>
      <c r="AZ764" s="68"/>
      <c r="BA764" s="68"/>
      <c r="BB764" s="67"/>
      <c r="BC764" s="67"/>
      <c r="BD764" s="67"/>
      <c r="BE764" s="67"/>
      <c r="BF764" s="95">
        <v>1</v>
      </c>
      <c r="BG764" s="52"/>
      <c r="BH764" s="52"/>
      <c r="BI764" s="52"/>
      <c r="BJ764" s="52"/>
      <c r="BK764" s="52"/>
      <c r="BL764" s="52"/>
      <c r="BM764" s="52"/>
      <c r="BN764" s="53"/>
      <c r="BO764" s="52"/>
      <c r="BP764" s="52"/>
      <c r="BQ764" s="54"/>
    </row>
    <row r="765" spans="1:69" ht="16" x14ac:dyDescent="0.35">
      <c r="A765"/>
      <c r="D765"/>
      <c r="G765"/>
      <c r="H765" s="20"/>
      <c r="I765" s="20"/>
      <c r="J765" s="20"/>
      <c r="K765" s="20"/>
      <c r="L765" s="20"/>
      <c r="Q765" s="83"/>
      <c r="Y765" s="20"/>
      <c r="AP765" s="92"/>
      <c r="AQ765" s="67"/>
      <c r="AR765" s="67"/>
      <c r="AS765" s="73"/>
      <c r="AT765" s="67"/>
      <c r="AU765" s="67"/>
      <c r="AV765" s="94" t="s">
        <v>238</v>
      </c>
      <c r="AW765" s="32"/>
      <c r="AX765" s="32"/>
      <c r="AY765" s="32"/>
      <c r="AZ765" s="32"/>
      <c r="BA765" s="32"/>
      <c r="BB765" s="31"/>
      <c r="BC765" s="31"/>
      <c r="BD765" s="31"/>
      <c r="BE765" s="31"/>
      <c r="BF765" s="96">
        <v>1</v>
      </c>
      <c r="BG765" s="48"/>
      <c r="BH765" s="48"/>
      <c r="BI765" s="48"/>
      <c r="BJ765" s="48"/>
      <c r="BK765" s="48"/>
      <c r="BL765" s="48"/>
      <c r="BM765" s="48"/>
      <c r="BN765" s="49"/>
      <c r="BO765" s="48"/>
      <c r="BP765" s="48"/>
      <c r="BQ765" s="50"/>
    </row>
    <row r="766" spans="1:69" ht="16" x14ac:dyDescent="0.35">
      <c r="A766"/>
      <c r="D766"/>
      <c r="G766"/>
      <c r="H766" s="20"/>
      <c r="I766" s="20"/>
      <c r="J766" s="20"/>
      <c r="K766" s="20"/>
      <c r="L766" s="20"/>
      <c r="Q766" s="83"/>
      <c r="Y766" s="20"/>
      <c r="AP766" s="93"/>
      <c r="AQ766" s="31"/>
      <c r="AR766" s="31"/>
      <c r="AS766" s="94"/>
      <c r="AT766" s="31"/>
      <c r="AU766" s="31"/>
      <c r="AV766" s="73" t="s">
        <v>238</v>
      </c>
      <c r="AW766" s="68"/>
      <c r="AX766" s="68"/>
      <c r="AY766" s="68"/>
      <c r="AZ766" s="68"/>
      <c r="BA766" s="68"/>
      <c r="BB766" s="67"/>
      <c r="BC766" s="67"/>
      <c r="BD766" s="67"/>
      <c r="BE766" s="67"/>
      <c r="BF766" s="95">
        <v>1</v>
      </c>
      <c r="BG766" s="52"/>
      <c r="BH766" s="52"/>
      <c r="BI766" s="52"/>
      <c r="BJ766" s="52"/>
      <c r="BK766" s="52"/>
      <c r="BL766" s="52"/>
      <c r="BM766" s="52"/>
      <c r="BN766" s="53"/>
      <c r="BO766" s="52"/>
      <c r="BP766" s="52"/>
      <c r="BQ766" s="54"/>
    </row>
    <row r="767" spans="1:69" ht="16" x14ac:dyDescent="0.35">
      <c r="A767"/>
      <c r="D767"/>
      <c r="G767"/>
      <c r="H767" s="20"/>
      <c r="I767" s="20"/>
      <c r="J767" s="20"/>
      <c r="K767" s="20"/>
      <c r="L767" s="20"/>
      <c r="Q767" s="83"/>
      <c r="Y767" s="20"/>
      <c r="AP767" s="92"/>
      <c r="AQ767" s="67"/>
      <c r="AR767" s="67"/>
      <c r="AS767" s="73"/>
      <c r="AT767" s="67"/>
      <c r="AU767" s="67"/>
      <c r="AV767" s="94" t="s">
        <v>238</v>
      </c>
      <c r="AW767" s="32"/>
      <c r="AX767" s="32"/>
      <c r="AY767" s="32"/>
      <c r="AZ767" s="32"/>
      <c r="BA767" s="32"/>
      <c r="BB767" s="31"/>
      <c r="BC767" s="31"/>
      <c r="BD767" s="31"/>
      <c r="BE767" s="31"/>
      <c r="BF767" s="96">
        <v>1</v>
      </c>
      <c r="BG767" s="48"/>
      <c r="BH767" s="48"/>
      <c r="BI767" s="48"/>
      <c r="BJ767" s="48"/>
      <c r="BK767" s="48"/>
      <c r="BL767" s="48"/>
      <c r="BM767" s="48"/>
      <c r="BN767" s="49"/>
      <c r="BO767" s="48"/>
      <c r="BP767" s="48"/>
      <c r="BQ767" s="50"/>
    </row>
    <row r="768" spans="1:69" ht="16" x14ac:dyDescent="0.35">
      <c r="A768"/>
      <c r="D768"/>
      <c r="G768"/>
      <c r="H768" s="20"/>
      <c r="I768" s="20"/>
      <c r="J768" s="20"/>
      <c r="K768" s="20"/>
      <c r="L768" s="20"/>
      <c r="Q768" s="83"/>
      <c r="Y768" s="20"/>
      <c r="AP768" s="93"/>
      <c r="AQ768" s="31"/>
      <c r="AR768" s="31"/>
      <c r="AS768" s="94"/>
      <c r="AT768" s="31"/>
      <c r="AU768" s="31"/>
      <c r="AV768" s="73" t="s">
        <v>209</v>
      </c>
      <c r="AW768" s="68"/>
      <c r="AX768" s="68"/>
      <c r="AY768" s="68"/>
      <c r="AZ768" s="68"/>
      <c r="BA768" s="68"/>
      <c r="BB768" s="67"/>
      <c r="BC768" s="67"/>
      <c r="BD768" s="67"/>
      <c r="BE768" s="67"/>
      <c r="BF768" s="95">
        <v>1</v>
      </c>
      <c r="BG768" s="52"/>
      <c r="BH768" s="52"/>
      <c r="BI768" s="52"/>
      <c r="BJ768" s="52"/>
      <c r="BK768" s="52"/>
      <c r="BL768" s="52"/>
      <c r="BM768" s="52"/>
      <c r="BN768" s="53"/>
      <c r="BO768" s="52"/>
      <c r="BP768" s="52"/>
      <c r="BQ768" s="54"/>
    </row>
    <row r="769" spans="1:69" ht="16" x14ac:dyDescent="0.35">
      <c r="A769"/>
      <c r="D769"/>
      <c r="G769"/>
      <c r="H769" s="20"/>
      <c r="I769" s="20"/>
      <c r="J769" s="20"/>
      <c r="K769" s="20"/>
      <c r="L769" s="20"/>
      <c r="Q769" s="83"/>
      <c r="Y769" s="20"/>
      <c r="AP769" s="92"/>
      <c r="AQ769" s="67"/>
      <c r="AR769" s="67"/>
      <c r="AS769" s="73"/>
      <c r="AT769" s="67"/>
      <c r="AU769" s="67"/>
      <c r="AV769" s="94" t="s">
        <v>238</v>
      </c>
      <c r="AW769" s="32"/>
      <c r="AX769" s="32"/>
      <c r="AY769" s="32"/>
      <c r="AZ769" s="32"/>
      <c r="BA769" s="32"/>
      <c r="BB769" s="31"/>
      <c r="BC769" s="31"/>
      <c r="BD769" s="31"/>
      <c r="BE769" s="31"/>
      <c r="BF769" s="96">
        <v>1</v>
      </c>
      <c r="BG769" s="48"/>
      <c r="BH769" s="48"/>
      <c r="BI769" s="48"/>
      <c r="BJ769" s="48"/>
      <c r="BK769" s="48"/>
      <c r="BL769" s="48"/>
      <c r="BM769" s="48"/>
      <c r="BN769" s="49"/>
      <c r="BO769" s="48"/>
      <c r="BP769" s="48"/>
      <c r="BQ769" s="50"/>
    </row>
    <row r="770" spans="1:69" ht="16" x14ac:dyDescent="0.35">
      <c r="A770"/>
      <c r="D770"/>
      <c r="G770"/>
      <c r="H770" s="20"/>
      <c r="I770" s="20"/>
      <c r="J770" s="20"/>
      <c r="K770" s="20"/>
      <c r="L770" s="20"/>
      <c r="Q770" s="83"/>
      <c r="Y770" s="20"/>
      <c r="AP770" s="93"/>
      <c r="AQ770" s="31"/>
      <c r="AR770" s="31"/>
      <c r="AS770" s="94"/>
      <c r="AT770" s="31"/>
      <c r="AU770" s="31"/>
      <c r="AV770" s="73" t="s">
        <v>207</v>
      </c>
      <c r="AW770" s="68"/>
      <c r="AX770" s="68"/>
      <c r="AY770" s="68"/>
      <c r="AZ770" s="68"/>
      <c r="BA770" s="68"/>
      <c r="BB770" s="67"/>
      <c r="BC770" s="67"/>
      <c r="BD770" s="67"/>
      <c r="BE770" s="67"/>
      <c r="BF770" s="95">
        <v>0</v>
      </c>
      <c r="BG770" s="52"/>
      <c r="BH770" s="52"/>
      <c r="BI770" s="52"/>
      <c r="BJ770" s="52"/>
      <c r="BK770" s="52"/>
      <c r="BL770" s="52"/>
      <c r="BM770" s="52"/>
      <c r="BN770" s="53"/>
      <c r="BO770" s="52"/>
      <c r="BP770" s="52"/>
      <c r="BQ770" s="54"/>
    </row>
    <row r="771" spans="1:69" ht="16" x14ac:dyDescent="0.35">
      <c r="A771"/>
      <c r="D771"/>
      <c r="G771"/>
      <c r="H771" s="20"/>
      <c r="I771" s="20"/>
      <c r="J771" s="20"/>
      <c r="K771" s="20"/>
      <c r="L771" s="20"/>
      <c r="Q771" s="83"/>
      <c r="Y771" s="20"/>
      <c r="AP771" s="92"/>
      <c r="AQ771" s="67"/>
      <c r="AR771" s="67"/>
      <c r="AS771" s="73"/>
      <c r="AT771" s="67"/>
      <c r="AU771" s="67"/>
      <c r="AV771" s="94" t="s">
        <v>207</v>
      </c>
      <c r="AW771" s="32"/>
      <c r="AX771" s="32"/>
      <c r="AY771" s="32"/>
      <c r="AZ771" s="32"/>
      <c r="BA771" s="32"/>
      <c r="BB771" s="31"/>
      <c r="BC771" s="31"/>
      <c r="BD771" s="31"/>
      <c r="BE771" s="31"/>
      <c r="BF771" s="96">
        <v>0</v>
      </c>
      <c r="BG771" s="48"/>
      <c r="BH771" s="48"/>
      <c r="BI771" s="48"/>
      <c r="BJ771" s="48"/>
      <c r="BK771" s="48"/>
      <c r="BL771" s="48"/>
      <c r="BM771" s="48"/>
      <c r="BN771" s="49"/>
      <c r="BO771" s="48"/>
      <c r="BP771" s="48"/>
      <c r="BQ771" s="50"/>
    </row>
    <row r="772" spans="1:69" ht="16" x14ac:dyDescent="0.35">
      <c r="A772"/>
      <c r="D772"/>
      <c r="G772"/>
      <c r="H772" s="20"/>
      <c r="I772" s="20"/>
      <c r="J772" s="20"/>
      <c r="K772" s="20"/>
      <c r="L772" s="20"/>
      <c r="Q772" s="83"/>
      <c r="Y772" s="20"/>
      <c r="AP772" s="93"/>
      <c r="AQ772" s="31"/>
      <c r="AR772" s="31"/>
      <c r="AS772" s="94"/>
      <c r="AT772" s="31"/>
      <c r="AU772" s="31"/>
      <c r="AV772" s="73" t="s">
        <v>223</v>
      </c>
      <c r="AW772" s="68"/>
      <c r="AX772" s="68"/>
      <c r="AY772" s="68"/>
      <c r="AZ772" s="68"/>
      <c r="BA772" s="68"/>
      <c r="BB772" s="67"/>
      <c r="BC772" s="67"/>
      <c r="BD772" s="67"/>
      <c r="BE772" s="67"/>
      <c r="BF772" s="95">
        <v>8</v>
      </c>
      <c r="BG772" s="52"/>
      <c r="BH772" s="52"/>
      <c r="BI772" s="52"/>
      <c r="BJ772" s="52"/>
      <c r="BK772" s="52"/>
      <c r="BL772" s="52"/>
      <c r="BM772" s="52"/>
      <c r="BN772" s="53"/>
      <c r="BO772" s="52"/>
      <c r="BP772" s="52"/>
      <c r="BQ772" s="54"/>
    </row>
    <row r="773" spans="1:69" ht="16" x14ac:dyDescent="0.35">
      <c r="A773"/>
      <c r="D773"/>
      <c r="G773"/>
      <c r="H773" s="20"/>
      <c r="I773" s="20"/>
      <c r="J773" s="20"/>
      <c r="K773" s="20"/>
      <c r="L773" s="20"/>
      <c r="Q773" s="83"/>
      <c r="Y773" s="20"/>
      <c r="AP773" s="92"/>
      <c r="AQ773" s="67"/>
      <c r="AR773" s="67"/>
      <c r="AS773" s="73"/>
      <c r="AT773" s="67"/>
      <c r="AU773" s="67"/>
      <c r="AV773" s="94" t="s">
        <v>238</v>
      </c>
      <c r="AW773" s="32"/>
      <c r="AX773" s="32"/>
      <c r="AY773" s="32"/>
      <c r="AZ773" s="32"/>
      <c r="BA773" s="32"/>
      <c r="BB773" s="31"/>
      <c r="BC773" s="31"/>
      <c r="BD773" s="31"/>
      <c r="BE773" s="31"/>
      <c r="BF773" s="96">
        <v>1</v>
      </c>
      <c r="BG773" s="48"/>
      <c r="BH773" s="48"/>
      <c r="BI773" s="48"/>
      <c r="BJ773" s="48"/>
      <c r="BK773" s="48"/>
      <c r="BL773" s="48"/>
      <c r="BM773" s="48"/>
      <c r="BN773" s="49"/>
      <c r="BO773" s="48"/>
      <c r="BP773" s="48"/>
      <c r="BQ773" s="50"/>
    </row>
    <row r="774" spans="1:69" ht="16" x14ac:dyDescent="0.35">
      <c r="A774"/>
      <c r="D774"/>
      <c r="G774"/>
      <c r="H774" s="20"/>
      <c r="I774" s="20"/>
      <c r="J774" s="20"/>
      <c r="K774" s="20"/>
      <c r="L774" s="20"/>
      <c r="Q774" s="83"/>
      <c r="Y774" s="20"/>
      <c r="AP774" s="93"/>
      <c r="AQ774" s="31"/>
      <c r="AR774" s="31"/>
      <c r="AS774" s="94"/>
      <c r="AT774" s="31"/>
      <c r="AU774" s="31"/>
      <c r="AV774" s="73" t="s">
        <v>238</v>
      </c>
      <c r="AW774" s="68"/>
      <c r="AX774" s="68"/>
      <c r="AY774" s="68"/>
      <c r="AZ774" s="68"/>
      <c r="BA774" s="68"/>
      <c r="BB774" s="67"/>
      <c r="BC774" s="67"/>
      <c r="BD774" s="67"/>
      <c r="BE774" s="67"/>
      <c r="BF774" s="95">
        <v>1</v>
      </c>
      <c r="BG774" s="52"/>
      <c r="BH774" s="52"/>
      <c r="BI774" s="52"/>
      <c r="BJ774" s="52"/>
      <c r="BK774" s="52"/>
      <c r="BL774" s="52"/>
      <c r="BM774" s="52"/>
      <c r="BN774" s="53"/>
      <c r="BO774" s="52"/>
      <c r="BP774" s="52"/>
      <c r="BQ774" s="54"/>
    </row>
    <row r="775" spans="1:69" ht="16" x14ac:dyDescent="0.35">
      <c r="A775"/>
      <c r="D775"/>
      <c r="G775"/>
      <c r="H775" s="20"/>
      <c r="I775" s="20"/>
      <c r="J775" s="20"/>
      <c r="K775" s="20"/>
      <c r="L775" s="20"/>
      <c r="Q775" s="83"/>
      <c r="Y775" s="20"/>
      <c r="AP775" s="92"/>
      <c r="AQ775" s="67"/>
      <c r="AR775" s="67"/>
      <c r="AS775" s="73"/>
      <c r="AT775" s="67"/>
      <c r="AU775" s="67"/>
      <c r="AV775" s="94" t="s">
        <v>238</v>
      </c>
      <c r="AW775" s="32"/>
      <c r="AX775" s="32"/>
      <c r="AY775" s="32"/>
      <c r="AZ775" s="32"/>
      <c r="BA775" s="32"/>
      <c r="BB775" s="31"/>
      <c r="BC775" s="31"/>
      <c r="BD775" s="31"/>
      <c r="BE775" s="31"/>
      <c r="BF775" s="96">
        <v>1</v>
      </c>
      <c r="BG775" s="48"/>
      <c r="BH775" s="48"/>
      <c r="BI775" s="48"/>
      <c r="BJ775" s="48"/>
      <c r="BK775" s="48"/>
      <c r="BL775" s="48"/>
      <c r="BM775" s="48"/>
      <c r="BN775" s="49"/>
      <c r="BO775" s="48"/>
      <c r="BP775" s="48"/>
      <c r="BQ775" s="50"/>
    </row>
    <row r="776" spans="1:69" ht="16" x14ac:dyDescent="0.35">
      <c r="A776"/>
      <c r="D776"/>
      <c r="G776"/>
      <c r="H776" s="20"/>
      <c r="I776" s="20"/>
      <c r="J776" s="20"/>
      <c r="K776" s="20"/>
      <c r="L776" s="20"/>
      <c r="Q776" s="83"/>
      <c r="Y776" s="20"/>
      <c r="AP776" s="93"/>
      <c r="AQ776" s="31"/>
      <c r="AR776" s="31"/>
      <c r="AS776" s="94"/>
      <c r="AT776" s="31"/>
      <c r="AU776" s="31"/>
      <c r="AV776" s="73" t="s">
        <v>238</v>
      </c>
      <c r="AW776" s="68"/>
      <c r="AX776" s="68"/>
      <c r="AY776" s="68"/>
      <c r="AZ776" s="68"/>
      <c r="BA776" s="68"/>
      <c r="BB776" s="67"/>
      <c r="BC776" s="67"/>
      <c r="BD776" s="67"/>
      <c r="BE776" s="67"/>
      <c r="BF776" s="95">
        <v>1</v>
      </c>
      <c r="BG776" s="52"/>
      <c r="BH776" s="52"/>
      <c r="BI776" s="52"/>
      <c r="BJ776" s="52"/>
      <c r="BK776" s="52"/>
      <c r="BL776" s="52"/>
      <c r="BM776" s="52"/>
      <c r="BN776" s="53"/>
      <c r="BO776" s="52"/>
      <c r="BP776" s="52"/>
      <c r="BQ776" s="54"/>
    </row>
    <row r="777" spans="1:69" ht="16" x14ac:dyDescent="0.35">
      <c r="A777"/>
      <c r="D777"/>
      <c r="G777"/>
      <c r="H777" s="20"/>
      <c r="I777" s="20"/>
      <c r="J777" s="20"/>
      <c r="K777" s="20"/>
      <c r="L777" s="20"/>
      <c r="Q777" s="83"/>
      <c r="Y777" s="20"/>
      <c r="AP777" s="92"/>
      <c r="AQ777" s="67"/>
      <c r="AR777" s="67"/>
      <c r="AS777" s="73"/>
      <c r="AT777" s="67"/>
      <c r="AU777" s="67"/>
      <c r="AV777" s="94" t="s">
        <v>238</v>
      </c>
      <c r="AW777" s="32"/>
      <c r="AX777" s="32"/>
      <c r="AY777" s="32"/>
      <c r="AZ777" s="32"/>
      <c r="BA777" s="32"/>
      <c r="BB777" s="31"/>
      <c r="BC777" s="31"/>
      <c r="BD777" s="31"/>
      <c r="BE777" s="31"/>
      <c r="BF777" s="96">
        <v>1</v>
      </c>
      <c r="BG777" s="48"/>
      <c r="BH777" s="48"/>
      <c r="BI777" s="48"/>
      <c r="BJ777" s="48"/>
      <c r="BK777" s="48"/>
      <c r="BL777" s="48"/>
      <c r="BM777" s="48"/>
      <c r="BN777" s="49"/>
      <c r="BO777" s="48"/>
      <c r="BP777" s="48"/>
      <c r="BQ777" s="50"/>
    </row>
    <row r="778" spans="1:69" ht="16" x14ac:dyDescent="0.35">
      <c r="A778"/>
      <c r="D778"/>
      <c r="G778"/>
      <c r="H778" s="20"/>
      <c r="I778" s="20"/>
      <c r="J778" s="20"/>
      <c r="K778" s="20"/>
      <c r="L778" s="20"/>
      <c r="Q778" s="83"/>
      <c r="Y778" s="20"/>
      <c r="AP778" s="93"/>
      <c r="AQ778" s="31"/>
      <c r="AR778" s="31"/>
      <c r="AS778" s="94"/>
      <c r="AT778" s="31"/>
      <c r="AU778" s="31"/>
      <c r="AV778" s="73" t="s">
        <v>238</v>
      </c>
      <c r="AW778" s="68"/>
      <c r="AX778" s="68"/>
      <c r="AY778" s="68"/>
      <c r="AZ778" s="68"/>
      <c r="BA778" s="68"/>
      <c r="BB778" s="67"/>
      <c r="BC778" s="67"/>
      <c r="BD778" s="67"/>
      <c r="BE778" s="67"/>
      <c r="BF778" s="95">
        <v>1</v>
      </c>
      <c r="BG778" s="52"/>
      <c r="BH778" s="52"/>
      <c r="BI778" s="52"/>
      <c r="BJ778" s="52"/>
      <c r="BK778" s="52"/>
      <c r="BL778" s="52"/>
      <c r="BM778" s="52"/>
      <c r="BN778" s="53"/>
      <c r="BO778" s="52"/>
      <c r="BP778" s="52"/>
      <c r="BQ778" s="54"/>
    </row>
    <row r="779" spans="1:69" ht="16" x14ac:dyDescent="0.35">
      <c r="A779"/>
      <c r="D779"/>
      <c r="G779"/>
      <c r="H779" s="20"/>
      <c r="I779" s="20"/>
      <c r="J779" s="20"/>
      <c r="K779" s="20"/>
      <c r="L779" s="20"/>
      <c r="Q779" s="83"/>
      <c r="Y779" s="20"/>
      <c r="AP779" s="92"/>
      <c r="AQ779" s="67"/>
      <c r="AR779" s="67"/>
      <c r="AS779" s="73"/>
      <c r="AT779" s="67"/>
      <c r="AU779" s="67"/>
      <c r="AV779" s="94" t="s">
        <v>238</v>
      </c>
      <c r="AW779" s="32"/>
      <c r="AX779" s="32"/>
      <c r="AY779" s="32"/>
      <c r="AZ779" s="32"/>
      <c r="BA779" s="32"/>
      <c r="BB779" s="31"/>
      <c r="BC779" s="31"/>
      <c r="BD779" s="31"/>
      <c r="BE779" s="31"/>
      <c r="BF779" s="96">
        <v>1</v>
      </c>
      <c r="BG779" s="48"/>
      <c r="BH779" s="48"/>
      <c r="BI779" s="48"/>
      <c r="BJ779" s="48"/>
      <c r="BK779" s="48"/>
      <c r="BL779" s="48"/>
      <c r="BM779" s="48"/>
      <c r="BN779" s="49"/>
      <c r="BO779" s="48"/>
      <c r="BP779" s="48"/>
      <c r="BQ779" s="50"/>
    </row>
    <row r="780" spans="1:69" ht="16" x14ac:dyDescent="0.35">
      <c r="A780"/>
      <c r="D780"/>
      <c r="G780"/>
      <c r="H780" s="20"/>
      <c r="I780" s="20"/>
      <c r="J780" s="20"/>
      <c r="K780" s="20"/>
      <c r="L780" s="20"/>
      <c r="Q780" s="83"/>
      <c r="Y780" s="20"/>
      <c r="AP780" s="93"/>
      <c r="AQ780" s="31"/>
      <c r="AR780" s="31"/>
      <c r="AS780" s="94"/>
      <c r="AT780" s="31"/>
      <c r="AU780" s="31"/>
      <c r="AV780" s="73" t="s">
        <v>238</v>
      </c>
      <c r="AW780" s="68"/>
      <c r="AX780" s="68"/>
      <c r="AY780" s="68"/>
      <c r="AZ780" s="68"/>
      <c r="BA780" s="68"/>
      <c r="BB780" s="67"/>
      <c r="BC780" s="67"/>
      <c r="BD780" s="67"/>
      <c r="BE780" s="67"/>
      <c r="BF780" s="95">
        <v>1</v>
      </c>
      <c r="BG780" s="52"/>
      <c r="BH780" s="52"/>
      <c r="BI780" s="52"/>
      <c r="BJ780" s="52"/>
      <c r="BK780" s="52"/>
      <c r="BL780" s="52"/>
      <c r="BM780" s="52"/>
      <c r="BN780" s="53"/>
      <c r="BO780" s="52"/>
      <c r="BP780" s="52"/>
      <c r="BQ780" s="54"/>
    </row>
    <row r="781" spans="1:69" ht="16" x14ac:dyDescent="0.35">
      <c r="A781"/>
      <c r="D781"/>
      <c r="G781"/>
      <c r="H781" s="20"/>
      <c r="I781" s="20"/>
      <c r="J781" s="20"/>
      <c r="K781" s="20"/>
      <c r="L781" s="20"/>
      <c r="Q781" s="83"/>
      <c r="Y781" s="20"/>
      <c r="AP781" s="92"/>
      <c r="AQ781" s="67"/>
      <c r="AR781" s="67"/>
      <c r="AS781" s="73"/>
      <c r="AT781" s="67"/>
      <c r="AU781" s="67"/>
      <c r="AV781" s="94" t="s">
        <v>238</v>
      </c>
      <c r="AW781" s="32"/>
      <c r="AX781" s="32"/>
      <c r="AY781" s="32"/>
      <c r="AZ781" s="32"/>
      <c r="BA781" s="32"/>
      <c r="BB781" s="31"/>
      <c r="BC781" s="31"/>
      <c r="BD781" s="31"/>
      <c r="BE781" s="31"/>
      <c r="BF781" s="96">
        <v>1</v>
      </c>
      <c r="BG781" s="48"/>
      <c r="BH781" s="48"/>
      <c r="BI781" s="48"/>
      <c r="BJ781" s="48"/>
      <c r="BK781" s="48"/>
      <c r="BL781" s="48"/>
      <c r="BM781" s="48"/>
      <c r="BN781" s="49"/>
      <c r="BO781" s="48"/>
      <c r="BP781" s="48"/>
      <c r="BQ781" s="50"/>
    </row>
    <row r="782" spans="1:69" ht="16" x14ac:dyDescent="0.35">
      <c r="A782"/>
      <c r="D782"/>
      <c r="G782"/>
      <c r="H782" s="20"/>
      <c r="I782" s="20"/>
      <c r="J782" s="20"/>
      <c r="K782" s="20"/>
      <c r="L782" s="20"/>
      <c r="Q782" s="83"/>
      <c r="Y782" s="20"/>
      <c r="AP782" s="93"/>
      <c r="AQ782" s="31"/>
      <c r="AR782" s="31"/>
      <c r="AS782" s="94"/>
      <c r="AT782" s="31"/>
      <c r="AU782" s="31"/>
      <c r="AV782" s="73" t="s">
        <v>238</v>
      </c>
      <c r="AW782" s="68"/>
      <c r="AX782" s="68"/>
      <c r="AY782" s="68"/>
      <c r="AZ782" s="68"/>
      <c r="BA782" s="68"/>
      <c r="BB782" s="67"/>
      <c r="BC782" s="67"/>
      <c r="BD782" s="67"/>
      <c r="BE782" s="67"/>
      <c r="BF782" s="95">
        <v>1</v>
      </c>
      <c r="BG782" s="52"/>
      <c r="BH782" s="52"/>
      <c r="BI782" s="52"/>
      <c r="BJ782" s="52"/>
      <c r="BK782" s="52"/>
      <c r="BL782" s="52"/>
      <c r="BM782" s="52"/>
      <c r="BN782" s="53"/>
      <c r="BO782" s="52"/>
      <c r="BP782" s="52"/>
      <c r="BQ782" s="54"/>
    </row>
    <row r="783" spans="1:69" ht="16" x14ac:dyDescent="0.35">
      <c r="A783"/>
      <c r="D783"/>
      <c r="G783"/>
      <c r="H783" s="20"/>
      <c r="I783" s="20"/>
      <c r="J783" s="20"/>
      <c r="K783" s="20"/>
      <c r="L783" s="20"/>
      <c r="Q783" s="83"/>
      <c r="Y783" s="20"/>
      <c r="AP783" s="92"/>
      <c r="AQ783" s="67"/>
      <c r="AR783" s="67"/>
      <c r="AS783" s="73"/>
      <c r="AT783" s="67"/>
      <c r="AU783" s="67"/>
      <c r="AV783" s="94" t="s">
        <v>238</v>
      </c>
      <c r="AW783" s="32"/>
      <c r="AX783" s="32"/>
      <c r="AY783" s="32"/>
      <c r="AZ783" s="32"/>
      <c r="BA783" s="32"/>
      <c r="BB783" s="31"/>
      <c r="BC783" s="31"/>
      <c r="BD783" s="31"/>
      <c r="BE783" s="31"/>
      <c r="BF783" s="96">
        <v>1</v>
      </c>
      <c r="BG783" s="48"/>
      <c r="BH783" s="48"/>
      <c r="BI783" s="48"/>
      <c r="BJ783" s="48"/>
      <c r="BK783" s="48"/>
      <c r="BL783" s="48"/>
      <c r="BM783" s="48"/>
      <c r="BN783" s="49"/>
      <c r="BO783" s="48"/>
      <c r="BP783" s="48"/>
      <c r="BQ783" s="50"/>
    </row>
    <row r="784" spans="1:69" ht="16" x14ac:dyDescent="0.35">
      <c r="A784"/>
      <c r="D784"/>
      <c r="G784"/>
      <c r="H784" s="20"/>
      <c r="I784" s="20"/>
      <c r="J784" s="20"/>
      <c r="K784" s="20"/>
      <c r="L784" s="20"/>
      <c r="Q784" s="83"/>
      <c r="Y784" s="20"/>
      <c r="AP784" s="93"/>
      <c r="AQ784" s="31"/>
      <c r="AR784" s="31"/>
      <c r="AS784" s="94"/>
      <c r="AT784" s="31"/>
      <c r="AU784" s="31"/>
      <c r="AV784" s="73" t="s">
        <v>238</v>
      </c>
      <c r="AW784" s="68"/>
      <c r="AX784" s="68"/>
      <c r="AY784" s="68"/>
      <c r="AZ784" s="68"/>
      <c r="BA784" s="68"/>
      <c r="BB784" s="67"/>
      <c r="BC784" s="67"/>
      <c r="BD784" s="67"/>
      <c r="BE784" s="67"/>
      <c r="BF784" s="95">
        <v>1</v>
      </c>
      <c r="BG784" s="52"/>
      <c r="BH784" s="52"/>
      <c r="BI784" s="52"/>
      <c r="BJ784" s="52"/>
      <c r="BK784" s="52"/>
      <c r="BL784" s="52"/>
      <c r="BM784" s="52"/>
      <c r="BN784" s="53"/>
      <c r="BO784" s="52"/>
      <c r="BP784" s="52"/>
      <c r="BQ784" s="54"/>
    </row>
    <row r="785" spans="1:69" ht="16" x14ac:dyDescent="0.35">
      <c r="A785"/>
      <c r="D785"/>
      <c r="G785"/>
      <c r="H785" s="20"/>
      <c r="I785" s="20"/>
      <c r="J785" s="20"/>
      <c r="K785" s="20"/>
      <c r="L785" s="20"/>
      <c r="Q785" s="83"/>
      <c r="Y785" s="20"/>
      <c r="AP785" s="92"/>
      <c r="AQ785" s="67"/>
      <c r="AR785" s="67"/>
      <c r="AS785" s="73"/>
      <c r="AT785" s="67"/>
      <c r="AU785" s="67"/>
      <c r="AV785" s="94" t="s">
        <v>238</v>
      </c>
      <c r="AW785" s="32"/>
      <c r="AX785" s="32"/>
      <c r="AY785" s="32"/>
      <c r="AZ785" s="32"/>
      <c r="BA785" s="32"/>
      <c r="BB785" s="31"/>
      <c r="BC785" s="31"/>
      <c r="BD785" s="31"/>
      <c r="BE785" s="31"/>
      <c r="BF785" s="96">
        <v>3</v>
      </c>
      <c r="BG785" s="48"/>
      <c r="BH785" s="48"/>
      <c r="BI785" s="48"/>
      <c r="BJ785" s="48"/>
      <c r="BK785" s="48"/>
      <c r="BL785" s="48"/>
      <c r="BM785" s="48"/>
      <c r="BN785" s="49"/>
      <c r="BO785" s="48"/>
      <c r="BP785" s="48"/>
      <c r="BQ785" s="50"/>
    </row>
    <row r="786" spans="1:69" ht="16" x14ac:dyDescent="0.35">
      <c r="A786"/>
      <c r="D786"/>
      <c r="G786"/>
      <c r="H786" s="20"/>
      <c r="I786" s="20"/>
      <c r="J786" s="20"/>
      <c r="K786" s="20"/>
      <c r="L786" s="20"/>
      <c r="Q786" s="83"/>
      <c r="Y786" s="20"/>
      <c r="AP786" s="93"/>
      <c r="AQ786" s="31"/>
      <c r="AR786" s="31"/>
      <c r="AS786" s="94"/>
      <c r="AT786" s="31"/>
      <c r="AU786" s="31"/>
      <c r="AV786" s="73" t="s">
        <v>223</v>
      </c>
      <c r="AW786" s="68"/>
      <c r="AX786" s="68"/>
      <c r="AY786" s="68"/>
      <c r="AZ786" s="68"/>
      <c r="BA786" s="68"/>
      <c r="BB786" s="67"/>
      <c r="BC786" s="67"/>
      <c r="BD786" s="67"/>
      <c r="BE786" s="67"/>
      <c r="BF786" s="95">
        <v>1</v>
      </c>
      <c r="BG786" s="52"/>
      <c r="BH786" s="52"/>
      <c r="BI786" s="52"/>
      <c r="BJ786" s="52"/>
      <c r="BK786" s="52"/>
      <c r="BL786" s="52"/>
      <c r="BM786" s="52"/>
      <c r="BN786" s="53"/>
      <c r="BO786" s="52"/>
      <c r="BP786" s="52"/>
      <c r="BQ786" s="54"/>
    </row>
    <row r="787" spans="1:69" ht="16" x14ac:dyDescent="0.35">
      <c r="A787"/>
      <c r="D787"/>
      <c r="G787"/>
      <c r="H787" s="20"/>
      <c r="I787" s="20"/>
      <c r="J787" s="20"/>
      <c r="K787" s="20"/>
      <c r="L787" s="20"/>
      <c r="Q787" s="83"/>
      <c r="Y787" s="20"/>
      <c r="AP787" s="92"/>
      <c r="AQ787" s="67"/>
      <c r="AR787" s="67"/>
      <c r="AS787" s="73"/>
      <c r="AT787" s="67"/>
      <c r="AU787" s="67"/>
      <c r="AV787" s="94" t="s">
        <v>207</v>
      </c>
      <c r="AW787" s="32"/>
      <c r="AX787" s="32"/>
      <c r="AY787" s="32"/>
      <c r="AZ787" s="32"/>
      <c r="BA787" s="32"/>
      <c r="BB787" s="31"/>
      <c r="BC787" s="31"/>
      <c r="BD787" s="31"/>
      <c r="BE787" s="31"/>
      <c r="BF787" s="96">
        <v>4</v>
      </c>
      <c r="BG787" s="48"/>
      <c r="BH787" s="48"/>
      <c r="BI787" s="48"/>
      <c r="BJ787" s="48"/>
      <c r="BK787" s="48"/>
      <c r="BL787" s="48"/>
      <c r="BM787" s="48"/>
      <c r="BN787" s="49"/>
      <c r="BO787" s="48"/>
      <c r="BP787" s="48"/>
      <c r="BQ787" s="50"/>
    </row>
    <row r="788" spans="1:69" ht="16" x14ac:dyDescent="0.35">
      <c r="A788"/>
      <c r="D788"/>
      <c r="G788"/>
      <c r="H788" s="20"/>
      <c r="I788" s="20"/>
      <c r="J788" s="20"/>
      <c r="K788" s="20"/>
      <c r="L788" s="20"/>
      <c r="Q788" s="83"/>
      <c r="Y788" s="20"/>
      <c r="AP788" s="93"/>
      <c r="AQ788" s="31"/>
      <c r="AR788" s="31"/>
      <c r="AS788" s="94"/>
      <c r="AT788" s="31"/>
      <c r="AU788" s="31"/>
      <c r="AV788" s="73" t="s">
        <v>238</v>
      </c>
      <c r="AW788" s="68"/>
      <c r="AX788" s="68"/>
      <c r="AY788" s="68"/>
      <c r="AZ788" s="68"/>
      <c r="BA788" s="68"/>
      <c r="BB788" s="67"/>
      <c r="BC788" s="67"/>
      <c r="BD788" s="67"/>
      <c r="BE788" s="67"/>
      <c r="BF788" s="95">
        <v>1</v>
      </c>
      <c r="BG788" s="52"/>
      <c r="BH788" s="52"/>
      <c r="BI788" s="52"/>
      <c r="BJ788" s="52"/>
      <c r="BK788" s="52"/>
      <c r="BL788" s="52"/>
      <c r="BM788" s="52"/>
      <c r="BN788" s="53"/>
      <c r="BO788" s="52"/>
      <c r="BP788" s="52"/>
      <c r="BQ788" s="54"/>
    </row>
    <row r="789" spans="1:69" ht="16" x14ac:dyDescent="0.35">
      <c r="A789"/>
      <c r="D789"/>
      <c r="G789"/>
      <c r="H789" s="20"/>
      <c r="I789" s="20"/>
      <c r="J789" s="20"/>
      <c r="K789" s="20"/>
      <c r="L789" s="20"/>
      <c r="Q789" s="83"/>
      <c r="Y789" s="20"/>
      <c r="AP789" s="92"/>
      <c r="AQ789" s="67"/>
      <c r="AR789" s="67"/>
      <c r="AS789" s="73"/>
      <c r="AT789" s="67"/>
      <c r="AU789" s="67"/>
      <c r="AV789" s="94" t="s">
        <v>238</v>
      </c>
      <c r="AW789" s="32"/>
      <c r="AX789" s="32"/>
      <c r="AY789" s="32"/>
      <c r="AZ789" s="32"/>
      <c r="BA789" s="32"/>
      <c r="BB789" s="31"/>
      <c r="BC789" s="31"/>
      <c r="BD789" s="31"/>
      <c r="BE789" s="31"/>
      <c r="BF789" s="96">
        <v>1</v>
      </c>
      <c r="BG789" s="48"/>
      <c r="BH789" s="48"/>
      <c r="BI789" s="48"/>
      <c r="BJ789" s="48"/>
      <c r="BK789" s="48"/>
      <c r="BL789" s="48"/>
      <c r="BM789" s="48"/>
      <c r="BN789" s="49"/>
      <c r="BO789" s="48"/>
      <c r="BP789" s="48"/>
      <c r="BQ789" s="50"/>
    </row>
    <row r="790" spans="1:69" ht="16" x14ac:dyDescent="0.35">
      <c r="A790"/>
      <c r="D790"/>
      <c r="G790"/>
      <c r="H790" s="20"/>
      <c r="I790" s="20"/>
      <c r="J790" s="20"/>
      <c r="K790" s="20"/>
      <c r="L790" s="20"/>
      <c r="Q790" s="83"/>
      <c r="Y790" s="20"/>
      <c r="AP790" s="93"/>
      <c r="AQ790" s="31"/>
      <c r="AR790" s="31"/>
      <c r="AS790" s="94"/>
      <c r="AT790" s="31"/>
      <c r="AU790" s="31"/>
      <c r="AV790" s="73" t="s">
        <v>207</v>
      </c>
      <c r="AW790" s="68"/>
      <c r="AX790" s="68"/>
      <c r="AY790" s="68"/>
      <c r="AZ790" s="68"/>
      <c r="BA790" s="68"/>
      <c r="BB790" s="67"/>
      <c r="BC790" s="67"/>
      <c r="BD790" s="67"/>
      <c r="BE790" s="67"/>
      <c r="BF790" s="95">
        <v>0</v>
      </c>
      <c r="BG790" s="52"/>
      <c r="BH790" s="52"/>
      <c r="BI790" s="52"/>
      <c r="BJ790" s="52"/>
      <c r="BK790" s="52"/>
      <c r="BL790" s="52"/>
      <c r="BM790" s="52"/>
      <c r="BN790" s="53"/>
      <c r="BO790" s="52"/>
      <c r="BP790" s="52"/>
      <c r="BQ790" s="54"/>
    </row>
    <row r="791" spans="1:69" ht="16" x14ac:dyDescent="0.35">
      <c r="A791"/>
      <c r="D791"/>
      <c r="G791"/>
      <c r="H791" s="20"/>
      <c r="I791" s="20"/>
      <c r="J791" s="20"/>
      <c r="K791" s="20"/>
      <c r="L791" s="20"/>
      <c r="Q791" s="83"/>
      <c r="Y791" s="20"/>
      <c r="AP791" s="92"/>
      <c r="AQ791" s="67"/>
      <c r="AR791" s="67"/>
      <c r="AS791" s="73"/>
      <c r="AT791" s="67"/>
      <c r="AU791" s="67"/>
      <c r="AV791" s="94" t="s">
        <v>210</v>
      </c>
      <c r="AW791" s="32"/>
      <c r="AX791" s="32"/>
      <c r="AY791" s="32"/>
      <c r="AZ791" s="32"/>
      <c r="BA791" s="32"/>
      <c r="BB791" s="31"/>
      <c r="BC791" s="31"/>
      <c r="BD791" s="31"/>
      <c r="BE791" s="31"/>
      <c r="BF791" s="96">
        <v>0</v>
      </c>
      <c r="BG791" s="48"/>
      <c r="BH791" s="48"/>
      <c r="BI791" s="48"/>
      <c r="BJ791" s="48"/>
      <c r="BK791" s="48"/>
      <c r="BL791" s="48"/>
      <c r="BM791" s="48"/>
      <c r="BN791" s="49"/>
      <c r="BO791" s="48"/>
      <c r="BP791" s="48"/>
      <c r="BQ791" s="50"/>
    </row>
    <row r="792" spans="1:69" ht="16" x14ac:dyDescent="0.35">
      <c r="A792"/>
      <c r="D792"/>
      <c r="G792"/>
      <c r="H792" s="20"/>
      <c r="I792" s="20"/>
      <c r="J792" s="20"/>
      <c r="K792" s="20"/>
      <c r="L792" s="20"/>
      <c r="Q792" s="83"/>
      <c r="Y792" s="20"/>
      <c r="AP792" s="93"/>
      <c r="AQ792" s="31"/>
      <c r="AR792" s="31"/>
      <c r="AS792" s="94"/>
      <c r="AT792" s="31"/>
      <c r="AU792" s="31"/>
      <c r="AV792" s="73" t="s">
        <v>227</v>
      </c>
      <c r="AW792" s="68"/>
      <c r="AX792" s="68"/>
      <c r="AY792" s="68"/>
      <c r="AZ792" s="68"/>
      <c r="BA792" s="68"/>
      <c r="BB792" s="67"/>
      <c r="BC792" s="67"/>
      <c r="BD792" s="67"/>
      <c r="BE792" s="67"/>
      <c r="BF792" s="95">
        <v>0</v>
      </c>
      <c r="BG792" s="52"/>
      <c r="BH792" s="52"/>
      <c r="BI792" s="52"/>
      <c r="BJ792" s="52"/>
      <c r="BK792" s="52"/>
      <c r="BL792" s="52"/>
      <c r="BM792" s="52"/>
      <c r="BN792" s="53"/>
      <c r="BO792" s="52"/>
      <c r="BP792" s="52"/>
      <c r="BQ792" s="54"/>
    </row>
    <row r="793" spans="1:69" ht="16" x14ac:dyDescent="0.35">
      <c r="A793"/>
      <c r="D793"/>
      <c r="G793"/>
      <c r="H793" s="20"/>
      <c r="I793" s="20"/>
      <c r="J793" s="20"/>
      <c r="K793" s="20"/>
      <c r="L793" s="20"/>
      <c r="Q793" s="83"/>
      <c r="Y793" s="20"/>
      <c r="AP793" s="92"/>
      <c r="AQ793" s="67"/>
      <c r="AR793" s="67"/>
      <c r="AS793" s="73"/>
      <c r="AT793" s="67"/>
      <c r="AU793" s="67"/>
      <c r="AV793" s="94" t="s">
        <v>210</v>
      </c>
      <c r="AW793" s="32"/>
      <c r="AX793" s="32"/>
      <c r="AY793" s="32"/>
      <c r="AZ793" s="32"/>
      <c r="BA793" s="32"/>
      <c r="BB793" s="31"/>
      <c r="BC793" s="31"/>
      <c r="BD793" s="31"/>
      <c r="BE793" s="31"/>
      <c r="BF793" s="96">
        <v>0</v>
      </c>
      <c r="BG793" s="48"/>
      <c r="BH793" s="48"/>
      <c r="BI793" s="48"/>
      <c r="BJ793" s="48"/>
      <c r="BK793" s="48"/>
      <c r="BL793" s="48"/>
      <c r="BM793" s="48"/>
      <c r="BN793" s="49"/>
      <c r="BO793" s="48"/>
      <c r="BP793" s="48"/>
      <c r="BQ793" s="50"/>
    </row>
    <row r="794" spans="1:69" ht="16" x14ac:dyDescent="0.35">
      <c r="A794"/>
      <c r="D794"/>
      <c r="G794"/>
      <c r="H794" s="20"/>
      <c r="I794" s="20"/>
      <c r="J794" s="20"/>
      <c r="K794" s="20"/>
      <c r="L794" s="20"/>
      <c r="Q794" s="83"/>
      <c r="Y794" s="20"/>
      <c r="AP794" s="93"/>
      <c r="AQ794" s="31"/>
      <c r="AR794" s="31"/>
      <c r="AS794" s="94"/>
      <c r="AT794" s="31"/>
      <c r="AU794" s="31"/>
      <c r="AV794" s="73" t="s">
        <v>210</v>
      </c>
      <c r="AW794" s="68"/>
      <c r="AX794" s="68"/>
      <c r="AY794" s="68"/>
      <c r="AZ794" s="68"/>
      <c r="BA794" s="68"/>
      <c r="BB794" s="67"/>
      <c r="BC794" s="67"/>
      <c r="BD794" s="67"/>
      <c r="BE794" s="67"/>
      <c r="BF794" s="95">
        <v>0</v>
      </c>
      <c r="BG794" s="52"/>
      <c r="BH794" s="52"/>
      <c r="BI794" s="52"/>
      <c r="BJ794" s="52"/>
      <c r="BK794" s="52"/>
      <c r="BL794" s="52"/>
      <c r="BM794" s="52"/>
      <c r="BN794" s="53"/>
      <c r="BO794" s="52"/>
      <c r="BP794" s="52"/>
      <c r="BQ794" s="54"/>
    </row>
    <row r="795" spans="1:69" ht="16" x14ac:dyDescent="0.35">
      <c r="A795"/>
      <c r="D795"/>
      <c r="G795"/>
      <c r="H795" s="20"/>
      <c r="I795" s="20"/>
      <c r="J795" s="20"/>
      <c r="K795" s="20"/>
      <c r="L795" s="20"/>
      <c r="Q795" s="83"/>
      <c r="Y795" s="20"/>
      <c r="AP795" s="92"/>
      <c r="AQ795" s="67"/>
      <c r="AR795" s="67"/>
      <c r="AS795" s="73"/>
      <c r="AT795" s="67"/>
      <c r="AU795" s="67"/>
      <c r="AV795" s="94" t="s">
        <v>210</v>
      </c>
      <c r="AW795" s="32"/>
      <c r="AX795" s="32"/>
      <c r="AY795" s="32"/>
      <c r="AZ795" s="32"/>
      <c r="BA795" s="32"/>
      <c r="BB795" s="31"/>
      <c r="BC795" s="31"/>
      <c r="BD795" s="31"/>
      <c r="BE795" s="31"/>
      <c r="BF795" s="96">
        <v>0</v>
      </c>
      <c r="BG795" s="48"/>
      <c r="BH795" s="48"/>
      <c r="BI795" s="48"/>
      <c r="BJ795" s="48"/>
      <c r="BK795" s="48"/>
      <c r="BL795" s="48"/>
      <c r="BM795" s="48"/>
      <c r="BN795" s="49"/>
      <c r="BO795" s="48"/>
      <c r="BP795" s="48"/>
      <c r="BQ795" s="50"/>
    </row>
    <row r="796" spans="1:69" ht="16" x14ac:dyDescent="0.35">
      <c r="A796"/>
      <c r="D796"/>
      <c r="G796"/>
      <c r="H796" s="20"/>
      <c r="I796" s="20"/>
      <c r="J796" s="20"/>
      <c r="K796" s="20"/>
      <c r="L796" s="20"/>
      <c r="Q796" s="83"/>
      <c r="Y796" s="20"/>
      <c r="AP796" s="93"/>
      <c r="AQ796" s="31"/>
      <c r="AR796" s="31"/>
      <c r="AS796" s="94"/>
      <c r="AT796" s="31"/>
      <c r="AU796" s="31"/>
      <c r="AV796" s="73" t="s">
        <v>210</v>
      </c>
      <c r="AW796" s="68"/>
      <c r="AX796" s="68"/>
      <c r="AY796" s="68"/>
      <c r="AZ796" s="68"/>
      <c r="BA796" s="68"/>
      <c r="BB796" s="67"/>
      <c r="BC796" s="67"/>
      <c r="BD796" s="67"/>
      <c r="BE796" s="67"/>
      <c r="BF796" s="95">
        <v>0</v>
      </c>
      <c r="BG796" s="52"/>
      <c r="BH796" s="52"/>
      <c r="BI796" s="52"/>
      <c r="BJ796" s="52"/>
      <c r="BK796" s="52"/>
      <c r="BL796" s="52"/>
      <c r="BM796" s="52"/>
      <c r="BN796" s="53"/>
      <c r="BO796" s="52"/>
      <c r="BP796" s="52"/>
      <c r="BQ796" s="54"/>
    </row>
    <row r="797" spans="1:69" ht="16" x14ac:dyDescent="0.35">
      <c r="A797"/>
      <c r="D797"/>
      <c r="G797"/>
      <c r="H797" s="20"/>
      <c r="I797" s="20"/>
      <c r="J797" s="20"/>
      <c r="K797" s="20"/>
      <c r="L797" s="20"/>
      <c r="Q797" s="83"/>
      <c r="Y797" s="20"/>
      <c r="AP797" s="92"/>
      <c r="AQ797" s="67"/>
      <c r="AR797" s="67"/>
      <c r="AS797" s="73"/>
      <c r="AT797" s="67"/>
      <c r="AU797" s="67"/>
      <c r="AV797" s="94" t="s">
        <v>210</v>
      </c>
      <c r="AW797" s="32"/>
      <c r="AX797" s="32"/>
      <c r="AY797" s="32"/>
      <c r="AZ797" s="32"/>
      <c r="BA797" s="32"/>
      <c r="BB797" s="31"/>
      <c r="BC797" s="31"/>
      <c r="BD797" s="31"/>
      <c r="BE797" s="31"/>
      <c r="BF797" s="96">
        <v>0</v>
      </c>
      <c r="BG797" s="48"/>
      <c r="BH797" s="48"/>
      <c r="BI797" s="48"/>
      <c r="BJ797" s="48"/>
      <c r="BK797" s="48"/>
      <c r="BL797" s="48"/>
      <c r="BM797" s="48"/>
      <c r="BN797" s="49"/>
      <c r="BO797" s="48"/>
      <c r="BP797" s="48"/>
      <c r="BQ797" s="50"/>
    </row>
    <row r="798" spans="1:69" ht="16" x14ac:dyDescent="0.35">
      <c r="A798"/>
      <c r="D798"/>
      <c r="G798"/>
      <c r="H798" s="20"/>
      <c r="I798" s="20"/>
      <c r="J798" s="20"/>
      <c r="K798" s="20"/>
      <c r="L798" s="20"/>
      <c r="Q798" s="83"/>
      <c r="Y798" s="20"/>
      <c r="AP798" s="93"/>
      <c r="AQ798" s="31"/>
      <c r="AR798" s="31"/>
      <c r="AS798" s="94"/>
      <c r="AT798" s="31"/>
      <c r="AU798" s="31"/>
      <c r="AV798" s="73" t="s">
        <v>210</v>
      </c>
      <c r="AW798" s="68"/>
      <c r="AX798" s="68"/>
      <c r="AY798" s="68"/>
      <c r="AZ798" s="68"/>
      <c r="BA798" s="68"/>
      <c r="BB798" s="67"/>
      <c r="BC798" s="67"/>
      <c r="BD798" s="67"/>
      <c r="BE798" s="67"/>
      <c r="BF798" s="95">
        <v>0</v>
      </c>
      <c r="BG798" s="52"/>
      <c r="BH798" s="52"/>
      <c r="BI798" s="52"/>
      <c r="BJ798" s="52"/>
      <c r="BK798" s="52"/>
      <c r="BL798" s="52"/>
      <c r="BM798" s="52"/>
      <c r="BN798" s="53"/>
      <c r="BO798" s="52"/>
      <c r="BP798" s="52"/>
      <c r="BQ798" s="54"/>
    </row>
    <row r="799" spans="1:69" ht="16" x14ac:dyDescent="0.35">
      <c r="A799"/>
      <c r="D799"/>
      <c r="G799"/>
      <c r="H799" s="20"/>
      <c r="I799" s="20"/>
      <c r="J799" s="20"/>
      <c r="K799" s="20"/>
      <c r="L799" s="20"/>
      <c r="Q799" s="83"/>
      <c r="Y799" s="20"/>
      <c r="AP799" s="92"/>
      <c r="AQ799" s="67"/>
      <c r="AR799" s="67"/>
      <c r="AS799" s="73"/>
      <c r="AT799" s="67"/>
      <c r="AU799" s="67"/>
      <c r="AV799" s="94" t="s">
        <v>211</v>
      </c>
      <c r="AW799" s="32"/>
      <c r="AX799" s="32"/>
      <c r="AY799" s="32"/>
      <c r="AZ799" s="32"/>
      <c r="BA799" s="32"/>
      <c r="BB799" s="31"/>
      <c r="BC799" s="31"/>
      <c r="BD799" s="31"/>
      <c r="BE799" s="31"/>
      <c r="BF799" s="96">
        <v>1</v>
      </c>
      <c r="BG799" s="48"/>
      <c r="BH799" s="48"/>
      <c r="BI799" s="48"/>
      <c r="BJ799" s="48"/>
      <c r="BK799" s="48"/>
      <c r="BL799" s="48"/>
      <c r="BM799" s="48"/>
      <c r="BN799" s="49"/>
      <c r="BO799" s="48"/>
      <c r="BP799" s="48"/>
      <c r="BQ799" s="50"/>
    </row>
    <row r="800" spans="1:69" ht="16" x14ac:dyDescent="0.35">
      <c r="A800"/>
      <c r="D800"/>
      <c r="G800"/>
      <c r="H800" s="20"/>
      <c r="I800" s="20"/>
      <c r="J800" s="20"/>
      <c r="K800" s="20"/>
      <c r="L800" s="20"/>
      <c r="Q800" s="83"/>
      <c r="Y800" s="20"/>
      <c r="AP800" s="93"/>
      <c r="AQ800" s="31"/>
      <c r="AR800" s="31"/>
      <c r="AS800" s="94"/>
      <c r="AT800" s="31"/>
      <c r="AU800" s="31"/>
      <c r="AV800" s="73" t="s">
        <v>211</v>
      </c>
      <c r="AW800" s="68"/>
      <c r="AX800" s="68"/>
      <c r="AY800" s="68"/>
      <c r="AZ800" s="68"/>
      <c r="BA800" s="68"/>
      <c r="BB800" s="67"/>
      <c r="BC800" s="67"/>
      <c r="BD800" s="67"/>
      <c r="BE800" s="67"/>
      <c r="BF800" s="95">
        <v>2</v>
      </c>
      <c r="BG800" s="52"/>
      <c r="BH800" s="52"/>
      <c r="BI800" s="52"/>
      <c r="BJ800" s="52"/>
      <c r="BK800" s="52"/>
      <c r="BL800" s="52"/>
      <c r="BM800" s="52"/>
      <c r="BN800" s="53"/>
      <c r="BO800" s="52"/>
      <c r="BP800" s="52"/>
      <c r="BQ800" s="54"/>
    </row>
    <row r="801" spans="1:69" ht="16" x14ac:dyDescent="0.35">
      <c r="A801"/>
      <c r="D801"/>
      <c r="G801"/>
      <c r="H801" s="20"/>
      <c r="I801" s="20"/>
      <c r="J801" s="20"/>
      <c r="K801" s="20"/>
      <c r="L801" s="20"/>
      <c r="Q801" s="83"/>
      <c r="Y801" s="20"/>
      <c r="AP801" s="92"/>
      <c r="AQ801" s="67"/>
      <c r="AR801" s="67"/>
      <c r="AS801" s="73"/>
      <c r="AT801" s="67"/>
      <c r="AU801" s="67"/>
      <c r="AV801" s="94" t="s">
        <v>210</v>
      </c>
      <c r="AW801" s="32"/>
      <c r="AX801" s="32"/>
      <c r="AY801" s="32"/>
      <c r="AZ801" s="32"/>
      <c r="BA801" s="32"/>
      <c r="BB801" s="31"/>
      <c r="BC801" s="31"/>
      <c r="BD801" s="31"/>
      <c r="BE801" s="31"/>
      <c r="BF801" s="96">
        <v>0</v>
      </c>
      <c r="BG801" s="48"/>
      <c r="BH801" s="48"/>
      <c r="BI801" s="48"/>
      <c r="BJ801" s="48"/>
      <c r="BK801" s="48"/>
      <c r="BL801" s="48"/>
      <c r="BM801" s="48"/>
      <c r="BN801" s="49"/>
      <c r="BO801" s="48"/>
      <c r="BP801" s="48"/>
      <c r="BQ801" s="50"/>
    </row>
    <row r="802" spans="1:69" ht="16" x14ac:dyDescent="0.35">
      <c r="A802"/>
      <c r="D802"/>
      <c r="G802"/>
      <c r="H802" s="20"/>
      <c r="I802" s="20"/>
      <c r="J802" s="20"/>
      <c r="K802" s="20"/>
      <c r="L802" s="20"/>
      <c r="Q802" s="83"/>
      <c r="Y802" s="20"/>
      <c r="AP802" s="93"/>
      <c r="AQ802" s="31"/>
      <c r="AR802" s="31"/>
      <c r="AS802" s="94"/>
      <c r="AT802" s="31"/>
      <c r="AU802" s="31"/>
      <c r="AV802" s="73" t="s">
        <v>210</v>
      </c>
      <c r="AW802" s="68"/>
      <c r="AX802" s="68"/>
      <c r="AY802" s="68"/>
      <c r="AZ802" s="68"/>
      <c r="BA802" s="68"/>
      <c r="BB802" s="67"/>
      <c r="BC802" s="67"/>
      <c r="BD802" s="67"/>
      <c r="BE802" s="67"/>
      <c r="BF802" s="95">
        <v>0</v>
      </c>
      <c r="BG802" s="52"/>
      <c r="BH802" s="52"/>
      <c r="BI802" s="52"/>
      <c r="BJ802" s="52"/>
      <c r="BK802" s="52"/>
      <c r="BL802" s="52"/>
      <c r="BM802" s="52"/>
      <c r="BN802" s="53"/>
      <c r="BO802" s="52"/>
      <c r="BP802" s="52"/>
      <c r="BQ802" s="54"/>
    </row>
    <row r="803" spans="1:69" ht="16" x14ac:dyDescent="0.35">
      <c r="A803"/>
      <c r="D803"/>
      <c r="G803"/>
      <c r="H803" s="20"/>
      <c r="I803" s="20"/>
      <c r="J803" s="20"/>
      <c r="K803" s="20"/>
      <c r="L803" s="20"/>
      <c r="Q803" s="83"/>
      <c r="Y803" s="20"/>
      <c r="AP803" s="92"/>
      <c r="AQ803" s="67"/>
      <c r="AR803" s="67"/>
      <c r="AS803" s="73"/>
      <c r="AT803" s="67"/>
      <c r="AU803" s="67"/>
      <c r="AV803" s="94" t="s">
        <v>210</v>
      </c>
      <c r="AW803" s="32"/>
      <c r="AX803" s="32"/>
      <c r="AY803" s="32"/>
      <c r="AZ803" s="32"/>
      <c r="BA803" s="32"/>
      <c r="BB803" s="31"/>
      <c r="BC803" s="31"/>
      <c r="BD803" s="31"/>
      <c r="BE803" s="31"/>
      <c r="BF803" s="96">
        <v>0</v>
      </c>
      <c r="BG803" s="48"/>
      <c r="BH803" s="48"/>
      <c r="BI803" s="48"/>
      <c r="BJ803" s="48"/>
      <c r="BK803" s="48"/>
      <c r="BL803" s="48"/>
      <c r="BM803" s="48"/>
      <c r="BN803" s="49"/>
      <c r="BO803" s="48"/>
      <c r="BP803" s="48"/>
      <c r="BQ803" s="50"/>
    </row>
    <row r="804" spans="1:69" ht="16" x14ac:dyDescent="0.35">
      <c r="A804"/>
      <c r="D804"/>
      <c r="G804"/>
      <c r="H804" s="20"/>
      <c r="I804" s="20"/>
      <c r="J804" s="20"/>
      <c r="K804" s="20"/>
      <c r="L804" s="20"/>
      <c r="Q804" s="83"/>
      <c r="Y804" s="20"/>
      <c r="AP804" s="93"/>
      <c r="AQ804" s="31"/>
      <c r="AR804" s="31"/>
      <c r="AS804" s="94"/>
      <c r="AT804" s="31"/>
      <c r="AU804" s="31"/>
      <c r="AV804" s="73" t="s">
        <v>239</v>
      </c>
      <c r="AW804" s="68"/>
      <c r="AX804" s="68"/>
      <c r="AY804" s="68"/>
      <c r="AZ804" s="68"/>
      <c r="BA804" s="68"/>
      <c r="BB804" s="67"/>
      <c r="BC804" s="67"/>
      <c r="BD804" s="67"/>
      <c r="BE804" s="67"/>
      <c r="BF804" s="95">
        <v>0</v>
      </c>
      <c r="BG804" s="52"/>
      <c r="BH804" s="52"/>
      <c r="BI804" s="52"/>
      <c r="BJ804" s="52"/>
      <c r="BK804" s="52"/>
      <c r="BL804" s="52"/>
      <c r="BM804" s="52"/>
      <c r="BN804" s="53"/>
      <c r="BO804" s="52"/>
      <c r="BP804" s="52"/>
      <c r="BQ804" s="54"/>
    </row>
    <row r="805" spans="1:69" ht="16" x14ac:dyDescent="0.35">
      <c r="A805"/>
      <c r="D805"/>
      <c r="G805"/>
      <c r="H805" s="20"/>
      <c r="I805" s="20"/>
      <c r="J805" s="20"/>
      <c r="K805" s="20"/>
      <c r="L805" s="20"/>
      <c r="Q805" s="83"/>
      <c r="Y805" s="20"/>
      <c r="AP805" s="92"/>
      <c r="AQ805" s="67"/>
      <c r="AR805" s="67"/>
      <c r="AS805" s="73"/>
      <c r="AT805" s="67"/>
      <c r="AU805" s="67"/>
      <c r="AV805" s="94" t="s">
        <v>239</v>
      </c>
      <c r="AW805" s="32"/>
      <c r="AX805" s="32"/>
      <c r="AY805" s="32"/>
      <c r="AZ805" s="32"/>
      <c r="BA805" s="32"/>
      <c r="BB805" s="31"/>
      <c r="BC805" s="31"/>
      <c r="BD805" s="31"/>
      <c r="BE805" s="31"/>
      <c r="BF805" s="96">
        <v>0</v>
      </c>
      <c r="BG805" s="48"/>
      <c r="BH805" s="48"/>
      <c r="BI805" s="48"/>
      <c r="BJ805" s="48"/>
      <c r="BK805" s="48"/>
      <c r="BL805" s="48"/>
      <c r="BM805" s="48"/>
      <c r="BN805" s="49"/>
      <c r="BO805" s="48"/>
      <c r="BP805" s="48"/>
      <c r="BQ805" s="50"/>
    </row>
    <row r="806" spans="1:69" ht="16" x14ac:dyDescent="0.35">
      <c r="A806"/>
      <c r="D806"/>
      <c r="G806"/>
      <c r="H806" s="20"/>
      <c r="I806" s="20"/>
      <c r="J806" s="20"/>
      <c r="K806" s="20"/>
      <c r="L806" s="20"/>
      <c r="Q806" s="83"/>
      <c r="Y806" s="20"/>
      <c r="AP806" s="93"/>
      <c r="AQ806" s="31"/>
      <c r="AR806" s="31"/>
      <c r="AS806" s="94"/>
      <c r="AT806" s="31"/>
      <c r="AU806" s="31"/>
      <c r="AV806" s="73" t="s">
        <v>210</v>
      </c>
      <c r="AW806" s="68"/>
      <c r="AX806" s="68"/>
      <c r="AY806" s="68"/>
      <c r="AZ806" s="68"/>
      <c r="BA806" s="68"/>
      <c r="BB806" s="67"/>
      <c r="BC806" s="67"/>
      <c r="BD806" s="67"/>
      <c r="BE806" s="67"/>
      <c r="BF806" s="95">
        <v>0</v>
      </c>
      <c r="BG806" s="52"/>
      <c r="BH806" s="52"/>
      <c r="BI806" s="52"/>
      <c r="BJ806" s="52"/>
      <c r="BK806" s="52"/>
      <c r="BL806" s="52"/>
      <c r="BM806" s="52"/>
      <c r="BN806" s="53"/>
      <c r="BO806" s="52"/>
      <c r="BP806" s="52"/>
      <c r="BQ806" s="54"/>
    </row>
    <row r="807" spans="1:69" ht="16" x14ac:dyDescent="0.35">
      <c r="A807"/>
      <c r="D807"/>
      <c r="G807"/>
      <c r="H807" s="20"/>
      <c r="I807" s="20"/>
      <c r="J807" s="20"/>
      <c r="K807" s="20"/>
      <c r="L807" s="20"/>
      <c r="Q807" s="83"/>
      <c r="Y807" s="20"/>
      <c r="AP807" s="92"/>
      <c r="AQ807" s="67"/>
      <c r="AR807" s="67"/>
      <c r="AS807" s="73"/>
      <c r="AT807" s="67"/>
      <c r="AU807" s="67"/>
      <c r="AV807" s="94" t="s">
        <v>210</v>
      </c>
      <c r="AW807" s="32"/>
      <c r="AX807" s="32"/>
      <c r="AY807" s="32"/>
      <c r="AZ807" s="32"/>
      <c r="BA807" s="32"/>
      <c r="BB807" s="31"/>
      <c r="BC807" s="31"/>
      <c r="BD807" s="31"/>
      <c r="BE807" s="31"/>
      <c r="BF807" s="96">
        <v>0</v>
      </c>
      <c r="BG807" s="48"/>
      <c r="BH807" s="48"/>
      <c r="BI807" s="48"/>
      <c r="BJ807" s="48"/>
      <c r="BK807" s="48"/>
      <c r="BL807" s="48"/>
      <c r="BM807" s="48"/>
      <c r="BN807" s="49"/>
      <c r="BO807" s="48"/>
      <c r="BP807" s="48"/>
      <c r="BQ807" s="50"/>
    </row>
    <row r="808" spans="1:69" ht="16" x14ac:dyDescent="0.35">
      <c r="A808"/>
      <c r="D808"/>
      <c r="G808"/>
      <c r="H808" s="20"/>
      <c r="I808" s="20"/>
      <c r="J808" s="20"/>
      <c r="K808" s="20"/>
      <c r="L808" s="20"/>
      <c r="Q808" s="83"/>
      <c r="Y808" s="20"/>
      <c r="AP808" s="93"/>
      <c r="AQ808" s="31"/>
      <c r="AR808" s="31"/>
      <c r="AS808" s="94"/>
      <c r="AT808" s="31"/>
      <c r="AU808" s="31"/>
      <c r="AV808" s="73" t="s">
        <v>210</v>
      </c>
      <c r="AW808" s="68"/>
      <c r="AX808" s="68"/>
      <c r="AY808" s="68"/>
      <c r="AZ808" s="68"/>
      <c r="BA808" s="68"/>
      <c r="BB808" s="67"/>
      <c r="BC808" s="67"/>
      <c r="BD808" s="67"/>
      <c r="BE808" s="67"/>
      <c r="BF808" s="95">
        <v>0</v>
      </c>
      <c r="BG808" s="52"/>
      <c r="BH808" s="52"/>
      <c r="BI808" s="52"/>
      <c r="BJ808" s="52"/>
      <c r="BK808" s="52"/>
      <c r="BL808" s="52"/>
      <c r="BM808" s="52"/>
      <c r="BN808" s="53"/>
      <c r="BO808" s="52"/>
      <c r="BP808" s="52"/>
      <c r="BQ808" s="54"/>
    </row>
    <row r="809" spans="1:69" ht="16" x14ac:dyDescent="0.35">
      <c r="A809"/>
      <c r="D809"/>
      <c r="G809"/>
      <c r="H809" s="20"/>
      <c r="I809" s="20"/>
      <c r="J809" s="20"/>
      <c r="K809" s="20"/>
      <c r="L809" s="20"/>
      <c r="Q809" s="83"/>
      <c r="Y809" s="20"/>
      <c r="AP809" s="92"/>
      <c r="AQ809" s="67"/>
      <c r="AR809" s="67"/>
      <c r="AS809" s="73"/>
      <c r="AT809" s="67"/>
      <c r="AU809" s="67"/>
      <c r="AV809" s="94" t="s">
        <v>210</v>
      </c>
      <c r="AW809" s="32"/>
      <c r="AX809" s="32"/>
      <c r="AY809" s="32"/>
      <c r="AZ809" s="32"/>
      <c r="BA809" s="32"/>
      <c r="BB809" s="31"/>
      <c r="BC809" s="31"/>
      <c r="BD809" s="31"/>
      <c r="BE809" s="31"/>
      <c r="BF809" s="96">
        <v>0</v>
      </c>
      <c r="BG809" s="48"/>
      <c r="BH809" s="48"/>
      <c r="BI809" s="48"/>
      <c r="BJ809" s="48"/>
      <c r="BK809" s="48"/>
      <c r="BL809" s="48"/>
      <c r="BM809" s="48"/>
      <c r="BN809" s="49"/>
      <c r="BO809" s="48"/>
      <c r="BP809" s="48"/>
      <c r="BQ809" s="50"/>
    </row>
    <row r="810" spans="1:69" ht="16" x14ac:dyDescent="0.35">
      <c r="A810"/>
      <c r="D810"/>
      <c r="G810"/>
      <c r="H810" s="20"/>
      <c r="I810" s="20"/>
      <c r="J810" s="20"/>
      <c r="K810" s="20"/>
      <c r="L810" s="20"/>
      <c r="Q810" s="83"/>
      <c r="Y810" s="20"/>
      <c r="AP810" s="93"/>
      <c r="AQ810" s="31"/>
      <c r="AR810" s="31"/>
      <c r="AS810" s="94"/>
      <c r="AT810" s="31"/>
      <c r="AU810" s="31"/>
      <c r="AV810" s="73" t="s">
        <v>210</v>
      </c>
      <c r="AW810" s="68"/>
      <c r="AX810" s="68"/>
      <c r="AY810" s="68"/>
      <c r="AZ810" s="68"/>
      <c r="BA810" s="68"/>
      <c r="BB810" s="67"/>
      <c r="BC810" s="67"/>
      <c r="BD810" s="67"/>
      <c r="BE810" s="67"/>
      <c r="BF810" s="95">
        <v>0</v>
      </c>
      <c r="BG810" s="52"/>
      <c r="BH810" s="52"/>
      <c r="BI810" s="52"/>
      <c r="BJ810" s="52"/>
      <c r="BK810" s="52"/>
      <c r="BL810" s="52"/>
      <c r="BM810" s="52"/>
      <c r="BN810" s="53"/>
      <c r="BO810" s="52"/>
      <c r="BP810" s="52"/>
      <c r="BQ810" s="54"/>
    </row>
    <row r="811" spans="1:69" ht="16" x14ac:dyDescent="0.35">
      <c r="A811"/>
      <c r="D811"/>
      <c r="G811"/>
      <c r="H811" s="20"/>
      <c r="I811" s="20"/>
      <c r="J811" s="20"/>
      <c r="K811" s="20"/>
      <c r="L811" s="20"/>
      <c r="Q811" s="83"/>
      <c r="Y811" s="20"/>
      <c r="AP811" s="92"/>
      <c r="AQ811" s="67"/>
      <c r="AR811" s="67"/>
      <c r="AS811" s="73"/>
      <c r="AT811" s="67"/>
      <c r="AU811" s="67"/>
      <c r="AV811" s="94" t="s">
        <v>210</v>
      </c>
      <c r="AW811" s="32"/>
      <c r="AX811" s="32"/>
      <c r="AY811" s="32"/>
      <c r="AZ811" s="32"/>
      <c r="BA811" s="32"/>
      <c r="BB811" s="31"/>
      <c r="BC811" s="31"/>
      <c r="BD811" s="31"/>
      <c r="BE811" s="31"/>
      <c r="BF811" s="96">
        <v>0</v>
      </c>
      <c r="BG811" s="48"/>
      <c r="BH811" s="48"/>
      <c r="BI811" s="48"/>
      <c r="BJ811" s="48"/>
      <c r="BK811" s="48"/>
      <c r="BL811" s="48"/>
      <c r="BM811" s="48"/>
      <c r="BN811" s="49"/>
      <c r="BO811" s="48"/>
      <c r="BP811" s="48"/>
      <c r="BQ811" s="50"/>
    </row>
    <row r="812" spans="1:69" ht="16" x14ac:dyDescent="0.35">
      <c r="A812"/>
      <c r="D812"/>
      <c r="G812"/>
      <c r="H812" s="20"/>
      <c r="I812" s="20"/>
      <c r="J812" s="20"/>
      <c r="K812" s="20"/>
      <c r="L812" s="20"/>
      <c r="Q812" s="83"/>
      <c r="Y812" s="20"/>
      <c r="AP812" s="93"/>
      <c r="AQ812" s="31"/>
      <c r="AR812" s="31"/>
      <c r="AS812" s="94"/>
      <c r="AT812" s="31"/>
      <c r="AU812" s="31"/>
      <c r="AV812" s="73" t="s">
        <v>210</v>
      </c>
      <c r="AW812" s="68"/>
      <c r="AX812" s="68"/>
      <c r="AY812" s="68"/>
      <c r="AZ812" s="68"/>
      <c r="BA812" s="68"/>
      <c r="BB812" s="67"/>
      <c r="BC812" s="67"/>
      <c r="BD812" s="67"/>
      <c r="BE812" s="67"/>
      <c r="BF812" s="95">
        <v>0</v>
      </c>
      <c r="BG812" s="52"/>
      <c r="BH812" s="52"/>
      <c r="BI812" s="52"/>
      <c r="BJ812" s="52"/>
      <c r="BK812" s="52"/>
      <c r="BL812" s="52"/>
      <c r="BM812" s="52"/>
      <c r="BN812" s="53"/>
      <c r="BO812" s="52"/>
      <c r="BP812" s="52"/>
      <c r="BQ812" s="54"/>
    </row>
    <row r="813" spans="1:69" ht="16" x14ac:dyDescent="0.35">
      <c r="A813"/>
      <c r="D813"/>
      <c r="G813"/>
      <c r="H813" s="20"/>
      <c r="I813" s="20"/>
      <c r="J813" s="20"/>
      <c r="K813" s="20"/>
      <c r="L813" s="20"/>
      <c r="Q813" s="83"/>
      <c r="Y813" s="20"/>
      <c r="AP813" s="92"/>
      <c r="AQ813" s="67"/>
      <c r="AR813" s="67"/>
      <c r="AS813" s="73"/>
      <c r="AT813" s="67"/>
      <c r="AU813" s="67"/>
      <c r="AV813" s="94" t="s">
        <v>210</v>
      </c>
      <c r="AW813" s="32"/>
      <c r="AX813" s="32"/>
      <c r="AY813" s="32"/>
      <c r="AZ813" s="32"/>
      <c r="BA813" s="32"/>
      <c r="BB813" s="31"/>
      <c r="BC813" s="31"/>
      <c r="BD813" s="31"/>
      <c r="BE813" s="31"/>
      <c r="BF813" s="96">
        <v>0</v>
      </c>
      <c r="BG813" s="48"/>
      <c r="BH813" s="48"/>
      <c r="BI813" s="48"/>
      <c r="BJ813" s="48"/>
      <c r="BK813" s="48"/>
      <c r="BL813" s="48"/>
      <c r="BM813" s="48"/>
      <c r="BN813" s="49"/>
      <c r="BO813" s="48"/>
      <c r="BP813" s="48"/>
      <c r="BQ813" s="50"/>
    </row>
    <row r="814" spans="1:69" ht="16" x14ac:dyDescent="0.35">
      <c r="A814"/>
      <c r="D814"/>
      <c r="G814"/>
      <c r="H814" s="20"/>
      <c r="I814" s="20"/>
      <c r="J814" s="20"/>
      <c r="K814" s="20"/>
      <c r="L814" s="20"/>
      <c r="Q814" s="83"/>
      <c r="Y814" s="20"/>
      <c r="AP814" s="93"/>
      <c r="AQ814" s="31"/>
      <c r="AR814" s="31"/>
      <c r="AS814" s="94"/>
      <c r="AT814" s="31"/>
      <c r="AU814" s="31"/>
      <c r="AV814" s="73" t="s">
        <v>210</v>
      </c>
      <c r="AW814" s="68"/>
      <c r="AX814" s="68"/>
      <c r="AY814" s="68"/>
      <c r="AZ814" s="68"/>
      <c r="BA814" s="68"/>
      <c r="BB814" s="67"/>
      <c r="BC814" s="67"/>
      <c r="BD814" s="67"/>
      <c r="BE814" s="67"/>
      <c r="BF814" s="95">
        <v>0</v>
      </c>
      <c r="BG814" s="52"/>
      <c r="BH814" s="52"/>
      <c r="BI814" s="52"/>
      <c r="BJ814" s="52"/>
      <c r="BK814" s="52"/>
      <c r="BL814" s="52"/>
      <c r="BM814" s="52"/>
      <c r="BN814" s="53"/>
      <c r="BO814" s="52"/>
      <c r="BP814" s="52"/>
      <c r="BQ814" s="54"/>
    </row>
    <row r="815" spans="1:69" ht="16" x14ac:dyDescent="0.35">
      <c r="A815"/>
      <c r="D815"/>
      <c r="G815"/>
      <c r="H815" s="20"/>
      <c r="I815" s="20"/>
      <c r="J815" s="20"/>
      <c r="K815" s="20"/>
      <c r="L815" s="20"/>
      <c r="Q815" s="83"/>
      <c r="Y815" s="20"/>
      <c r="AP815" s="92"/>
      <c r="AQ815" s="67"/>
      <c r="AR815" s="67"/>
      <c r="AS815" s="73"/>
      <c r="AT815" s="67"/>
      <c r="AU815" s="67"/>
      <c r="AV815" s="94" t="s">
        <v>213</v>
      </c>
      <c r="AW815" s="32"/>
      <c r="AX815" s="32"/>
      <c r="AY815" s="32"/>
      <c r="AZ815" s="32"/>
      <c r="BA815" s="32"/>
      <c r="BB815" s="31"/>
      <c r="BC815" s="31"/>
      <c r="BD815" s="31"/>
      <c r="BE815" s="31"/>
      <c r="BF815" s="96">
        <v>0</v>
      </c>
      <c r="BG815" s="48"/>
      <c r="BH815" s="48"/>
      <c r="BI815" s="48"/>
      <c r="BJ815" s="48"/>
      <c r="BK815" s="48"/>
      <c r="BL815" s="48"/>
      <c r="BM815" s="48"/>
      <c r="BN815" s="49"/>
      <c r="BO815" s="48"/>
      <c r="BP815" s="48"/>
      <c r="BQ815" s="50"/>
    </row>
    <row r="816" spans="1:69" ht="16" x14ac:dyDescent="0.35">
      <c r="A816"/>
      <c r="D816"/>
      <c r="G816"/>
      <c r="H816" s="20"/>
      <c r="I816" s="20"/>
      <c r="J816" s="20"/>
      <c r="K816" s="20"/>
      <c r="L816" s="20"/>
      <c r="Q816" s="83"/>
      <c r="Y816" s="20"/>
      <c r="AP816" s="93"/>
      <c r="AQ816" s="31"/>
      <c r="AR816" s="31"/>
      <c r="AS816" s="94"/>
      <c r="AT816" s="31"/>
      <c r="AU816" s="31"/>
      <c r="AV816" s="73" t="s">
        <v>214</v>
      </c>
      <c r="AW816" s="68"/>
      <c r="AX816" s="68"/>
      <c r="AY816" s="68"/>
      <c r="AZ816" s="68"/>
      <c r="BA816" s="68"/>
      <c r="BB816" s="67"/>
      <c r="BC816" s="67"/>
      <c r="BD816" s="67"/>
      <c r="BE816" s="67"/>
      <c r="BF816" s="95">
        <v>0</v>
      </c>
      <c r="BG816" s="52"/>
      <c r="BH816" s="52"/>
      <c r="BI816" s="52"/>
      <c r="BJ816" s="52"/>
      <c r="BK816" s="52"/>
      <c r="BL816" s="52"/>
      <c r="BM816" s="52"/>
      <c r="BN816" s="53"/>
      <c r="BO816" s="52"/>
      <c r="BP816" s="52"/>
      <c r="BQ816" s="54"/>
    </row>
    <row r="817" spans="1:69" ht="16" x14ac:dyDescent="0.35">
      <c r="A817"/>
      <c r="D817"/>
      <c r="G817"/>
      <c r="H817" s="20"/>
      <c r="I817" s="20"/>
      <c r="J817" s="20"/>
      <c r="K817" s="20"/>
      <c r="L817" s="20"/>
      <c r="Q817" s="83"/>
      <c r="Y817" s="20"/>
      <c r="AP817" s="92"/>
      <c r="AQ817" s="67"/>
      <c r="AR817" s="67"/>
      <c r="AS817" s="73"/>
      <c r="AT817" s="67"/>
      <c r="AU817" s="67"/>
      <c r="AV817" s="94" t="s">
        <v>214</v>
      </c>
      <c r="AW817" s="32"/>
      <c r="AX817" s="32"/>
      <c r="AY817" s="32"/>
      <c r="AZ817" s="32"/>
      <c r="BA817" s="32"/>
      <c r="BB817" s="31"/>
      <c r="BC817" s="31"/>
      <c r="BD817" s="31"/>
      <c r="BE817" s="31"/>
      <c r="BF817" s="96">
        <v>0</v>
      </c>
      <c r="BG817" s="48"/>
      <c r="BH817" s="48"/>
      <c r="BI817" s="48"/>
      <c r="BJ817" s="48"/>
      <c r="BK817" s="48"/>
      <c r="BL817" s="48"/>
      <c r="BM817" s="48"/>
      <c r="BN817" s="49"/>
      <c r="BO817" s="48"/>
      <c r="BP817" s="48"/>
      <c r="BQ817" s="50"/>
    </row>
    <row r="818" spans="1:69" ht="16" x14ac:dyDescent="0.35">
      <c r="A818"/>
      <c r="D818"/>
      <c r="G818"/>
      <c r="H818" s="20"/>
      <c r="I818" s="20"/>
      <c r="J818" s="20"/>
      <c r="K818" s="20"/>
      <c r="L818" s="20"/>
      <c r="Q818" s="83"/>
      <c r="Y818" s="20"/>
      <c r="AP818" s="93"/>
      <c r="AQ818" s="31"/>
      <c r="AR818" s="31"/>
      <c r="AS818" s="94"/>
      <c r="AT818" s="31"/>
      <c r="AU818" s="31"/>
      <c r="AV818" s="73" t="s">
        <v>214</v>
      </c>
      <c r="AW818" s="68"/>
      <c r="AX818" s="68"/>
      <c r="AY818" s="68"/>
      <c r="AZ818" s="68"/>
      <c r="BA818" s="68"/>
      <c r="BB818" s="67"/>
      <c r="BC818" s="67"/>
      <c r="BD818" s="67"/>
      <c r="BE818" s="67"/>
      <c r="BF818" s="95">
        <v>0</v>
      </c>
      <c r="BG818" s="52"/>
      <c r="BH818" s="52"/>
      <c r="BI818" s="52"/>
      <c r="BJ818" s="52"/>
      <c r="BK818" s="52"/>
      <c r="BL818" s="52"/>
      <c r="BM818" s="52"/>
      <c r="BN818" s="53"/>
      <c r="BO818" s="52"/>
      <c r="BP818" s="52"/>
      <c r="BQ818" s="54"/>
    </row>
    <row r="819" spans="1:69" ht="16" x14ac:dyDescent="0.35">
      <c r="A819"/>
      <c r="D819"/>
      <c r="G819"/>
      <c r="H819" s="20"/>
      <c r="I819" s="20"/>
      <c r="J819" s="20"/>
      <c r="K819" s="20"/>
      <c r="L819" s="20"/>
      <c r="Q819" s="83"/>
      <c r="Y819" s="20"/>
      <c r="AP819" s="92"/>
      <c r="AQ819" s="67"/>
      <c r="AR819" s="67"/>
      <c r="AS819" s="73"/>
      <c r="AT819" s="67"/>
      <c r="AU819" s="67"/>
      <c r="AV819" s="94" t="s">
        <v>214</v>
      </c>
      <c r="AW819" s="32"/>
      <c r="AX819" s="32"/>
      <c r="AY819" s="32"/>
      <c r="AZ819" s="32"/>
      <c r="BA819" s="32"/>
      <c r="BB819" s="31"/>
      <c r="BC819" s="31"/>
      <c r="BD819" s="31"/>
      <c r="BE819" s="31"/>
      <c r="BF819" s="96">
        <v>0</v>
      </c>
      <c r="BG819" s="48"/>
      <c r="BH819" s="48"/>
      <c r="BI819" s="48"/>
      <c r="BJ819" s="48"/>
      <c r="BK819" s="48"/>
      <c r="BL819" s="48"/>
      <c r="BM819" s="48"/>
      <c r="BN819" s="49"/>
      <c r="BO819" s="48"/>
      <c r="BP819" s="48"/>
      <c r="BQ819" s="50"/>
    </row>
    <row r="820" spans="1:69" ht="16" x14ac:dyDescent="0.35">
      <c r="A820"/>
      <c r="D820"/>
      <c r="G820"/>
      <c r="H820" s="20"/>
      <c r="I820" s="20"/>
      <c r="J820" s="20"/>
      <c r="K820" s="20"/>
      <c r="L820" s="20"/>
      <c r="Q820" s="83"/>
      <c r="Y820" s="20"/>
      <c r="AP820" s="93"/>
      <c r="AQ820" s="31"/>
      <c r="AR820" s="31"/>
      <c r="AS820" s="94"/>
      <c r="AT820" s="31"/>
      <c r="AU820" s="31"/>
      <c r="AV820" s="73" t="s">
        <v>214</v>
      </c>
      <c r="AW820" s="68"/>
      <c r="AX820" s="68"/>
      <c r="AY820" s="68"/>
      <c r="AZ820" s="68"/>
      <c r="BA820" s="68"/>
      <c r="BB820" s="67"/>
      <c r="BC820" s="67"/>
      <c r="BD820" s="67"/>
      <c r="BE820" s="67"/>
      <c r="BF820" s="95">
        <v>0</v>
      </c>
      <c r="BG820" s="52"/>
      <c r="BH820" s="52"/>
      <c r="BI820" s="52"/>
      <c r="BJ820" s="52"/>
      <c r="BK820" s="52"/>
      <c r="BL820" s="52"/>
      <c r="BM820" s="52"/>
      <c r="BN820" s="53"/>
      <c r="BO820" s="52"/>
      <c r="BP820" s="52"/>
      <c r="BQ820" s="54"/>
    </row>
    <row r="821" spans="1:69" ht="16" x14ac:dyDescent="0.35">
      <c r="A821"/>
      <c r="D821"/>
      <c r="G821"/>
      <c r="H821" s="20"/>
      <c r="I821" s="20"/>
      <c r="J821" s="20"/>
      <c r="K821" s="20"/>
      <c r="L821" s="20"/>
      <c r="Q821" s="83"/>
      <c r="Y821" s="20"/>
      <c r="AP821" s="92"/>
      <c r="AQ821" s="67"/>
      <c r="AR821" s="67"/>
      <c r="AS821" s="73"/>
      <c r="AT821" s="67"/>
      <c r="AU821" s="67"/>
      <c r="AV821" s="94" t="s">
        <v>214</v>
      </c>
      <c r="AW821" s="32"/>
      <c r="AX821" s="32"/>
      <c r="AY821" s="32"/>
      <c r="AZ821" s="32"/>
      <c r="BA821" s="32"/>
      <c r="BB821" s="31"/>
      <c r="BC821" s="31"/>
      <c r="BD821" s="31"/>
      <c r="BE821" s="31"/>
      <c r="BF821" s="96">
        <v>0</v>
      </c>
      <c r="BG821" s="48"/>
      <c r="BH821" s="48"/>
      <c r="BI821" s="48"/>
      <c r="BJ821" s="48"/>
      <c r="BK821" s="48"/>
      <c r="BL821" s="48"/>
      <c r="BM821" s="48"/>
      <c r="BN821" s="49"/>
      <c r="BO821" s="48"/>
      <c r="BP821" s="48"/>
      <c r="BQ821" s="50"/>
    </row>
    <row r="822" spans="1:69" ht="16" x14ac:dyDescent="0.35">
      <c r="A822"/>
      <c r="D822"/>
      <c r="G822"/>
      <c r="H822" s="20"/>
      <c r="I822" s="20"/>
      <c r="J822" s="20"/>
      <c r="K822" s="20"/>
      <c r="L822" s="20"/>
      <c r="Q822" s="83"/>
      <c r="Y822" s="20"/>
      <c r="AP822" s="93"/>
      <c r="AQ822" s="31"/>
      <c r="AR822" s="31"/>
      <c r="AS822" s="94"/>
      <c r="AT822" s="31"/>
      <c r="AU822" s="31"/>
      <c r="AV822" s="73" t="s">
        <v>214</v>
      </c>
      <c r="AW822" s="68"/>
      <c r="AX822" s="68"/>
      <c r="AY822" s="68"/>
      <c r="AZ822" s="68"/>
      <c r="BA822" s="68"/>
      <c r="BB822" s="67"/>
      <c r="BC822" s="67"/>
      <c r="BD822" s="67"/>
      <c r="BE822" s="67"/>
      <c r="BF822" s="95">
        <v>0</v>
      </c>
      <c r="BG822" s="52"/>
      <c r="BH822" s="52"/>
      <c r="BI822" s="52"/>
      <c r="BJ822" s="52"/>
      <c r="BK822" s="52"/>
      <c r="BL822" s="52"/>
      <c r="BM822" s="52"/>
      <c r="BN822" s="53"/>
      <c r="BO822" s="52"/>
      <c r="BP822" s="52"/>
      <c r="BQ822" s="54"/>
    </row>
    <row r="823" spans="1:69" ht="16" x14ac:dyDescent="0.35">
      <c r="A823"/>
      <c r="D823"/>
      <c r="G823"/>
      <c r="H823" s="20"/>
      <c r="I823" s="20"/>
      <c r="J823" s="20"/>
      <c r="K823" s="20"/>
      <c r="L823" s="20"/>
      <c r="Q823" s="83"/>
      <c r="Y823" s="20"/>
      <c r="AP823" s="92"/>
      <c r="AQ823" s="67"/>
      <c r="AR823" s="67"/>
      <c r="AS823" s="73"/>
      <c r="AT823" s="67"/>
      <c r="AU823" s="67"/>
      <c r="AV823" s="94" t="s">
        <v>213</v>
      </c>
      <c r="AW823" s="32"/>
      <c r="AX823" s="32"/>
      <c r="AY823" s="32"/>
      <c r="AZ823" s="32"/>
      <c r="BA823" s="32"/>
      <c r="BB823" s="31"/>
      <c r="BC823" s="31"/>
      <c r="BD823" s="31"/>
      <c r="BE823" s="31"/>
      <c r="BF823" s="96">
        <v>0</v>
      </c>
      <c r="BG823" s="48"/>
      <c r="BH823" s="48"/>
      <c r="BI823" s="48"/>
      <c r="BJ823" s="48"/>
      <c r="BK823" s="48"/>
      <c r="BL823" s="48"/>
      <c r="BM823" s="48"/>
      <c r="BN823" s="49"/>
      <c r="BO823" s="48"/>
      <c r="BP823" s="48"/>
      <c r="BQ823" s="50"/>
    </row>
    <row r="824" spans="1:69" ht="16" x14ac:dyDescent="0.35">
      <c r="A824"/>
      <c r="D824"/>
      <c r="G824"/>
      <c r="H824" s="20"/>
      <c r="I824" s="20"/>
      <c r="J824" s="20"/>
      <c r="K824" s="20"/>
      <c r="L824" s="20"/>
      <c r="Q824" s="83"/>
      <c r="Y824" s="20"/>
      <c r="AP824" s="93"/>
      <c r="AQ824" s="31"/>
      <c r="AR824" s="31"/>
      <c r="AS824" s="94"/>
      <c r="AT824" s="31"/>
      <c r="AU824" s="31"/>
      <c r="AV824" s="73" t="s">
        <v>213</v>
      </c>
      <c r="AW824" s="68"/>
      <c r="AX824" s="68"/>
      <c r="AY824" s="68"/>
      <c r="AZ824" s="68"/>
      <c r="BA824" s="68"/>
      <c r="BB824" s="67"/>
      <c r="BC824" s="67"/>
      <c r="BD824" s="67"/>
      <c r="BE824" s="67"/>
      <c r="BF824" s="95">
        <v>0</v>
      </c>
      <c r="BG824" s="52"/>
      <c r="BH824" s="52"/>
      <c r="BI824" s="52"/>
      <c r="BJ824" s="52"/>
      <c r="BK824" s="52"/>
      <c r="BL824" s="52"/>
      <c r="BM824" s="52"/>
      <c r="BN824" s="53"/>
      <c r="BO824" s="52"/>
      <c r="BP824" s="52"/>
      <c r="BQ824" s="54"/>
    </row>
    <row r="825" spans="1:69" ht="16" x14ac:dyDescent="0.35">
      <c r="A825"/>
      <c r="D825"/>
      <c r="G825"/>
      <c r="H825" s="20"/>
      <c r="I825" s="20"/>
      <c r="J825" s="20"/>
      <c r="K825" s="20"/>
      <c r="L825" s="20"/>
      <c r="Q825" s="83"/>
      <c r="Y825" s="20"/>
      <c r="AP825" s="92"/>
      <c r="AQ825" s="67"/>
      <c r="AR825" s="67"/>
      <c r="AS825" s="73"/>
      <c r="AT825" s="67"/>
      <c r="AU825" s="67"/>
      <c r="AV825" s="94" t="s">
        <v>213</v>
      </c>
      <c r="AW825" s="32"/>
      <c r="AX825" s="32"/>
      <c r="AY825" s="32"/>
      <c r="AZ825" s="32"/>
      <c r="BA825" s="32"/>
      <c r="BB825" s="31"/>
      <c r="BC825" s="31"/>
      <c r="BD825" s="31"/>
      <c r="BE825" s="31"/>
      <c r="BF825" s="96">
        <v>0</v>
      </c>
      <c r="BG825" s="48"/>
      <c r="BH825" s="48"/>
      <c r="BI825" s="48"/>
      <c r="BJ825" s="48"/>
      <c r="BK825" s="48"/>
      <c r="BL825" s="48"/>
      <c r="BM825" s="48"/>
      <c r="BN825" s="49"/>
      <c r="BO825" s="48"/>
      <c r="BP825" s="48"/>
      <c r="BQ825" s="50"/>
    </row>
    <row r="826" spans="1:69" ht="16" x14ac:dyDescent="0.35">
      <c r="A826"/>
      <c r="D826"/>
      <c r="G826"/>
      <c r="H826" s="20"/>
      <c r="I826" s="20"/>
      <c r="J826" s="20"/>
      <c r="K826" s="20"/>
      <c r="L826" s="20"/>
      <c r="Q826" s="83"/>
      <c r="Y826" s="20"/>
      <c r="AP826" s="93"/>
      <c r="AQ826" s="31"/>
      <c r="AR826" s="31"/>
      <c r="AS826" s="94"/>
      <c r="AT826" s="31"/>
      <c r="AU826" s="31"/>
      <c r="AV826" s="73" t="s">
        <v>240</v>
      </c>
      <c r="AW826" s="68"/>
      <c r="AX826" s="68"/>
      <c r="AY826" s="68"/>
      <c r="AZ826" s="68"/>
      <c r="BA826" s="68"/>
      <c r="BB826" s="67"/>
      <c r="BC826" s="67"/>
      <c r="BD826" s="67"/>
      <c r="BE826" s="67"/>
      <c r="BF826" s="95">
        <v>1</v>
      </c>
      <c r="BG826" s="52"/>
      <c r="BH826" s="52"/>
      <c r="BI826" s="52"/>
      <c r="BJ826" s="52"/>
      <c r="BK826" s="52"/>
      <c r="BL826" s="52"/>
      <c r="BM826" s="52"/>
      <c r="BN826" s="53"/>
      <c r="BO826" s="52"/>
      <c r="BP826" s="52"/>
      <c r="BQ826" s="54"/>
    </row>
    <row r="827" spans="1:69" ht="16" x14ac:dyDescent="0.35">
      <c r="A827"/>
      <c r="D827"/>
      <c r="G827"/>
      <c r="H827" s="20"/>
      <c r="I827" s="20"/>
      <c r="J827" s="20"/>
      <c r="K827" s="20"/>
      <c r="L827" s="20"/>
      <c r="Q827" s="83"/>
      <c r="Y827" s="20"/>
      <c r="AP827" s="92"/>
      <c r="AQ827" s="67"/>
      <c r="AR827" s="67"/>
      <c r="AS827" s="73"/>
      <c r="AT827" s="67"/>
      <c r="AU827" s="67"/>
      <c r="AV827" s="94" t="s">
        <v>240</v>
      </c>
      <c r="AW827" s="32"/>
      <c r="AX827" s="32"/>
      <c r="AY827" s="32"/>
      <c r="AZ827" s="32"/>
      <c r="BA827" s="32"/>
      <c r="BB827" s="31"/>
      <c r="BC827" s="31"/>
      <c r="BD827" s="31"/>
      <c r="BE827" s="31"/>
      <c r="BF827" s="96">
        <v>1</v>
      </c>
      <c r="BG827" s="48"/>
      <c r="BH827" s="48"/>
      <c r="BI827" s="48"/>
      <c r="BJ827" s="48"/>
      <c r="BK827" s="48"/>
      <c r="BL827" s="48"/>
      <c r="BM827" s="48"/>
      <c r="BN827" s="49"/>
      <c r="BO827" s="48"/>
      <c r="BP827" s="48"/>
      <c r="BQ827" s="50"/>
    </row>
    <row r="828" spans="1:69" ht="16" x14ac:dyDescent="0.35">
      <c r="A828"/>
      <c r="D828"/>
      <c r="G828"/>
      <c r="H828" s="20"/>
      <c r="I828" s="20"/>
      <c r="J828" s="20"/>
      <c r="K828" s="20"/>
      <c r="L828" s="20"/>
      <c r="Q828" s="83"/>
      <c r="Y828" s="20"/>
      <c r="AP828" s="93"/>
      <c r="AQ828" s="31"/>
      <c r="AR828" s="31"/>
      <c r="AS828" s="94"/>
      <c r="AT828" s="31"/>
      <c r="AU828" s="31"/>
      <c r="AV828" s="73" t="s">
        <v>240</v>
      </c>
      <c r="AW828" s="68"/>
      <c r="AX828" s="68"/>
      <c r="AY828" s="68"/>
      <c r="AZ828" s="68"/>
      <c r="BA828" s="68"/>
      <c r="BB828" s="67"/>
      <c r="BC828" s="67"/>
      <c r="BD828" s="67"/>
      <c r="BE828" s="67"/>
      <c r="BF828" s="95">
        <v>1</v>
      </c>
      <c r="BG828" s="52"/>
      <c r="BH828" s="52"/>
      <c r="BI828" s="52"/>
      <c r="BJ828" s="52"/>
      <c r="BK828" s="52"/>
      <c r="BL828" s="52"/>
      <c r="BM828" s="52"/>
      <c r="BN828" s="53"/>
      <c r="BO828" s="52"/>
      <c r="BP828" s="52"/>
      <c r="BQ828" s="54"/>
    </row>
    <row r="829" spans="1:69" ht="16" x14ac:dyDescent="0.35">
      <c r="A829"/>
      <c r="D829"/>
      <c r="G829"/>
      <c r="H829" s="20"/>
      <c r="I829" s="20"/>
      <c r="J829" s="20"/>
      <c r="K829" s="20"/>
      <c r="L829" s="20"/>
      <c r="Q829" s="83"/>
      <c r="Y829" s="20"/>
      <c r="AP829" s="92"/>
      <c r="AQ829" s="67"/>
      <c r="AR829" s="67"/>
      <c r="AS829" s="73"/>
      <c r="AT829" s="67"/>
      <c r="AU829" s="67"/>
      <c r="AV829" s="94" t="s">
        <v>240</v>
      </c>
      <c r="AW829" s="32"/>
      <c r="AX829" s="32"/>
      <c r="AY829" s="32"/>
      <c r="AZ829" s="32"/>
      <c r="BA829" s="32"/>
      <c r="BB829" s="31"/>
      <c r="BC829" s="31"/>
      <c r="BD829" s="31"/>
      <c r="BE829" s="31"/>
      <c r="BF829" s="96">
        <v>1</v>
      </c>
      <c r="BG829" s="48"/>
      <c r="BH829" s="48"/>
      <c r="BI829" s="48"/>
      <c r="BJ829" s="48"/>
      <c r="BK829" s="48"/>
      <c r="BL829" s="48"/>
      <c r="BM829" s="48"/>
      <c r="BN829" s="49"/>
      <c r="BO829" s="48"/>
      <c r="BP829" s="48"/>
      <c r="BQ829" s="50"/>
    </row>
    <row r="830" spans="1:69" ht="16" x14ac:dyDescent="0.35">
      <c r="A830"/>
      <c r="D830"/>
      <c r="G830"/>
      <c r="H830" s="20"/>
      <c r="I830" s="20"/>
      <c r="J830" s="20"/>
      <c r="K830" s="20"/>
      <c r="L830" s="20"/>
      <c r="Q830" s="83"/>
      <c r="Y830" s="20"/>
      <c r="AP830" s="93"/>
      <c r="AQ830" s="31"/>
      <c r="AR830" s="31"/>
      <c r="AS830" s="94"/>
      <c r="AT830" s="31"/>
      <c r="AU830" s="31"/>
      <c r="AV830" s="73" t="s">
        <v>213</v>
      </c>
      <c r="AW830" s="68"/>
      <c r="AX830" s="68"/>
      <c r="AY830" s="68"/>
      <c r="AZ830" s="68"/>
      <c r="BA830" s="68"/>
      <c r="BB830" s="67"/>
      <c r="BC830" s="67"/>
      <c r="BD830" s="67"/>
      <c r="BE830" s="67"/>
      <c r="BF830" s="95">
        <v>0</v>
      </c>
      <c r="BG830" s="52"/>
      <c r="BH830" s="52"/>
      <c r="BI830" s="52"/>
      <c r="BJ830" s="52"/>
      <c r="BK830" s="52"/>
      <c r="BL830" s="52"/>
      <c r="BM830" s="52"/>
      <c r="BN830" s="53"/>
      <c r="BO830" s="52"/>
      <c r="BP830" s="52"/>
      <c r="BQ830" s="54"/>
    </row>
    <row r="831" spans="1:69" ht="16" x14ac:dyDescent="0.35">
      <c r="A831"/>
      <c r="D831"/>
      <c r="G831"/>
      <c r="H831" s="20"/>
      <c r="I831" s="20"/>
      <c r="J831" s="20"/>
      <c r="K831" s="20"/>
      <c r="L831" s="20"/>
      <c r="Q831" s="83"/>
      <c r="Y831" s="20"/>
      <c r="AP831" s="92"/>
      <c r="AQ831" s="67"/>
      <c r="AR831" s="67"/>
      <c r="AS831" s="73"/>
      <c r="AT831" s="67"/>
      <c r="AU831" s="67"/>
      <c r="AV831" s="94" t="s">
        <v>213</v>
      </c>
      <c r="AW831" s="32"/>
      <c r="AX831" s="32"/>
      <c r="AY831" s="32"/>
      <c r="AZ831" s="32"/>
      <c r="BA831" s="32"/>
      <c r="BB831" s="31"/>
      <c r="BC831" s="31"/>
      <c r="BD831" s="31"/>
      <c r="BE831" s="31"/>
      <c r="BF831" s="96">
        <v>0</v>
      </c>
      <c r="BG831" s="48"/>
      <c r="BH831" s="48"/>
      <c r="BI831" s="48"/>
      <c r="BJ831" s="48"/>
      <c r="BK831" s="48"/>
      <c r="BL831" s="48"/>
      <c r="BM831" s="48"/>
      <c r="BN831" s="49"/>
      <c r="BO831" s="48"/>
      <c r="BP831" s="48"/>
      <c r="BQ831" s="50"/>
    </row>
    <row r="832" spans="1:69" ht="16" x14ac:dyDescent="0.35">
      <c r="A832"/>
      <c r="D832"/>
      <c r="G832"/>
      <c r="H832" s="20"/>
      <c r="I832" s="20"/>
      <c r="J832" s="20"/>
      <c r="K832" s="20"/>
      <c r="L832" s="20"/>
      <c r="Q832" s="83"/>
      <c r="Y832" s="20"/>
      <c r="AP832" s="93"/>
      <c r="AQ832" s="31"/>
      <c r="AR832" s="31"/>
      <c r="AS832" s="94"/>
      <c r="AT832" s="31"/>
      <c r="AU832" s="31"/>
      <c r="AV832" s="73" t="s">
        <v>241</v>
      </c>
      <c r="AW832" s="68"/>
      <c r="AX832" s="68"/>
      <c r="AY832" s="68"/>
      <c r="AZ832" s="68"/>
      <c r="BA832" s="68"/>
      <c r="BB832" s="67"/>
      <c r="BC832" s="67"/>
      <c r="BD832" s="67"/>
      <c r="BE832" s="67"/>
      <c r="BF832" s="95">
        <v>0</v>
      </c>
      <c r="BG832" s="52"/>
      <c r="BH832" s="52"/>
      <c r="BI832" s="52"/>
      <c r="BJ832" s="52"/>
      <c r="BK832" s="52"/>
      <c r="BL832" s="52"/>
      <c r="BM832" s="52"/>
      <c r="BN832" s="53"/>
      <c r="BO832" s="52"/>
      <c r="BP832" s="52"/>
      <c r="BQ832" s="54"/>
    </row>
    <row r="833" spans="1:69" ht="16" x14ac:dyDescent="0.35">
      <c r="A833"/>
      <c r="D833"/>
      <c r="G833"/>
      <c r="H833" s="20"/>
      <c r="I833" s="20"/>
      <c r="J833" s="20"/>
      <c r="K833" s="20"/>
      <c r="L833" s="20"/>
      <c r="Q833" s="83"/>
      <c r="Y833" s="20"/>
      <c r="AP833" s="92"/>
      <c r="AQ833" s="67"/>
      <c r="AR833" s="67"/>
      <c r="AS833" s="73"/>
      <c r="AT833" s="67"/>
      <c r="AU833" s="67"/>
      <c r="AV833" s="94" t="s">
        <v>213</v>
      </c>
      <c r="AW833" s="32"/>
      <c r="AX833" s="32"/>
      <c r="AY833" s="32"/>
      <c r="AZ833" s="32"/>
      <c r="BA833" s="32"/>
      <c r="BB833" s="31"/>
      <c r="BC833" s="31"/>
      <c r="BD833" s="31"/>
      <c r="BE833" s="31"/>
      <c r="BF833" s="96">
        <v>0</v>
      </c>
      <c r="BG833" s="48"/>
      <c r="BH833" s="48"/>
      <c r="BI833" s="48"/>
      <c r="BJ833" s="48"/>
      <c r="BK833" s="48"/>
      <c r="BL833" s="48"/>
      <c r="BM833" s="48"/>
      <c r="BN833" s="49"/>
      <c r="BO833" s="48"/>
      <c r="BP833" s="48"/>
      <c r="BQ833" s="50"/>
    </row>
    <row r="834" spans="1:69" ht="16" x14ac:dyDescent="0.35">
      <c r="A834"/>
      <c r="D834"/>
      <c r="G834"/>
      <c r="H834" s="20"/>
      <c r="I834" s="20"/>
      <c r="J834" s="20"/>
      <c r="K834" s="20"/>
      <c r="L834" s="20"/>
      <c r="Q834" s="83"/>
      <c r="Y834" s="20"/>
      <c r="AP834" s="93"/>
      <c r="AQ834" s="31"/>
      <c r="AR834" s="31"/>
      <c r="AS834" s="94"/>
      <c r="AT834" s="31"/>
      <c r="AU834" s="31"/>
      <c r="AV834" s="73" t="s">
        <v>241</v>
      </c>
      <c r="AW834" s="68"/>
      <c r="AX834" s="68"/>
      <c r="AY834" s="68"/>
      <c r="AZ834" s="68"/>
      <c r="BA834" s="68"/>
      <c r="BB834" s="67"/>
      <c r="BC834" s="67"/>
      <c r="BD834" s="67"/>
      <c r="BE834" s="67"/>
      <c r="BF834" s="95">
        <v>0</v>
      </c>
      <c r="BG834" s="52"/>
      <c r="BH834" s="52"/>
      <c r="BI834" s="52"/>
      <c r="BJ834" s="52"/>
      <c r="BK834" s="52"/>
      <c r="BL834" s="52"/>
      <c r="BM834" s="52"/>
      <c r="BN834" s="53"/>
      <c r="BO834" s="52"/>
      <c r="BP834" s="52"/>
      <c r="BQ834" s="54"/>
    </row>
    <row r="835" spans="1:69" ht="16" x14ac:dyDescent="0.35">
      <c r="A835"/>
      <c r="D835"/>
      <c r="G835"/>
      <c r="H835" s="20"/>
      <c r="I835" s="20"/>
      <c r="J835" s="20"/>
      <c r="K835" s="20"/>
      <c r="L835" s="20"/>
      <c r="Q835" s="83"/>
      <c r="Y835" s="20"/>
      <c r="AP835" s="92"/>
      <c r="AQ835" s="67"/>
      <c r="AR835" s="67"/>
      <c r="AS835" s="73"/>
      <c r="AT835" s="67"/>
      <c r="AU835" s="67"/>
      <c r="AV835" s="94" t="s">
        <v>241</v>
      </c>
      <c r="AW835" s="32"/>
      <c r="AX835" s="32"/>
      <c r="AY835" s="32"/>
      <c r="AZ835" s="32"/>
      <c r="BA835" s="32"/>
      <c r="BB835" s="31"/>
      <c r="BC835" s="31"/>
      <c r="BD835" s="31"/>
      <c r="BE835" s="31"/>
      <c r="BF835" s="96">
        <v>0</v>
      </c>
      <c r="BG835" s="48"/>
      <c r="BH835" s="48"/>
      <c r="BI835" s="48"/>
      <c r="BJ835" s="48"/>
      <c r="BK835" s="48"/>
      <c r="BL835" s="48"/>
      <c r="BM835" s="48"/>
      <c r="BN835" s="49"/>
      <c r="BO835" s="48"/>
      <c r="BP835" s="48"/>
      <c r="BQ835" s="50"/>
    </row>
    <row r="836" spans="1:69" ht="16" x14ac:dyDescent="0.35">
      <c r="A836"/>
      <c r="D836"/>
      <c r="G836"/>
      <c r="H836" s="20"/>
      <c r="I836" s="20"/>
      <c r="J836" s="20"/>
      <c r="K836" s="20"/>
      <c r="L836" s="20"/>
      <c r="Q836" s="83"/>
      <c r="Y836" s="20"/>
      <c r="AP836" s="93"/>
      <c r="AQ836" s="31"/>
      <c r="AR836" s="31"/>
      <c r="AS836" s="94"/>
      <c r="AT836" s="31"/>
      <c r="AU836" s="31"/>
      <c r="AV836" s="73" t="s">
        <v>241</v>
      </c>
      <c r="AW836" s="68"/>
      <c r="AX836" s="68"/>
      <c r="AY836" s="68"/>
      <c r="AZ836" s="68"/>
      <c r="BA836" s="68"/>
      <c r="BB836" s="67"/>
      <c r="BC836" s="67"/>
      <c r="BD836" s="67"/>
      <c r="BE836" s="67"/>
      <c r="BF836" s="95">
        <v>0</v>
      </c>
      <c r="BG836" s="52"/>
      <c r="BH836" s="52"/>
      <c r="BI836" s="52"/>
      <c r="BJ836" s="52"/>
      <c r="BK836" s="52"/>
      <c r="BL836" s="52"/>
      <c r="BM836" s="52"/>
      <c r="BN836" s="53"/>
      <c r="BO836" s="52"/>
      <c r="BP836" s="52"/>
      <c r="BQ836" s="54"/>
    </row>
    <row r="837" spans="1:69" ht="16" x14ac:dyDescent="0.35">
      <c r="A837"/>
      <c r="D837"/>
      <c r="G837"/>
      <c r="H837" s="20"/>
      <c r="I837" s="20"/>
      <c r="J837" s="20"/>
      <c r="K837" s="20"/>
      <c r="L837" s="20"/>
      <c r="Q837" s="83"/>
      <c r="Y837" s="20"/>
      <c r="AP837" s="92"/>
      <c r="AQ837" s="67"/>
      <c r="AR837" s="67"/>
      <c r="AS837" s="73"/>
      <c r="AT837" s="67"/>
      <c r="AU837" s="67"/>
      <c r="AV837" s="94" t="s">
        <v>241</v>
      </c>
      <c r="AW837" s="32"/>
      <c r="AX837" s="32"/>
      <c r="AY837" s="32"/>
      <c r="AZ837" s="32"/>
      <c r="BA837" s="32"/>
      <c r="BB837" s="31"/>
      <c r="BC837" s="31"/>
      <c r="BD837" s="31"/>
      <c r="BE837" s="31"/>
      <c r="BF837" s="96">
        <v>0</v>
      </c>
      <c r="BG837" s="48"/>
      <c r="BH837" s="48"/>
      <c r="BI837" s="48"/>
      <c r="BJ837" s="48"/>
      <c r="BK837" s="48"/>
      <c r="BL837" s="48"/>
      <c r="BM837" s="48"/>
      <c r="BN837" s="49"/>
      <c r="BO837" s="48"/>
      <c r="BP837" s="48"/>
      <c r="BQ837" s="50"/>
    </row>
    <row r="838" spans="1:69" ht="16" x14ac:dyDescent="0.35">
      <c r="A838"/>
      <c r="D838"/>
      <c r="G838"/>
      <c r="H838" s="20"/>
      <c r="I838" s="20"/>
      <c r="J838" s="20"/>
      <c r="K838" s="20"/>
      <c r="L838" s="20"/>
      <c r="Q838" s="83"/>
      <c r="Y838" s="20"/>
      <c r="AP838" s="93"/>
      <c r="AQ838" s="31"/>
      <c r="AR838" s="31"/>
      <c r="AS838" s="94"/>
      <c r="AT838" s="31"/>
      <c r="AU838" s="31"/>
      <c r="AV838" s="73" t="s">
        <v>241</v>
      </c>
      <c r="AW838" s="68"/>
      <c r="AX838" s="68"/>
      <c r="AY838" s="68"/>
      <c r="AZ838" s="68"/>
      <c r="BA838" s="68"/>
      <c r="BB838" s="67"/>
      <c r="BC838" s="67"/>
      <c r="BD838" s="67"/>
      <c r="BE838" s="67"/>
      <c r="BF838" s="95">
        <v>0</v>
      </c>
      <c r="BG838" s="52"/>
      <c r="BH838" s="52"/>
      <c r="BI838" s="52"/>
      <c r="BJ838" s="52"/>
      <c r="BK838" s="52"/>
      <c r="BL838" s="52"/>
      <c r="BM838" s="52"/>
      <c r="BN838" s="53"/>
      <c r="BO838" s="52"/>
      <c r="BP838" s="52"/>
      <c r="BQ838" s="54"/>
    </row>
    <row r="839" spans="1:69" ht="16" x14ac:dyDescent="0.35">
      <c r="A839"/>
      <c r="D839"/>
      <c r="G839"/>
      <c r="H839" s="20"/>
      <c r="I839" s="20"/>
      <c r="J839" s="20"/>
      <c r="K839" s="20"/>
      <c r="L839" s="20"/>
      <c r="Q839" s="83"/>
      <c r="Y839" s="20"/>
      <c r="AP839" s="92"/>
      <c r="AQ839" s="67"/>
      <c r="AR839" s="67"/>
      <c r="AS839" s="73"/>
      <c r="AT839" s="67"/>
      <c r="AU839" s="67"/>
      <c r="AV839" s="94" t="s">
        <v>215</v>
      </c>
      <c r="AW839" s="32"/>
      <c r="AX839" s="32"/>
      <c r="AY839" s="32"/>
      <c r="AZ839" s="32"/>
      <c r="BA839" s="32"/>
      <c r="BB839" s="31"/>
      <c r="BC839" s="31"/>
      <c r="BD839" s="31"/>
      <c r="BE839" s="31"/>
      <c r="BF839" s="96">
        <v>0</v>
      </c>
      <c r="BG839" s="48"/>
      <c r="BH839" s="48"/>
      <c r="BI839" s="48"/>
      <c r="BJ839" s="48"/>
      <c r="BK839" s="48"/>
      <c r="BL839" s="48"/>
      <c r="BM839" s="48"/>
      <c r="BN839" s="49"/>
      <c r="BO839" s="48"/>
      <c r="BP839" s="48"/>
      <c r="BQ839" s="50"/>
    </row>
    <row r="840" spans="1:69" ht="16" x14ac:dyDescent="0.35">
      <c r="A840"/>
      <c r="D840"/>
      <c r="G840"/>
      <c r="H840" s="20"/>
      <c r="I840" s="20"/>
      <c r="J840" s="20"/>
      <c r="K840" s="20"/>
      <c r="L840" s="20"/>
      <c r="Q840" s="83"/>
      <c r="Y840" s="20"/>
      <c r="AP840" s="93"/>
      <c r="AQ840" s="31"/>
      <c r="AR840" s="31"/>
      <c r="AS840" s="94"/>
      <c r="AT840" s="31"/>
      <c r="AU840" s="31"/>
      <c r="AV840" s="73" t="s">
        <v>215</v>
      </c>
      <c r="AW840" s="68"/>
      <c r="AX840" s="68"/>
      <c r="AY840" s="68"/>
      <c r="AZ840" s="68"/>
      <c r="BA840" s="68"/>
      <c r="BB840" s="67"/>
      <c r="BC840" s="67"/>
      <c r="BD840" s="67"/>
      <c r="BE840" s="67"/>
      <c r="BF840" s="95">
        <v>0</v>
      </c>
      <c r="BG840" s="52"/>
      <c r="BH840" s="52"/>
      <c r="BI840" s="52"/>
      <c r="BJ840" s="52"/>
      <c r="BK840" s="52"/>
      <c r="BL840" s="52"/>
      <c r="BM840" s="52"/>
      <c r="BN840" s="53"/>
      <c r="BO840" s="52"/>
      <c r="BP840" s="52"/>
      <c r="BQ840" s="54"/>
    </row>
    <row r="841" spans="1:69" ht="16" x14ac:dyDescent="0.35">
      <c r="A841"/>
      <c r="D841"/>
      <c r="G841"/>
      <c r="H841" s="20"/>
      <c r="I841" s="20"/>
      <c r="J841" s="20"/>
      <c r="K841" s="20"/>
      <c r="L841" s="20"/>
      <c r="Q841" s="83"/>
      <c r="Y841" s="20"/>
      <c r="AP841" s="92"/>
      <c r="AQ841" s="67"/>
      <c r="AR841" s="67"/>
      <c r="AS841" s="73"/>
      <c r="AT841" s="67"/>
      <c r="AU841" s="67"/>
      <c r="AV841" s="94" t="s">
        <v>215</v>
      </c>
      <c r="AW841" s="32"/>
      <c r="AX841" s="32"/>
      <c r="AY841" s="32"/>
      <c r="AZ841" s="32"/>
      <c r="BA841" s="32"/>
      <c r="BB841" s="31"/>
      <c r="BC841" s="31"/>
      <c r="BD841" s="31"/>
      <c r="BE841" s="31"/>
      <c r="BF841" s="96">
        <v>0</v>
      </c>
      <c r="BG841" s="48"/>
      <c r="BH841" s="48"/>
      <c r="BI841" s="48"/>
      <c r="BJ841" s="48"/>
      <c r="BK841" s="48"/>
      <c r="BL841" s="48"/>
      <c r="BM841" s="48"/>
      <c r="BN841" s="49"/>
      <c r="BO841" s="48"/>
      <c r="BP841" s="48"/>
      <c r="BQ841" s="50"/>
    </row>
    <row r="842" spans="1:69" ht="16" x14ac:dyDescent="0.35">
      <c r="A842"/>
      <c r="D842"/>
      <c r="G842"/>
      <c r="H842" s="20"/>
      <c r="I842" s="20"/>
      <c r="J842" s="20"/>
      <c r="K842" s="20"/>
      <c r="L842" s="20"/>
      <c r="Q842" s="83"/>
      <c r="Y842" s="20"/>
      <c r="AP842" s="93"/>
      <c r="AQ842" s="31"/>
      <c r="AR842" s="31"/>
      <c r="AS842" s="94"/>
      <c r="AT842" s="31"/>
      <c r="AU842" s="31"/>
      <c r="AV842" s="73" t="s">
        <v>215</v>
      </c>
      <c r="AW842" s="68"/>
      <c r="AX842" s="68"/>
      <c r="AY842" s="68"/>
      <c r="AZ842" s="68"/>
      <c r="BA842" s="68"/>
      <c r="BB842" s="67"/>
      <c r="BC842" s="67"/>
      <c r="BD842" s="67"/>
      <c r="BE842" s="67"/>
      <c r="BF842" s="95">
        <v>0</v>
      </c>
      <c r="BG842" s="52"/>
      <c r="BH842" s="52"/>
      <c r="BI842" s="52"/>
      <c r="BJ842" s="52"/>
      <c r="BK842" s="52"/>
      <c r="BL842" s="52"/>
      <c r="BM842" s="52"/>
      <c r="BN842" s="53"/>
      <c r="BO842" s="52"/>
      <c r="BP842" s="52"/>
      <c r="BQ842" s="54"/>
    </row>
    <row r="843" spans="1:69" ht="16" x14ac:dyDescent="0.35">
      <c r="A843"/>
      <c r="D843"/>
      <c r="G843"/>
      <c r="H843" s="20"/>
      <c r="I843" s="20"/>
      <c r="J843" s="20"/>
      <c r="K843" s="20"/>
      <c r="L843" s="20"/>
      <c r="Q843" s="83"/>
      <c r="Y843" s="20"/>
      <c r="AP843" s="92"/>
      <c r="AQ843" s="67"/>
      <c r="AR843" s="67"/>
      <c r="AS843" s="73"/>
      <c r="AT843" s="67"/>
      <c r="AU843" s="67"/>
      <c r="AV843" s="94" t="s">
        <v>215</v>
      </c>
      <c r="AW843" s="32"/>
      <c r="AX843" s="32"/>
      <c r="AY843" s="32"/>
      <c r="AZ843" s="32"/>
      <c r="BA843" s="32"/>
      <c r="BB843" s="31"/>
      <c r="BC843" s="31"/>
      <c r="BD843" s="31"/>
      <c r="BE843" s="31"/>
      <c r="BF843" s="96">
        <v>0</v>
      </c>
      <c r="BG843" s="48"/>
      <c r="BH843" s="48"/>
      <c r="BI843" s="48"/>
      <c r="BJ843" s="48"/>
      <c r="BK843" s="48"/>
      <c r="BL843" s="48"/>
      <c r="BM843" s="48"/>
      <c r="BN843" s="49"/>
      <c r="BO843" s="48"/>
      <c r="BP843" s="48"/>
      <c r="BQ843" s="50"/>
    </row>
    <row r="844" spans="1:69" ht="16" x14ac:dyDescent="0.35">
      <c r="A844"/>
      <c r="D844"/>
      <c r="G844"/>
      <c r="H844" s="20"/>
      <c r="I844" s="20"/>
      <c r="J844" s="20"/>
      <c r="K844" s="20"/>
      <c r="L844" s="20"/>
      <c r="Q844" s="83"/>
      <c r="Y844" s="20"/>
      <c r="AP844" s="93"/>
      <c r="AQ844" s="31"/>
      <c r="AR844" s="31"/>
      <c r="AS844" s="94"/>
      <c r="AT844" s="31"/>
      <c r="AU844" s="31"/>
      <c r="AV844" s="73" t="s">
        <v>241</v>
      </c>
      <c r="AW844" s="68"/>
      <c r="AX844" s="68"/>
      <c r="AY844" s="68"/>
      <c r="AZ844" s="68"/>
      <c r="BA844" s="68"/>
      <c r="BB844" s="67"/>
      <c r="BC844" s="67"/>
      <c r="BD844" s="67"/>
      <c r="BE844" s="67"/>
      <c r="BF844" s="95">
        <v>0</v>
      </c>
      <c r="BG844" s="52"/>
      <c r="BH844" s="52"/>
      <c r="BI844" s="52"/>
      <c r="BJ844" s="52"/>
      <c r="BK844" s="52"/>
      <c r="BL844" s="52"/>
      <c r="BM844" s="52"/>
      <c r="BN844" s="53"/>
      <c r="BO844" s="52"/>
      <c r="BP844" s="52"/>
      <c r="BQ844" s="54"/>
    </row>
    <row r="845" spans="1:69" ht="16" x14ac:dyDescent="0.35">
      <c r="A845"/>
      <c r="D845"/>
      <c r="G845"/>
      <c r="H845" s="20"/>
      <c r="I845" s="20"/>
      <c r="J845" s="20"/>
      <c r="K845" s="20"/>
      <c r="L845" s="20"/>
      <c r="Q845" s="83"/>
      <c r="Y845" s="20"/>
      <c r="AP845" s="92"/>
      <c r="AQ845" s="67"/>
      <c r="AR845" s="67"/>
      <c r="AS845" s="73"/>
      <c r="AT845" s="67"/>
      <c r="AU845" s="67"/>
      <c r="AV845" s="94" t="s">
        <v>215</v>
      </c>
      <c r="AW845" s="32"/>
      <c r="AX845" s="32"/>
      <c r="AY845" s="32"/>
      <c r="AZ845" s="32"/>
      <c r="BA845" s="32"/>
      <c r="BB845" s="31"/>
      <c r="BC845" s="31"/>
      <c r="BD845" s="31"/>
      <c r="BE845" s="31"/>
      <c r="BF845" s="96">
        <v>0</v>
      </c>
      <c r="BG845" s="48"/>
      <c r="BH845" s="48"/>
      <c r="BI845" s="48"/>
      <c r="BJ845" s="48"/>
      <c r="BK845" s="48"/>
      <c r="BL845" s="48"/>
      <c r="BM845" s="48"/>
      <c r="BN845" s="49"/>
      <c r="BO845" s="48"/>
      <c r="BP845" s="48"/>
      <c r="BQ845" s="50"/>
    </row>
    <row r="846" spans="1:69" ht="16" x14ac:dyDescent="0.35">
      <c r="A846"/>
      <c r="D846"/>
      <c r="G846"/>
      <c r="H846" s="20"/>
      <c r="I846" s="20"/>
      <c r="J846" s="20"/>
      <c r="K846" s="20"/>
      <c r="L846" s="20"/>
      <c r="Q846" s="83"/>
      <c r="Y846" s="20"/>
      <c r="AP846" s="93"/>
      <c r="AQ846" s="31"/>
      <c r="AR846" s="31"/>
      <c r="AS846" s="94"/>
      <c r="AT846" s="31"/>
      <c r="AU846" s="31"/>
      <c r="AV846" s="73" t="s">
        <v>215</v>
      </c>
      <c r="AW846" s="68"/>
      <c r="AX846" s="68"/>
      <c r="AY846" s="68"/>
      <c r="AZ846" s="68"/>
      <c r="BA846" s="68"/>
      <c r="BB846" s="67"/>
      <c r="BC846" s="67"/>
      <c r="BD846" s="67"/>
      <c r="BE846" s="67"/>
      <c r="BF846" s="95">
        <v>0</v>
      </c>
      <c r="BG846" s="52"/>
      <c r="BH846" s="52"/>
      <c r="BI846" s="52"/>
      <c r="BJ846" s="52"/>
      <c r="BK846" s="52"/>
      <c r="BL846" s="52"/>
      <c r="BM846" s="52"/>
      <c r="BN846" s="53"/>
      <c r="BO846" s="52"/>
      <c r="BP846" s="52"/>
      <c r="BQ846" s="54"/>
    </row>
    <row r="847" spans="1:69" ht="16" x14ac:dyDescent="0.35">
      <c r="A847"/>
      <c r="D847"/>
      <c r="G847"/>
      <c r="H847" s="20"/>
      <c r="I847" s="20"/>
      <c r="J847" s="20"/>
      <c r="K847" s="20"/>
      <c r="L847" s="20"/>
      <c r="Q847" s="83"/>
      <c r="Y847" s="20"/>
      <c r="AP847" s="92"/>
      <c r="AQ847" s="67"/>
      <c r="AR847" s="67"/>
      <c r="AS847" s="73"/>
      <c r="AT847" s="67"/>
      <c r="AU847" s="67"/>
      <c r="AV847" s="94" t="s">
        <v>241</v>
      </c>
      <c r="AW847" s="32"/>
      <c r="AX847" s="32"/>
      <c r="AY847" s="32"/>
      <c r="AZ847" s="32"/>
      <c r="BA847" s="32"/>
      <c r="BB847" s="31"/>
      <c r="BC847" s="31"/>
      <c r="BD847" s="31"/>
      <c r="BE847" s="31"/>
      <c r="BF847" s="96">
        <v>0</v>
      </c>
      <c r="BG847" s="48"/>
      <c r="BH847" s="48"/>
      <c r="BI847" s="48"/>
      <c r="BJ847" s="48"/>
      <c r="BK847" s="48"/>
      <c r="BL847" s="48"/>
      <c r="BM847" s="48"/>
      <c r="BN847" s="49"/>
      <c r="BO847" s="48"/>
      <c r="BP847" s="48"/>
      <c r="BQ847" s="50"/>
    </row>
    <row r="848" spans="1:69" ht="16" x14ac:dyDescent="0.35">
      <c r="A848"/>
      <c r="D848"/>
      <c r="G848"/>
      <c r="H848" s="20"/>
      <c r="I848" s="20"/>
      <c r="J848" s="20"/>
      <c r="K848" s="20"/>
      <c r="L848" s="20"/>
      <c r="Q848" s="83"/>
      <c r="Y848" s="20"/>
      <c r="AP848" s="93"/>
      <c r="AQ848" s="31"/>
      <c r="AR848" s="31"/>
      <c r="AS848" s="94"/>
      <c r="AT848" s="31"/>
      <c r="AU848" s="31"/>
      <c r="AV848" s="73" t="s">
        <v>241</v>
      </c>
      <c r="AW848" s="68"/>
      <c r="AX848" s="68"/>
      <c r="AY848" s="68"/>
      <c r="AZ848" s="68"/>
      <c r="BA848" s="68"/>
      <c r="BB848" s="67"/>
      <c r="BC848" s="67"/>
      <c r="BD848" s="67"/>
      <c r="BE848" s="67"/>
      <c r="BF848" s="95">
        <v>0</v>
      </c>
      <c r="BG848" s="52"/>
      <c r="BH848" s="52"/>
      <c r="BI848" s="52"/>
      <c r="BJ848" s="52"/>
      <c r="BK848" s="52"/>
      <c r="BL848" s="52"/>
      <c r="BM848" s="52"/>
      <c r="BN848" s="53"/>
      <c r="BO848" s="52"/>
      <c r="BP848" s="52"/>
      <c r="BQ848" s="54"/>
    </row>
    <row r="849" spans="1:69" ht="16" x14ac:dyDescent="0.35">
      <c r="A849"/>
      <c r="D849"/>
      <c r="G849"/>
      <c r="H849" s="20"/>
      <c r="I849" s="20"/>
      <c r="J849" s="20"/>
      <c r="K849" s="20"/>
      <c r="L849" s="20"/>
      <c r="Q849" s="83"/>
      <c r="Y849" s="20"/>
      <c r="AP849" s="92"/>
      <c r="AQ849" s="67"/>
      <c r="AR849" s="67"/>
      <c r="AS849" s="73"/>
      <c r="AT849" s="67"/>
      <c r="AU849" s="67"/>
      <c r="AV849" s="94" t="s">
        <v>241</v>
      </c>
      <c r="AW849" s="32"/>
      <c r="AX849" s="32"/>
      <c r="AY849" s="32"/>
      <c r="AZ849" s="32"/>
      <c r="BA849" s="32"/>
      <c r="BB849" s="31"/>
      <c r="BC849" s="31"/>
      <c r="BD849" s="31"/>
      <c r="BE849" s="31"/>
      <c r="BF849" s="96">
        <v>0</v>
      </c>
      <c r="BG849" s="48"/>
      <c r="BH849" s="48"/>
      <c r="BI849" s="48"/>
      <c r="BJ849" s="48"/>
      <c r="BK849" s="48"/>
      <c r="BL849" s="48"/>
      <c r="BM849" s="48"/>
      <c r="BN849" s="49"/>
      <c r="BO849" s="48"/>
      <c r="BP849" s="48"/>
      <c r="BQ849" s="50"/>
    </row>
    <row r="850" spans="1:69" ht="16" x14ac:dyDescent="0.35">
      <c r="A850"/>
      <c r="D850"/>
      <c r="G850"/>
      <c r="H850" s="20"/>
      <c r="I850" s="20"/>
      <c r="J850" s="20"/>
      <c r="K850" s="20"/>
      <c r="L850" s="20"/>
      <c r="Q850" s="83"/>
      <c r="Y850" s="20"/>
      <c r="AP850" s="93"/>
      <c r="AQ850" s="31"/>
      <c r="AR850" s="31"/>
      <c r="AS850" s="94"/>
      <c r="AT850" s="31"/>
      <c r="AU850" s="31"/>
      <c r="AV850" s="73" t="s">
        <v>241</v>
      </c>
      <c r="AW850" s="68"/>
      <c r="AX850" s="68"/>
      <c r="AY850" s="68"/>
      <c r="AZ850" s="68"/>
      <c r="BA850" s="68"/>
      <c r="BB850" s="67"/>
      <c r="BC850" s="67"/>
      <c r="BD850" s="67"/>
      <c r="BE850" s="67"/>
      <c r="BF850" s="95">
        <v>0</v>
      </c>
      <c r="BG850" s="52"/>
      <c r="BH850" s="52"/>
      <c r="BI850" s="52"/>
      <c r="BJ850" s="52"/>
      <c r="BK850" s="52"/>
      <c r="BL850" s="52"/>
      <c r="BM850" s="52"/>
      <c r="BN850" s="53"/>
      <c r="BO850" s="52"/>
      <c r="BP850" s="52"/>
      <c r="BQ850" s="54"/>
    </row>
    <row r="851" spans="1:69" ht="16" x14ac:dyDescent="0.35">
      <c r="A851"/>
      <c r="D851"/>
      <c r="G851"/>
      <c r="H851" s="20"/>
      <c r="I851" s="20"/>
      <c r="J851" s="20"/>
      <c r="K851" s="20"/>
      <c r="L851" s="20"/>
      <c r="Q851" s="83"/>
      <c r="Y851" s="20"/>
      <c r="AP851" s="92"/>
      <c r="AQ851" s="67"/>
      <c r="AR851" s="67"/>
      <c r="AS851" s="73"/>
      <c r="AT851" s="67"/>
      <c r="AU851" s="67"/>
      <c r="AV851" s="94" t="s">
        <v>215</v>
      </c>
      <c r="AW851" s="32"/>
      <c r="AX851" s="32"/>
      <c r="AY851" s="32"/>
      <c r="AZ851" s="32"/>
      <c r="BA851" s="32"/>
      <c r="BB851" s="31"/>
      <c r="BC851" s="31"/>
      <c r="BD851" s="31"/>
      <c r="BE851" s="31"/>
      <c r="BF851" s="96">
        <v>0</v>
      </c>
      <c r="BG851" s="48"/>
      <c r="BH851" s="48"/>
      <c r="BI851" s="48"/>
      <c r="BJ851" s="48"/>
      <c r="BK851" s="48"/>
      <c r="BL851" s="48"/>
      <c r="BM851" s="48"/>
      <c r="BN851" s="49"/>
      <c r="BO851" s="48"/>
      <c r="BP851" s="48"/>
      <c r="BQ851" s="50"/>
    </row>
    <row r="852" spans="1:69" ht="16" x14ac:dyDescent="0.35">
      <c r="A852"/>
      <c r="D852"/>
      <c r="G852"/>
      <c r="H852" s="20"/>
      <c r="I852" s="20"/>
      <c r="J852" s="20"/>
      <c r="K852" s="20"/>
      <c r="L852" s="20"/>
      <c r="Q852" s="83"/>
      <c r="Y852" s="20"/>
      <c r="AP852" s="93"/>
      <c r="AQ852" s="31"/>
      <c r="AR852" s="31"/>
      <c r="AS852" s="94"/>
      <c r="AT852" s="31"/>
      <c r="AU852" s="31"/>
      <c r="AV852" s="73" t="s">
        <v>215</v>
      </c>
      <c r="AW852" s="68"/>
      <c r="AX852" s="68"/>
      <c r="AY852" s="68"/>
      <c r="AZ852" s="68"/>
      <c r="BA852" s="68"/>
      <c r="BB852" s="67"/>
      <c r="BC852" s="67"/>
      <c r="BD852" s="67"/>
      <c r="BE852" s="67"/>
      <c r="BF852" s="95">
        <v>0</v>
      </c>
      <c r="BG852" s="52"/>
      <c r="BH852" s="52"/>
      <c r="BI852" s="52"/>
      <c r="BJ852" s="52"/>
      <c r="BK852" s="52"/>
      <c r="BL852" s="52"/>
      <c r="BM852" s="52"/>
      <c r="BN852" s="53"/>
      <c r="BO852" s="52"/>
      <c r="BP852" s="52"/>
      <c r="BQ852" s="54"/>
    </row>
    <row r="853" spans="1:69" ht="16" x14ac:dyDescent="0.35">
      <c r="A853"/>
      <c r="D853"/>
      <c r="G853"/>
      <c r="H853" s="20"/>
      <c r="I853" s="20"/>
      <c r="J853" s="20"/>
      <c r="K853" s="20"/>
      <c r="L853" s="20"/>
      <c r="Q853" s="83"/>
      <c r="Y853" s="20"/>
      <c r="AP853" s="92"/>
      <c r="AQ853" s="67"/>
      <c r="AR853" s="67"/>
      <c r="AS853" s="73"/>
      <c r="AT853" s="67"/>
      <c r="AU853" s="67"/>
      <c r="AV853" s="94" t="s">
        <v>212</v>
      </c>
      <c r="AW853" s="32"/>
      <c r="AX853" s="32"/>
      <c r="AY853" s="32"/>
      <c r="AZ853" s="32"/>
      <c r="BA853" s="32"/>
      <c r="BB853" s="31"/>
      <c r="BC853" s="31"/>
      <c r="BD853" s="31"/>
      <c r="BE853" s="31"/>
      <c r="BF853" s="96">
        <v>0</v>
      </c>
      <c r="BG853" s="48"/>
      <c r="BH853" s="48"/>
      <c r="BI853" s="48"/>
      <c r="BJ853" s="48"/>
      <c r="BK853" s="48"/>
      <c r="BL853" s="48"/>
      <c r="BM853" s="48"/>
      <c r="BN853" s="49"/>
      <c r="BO853" s="48"/>
      <c r="BP853" s="48"/>
      <c r="BQ853" s="50"/>
    </row>
    <row r="854" spans="1:69" ht="16" x14ac:dyDescent="0.35">
      <c r="A854"/>
      <c r="D854"/>
      <c r="G854"/>
      <c r="H854" s="20"/>
      <c r="I854" s="20"/>
      <c r="J854" s="20"/>
      <c r="K854" s="20"/>
      <c r="L854" s="20"/>
      <c r="Q854" s="83"/>
      <c r="Y854" s="20"/>
      <c r="AP854" s="93"/>
      <c r="AQ854" s="31"/>
      <c r="AR854" s="31"/>
      <c r="AS854" s="94"/>
      <c r="AT854" s="31"/>
      <c r="AU854" s="31"/>
      <c r="AV854" s="73" t="s">
        <v>212</v>
      </c>
      <c r="AW854" s="68"/>
      <c r="AX854" s="68"/>
      <c r="AY854" s="68"/>
      <c r="AZ854" s="68"/>
      <c r="BA854" s="68"/>
      <c r="BB854" s="67"/>
      <c r="BC854" s="67"/>
      <c r="BD854" s="67"/>
      <c r="BE854" s="67"/>
      <c r="BF854" s="95">
        <v>0</v>
      </c>
      <c r="BG854" s="52"/>
      <c r="BH854" s="52"/>
      <c r="BI854" s="52"/>
      <c r="BJ854" s="52"/>
      <c r="BK854" s="52"/>
      <c r="BL854" s="52"/>
      <c r="BM854" s="52"/>
      <c r="BN854" s="53"/>
      <c r="BO854" s="52"/>
      <c r="BP854" s="52"/>
      <c r="BQ854" s="54"/>
    </row>
    <row r="855" spans="1:69" ht="16" x14ac:dyDescent="0.35">
      <c r="A855"/>
      <c r="D855"/>
      <c r="G855"/>
      <c r="H855" s="20"/>
      <c r="I855" s="20"/>
      <c r="J855" s="20"/>
      <c r="K855" s="20"/>
      <c r="L855" s="20"/>
      <c r="Q855" s="83"/>
      <c r="Y855" s="20"/>
      <c r="AP855" s="92"/>
      <c r="AQ855" s="67"/>
      <c r="AR855" s="67"/>
      <c r="AS855" s="73"/>
      <c r="AT855" s="67"/>
      <c r="AU855" s="67"/>
      <c r="AV855" s="94" t="s">
        <v>213</v>
      </c>
      <c r="AW855" s="32"/>
      <c r="AX855" s="32"/>
      <c r="AY855" s="32"/>
      <c r="AZ855" s="32"/>
      <c r="BA855" s="32"/>
      <c r="BB855" s="31"/>
      <c r="BC855" s="31"/>
      <c r="BD855" s="31"/>
      <c r="BE855" s="31"/>
      <c r="BF855" s="96">
        <v>0</v>
      </c>
      <c r="BG855" s="48"/>
      <c r="BH855" s="48"/>
      <c r="BI855" s="48"/>
      <c r="BJ855" s="48"/>
      <c r="BK855" s="48"/>
      <c r="BL855" s="48"/>
      <c r="BM855" s="48"/>
      <c r="BN855" s="49"/>
      <c r="BO855" s="48"/>
      <c r="BP855" s="48"/>
      <c r="BQ855" s="50"/>
    </row>
    <row r="856" spans="1:69" ht="16" x14ac:dyDescent="0.35">
      <c r="A856"/>
      <c r="D856"/>
      <c r="G856"/>
      <c r="H856" s="20"/>
      <c r="I856" s="20"/>
      <c r="J856" s="20"/>
      <c r="K856" s="20"/>
      <c r="L856" s="20"/>
      <c r="Q856" s="83"/>
      <c r="Y856" s="20"/>
      <c r="AP856" s="93"/>
      <c r="AQ856" s="31"/>
      <c r="AR856" s="31"/>
      <c r="AS856" s="94"/>
      <c r="AT856" s="31"/>
      <c r="AU856" s="31"/>
      <c r="AV856" s="73" t="s">
        <v>213</v>
      </c>
      <c r="AW856" s="68"/>
      <c r="AX856" s="68"/>
      <c r="AY856" s="68"/>
      <c r="AZ856" s="68"/>
      <c r="BA856" s="68"/>
      <c r="BB856" s="67"/>
      <c r="BC856" s="67"/>
      <c r="BD856" s="67"/>
      <c r="BE856" s="67"/>
      <c r="BF856" s="95">
        <v>0</v>
      </c>
      <c r="BG856" s="52"/>
      <c r="BH856" s="52"/>
      <c r="BI856" s="52"/>
      <c r="BJ856" s="52"/>
      <c r="BK856" s="52"/>
      <c r="BL856" s="52"/>
      <c r="BM856" s="52"/>
      <c r="BN856" s="53"/>
      <c r="BO856" s="52"/>
      <c r="BP856" s="52"/>
      <c r="BQ856" s="54"/>
    </row>
    <row r="857" spans="1:69" ht="16" x14ac:dyDescent="0.35">
      <c r="A857"/>
      <c r="D857"/>
      <c r="G857"/>
      <c r="H857" s="20"/>
      <c r="I857" s="20"/>
      <c r="J857" s="20"/>
      <c r="K857" s="20"/>
      <c r="L857" s="20"/>
      <c r="Q857" s="83"/>
      <c r="Y857" s="20"/>
      <c r="AP857" s="92"/>
      <c r="AQ857" s="67"/>
      <c r="AR857" s="67"/>
      <c r="AS857" s="73"/>
      <c r="AT857" s="67"/>
      <c r="AU857" s="67"/>
      <c r="AV857" s="94" t="s">
        <v>213</v>
      </c>
      <c r="AW857" s="32"/>
      <c r="AX857" s="32"/>
      <c r="AY857" s="32"/>
      <c r="AZ857" s="32"/>
      <c r="BA857" s="32"/>
      <c r="BB857" s="31"/>
      <c r="BC857" s="31"/>
      <c r="BD857" s="31"/>
      <c r="BE857" s="31"/>
      <c r="BF857" s="96">
        <v>0</v>
      </c>
      <c r="BG857" s="48"/>
      <c r="BH857" s="48"/>
      <c r="BI857" s="48"/>
      <c r="BJ857" s="48"/>
      <c r="BK857" s="48"/>
      <c r="BL857" s="48"/>
      <c r="BM857" s="48"/>
      <c r="BN857" s="49"/>
      <c r="BO857" s="48"/>
      <c r="BP857" s="48"/>
      <c r="BQ857" s="50"/>
    </row>
    <row r="858" spans="1:69" ht="16" x14ac:dyDescent="0.35">
      <c r="A858"/>
      <c r="D858"/>
      <c r="G858"/>
      <c r="H858" s="20"/>
      <c r="I858" s="20"/>
      <c r="J858" s="20"/>
      <c r="K858" s="20"/>
      <c r="L858" s="20"/>
      <c r="Q858" s="83"/>
      <c r="Y858" s="20"/>
      <c r="AP858" s="93"/>
      <c r="AQ858" s="31"/>
      <c r="AR858" s="31"/>
      <c r="AS858" s="94"/>
      <c r="AT858" s="31"/>
      <c r="AU858" s="31"/>
      <c r="AV858" s="73" t="s">
        <v>213</v>
      </c>
      <c r="AW858" s="68"/>
      <c r="AX858" s="68"/>
      <c r="AY858" s="68"/>
      <c r="AZ858" s="68"/>
      <c r="BA858" s="68"/>
      <c r="BB858" s="67"/>
      <c r="BC858" s="67"/>
      <c r="BD858" s="67"/>
      <c r="BE858" s="67"/>
      <c r="BF858" s="95">
        <v>0</v>
      </c>
      <c r="BG858" s="52"/>
      <c r="BH858" s="52"/>
      <c r="BI858" s="52"/>
      <c r="BJ858" s="52"/>
      <c r="BK858" s="52"/>
      <c r="BL858" s="52"/>
      <c r="BM858" s="52"/>
      <c r="BN858" s="53"/>
      <c r="BO858" s="52"/>
      <c r="BP858" s="52"/>
      <c r="BQ858" s="54"/>
    </row>
    <row r="859" spans="1:69" ht="16" x14ac:dyDescent="0.35">
      <c r="A859"/>
      <c r="D859"/>
      <c r="G859"/>
      <c r="H859" s="20"/>
      <c r="I859" s="20"/>
      <c r="J859" s="20"/>
      <c r="K859" s="20"/>
      <c r="L859" s="20"/>
      <c r="Q859" s="83"/>
      <c r="Y859" s="20"/>
      <c r="AP859" s="92"/>
      <c r="AQ859" s="67"/>
      <c r="AR859" s="67"/>
      <c r="AS859" s="73"/>
      <c r="AT859" s="67"/>
      <c r="AU859" s="67"/>
      <c r="AV859" s="94" t="s">
        <v>213</v>
      </c>
      <c r="AW859" s="32"/>
      <c r="AX859" s="32"/>
      <c r="AY859" s="32"/>
      <c r="AZ859" s="32"/>
      <c r="BA859" s="32"/>
      <c r="BB859" s="31"/>
      <c r="BC859" s="31"/>
      <c r="BD859" s="31"/>
      <c r="BE859" s="31"/>
      <c r="BF859" s="96">
        <v>0</v>
      </c>
      <c r="BG859" s="48"/>
      <c r="BH859" s="48"/>
      <c r="BI859" s="48"/>
      <c r="BJ859" s="48"/>
      <c r="BK859" s="48"/>
      <c r="BL859" s="48"/>
      <c r="BM859" s="48"/>
      <c r="BN859" s="49"/>
      <c r="BO859" s="48"/>
      <c r="BP859" s="48"/>
      <c r="BQ859" s="50"/>
    </row>
    <row r="860" spans="1:69" ht="16" x14ac:dyDescent="0.35">
      <c r="A860"/>
      <c r="D860"/>
      <c r="G860"/>
      <c r="H860" s="20"/>
      <c r="I860" s="20"/>
      <c r="J860" s="20"/>
      <c r="K860" s="20"/>
      <c r="L860" s="20"/>
      <c r="Q860" s="83"/>
      <c r="Y860" s="20"/>
      <c r="AP860" s="93"/>
      <c r="AQ860" s="31"/>
      <c r="AR860" s="31"/>
      <c r="AS860" s="94"/>
      <c r="AT860" s="31"/>
      <c r="AU860" s="31"/>
      <c r="AV860" s="73" t="s">
        <v>212</v>
      </c>
      <c r="AW860" s="68"/>
      <c r="AX860" s="68"/>
      <c r="AY860" s="68"/>
      <c r="AZ860" s="68"/>
      <c r="BA860" s="68"/>
      <c r="BB860" s="67"/>
      <c r="BC860" s="67"/>
      <c r="BD860" s="67"/>
      <c r="BE860" s="67"/>
      <c r="BF860" s="95">
        <v>0</v>
      </c>
      <c r="BG860" s="52"/>
      <c r="BH860" s="52"/>
      <c r="BI860" s="52"/>
      <c r="BJ860" s="52"/>
      <c r="BK860" s="52"/>
      <c r="BL860" s="52"/>
      <c r="BM860" s="52"/>
      <c r="BN860" s="53"/>
      <c r="BO860" s="52"/>
      <c r="BP860" s="52"/>
      <c r="BQ860" s="54"/>
    </row>
    <row r="861" spans="1:69" ht="16" x14ac:dyDescent="0.35">
      <c r="A861"/>
      <c r="D861"/>
      <c r="G861"/>
      <c r="H861" s="20"/>
      <c r="I861" s="20"/>
      <c r="J861" s="20"/>
      <c r="K861" s="20"/>
      <c r="L861" s="20"/>
      <c r="Q861" s="83"/>
      <c r="Y861" s="20"/>
      <c r="AP861" s="92"/>
      <c r="AQ861" s="67"/>
      <c r="AR861" s="67"/>
      <c r="AS861" s="73"/>
      <c r="AT861" s="67"/>
      <c r="AU861" s="67"/>
      <c r="AV861" s="94" t="s">
        <v>212</v>
      </c>
      <c r="AW861" s="32"/>
      <c r="AX861" s="32"/>
      <c r="AY861" s="32"/>
      <c r="AZ861" s="32"/>
      <c r="BA861" s="32"/>
      <c r="BB861" s="31"/>
      <c r="BC861" s="31"/>
      <c r="BD861" s="31"/>
      <c r="BE861" s="31"/>
      <c r="BF861" s="96">
        <v>0</v>
      </c>
      <c r="BG861" s="48"/>
      <c r="BH861" s="48"/>
      <c r="BI861" s="48"/>
      <c r="BJ861" s="48"/>
      <c r="BK861" s="48"/>
      <c r="BL861" s="48"/>
      <c r="BM861" s="48"/>
      <c r="BN861" s="49"/>
      <c r="BO861" s="48"/>
      <c r="BP861" s="48"/>
      <c r="BQ861" s="50"/>
    </row>
    <row r="862" spans="1:69" ht="16" x14ac:dyDescent="0.35">
      <c r="A862"/>
      <c r="D862"/>
      <c r="G862"/>
      <c r="H862" s="20"/>
      <c r="I862" s="20"/>
      <c r="J862" s="20"/>
      <c r="K862" s="20"/>
      <c r="L862" s="20"/>
      <c r="Q862" s="83"/>
      <c r="Y862" s="20"/>
      <c r="AP862" s="93"/>
      <c r="AQ862" s="31"/>
      <c r="AR862" s="31"/>
      <c r="AS862" s="94"/>
      <c r="AT862" s="31"/>
      <c r="AU862" s="31"/>
      <c r="AV862" s="73" t="s">
        <v>212</v>
      </c>
      <c r="AW862" s="68"/>
      <c r="AX862" s="68"/>
      <c r="AY862" s="68"/>
      <c r="AZ862" s="68"/>
      <c r="BA862" s="68"/>
      <c r="BB862" s="67"/>
      <c r="BC862" s="67"/>
      <c r="BD862" s="67"/>
      <c r="BE862" s="67"/>
      <c r="BF862" s="95">
        <v>0</v>
      </c>
      <c r="BG862" s="52"/>
      <c r="BH862" s="52"/>
      <c r="BI862" s="52"/>
      <c r="BJ862" s="52"/>
      <c r="BK862" s="52"/>
      <c r="BL862" s="52"/>
      <c r="BM862" s="52"/>
      <c r="BN862" s="53"/>
      <c r="BO862" s="52"/>
      <c r="BP862" s="52"/>
      <c r="BQ862" s="54"/>
    </row>
    <row r="863" spans="1:69" ht="16" x14ac:dyDescent="0.35">
      <c r="A863"/>
      <c r="D863"/>
      <c r="G863"/>
      <c r="H863" s="20"/>
      <c r="I863" s="20"/>
      <c r="J863" s="20"/>
      <c r="K863" s="20"/>
      <c r="L863" s="20"/>
      <c r="Q863" s="83"/>
      <c r="Y863" s="20"/>
      <c r="AP863" s="92"/>
      <c r="AQ863" s="67"/>
      <c r="AR863" s="67"/>
      <c r="AS863" s="73"/>
      <c r="AT863" s="67"/>
      <c r="AU863" s="67"/>
      <c r="AV863" s="94" t="s">
        <v>212</v>
      </c>
      <c r="AW863" s="32"/>
      <c r="AX863" s="32"/>
      <c r="AY863" s="32"/>
      <c r="AZ863" s="32"/>
      <c r="BA863" s="32"/>
      <c r="BB863" s="31"/>
      <c r="BC863" s="31"/>
      <c r="BD863" s="31"/>
      <c r="BE863" s="31"/>
      <c r="BF863" s="96">
        <v>0</v>
      </c>
      <c r="BG863" s="48"/>
      <c r="BH863" s="48"/>
      <c r="BI863" s="48"/>
      <c r="BJ863" s="48"/>
      <c r="BK863" s="48"/>
      <c r="BL863" s="48"/>
      <c r="BM863" s="48"/>
      <c r="BN863" s="49"/>
      <c r="BO863" s="48"/>
      <c r="BP863" s="48"/>
      <c r="BQ863" s="50"/>
    </row>
    <row r="864" spans="1:69" ht="16" x14ac:dyDescent="0.35">
      <c r="A864"/>
      <c r="D864"/>
      <c r="G864"/>
      <c r="H864" s="20"/>
      <c r="I864" s="20"/>
      <c r="J864" s="20"/>
      <c r="K864" s="20"/>
      <c r="L864" s="20"/>
      <c r="Q864" s="83"/>
      <c r="Y864" s="20"/>
      <c r="AP864" s="93"/>
      <c r="AQ864" s="31"/>
      <c r="AR864" s="31"/>
      <c r="AS864" s="94"/>
      <c r="AT864" s="31"/>
      <c r="AU864" s="31"/>
      <c r="AV864" s="73" t="s">
        <v>212</v>
      </c>
      <c r="AW864" s="68"/>
      <c r="AX864" s="68"/>
      <c r="AY864" s="68"/>
      <c r="AZ864" s="68"/>
      <c r="BA864" s="68"/>
      <c r="BB864" s="67"/>
      <c r="BC864" s="67"/>
      <c r="BD864" s="67"/>
      <c r="BE864" s="67"/>
      <c r="BF864" s="95">
        <v>0</v>
      </c>
      <c r="BG864" s="52"/>
      <c r="BH864" s="52"/>
      <c r="BI864" s="52"/>
      <c r="BJ864" s="52"/>
      <c r="BK864" s="52"/>
      <c r="BL864" s="52"/>
      <c r="BM864" s="52"/>
      <c r="BN864" s="53"/>
      <c r="BO864" s="52"/>
      <c r="BP864" s="52"/>
      <c r="BQ864" s="54"/>
    </row>
    <row r="865" spans="1:69" ht="16" x14ac:dyDescent="0.35">
      <c r="A865"/>
      <c r="D865"/>
      <c r="G865"/>
      <c r="H865" s="20"/>
      <c r="I865" s="20"/>
      <c r="J865" s="20"/>
      <c r="K865" s="20"/>
      <c r="L865" s="20"/>
      <c r="Q865" s="83"/>
      <c r="Y865" s="20"/>
      <c r="AP865" s="92"/>
      <c r="AQ865" s="67"/>
      <c r="AR865" s="67"/>
      <c r="AS865" s="73"/>
      <c r="AT865" s="67"/>
      <c r="AU865" s="67"/>
      <c r="AV865" s="94" t="s">
        <v>213</v>
      </c>
      <c r="AW865" s="32"/>
      <c r="AX865" s="32"/>
      <c r="AY865" s="32"/>
      <c r="AZ865" s="32"/>
      <c r="BA865" s="32"/>
      <c r="BB865" s="31"/>
      <c r="BC865" s="31"/>
      <c r="BD865" s="31"/>
      <c r="BE865" s="31"/>
      <c r="BF865" s="96">
        <v>0</v>
      </c>
      <c r="BG865" s="48"/>
      <c r="BH865" s="48"/>
      <c r="BI865" s="48"/>
      <c r="BJ865" s="48"/>
      <c r="BK865" s="48"/>
      <c r="BL865" s="48"/>
      <c r="BM865" s="48"/>
      <c r="BN865" s="49"/>
      <c r="BO865" s="48"/>
      <c r="BP865" s="48"/>
      <c r="BQ865" s="50"/>
    </row>
    <row r="866" spans="1:69" ht="16" x14ac:dyDescent="0.35">
      <c r="A866"/>
      <c r="D866"/>
      <c r="G866"/>
      <c r="H866" s="20"/>
      <c r="I866" s="20"/>
      <c r="J866" s="20"/>
      <c r="K866" s="20"/>
      <c r="L866" s="20"/>
      <c r="Q866" s="83"/>
      <c r="Y866" s="20"/>
      <c r="AP866" s="93"/>
      <c r="AQ866" s="31"/>
      <c r="AR866" s="31"/>
      <c r="AS866" s="94"/>
      <c r="AT866" s="31"/>
      <c r="AU866" s="31"/>
      <c r="AV866" s="73" t="s">
        <v>213</v>
      </c>
      <c r="AW866" s="68"/>
      <c r="AX866" s="68"/>
      <c r="AY866" s="68"/>
      <c r="AZ866" s="68"/>
      <c r="BA866" s="68"/>
      <c r="BB866" s="67"/>
      <c r="BC866" s="67"/>
      <c r="BD866" s="67"/>
      <c r="BE866" s="67"/>
      <c r="BF866" s="95">
        <v>0</v>
      </c>
      <c r="BG866" s="52"/>
      <c r="BH866" s="52"/>
      <c r="BI866" s="52"/>
      <c r="BJ866" s="52"/>
      <c r="BK866" s="52"/>
      <c r="BL866" s="52"/>
      <c r="BM866" s="52"/>
      <c r="BN866" s="53"/>
      <c r="BO866" s="52"/>
      <c r="BP866" s="52"/>
      <c r="BQ866" s="54"/>
    </row>
    <row r="867" spans="1:69" ht="16" x14ac:dyDescent="0.35">
      <c r="A867"/>
      <c r="D867"/>
      <c r="G867"/>
      <c r="H867" s="20"/>
      <c r="I867" s="20"/>
      <c r="J867" s="20"/>
      <c r="K867" s="20"/>
      <c r="L867" s="20"/>
      <c r="Q867" s="83"/>
      <c r="Y867" s="20"/>
      <c r="AP867" s="92"/>
      <c r="AQ867" s="67"/>
      <c r="AR867" s="67"/>
      <c r="AS867" s="73"/>
      <c r="AT867" s="67"/>
      <c r="AU867" s="67"/>
      <c r="AV867" s="94" t="s">
        <v>213</v>
      </c>
      <c r="AW867" s="32"/>
      <c r="AX867" s="32"/>
      <c r="AY867" s="32"/>
      <c r="AZ867" s="32"/>
      <c r="BA867" s="32"/>
      <c r="BB867" s="31"/>
      <c r="BC867" s="31"/>
      <c r="BD867" s="31"/>
      <c r="BE867" s="31"/>
      <c r="BF867" s="96">
        <v>0</v>
      </c>
      <c r="BG867" s="48"/>
      <c r="BH867" s="48"/>
      <c r="BI867" s="48"/>
      <c r="BJ867" s="48"/>
      <c r="BK867" s="48"/>
      <c r="BL867" s="48"/>
      <c r="BM867" s="48"/>
      <c r="BN867" s="49"/>
      <c r="BO867" s="48"/>
      <c r="BP867" s="48"/>
      <c r="BQ867" s="50"/>
    </row>
    <row r="868" spans="1:69" ht="16" x14ac:dyDescent="0.35">
      <c r="A868"/>
      <c r="D868"/>
      <c r="G868"/>
      <c r="H868" s="20"/>
      <c r="I868" s="20"/>
      <c r="J868" s="20"/>
      <c r="K868" s="20"/>
      <c r="L868" s="20"/>
      <c r="Q868" s="83"/>
      <c r="Y868" s="20"/>
      <c r="AP868" s="93"/>
      <c r="AQ868" s="31"/>
      <c r="AR868" s="31"/>
      <c r="AS868" s="94"/>
      <c r="AT868" s="31"/>
      <c r="AU868" s="31"/>
      <c r="AV868" s="73" t="s">
        <v>213</v>
      </c>
      <c r="AW868" s="68"/>
      <c r="AX868" s="68"/>
      <c r="AY868" s="68"/>
      <c r="AZ868" s="68"/>
      <c r="BA868" s="68"/>
      <c r="BB868" s="67"/>
      <c r="BC868" s="67"/>
      <c r="BD868" s="67"/>
      <c r="BE868" s="67"/>
      <c r="BF868" s="95">
        <v>0</v>
      </c>
      <c r="BG868" s="52"/>
      <c r="BH868" s="52"/>
      <c r="BI868" s="52"/>
      <c r="BJ868" s="52"/>
      <c r="BK868" s="52"/>
      <c r="BL868" s="52"/>
      <c r="BM868" s="52"/>
      <c r="BN868" s="53"/>
      <c r="BO868" s="52"/>
      <c r="BP868" s="52"/>
      <c r="BQ868" s="54"/>
    </row>
    <row r="869" spans="1:69" ht="16" x14ac:dyDescent="0.35">
      <c r="A869"/>
      <c r="D869"/>
      <c r="G869"/>
      <c r="H869" s="20"/>
      <c r="I869" s="20"/>
      <c r="J869" s="20"/>
      <c r="K869" s="20"/>
      <c r="L869" s="20"/>
      <c r="Q869" s="83"/>
      <c r="Y869" s="20"/>
      <c r="AP869" s="92"/>
      <c r="AQ869" s="67"/>
      <c r="AR869" s="67"/>
      <c r="AS869" s="73"/>
      <c r="AT869" s="67"/>
      <c r="AU869" s="67"/>
      <c r="AV869" s="94" t="s">
        <v>240</v>
      </c>
      <c r="AW869" s="32"/>
      <c r="AX869" s="32"/>
      <c r="AY869" s="32"/>
      <c r="AZ869" s="32"/>
      <c r="BA869" s="32"/>
      <c r="BB869" s="31"/>
      <c r="BC869" s="31"/>
      <c r="BD869" s="31"/>
      <c r="BE869" s="31"/>
      <c r="BF869" s="96">
        <v>1</v>
      </c>
      <c r="BG869" s="48"/>
      <c r="BH869" s="48"/>
      <c r="BI869" s="48"/>
      <c r="BJ869" s="48"/>
      <c r="BK869" s="48"/>
      <c r="BL869" s="48"/>
      <c r="BM869" s="48"/>
      <c r="BN869" s="49"/>
      <c r="BO869" s="48"/>
      <c r="BP869" s="48"/>
      <c r="BQ869" s="50"/>
    </row>
    <row r="870" spans="1:69" ht="16" x14ac:dyDescent="0.35">
      <c r="A870"/>
      <c r="D870"/>
      <c r="G870"/>
      <c r="H870" s="20"/>
      <c r="I870" s="20"/>
      <c r="J870" s="20"/>
      <c r="K870" s="20"/>
      <c r="L870" s="20"/>
      <c r="Q870" s="83"/>
      <c r="Y870" s="20"/>
      <c r="AP870" s="93"/>
      <c r="AQ870" s="31"/>
      <c r="AR870" s="31"/>
      <c r="AS870" s="94"/>
      <c r="AT870" s="31"/>
      <c r="AU870" s="31"/>
      <c r="AV870" s="73" t="s">
        <v>213</v>
      </c>
      <c r="AW870" s="68"/>
      <c r="AX870" s="68"/>
      <c r="AY870" s="68"/>
      <c r="AZ870" s="68"/>
      <c r="BA870" s="68"/>
      <c r="BB870" s="67"/>
      <c r="BC870" s="67"/>
      <c r="BD870" s="67"/>
      <c r="BE870" s="67"/>
      <c r="BF870" s="95">
        <v>0</v>
      </c>
      <c r="BG870" s="52"/>
      <c r="BH870" s="52"/>
      <c r="BI870" s="52"/>
      <c r="BJ870" s="52"/>
      <c r="BK870" s="52"/>
      <c r="BL870" s="52"/>
      <c r="BM870" s="52"/>
      <c r="BN870" s="53"/>
      <c r="BO870" s="52"/>
      <c r="BP870" s="52"/>
      <c r="BQ870" s="54"/>
    </row>
    <row r="871" spans="1:69" ht="16" x14ac:dyDescent="0.35">
      <c r="A871"/>
      <c r="D871"/>
      <c r="G871"/>
      <c r="H871" s="20"/>
      <c r="I871" s="20"/>
      <c r="J871" s="20"/>
      <c r="K871" s="20"/>
      <c r="L871" s="20"/>
      <c r="Q871" s="83"/>
      <c r="Y871" s="20"/>
      <c r="AP871" s="92"/>
      <c r="AQ871" s="67"/>
      <c r="AR871" s="67"/>
      <c r="AS871" s="73"/>
      <c r="AT871" s="67"/>
      <c r="AU871" s="67"/>
      <c r="AV871" s="94" t="s">
        <v>213</v>
      </c>
      <c r="AW871" s="32"/>
      <c r="AX871" s="32"/>
      <c r="AY871" s="32"/>
      <c r="AZ871" s="32"/>
      <c r="BA871" s="32"/>
      <c r="BB871" s="31"/>
      <c r="BC871" s="31"/>
      <c r="BD871" s="31"/>
      <c r="BE871" s="31"/>
      <c r="BF871" s="96">
        <v>0</v>
      </c>
      <c r="BG871" s="48"/>
      <c r="BH871" s="48"/>
      <c r="BI871" s="48"/>
      <c r="BJ871" s="48"/>
      <c r="BK871" s="48"/>
      <c r="BL871" s="48"/>
      <c r="BM871" s="48"/>
      <c r="BN871" s="49"/>
      <c r="BO871" s="48"/>
      <c r="BP871" s="48"/>
      <c r="BQ871" s="50"/>
    </row>
    <row r="872" spans="1:69" ht="16" x14ac:dyDescent="0.35">
      <c r="A872"/>
      <c r="D872"/>
      <c r="G872"/>
      <c r="H872" s="20"/>
      <c r="I872" s="20"/>
      <c r="J872" s="20"/>
      <c r="K872" s="20"/>
      <c r="L872" s="20"/>
      <c r="Q872" s="83"/>
      <c r="Y872" s="20"/>
      <c r="AP872" s="93"/>
      <c r="AQ872" s="31"/>
      <c r="AR872" s="31"/>
      <c r="AS872" s="94"/>
      <c r="AT872" s="31"/>
      <c r="AU872" s="31"/>
      <c r="AV872" s="73" t="s">
        <v>213</v>
      </c>
      <c r="AW872" s="68"/>
      <c r="AX872" s="68"/>
      <c r="AY872" s="68"/>
      <c r="AZ872" s="68"/>
      <c r="BA872" s="68"/>
      <c r="BB872" s="67"/>
      <c r="BC872" s="67"/>
      <c r="BD872" s="67"/>
      <c r="BE872" s="67"/>
      <c r="BF872" s="95">
        <v>0</v>
      </c>
      <c r="BG872" s="52"/>
      <c r="BH872" s="52"/>
      <c r="BI872" s="52"/>
      <c r="BJ872" s="52"/>
      <c r="BK872" s="52"/>
      <c r="BL872" s="52"/>
      <c r="BM872" s="52"/>
      <c r="BN872" s="53"/>
      <c r="BO872" s="52"/>
      <c r="BP872" s="52"/>
      <c r="BQ872" s="54"/>
    </row>
    <row r="873" spans="1:69" ht="16" x14ac:dyDescent="0.35">
      <c r="A873"/>
      <c r="D873"/>
      <c r="G873"/>
      <c r="H873" s="20"/>
      <c r="I873" s="20"/>
      <c r="J873" s="20"/>
      <c r="K873" s="20"/>
      <c r="L873" s="20"/>
      <c r="Q873" s="83"/>
      <c r="Y873" s="20"/>
      <c r="AP873" s="92"/>
      <c r="AQ873" s="67"/>
      <c r="AR873" s="67"/>
      <c r="AS873" s="73"/>
      <c r="AT873" s="67"/>
      <c r="AU873" s="67"/>
      <c r="AV873" s="94" t="s">
        <v>214</v>
      </c>
      <c r="AW873" s="32"/>
      <c r="AX873" s="32"/>
      <c r="AY873" s="32"/>
      <c r="AZ873" s="32"/>
      <c r="BA873" s="32"/>
      <c r="BB873" s="31"/>
      <c r="BC873" s="31"/>
      <c r="BD873" s="31"/>
      <c r="BE873" s="31"/>
      <c r="BF873" s="96">
        <v>0</v>
      </c>
      <c r="BG873" s="48"/>
      <c r="BH873" s="48"/>
      <c r="BI873" s="48"/>
      <c r="BJ873" s="48"/>
      <c r="BK873" s="48"/>
      <c r="BL873" s="48"/>
      <c r="BM873" s="48"/>
      <c r="BN873" s="49"/>
      <c r="BO873" s="48"/>
      <c r="BP873" s="48"/>
      <c r="BQ873" s="50"/>
    </row>
    <row r="874" spans="1:69" ht="16" x14ac:dyDescent="0.35">
      <c r="A874"/>
      <c r="D874"/>
      <c r="G874"/>
      <c r="H874" s="20"/>
      <c r="I874" s="20"/>
      <c r="J874" s="20"/>
      <c r="K874" s="20"/>
      <c r="L874" s="20"/>
      <c r="Q874" s="83"/>
      <c r="Y874" s="20"/>
      <c r="AP874" s="93"/>
      <c r="AQ874" s="31"/>
      <c r="AR874" s="31"/>
      <c r="AS874" s="94"/>
      <c r="AT874" s="31"/>
      <c r="AU874" s="31"/>
      <c r="AV874" s="73" t="s">
        <v>213</v>
      </c>
      <c r="AW874" s="68"/>
      <c r="AX874" s="68"/>
      <c r="AY874" s="68"/>
      <c r="AZ874" s="68"/>
      <c r="BA874" s="68"/>
      <c r="BB874" s="67"/>
      <c r="BC874" s="67"/>
      <c r="BD874" s="67"/>
      <c r="BE874" s="67"/>
      <c r="BF874" s="95">
        <v>0</v>
      </c>
      <c r="BG874" s="52"/>
      <c r="BH874" s="52"/>
      <c r="BI874" s="52"/>
      <c r="BJ874" s="52"/>
      <c r="BK874" s="52"/>
      <c r="BL874" s="52"/>
      <c r="BM874" s="52"/>
      <c r="BN874" s="53"/>
      <c r="BO874" s="52"/>
      <c r="BP874" s="52"/>
      <c r="BQ874" s="54"/>
    </row>
    <row r="875" spans="1:69" ht="16" x14ac:dyDescent="0.35">
      <c r="A875"/>
      <c r="D875"/>
      <c r="G875"/>
      <c r="H875" s="20"/>
      <c r="I875" s="20"/>
      <c r="J875" s="20"/>
      <c r="K875" s="20"/>
      <c r="L875" s="20"/>
      <c r="Q875" s="83"/>
      <c r="Y875" s="20"/>
      <c r="AP875" s="92"/>
      <c r="AQ875" s="67"/>
      <c r="AR875" s="67"/>
      <c r="AS875" s="73"/>
      <c r="AT875" s="67"/>
      <c r="AU875" s="67"/>
      <c r="AV875" s="94" t="s">
        <v>212</v>
      </c>
      <c r="AW875" s="32"/>
      <c r="AX875" s="32"/>
      <c r="AY875" s="32"/>
      <c r="AZ875" s="32"/>
      <c r="BA875" s="32"/>
      <c r="BB875" s="31"/>
      <c r="BC875" s="31"/>
      <c r="BD875" s="31"/>
      <c r="BE875" s="31"/>
      <c r="BF875" s="96">
        <v>0</v>
      </c>
      <c r="BG875" s="48"/>
      <c r="BH875" s="48"/>
      <c r="BI875" s="48"/>
      <c r="BJ875" s="48"/>
      <c r="BK875" s="48"/>
      <c r="BL875" s="48"/>
      <c r="BM875" s="48"/>
      <c r="BN875" s="49"/>
      <c r="BO875" s="48"/>
      <c r="BP875" s="48"/>
      <c r="BQ875" s="50"/>
    </row>
    <row r="876" spans="1:69" ht="16" x14ac:dyDescent="0.35">
      <c r="A876"/>
      <c r="D876"/>
      <c r="G876"/>
      <c r="H876" s="20"/>
      <c r="I876" s="20"/>
      <c r="J876" s="20"/>
      <c r="K876" s="20"/>
      <c r="L876" s="20"/>
      <c r="Q876" s="83"/>
      <c r="Y876" s="20"/>
      <c r="AP876" s="93"/>
      <c r="AQ876" s="31"/>
      <c r="AR876" s="31"/>
      <c r="AS876" s="94"/>
      <c r="AT876" s="31"/>
      <c r="AU876" s="31"/>
      <c r="AV876" s="73" t="s">
        <v>213</v>
      </c>
      <c r="AW876" s="68"/>
      <c r="AX876" s="68"/>
      <c r="AY876" s="68"/>
      <c r="AZ876" s="68"/>
      <c r="BA876" s="68"/>
      <c r="BB876" s="67"/>
      <c r="BC876" s="67"/>
      <c r="BD876" s="67"/>
      <c r="BE876" s="67"/>
      <c r="BF876" s="95">
        <v>0</v>
      </c>
      <c r="BG876" s="52"/>
      <c r="BH876" s="52"/>
      <c r="BI876" s="52"/>
      <c r="BJ876" s="52"/>
      <c r="BK876" s="52"/>
      <c r="BL876" s="52"/>
      <c r="BM876" s="52"/>
      <c r="BN876" s="53"/>
      <c r="BO876" s="52"/>
      <c r="BP876" s="52"/>
      <c r="BQ876" s="54"/>
    </row>
    <row r="877" spans="1:69" ht="16" x14ac:dyDescent="0.35">
      <c r="A877"/>
      <c r="D877"/>
      <c r="G877"/>
      <c r="H877" s="20"/>
      <c r="I877" s="20"/>
      <c r="J877" s="20"/>
      <c r="K877" s="20"/>
      <c r="L877" s="20"/>
      <c r="Q877" s="83"/>
      <c r="Y877" s="20"/>
      <c r="AP877" s="92"/>
      <c r="AQ877" s="67"/>
      <c r="AR877" s="67"/>
      <c r="AS877" s="73"/>
      <c r="AT877" s="67"/>
      <c r="AU877" s="67"/>
      <c r="AV877" s="94" t="s">
        <v>213</v>
      </c>
      <c r="AW877" s="32"/>
      <c r="AX877" s="32"/>
      <c r="AY877" s="32"/>
      <c r="AZ877" s="32"/>
      <c r="BA877" s="32"/>
      <c r="BB877" s="31"/>
      <c r="BC877" s="31"/>
      <c r="BD877" s="31"/>
      <c r="BE877" s="31"/>
      <c r="BF877" s="96">
        <v>0</v>
      </c>
      <c r="BG877" s="48"/>
      <c r="BH877" s="48"/>
      <c r="BI877" s="48"/>
      <c r="BJ877" s="48"/>
      <c r="BK877" s="48"/>
      <c r="BL877" s="48"/>
      <c r="BM877" s="48"/>
      <c r="BN877" s="49"/>
      <c r="BO877" s="48"/>
      <c r="BP877" s="48"/>
      <c r="BQ877" s="50"/>
    </row>
    <row r="878" spans="1:69" ht="16" x14ac:dyDescent="0.35">
      <c r="A878"/>
      <c r="D878"/>
      <c r="G878"/>
      <c r="H878" s="20"/>
      <c r="I878" s="20"/>
      <c r="J878" s="20"/>
      <c r="K878" s="20"/>
      <c r="L878" s="20"/>
      <c r="Q878" s="83"/>
      <c r="Y878" s="20"/>
      <c r="AP878" s="93"/>
      <c r="AQ878" s="31"/>
      <c r="AR878" s="31"/>
      <c r="AS878" s="94"/>
      <c r="AT878" s="31"/>
      <c r="AU878" s="31"/>
      <c r="AV878" s="73" t="s">
        <v>213</v>
      </c>
      <c r="AW878" s="68"/>
      <c r="AX878" s="68"/>
      <c r="AY878" s="68"/>
      <c r="AZ878" s="68"/>
      <c r="BA878" s="68"/>
      <c r="BB878" s="67"/>
      <c r="BC878" s="67"/>
      <c r="BD878" s="67"/>
      <c r="BE878" s="67"/>
      <c r="BF878" s="95">
        <v>0</v>
      </c>
      <c r="BG878" s="52"/>
      <c r="BH878" s="52"/>
      <c r="BI878" s="52"/>
      <c r="BJ878" s="52"/>
      <c r="BK878" s="52"/>
      <c r="BL878" s="52"/>
      <c r="BM878" s="52"/>
      <c r="BN878" s="53"/>
      <c r="BO878" s="52"/>
      <c r="BP878" s="52"/>
      <c r="BQ878" s="54"/>
    </row>
    <row r="879" spans="1:69" ht="16" x14ac:dyDescent="0.35">
      <c r="A879"/>
      <c r="D879"/>
      <c r="G879"/>
      <c r="H879" s="20"/>
      <c r="I879" s="20"/>
      <c r="J879" s="20"/>
      <c r="K879" s="20"/>
      <c r="L879" s="20"/>
      <c r="Q879" s="83"/>
      <c r="Y879" s="20"/>
      <c r="AP879" s="92"/>
      <c r="AQ879" s="67"/>
      <c r="AR879" s="67"/>
      <c r="AS879" s="73"/>
      <c r="AT879" s="67"/>
      <c r="AU879" s="67"/>
      <c r="AV879" s="94" t="s">
        <v>213</v>
      </c>
      <c r="AW879" s="32"/>
      <c r="AX879" s="32"/>
      <c r="AY879" s="32"/>
      <c r="AZ879" s="32"/>
      <c r="BA879" s="32"/>
      <c r="BB879" s="31"/>
      <c r="BC879" s="31"/>
      <c r="BD879" s="31"/>
      <c r="BE879" s="31"/>
      <c r="BF879" s="96">
        <v>0</v>
      </c>
      <c r="BG879" s="48"/>
      <c r="BH879" s="48"/>
      <c r="BI879" s="48"/>
      <c r="BJ879" s="48"/>
      <c r="BK879" s="48"/>
      <c r="BL879" s="48"/>
      <c r="BM879" s="48"/>
      <c r="BN879" s="49"/>
      <c r="BO879" s="48"/>
      <c r="BP879" s="48"/>
      <c r="BQ879" s="50"/>
    </row>
    <row r="880" spans="1:69" ht="16" x14ac:dyDescent="0.35">
      <c r="A880"/>
      <c r="D880"/>
      <c r="G880"/>
      <c r="H880" s="20"/>
      <c r="I880" s="20"/>
      <c r="J880" s="20"/>
      <c r="K880" s="20"/>
      <c r="L880" s="20"/>
      <c r="Q880" s="83"/>
      <c r="Y880" s="20"/>
      <c r="AP880" s="93"/>
      <c r="AQ880" s="31"/>
      <c r="AR880" s="31"/>
      <c r="AS880" s="94"/>
      <c r="AT880" s="31"/>
      <c r="AU880" s="31"/>
      <c r="AV880" s="73" t="s">
        <v>213</v>
      </c>
      <c r="AW880" s="68"/>
      <c r="AX880" s="68"/>
      <c r="AY880" s="68"/>
      <c r="AZ880" s="68"/>
      <c r="BA880" s="68"/>
      <c r="BB880" s="67"/>
      <c r="BC880" s="67"/>
      <c r="BD880" s="67"/>
      <c r="BE880" s="67"/>
      <c r="BF880" s="95">
        <v>0</v>
      </c>
      <c r="BG880" s="52"/>
      <c r="BH880" s="52"/>
      <c r="BI880" s="52"/>
      <c r="BJ880" s="52"/>
      <c r="BK880" s="52"/>
      <c r="BL880" s="52"/>
      <c r="BM880" s="52"/>
      <c r="BN880" s="53"/>
      <c r="BO880" s="52"/>
      <c r="BP880" s="52"/>
      <c r="BQ880" s="54"/>
    </row>
    <row r="881" spans="1:69" ht="16" x14ac:dyDescent="0.35">
      <c r="A881"/>
      <c r="D881"/>
      <c r="G881"/>
      <c r="H881" s="20"/>
      <c r="I881" s="20"/>
      <c r="J881" s="20"/>
      <c r="K881" s="20"/>
      <c r="L881" s="20"/>
      <c r="Q881" s="83"/>
      <c r="Y881" s="20"/>
      <c r="AP881" s="92"/>
      <c r="AQ881" s="67"/>
      <c r="AR881" s="67"/>
      <c r="AS881" s="73"/>
      <c r="AT881" s="67"/>
      <c r="AU881" s="67"/>
      <c r="AV881" s="94" t="s">
        <v>213</v>
      </c>
      <c r="AW881" s="32"/>
      <c r="AX881" s="32"/>
      <c r="AY881" s="32"/>
      <c r="AZ881" s="32"/>
      <c r="BA881" s="32"/>
      <c r="BB881" s="31"/>
      <c r="BC881" s="31"/>
      <c r="BD881" s="31"/>
      <c r="BE881" s="31"/>
      <c r="BF881" s="96">
        <v>0</v>
      </c>
      <c r="BG881" s="48"/>
      <c r="BH881" s="48"/>
      <c r="BI881" s="48"/>
      <c r="BJ881" s="48"/>
      <c r="BK881" s="48"/>
      <c r="BL881" s="48"/>
      <c r="BM881" s="48"/>
      <c r="BN881" s="49"/>
      <c r="BO881" s="48"/>
      <c r="BP881" s="48"/>
      <c r="BQ881" s="50"/>
    </row>
    <row r="882" spans="1:69" ht="16" x14ac:dyDescent="0.35">
      <c r="A882"/>
      <c r="D882"/>
      <c r="G882"/>
      <c r="H882" s="20"/>
      <c r="I882" s="20"/>
      <c r="J882" s="20"/>
      <c r="K882" s="20"/>
      <c r="L882" s="20"/>
      <c r="Q882" s="83"/>
      <c r="Y882" s="20"/>
      <c r="AP882" s="93"/>
      <c r="AQ882" s="31"/>
      <c r="AR882" s="31"/>
      <c r="AS882" s="94"/>
      <c r="AT882" s="31"/>
      <c r="AU882" s="31"/>
      <c r="AV882" s="73" t="s">
        <v>213</v>
      </c>
      <c r="AW882" s="68"/>
      <c r="AX882" s="68"/>
      <c r="AY882" s="68"/>
      <c r="AZ882" s="68"/>
      <c r="BA882" s="68"/>
      <c r="BB882" s="67"/>
      <c r="BC882" s="67"/>
      <c r="BD882" s="67"/>
      <c r="BE882" s="67"/>
      <c r="BF882" s="95">
        <v>0</v>
      </c>
      <c r="BG882" s="52"/>
      <c r="BH882" s="52"/>
      <c r="BI882" s="52"/>
      <c r="BJ882" s="52"/>
      <c r="BK882" s="52"/>
      <c r="BL882" s="52"/>
      <c r="BM882" s="52"/>
      <c r="BN882" s="53"/>
      <c r="BO882" s="52"/>
      <c r="BP882" s="52"/>
      <c r="BQ882" s="54"/>
    </row>
    <row r="883" spans="1:69" ht="16" x14ac:dyDescent="0.35">
      <c r="A883"/>
      <c r="D883"/>
      <c r="G883"/>
      <c r="H883" s="20"/>
      <c r="I883" s="20"/>
      <c r="J883" s="20"/>
      <c r="K883" s="20"/>
      <c r="L883" s="20"/>
      <c r="Q883" s="83"/>
      <c r="Y883" s="20"/>
      <c r="AP883" s="92"/>
      <c r="AQ883" s="67"/>
      <c r="AR883" s="67"/>
      <c r="AS883" s="73"/>
      <c r="AT883" s="67"/>
      <c r="AU883" s="67"/>
      <c r="AV883" s="94" t="s">
        <v>214</v>
      </c>
      <c r="AW883" s="32"/>
      <c r="AX883" s="32"/>
      <c r="AY883" s="32"/>
      <c r="AZ883" s="32"/>
      <c r="BA883" s="32"/>
      <c r="BB883" s="31"/>
      <c r="BC883" s="31"/>
      <c r="BD883" s="31"/>
      <c r="BE883" s="31"/>
      <c r="BF883" s="96">
        <v>3</v>
      </c>
      <c r="BG883" s="48"/>
      <c r="BH883" s="48"/>
      <c r="BI883" s="48"/>
      <c r="BJ883" s="48"/>
      <c r="BK883" s="48"/>
      <c r="BL883" s="48"/>
      <c r="BM883" s="48"/>
      <c r="BN883" s="49"/>
      <c r="BO883" s="48"/>
      <c r="BP883" s="48"/>
      <c r="BQ883" s="50"/>
    </row>
    <row r="884" spans="1:69" ht="16" x14ac:dyDescent="0.35">
      <c r="A884"/>
      <c r="D884"/>
      <c r="G884"/>
      <c r="H884" s="20"/>
      <c r="I884" s="20"/>
      <c r="J884" s="20"/>
      <c r="K884" s="20"/>
      <c r="L884" s="20"/>
      <c r="Q884" s="83"/>
      <c r="Y884" s="20"/>
      <c r="AP884" s="93"/>
      <c r="AQ884" s="31"/>
      <c r="AR884" s="31"/>
      <c r="AS884" s="94"/>
      <c r="AT884" s="31"/>
      <c r="AU884" s="31"/>
      <c r="AV884" s="73" t="s">
        <v>214</v>
      </c>
      <c r="AW884" s="68"/>
      <c r="AX884" s="68"/>
      <c r="AY884" s="68"/>
      <c r="AZ884" s="68"/>
      <c r="BA884" s="68"/>
      <c r="BB884" s="67"/>
      <c r="BC884" s="67"/>
      <c r="BD884" s="67"/>
      <c r="BE884" s="67"/>
      <c r="BF884" s="95">
        <v>3</v>
      </c>
      <c r="BG884" s="52"/>
      <c r="BH884" s="52"/>
      <c r="BI884" s="52"/>
      <c r="BJ884" s="52"/>
      <c r="BK884" s="52"/>
      <c r="BL884" s="52"/>
      <c r="BM884" s="52"/>
      <c r="BN884" s="53"/>
      <c r="BO884" s="52"/>
      <c r="BP884" s="52"/>
      <c r="BQ884" s="54"/>
    </row>
    <row r="885" spans="1:69" ht="16" x14ac:dyDescent="0.35">
      <c r="A885"/>
      <c r="D885"/>
      <c r="G885"/>
      <c r="H885" s="20"/>
      <c r="I885" s="20"/>
      <c r="J885" s="20"/>
      <c r="K885" s="20"/>
      <c r="L885" s="20"/>
      <c r="Q885" s="83"/>
      <c r="Y885" s="20"/>
      <c r="AP885" s="92"/>
      <c r="AQ885" s="67"/>
      <c r="AR885" s="67"/>
      <c r="AS885" s="73"/>
      <c r="AT885" s="67"/>
      <c r="AU885" s="67"/>
      <c r="AV885" s="94" t="s">
        <v>214</v>
      </c>
      <c r="AW885" s="32"/>
      <c r="AX885" s="32"/>
      <c r="AY885" s="32"/>
      <c r="AZ885" s="32"/>
      <c r="BA885" s="32"/>
      <c r="BB885" s="31"/>
      <c r="BC885" s="31"/>
      <c r="BD885" s="31"/>
      <c r="BE885" s="31"/>
      <c r="BF885" s="96">
        <v>3</v>
      </c>
      <c r="BG885" s="48"/>
      <c r="BH885" s="48"/>
      <c r="BI885" s="48"/>
      <c r="BJ885" s="48"/>
      <c r="BK885" s="48"/>
      <c r="BL885" s="48"/>
      <c r="BM885" s="48"/>
      <c r="BN885" s="49"/>
      <c r="BO885" s="48"/>
      <c r="BP885" s="48"/>
      <c r="BQ885" s="50"/>
    </row>
    <row r="886" spans="1:69" ht="16" x14ac:dyDescent="0.35">
      <c r="A886"/>
      <c r="D886"/>
      <c r="G886"/>
      <c r="H886" s="20"/>
      <c r="I886" s="20"/>
      <c r="J886" s="20"/>
      <c r="K886" s="20"/>
      <c r="L886" s="20"/>
      <c r="Q886" s="83"/>
      <c r="Y886" s="20"/>
      <c r="AP886" s="93"/>
      <c r="AQ886" s="31"/>
      <c r="AR886" s="31"/>
      <c r="AS886" s="94"/>
      <c r="AT886" s="31"/>
      <c r="AU886" s="31"/>
      <c r="AV886" s="73" t="s">
        <v>214</v>
      </c>
      <c r="AW886" s="68"/>
      <c r="AX886" s="68"/>
      <c r="AY886" s="68"/>
      <c r="AZ886" s="68"/>
      <c r="BA886" s="68"/>
      <c r="BB886" s="67"/>
      <c r="BC886" s="67"/>
      <c r="BD886" s="67"/>
      <c r="BE886" s="67"/>
      <c r="BF886" s="95">
        <v>3</v>
      </c>
      <c r="BG886" s="52"/>
      <c r="BH886" s="52"/>
      <c r="BI886" s="52"/>
      <c r="BJ886" s="52"/>
      <c r="BK886" s="52"/>
      <c r="BL886" s="52"/>
      <c r="BM886" s="52"/>
      <c r="BN886" s="53"/>
      <c r="BO886" s="52"/>
      <c r="BP886" s="52"/>
      <c r="BQ886" s="54"/>
    </row>
    <row r="887" spans="1:69" ht="16" x14ac:dyDescent="0.35">
      <c r="A887"/>
      <c r="D887"/>
      <c r="G887"/>
      <c r="H887" s="20"/>
      <c r="I887" s="20"/>
      <c r="J887" s="20"/>
      <c r="K887" s="20"/>
      <c r="L887" s="20"/>
      <c r="Q887" s="83"/>
      <c r="Y887" s="20"/>
      <c r="AP887" s="92"/>
      <c r="AQ887" s="67"/>
      <c r="AR887" s="67"/>
      <c r="AS887" s="73"/>
      <c r="AT887" s="67"/>
      <c r="AU887" s="67"/>
      <c r="AV887" s="94" t="s">
        <v>214</v>
      </c>
      <c r="AW887" s="32"/>
      <c r="AX887" s="32"/>
      <c r="AY887" s="32"/>
      <c r="AZ887" s="32"/>
      <c r="BA887" s="32"/>
      <c r="BB887" s="31"/>
      <c r="BC887" s="31"/>
      <c r="BD887" s="31"/>
      <c r="BE887" s="31"/>
      <c r="BF887" s="96">
        <v>3</v>
      </c>
      <c r="BG887" s="48"/>
      <c r="BH887" s="48"/>
      <c r="BI887" s="48"/>
      <c r="BJ887" s="48"/>
      <c r="BK887" s="48"/>
      <c r="BL887" s="48"/>
      <c r="BM887" s="48"/>
      <c r="BN887" s="49"/>
      <c r="BO887" s="48"/>
      <c r="BP887" s="48"/>
      <c r="BQ887" s="50"/>
    </row>
    <row r="888" spans="1:69" ht="16" x14ac:dyDescent="0.35">
      <c r="A888"/>
      <c r="D888"/>
      <c r="G888"/>
      <c r="H888" s="20"/>
      <c r="I888" s="20"/>
      <c r="J888" s="20"/>
      <c r="K888" s="20"/>
      <c r="L888" s="20"/>
      <c r="Q888" s="83"/>
      <c r="Y888" s="20"/>
      <c r="AP888" s="93"/>
      <c r="AQ888" s="31"/>
      <c r="AR888" s="31"/>
      <c r="AS888" s="94"/>
      <c r="AT888" s="31"/>
      <c r="AU888" s="31"/>
      <c r="AV888" s="73" t="s">
        <v>214</v>
      </c>
      <c r="AW888" s="68"/>
      <c r="AX888" s="68"/>
      <c r="AY888" s="68"/>
      <c r="AZ888" s="68"/>
      <c r="BA888" s="68"/>
      <c r="BB888" s="67"/>
      <c r="BC888" s="67"/>
      <c r="BD888" s="67"/>
      <c r="BE888" s="67"/>
      <c r="BF888" s="95">
        <v>3</v>
      </c>
      <c r="BG888" s="52"/>
      <c r="BH888" s="52"/>
      <c r="BI888" s="52"/>
      <c r="BJ888" s="52"/>
      <c r="BK888" s="52"/>
      <c r="BL888" s="52"/>
      <c r="BM888" s="52"/>
      <c r="BN888" s="53"/>
      <c r="BO888" s="52"/>
      <c r="BP888" s="52"/>
      <c r="BQ888" s="54"/>
    </row>
    <row r="889" spans="1:69" ht="16" x14ac:dyDescent="0.35">
      <c r="A889"/>
      <c r="D889"/>
      <c r="G889"/>
      <c r="H889" s="20"/>
      <c r="I889" s="20"/>
      <c r="J889" s="20"/>
      <c r="K889" s="20"/>
      <c r="L889" s="20"/>
      <c r="Q889" s="83"/>
      <c r="Y889" s="20"/>
      <c r="AP889" s="92"/>
      <c r="AQ889" s="67"/>
      <c r="AR889" s="67"/>
      <c r="AS889" s="73"/>
      <c r="AT889" s="67"/>
      <c r="AU889" s="67"/>
      <c r="AV889" s="94" t="s">
        <v>213</v>
      </c>
      <c r="AW889" s="32"/>
      <c r="AX889" s="32"/>
      <c r="AY889" s="32"/>
      <c r="AZ889" s="32"/>
      <c r="BA889" s="32"/>
      <c r="BB889" s="31"/>
      <c r="BC889" s="31"/>
      <c r="BD889" s="31"/>
      <c r="BE889" s="31"/>
      <c r="BF889" s="96">
        <v>0</v>
      </c>
      <c r="BG889" s="48"/>
      <c r="BH889" s="48"/>
      <c r="BI889" s="48"/>
      <c r="BJ889" s="48"/>
      <c r="BK889" s="48"/>
      <c r="BL889" s="48"/>
      <c r="BM889" s="48"/>
      <c r="BN889" s="49"/>
      <c r="BO889" s="48"/>
      <c r="BP889" s="48"/>
      <c r="BQ889" s="50"/>
    </row>
    <row r="890" spans="1:69" ht="16" x14ac:dyDescent="0.35">
      <c r="A890"/>
      <c r="D890"/>
      <c r="G890"/>
      <c r="H890" s="20"/>
      <c r="I890" s="20"/>
      <c r="J890" s="20"/>
      <c r="K890" s="20"/>
      <c r="L890" s="20"/>
      <c r="Q890" s="83"/>
      <c r="Y890" s="20"/>
      <c r="AP890" s="93"/>
      <c r="AQ890" s="31"/>
      <c r="AR890" s="31"/>
      <c r="AS890" s="94"/>
      <c r="AT890" s="31"/>
      <c r="AU890" s="31"/>
      <c r="AV890" s="73" t="s">
        <v>212</v>
      </c>
      <c r="AW890" s="68"/>
      <c r="AX890" s="68"/>
      <c r="AY890" s="68"/>
      <c r="AZ890" s="68"/>
      <c r="BA890" s="68"/>
      <c r="BB890" s="67"/>
      <c r="BC890" s="67"/>
      <c r="BD890" s="67"/>
      <c r="BE890" s="67"/>
      <c r="BF890" s="95">
        <v>0</v>
      </c>
      <c r="BG890" s="52"/>
      <c r="BH890" s="52"/>
      <c r="BI890" s="52"/>
      <c r="BJ890" s="52"/>
      <c r="BK890" s="52"/>
      <c r="BL890" s="52"/>
      <c r="BM890" s="52"/>
      <c r="BN890" s="53"/>
      <c r="BO890" s="52"/>
      <c r="BP890" s="52"/>
      <c r="BQ890" s="54"/>
    </row>
    <row r="891" spans="1:69" ht="16" x14ac:dyDescent="0.35">
      <c r="A891"/>
      <c r="D891"/>
      <c r="G891"/>
      <c r="H891" s="20"/>
      <c r="I891" s="20"/>
      <c r="J891" s="20"/>
      <c r="K891" s="20"/>
      <c r="L891" s="20"/>
      <c r="Q891" s="83"/>
      <c r="Y891" s="20"/>
      <c r="AP891" s="92"/>
      <c r="AQ891" s="67"/>
      <c r="AR891" s="67"/>
      <c r="AS891" s="73"/>
      <c r="AT891" s="67"/>
      <c r="AU891" s="67"/>
      <c r="AV891" s="94" t="s">
        <v>212</v>
      </c>
      <c r="AW891" s="32"/>
      <c r="AX891" s="32"/>
      <c r="AY891" s="32"/>
      <c r="AZ891" s="32"/>
      <c r="BA891" s="32"/>
      <c r="BB891" s="31"/>
      <c r="BC891" s="31"/>
      <c r="BD891" s="31"/>
      <c r="BE891" s="31"/>
      <c r="BF891" s="96">
        <v>0</v>
      </c>
      <c r="BG891" s="48"/>
      <c r="BH891" s="48"/>
      <c r="BI891" s="48"/>
      <c r="BJ891" s="48"/>
      <c r="BK891" s="48"/>
      <c r="BL891" s="48"/>
      <c r="BM891" s="48"/>
      <c r="BN891" s="49"/>
      <c r="BO891" s="48"/>
      <c r="BP891" s="48"/>
      <c r="BQ891" s="50"/>
    </row>
    <row r="892" spans="1:69" ht="16" x14ac:dyDescent="0.35">
      <c r="A892"/>
      <c r="D892"/>
      <c r="G892"/>
      <c r="H892" s="20"/>
      <c r="I892" s="20"/>
      <c r="J892" s="20"/>
      <c r="K892" s="20"/>
      <c r="L892" s="20"/>
      <c r="Q892" s="83"/>
      <c r="Y892" s="20"/>
      <c r="AP892" s="93"/>
      <c r="AQ892" s="31"/>
      <c r="AR892" s="31"/>
      <c r="AS892" s="94"/>
      <c r="AT892" s="31"/>
      <c r="AU892" s="31"/>
      <c r="AV892" s="73" t="s">
        <v>240</v>
      </c>
      <c r="AW892" s="68"/>
      <c r="AX892" s="68"/>
      <c r="AY892" s="68"/>
      <c r="AZ892" s="68"/>
      <c r="BA892" s="68"/>
      <c r="BB892" s="67"/>
      <c r="BC892" s="67"/>
      <c r="BD892" s="67"/>
      <c r="BE892" s="67"/>
      <c r="BF892" s="95">
        <v>1</v>
      </c>
      <c r="BG892" s="52"/>
      <c r="BH892" s="52"/>
      <c r="BI892" s="52"/>
      <c r="BJ892" s="52"/>
      <c r="BK892" s="52"/>
      <c r="BL892" s="52"/>
      <c r="BM892" s="52"/>
      <c r="BN892" s="53"/>
      <c r="BO892" s="52"/>
      <c r="BP892" s="52"/>
      <c r="BQ892" s="54"/>
    </row>
    <row r="893" spans="1:69" ht="16" x14ac:dyDescent="0.35">
      <c r="A893"/>
      <c r="D893"/>
      <c r="G893"/>
      <c r="H893" s="20"/>
      <c r="I893" s="20"/>
      <c r="J893" s="20"/>
      <c r="K893" s="20"/>
      <c r="L893" s="20"/>
      <c r="Q893" s="83"/>
      <c r="Y893" s="20"/>
      <c r="AP893" s="92"/>
      <c r="AQ893" s="67"/>
      <c r="AR893" s="67"/>
      <c r="AS893" s="73"/>
      <c r="AT893" s="67"/>
      <c r="AU893" s="67"/>
      <c r="AV893" s="94" t="s">
        <v>213</v>
      </c>
      <c r="AW893" s="32"/>
      <c r="AX893" s="32"/>
      <c r="AY893" s="32"/>
      <c r="AZ893" s="32"/>
      <c r="BA893" s="32"/>
      <c r="BB893" s="31"/>
      <c r="BC893" s="31"/>
      <c r="BD893" s="31"/>
      <c r="BE893" s="31"/>
      <c r="BF893" s="96">
        <v>0</v>
      </c>
      <c r="BG893" s="48"/>
      <c r="BH893" s="48"/>
      <c r="BI893" s="48"/>
      <c r="BJ893" s="48"/>
      <c r="BK893" s="48"/>
      <c r="BL893" s="48"/>
      <c r="BM893" s="48"/>
      <c r="BN893" s="49"/>
      <c r="BO893" s="48"/>
      <c r="BP893" s="48"/>
      <c r="BQ893" s="50"/>
    </row>
    <row r="894" spans="1:69" ht="16" x14ac:dyDescent="0.35">
      <c r="A894"/>
      <c r="D894"/>
      <c r="G894"/>
      <c r="H894" s="20"/>
      <c r="I894" s="20"/>
      <c r="J894" s="20"/>
      <c r="K894" s="20"/>
      <c r="L894" s="20"/>
      <c r="Q894" s="83"/>
      <c r="Y894" s="20"/>
      <c r="AP894" s="93"/>
      <c r="AQ894" s="31"/>
      <c r="AR894" s="31"/>
      <c r="AS894" s="94"/>
      <c r="AT894" s="31"/>
      <c r="AU894" s="31"/>
      <c r="AV894" s="73" t="s">
        <v>213</v>
      </c>
      <c r="AW894" s="68"/>
      <c r="AX894" s="68"/>
      <c r="AY894" s="68"/>
      <c r="AZ894" s="68"/>
      <c r="BA894" s="68"/>
      <c r="BB894" s="67"/>
      <c r="BC894" s="67"/>
      <c r="BD894" s="67"/>
      <c r="BE894" s="67"/>
      <c r="BF894" s="95">
        <v>0</v>
      </c>
      <c r="BG894" s="52"/>
      <c r="BH894" s="52"/>
      <c r="BI894" s="52"/>
      <c r="BJ894" s="52"/>
      <c r="BK894" s="52"/>
      <c r="BL894" s="52"/>
      <c r="BM894" s="52"/>
      <c r="BN894" s="53"/>
      <c r="BO894" s="52"/>
      <c r="BP894" s="52"/>
      <c r="BQ894" s="54"/>
    </row>
    <row r="895" spans="1:69" ht="16" x14ac:dyDescent="0.35">
      <c r="A895"/>
      <c r="D895"/>
      <c r="G895"/>
      <c r="H895" s="20"/>
      <c r="I895" s="20"/>
      <c r="J895" s="20"/>
      <c r="K895" s="20"/>
      <c r="L895" s="20"/>
      <c r="Q895" s="83"/>
      <c r="Y895" s="20"/>
      <c r="AP895" s="92"/>
      <c r="AQ895" s="67"/>
      <c r="AR895" s="67"/>
      <c r="AS895" s="73"/>
      <c r="AT895" s="67"/>
      <c r="AU895" s="67"/>
      <c r="AV895" s="94" t="s">
        <v>213</v>
      </c>
      <c r="AW895" s="32"/>
      <c r="AX895" s="32"/>
      <c r="AY895" s="32"/>
      <c r="AZ895" s="32"/>
      <c r="BA895" s="32"/>
      <c r="BB895" s="31"/>
      <c r="BC895" s="31"/>
      <c r="BD895" s="31"/>
      <c r="BE895" s="31"/>
      <c r="BF895" s="96">
        <v>0</v>
      </c>
      <c r="BG895" s="48"/>
      <c r="BH895" s="48"/>
      <c r="BI895" s="48"/>
      <c r="BJ895" s="48"/>
      <c r="BK895" s="48"/>
      <c r="BL895" s="48"/>
      <c r="BM895" s="48"/>
      <c r="BN895" s="49"/>
      <c r="BO895" s="48"/>
      <c r="BP895" s="48"/>
      <c r="BQ895" s="50"/>
    </row>
    <row r="896" spans="1:69" ht="16" x14ac:dyDescent="0.35">
      <c r="A896"/>
      <c r="D896"/>
      <c r="G896"/>
      <c r="H896" s="20"/>
      <c r="I896" s="20"/>
      <c r="J896" s="20"/>
      <c r="K896" s="20"/>
      <c r="L896" s="20"/>
      <c r="Q896" s="83"/>
      <c r="Y896" s="20"/>
      <c r="AP896" s="93"/>
      <c r="AQ896" s="31"/>
      <c r="AR896" s="31"/>
      <c r="AS896" s="94"/>
      <c r="AT896" s="31"/>
      <c r="AU896" s="31"/>
      <c r="AV896" s="73" t="s">
        <v>213</v>
      </c>
      <c r="AW896" s="68"/>
      <c r="AX896" s="68"/>
      <c r="AY896" s="68"/>
      <c r="AZ896" s="68"/>
      <c r="BA896" s="68"/>
      <c r="BB896" s="67"/>
      <c r="BC896" s="67"/>
      <c r="BD896" s="67"/>
      <c r="BE896" s="67"/>
      <c r="BF896" s="95">
        <v>0</v>
      </c>
      <c r="BG896" s="52"/>
      <c r="BH896" s="52"/>
      <c r="BI896" s="52"/>
      <c r="BJ896" s="52"/>
      <c r="BK896" s="52"/>
      <c r="BL896" s="52"/>
      <c r="BM896" s="52"/>
      <c r="BN896" s="53"/>
      <c r="BO896" s="52"/>
      <c r="BP896" s="52"/>
      <c r="BQ896" s="54"/>
    </row>
    <row r="897" spans="1:69" ht="16" x14ac:dyDescent="0.35">
      <c r="A897"/>
      <c r="D897"/>
      <c r="G897"/>
      <c r="H897" s="20"/>
      <c r="I897" s="20"/>
      <c r="J897" s="20"/>
      <c r="K897" s="20"/>
      <c r="L897" s="20"/>
      <c r="Q897" s="83"/>
      <c r="Y897" s="20"/>
      <c r="AP897" s="92"/>
      <c r="AQ897" s="67"/>
      <c r="AR897" s="67"/>
      <c r="AS897" s="73"/>
      <c r="AT897" s="67"/>
      <c r="AU897" s="67"/>
      <c r="AV897" s="94" t="s">
        <v>213</v>
      </c>
      <c r="AW897" s="32"/>
      <c r="AX897" s="32"/>
      <c r="AY897" s="32"/>
      <c r="AZ897" s="32"/>
      <c r="BA897" s="32"/>
      <c r="BB897" s="31"/>
      <c r="BC897" s="31"/>
      <c r="BD897" s="31"/>
      <c r="BE897" s="31"/>
      <c r="BF897" s="96">
        <v>0</v>
      </c>
      <c r="BG897" s="48"/>
      <c r="BH897" s="48"/>
      <c r="BI897" s="48"/>
      <c r="BJ897" s="48"/>
      <c r="BK897" s="48"/>
      <c r="BL897" s="48"/>
      <c r="BM897" s="48"/>
      <c r="BN897" s="49"/>
      <c r="BO897" s="48"/>
      <c r="BP897" s="48"/>
      <c r="BQ897" s="50"/>
    </row>
    <row r="898" spans="1:69" ht="16" x14ac:dyDescent="0.35">
      <c r="A898"/>
      <c r="D898"/>
      <c r="G898"/>
      <c r="H898" s="20"/>
      <c r="I898" s="20"/>
      <c r="J898" s="20"/>
      <c r="K898" s="20"/>
      <c r="L898" s="20"/>
      <c r="Q898" s="83"/>
      <c r="Y898" s="20"/>
      <c r="AP898" s="93"/>
      <c r="AQ898" s="31"/>
      <c r="AR898" s="31"/>
      <c r="AS898" s="94"/>
      <c r="AT898" s="31"/>
      <c r="AU898" s="31"/>
      <c r="AV898" s="73" t="s">
        <v>213</v>
      </c>
      <c r="AW898" s="68"/>
      <c r="AX898" s="68"/>
      <c r="AY898" s="68"/>
      <c r="AZ898" s="68"/>
      <c r="BA898" s="68"/>
      <c r="BB898" s="67"/>
      <c r="BC898" s="67"/>
      <c r="BD898" s="67"/>
      <c r="BE898" s="67"/>
      <c r="BF898" s="95">
        <v>0</v>
      </c>
      <c r="BG898" s="52"/>
      <c r="BH898" s="52"/>
      <c r="BI898" s="52"/>
      <c r="BJ898" s="52"/>
      <c r="BK898" s="52"/>
      <c r="BL898" s="52"/>
      <c r="BM898" s="52"/>
      <c r="BN898" s="53"/>
      <c r="BO898" s="52"/>
      <c r="BP898" s="52"/>
      <c r="BQ898" s="54"/>
    </row>
    <row r="899" spans="1:69" ht="16" x14ac:dyDescent="0.35">
      <c r="A899"/>
      <c r="D899"/>
      <c r="G899"/>
      <c r="H899" s="20"/>
      <c r="I899" s="20"/>
      <c r="J899" s="20"/>
      <c r="K899" s="20"/>
      <c r="L899" s="20"/>
      <c r="Q899" s="83"/>
      <c r="Y899" s="20"/>
      <c r="AP899" s="92"/>
      <c r="AQ899" s="67"/>
      <c r="AR899" s="67"/>
      <c r="AS899" s="73"/>
      <c r="AT899" s="67"/>
      <c r="AU899" s="67"/>
      <c r="AV899" s="94" t="s">
        <v>213</v>
      </c>
      <c r="AW899" s="32"/>
      <c r="AX899" s="32"/>
      <c r="AY899" s="32"/>
      <c r="AZ899" s="32"/>
      <c r="BA899" s="32"/>
      <c r="BB899" s="31"/>
      <c r="BC899" s="31"/>
      <c r="BD899" s="31"/>
      <c r="BE899" s="31"/>
      <c r="BF899" s="96">
        <v>0</v>
      </c>
      <c r="BG899" s="48"/>
      <c r="BH899" s="48"/>
      <c r="BI899" s="48"/>
      <c r="BJ899" s="48"/>
      <c r="BK899" s="48"/>
      <c r="BL899" s="48"/>
      <c r="BM899" s="48"/>
      <c r="BN899" s="49"/>
      <c r="BO899" s="48"/>
      <c r="BP899" s="48"/>
      <c r="BQ899" s="50"/>
    </row>
    <row r="900" spans="1:69" ht="16" x14ac:dyDescent="0.35">
      <c r="A900"/>
      <c r="D900"/>
      <c r="G900"/>
      <c r="H900" s="20"/>
      <c r="I900" s="20"/>
      <c r="J900" s="20"/>
      <c r="K900" s="20"/>
      <c r="L900" s="20"/>
      <c r="Q900" s="83"/>
      <c r="Y900" s="20"/>
      <c r="AP900" s="93"/>
      <c r="AQ900" s="31"/>
      <c r="AR900" s="31"/>
      <c r="AS900" s="94"/>
      <c r="AT900" s="31"/>
      <c r="AU900" s="31"/>
      <c r="AV900" s="73" t="s">
        <v>213</v>
      </c>
      <c r="AW900" s="68"/>
      <c r="AX900" s="68"/>
      <c r="AY900" s="68"/>
      <c r="AZ900" s="68"/>
      <c r="BA900" s="68"/>
      <c r="BB900" s="67"/>
      <c r="BC900" s="67"/>
      <c r="BD900" s="67"/>
      <c r="BE900" s="67"/>
      <c r="BF900" s="95">
        <v>0</v>
      </c>
      <c r="BG900" s="52"/>
      <c r="BH900" s="52"/>
      <c r="BI900" s="52"/>
      <c r="BJ900" s="52"/>
      <c r="BK900" s="52"/>
      <c r="BL900" s="52"/>
      <c r="BM900" s="52"/>
      <c r="BN900" s="53"/>
      <c r="BO900" s="52"/>
      <c r="BP900" s="52"/>
      <c r="BQ900" s="54"/>
    </row>
    <row r="901" spans="1:69" ht="16" x14ac:dyDescent="0.35">
      <c r="A901"/>
      <c r="D901"/>
      <c r="G901"/>
      <c r="H901" s="20"/>
      <c r="I901" s="20"/>
      <c r="J901" s="20"/>
      <c r="K901" s="20"/>
      <c r="L901" s="20"/>
      <c r="Q901" s="83"/>
      <c r="Y901" s="20"/>
      <c r="AP901" s="92"/>
      <c r="AQ901" s="67"/>
      <c r="AR901" s="67"/>
      <c r="AS901" s="73"/>
      <c r="AT901" s="67"/>
      <c r="AU901" s="67"/>
      <c r="AV901" s="94" t="s">
        <v>212</v>
      </c>
      <c r="AW901" s="32"/>
      <c r="AX901" s="32"/>
      <c r="AY901" s="32"/>
      <c r="AZ901" s="32"/>
      <c r="BA901" s="32"/>
      <c r="BB901" s="31"/>
      <c r="BC901" s="31"/>
      <c r="BD901" s="31"/>
      <c r="BE901" s="31"/>
      <c r="BF901" s="96">
        <v>0</v>
      </c>
      <c r="BG901" s="48"/>
      <c r="BH901" s="48"/>
      <c r="BI901" s="48"/>
      <c r="BJ901" s="48"/>
      <c r="BK901" s="48"/>
      <c r="BL901" s="48"/>
      <c r="BM901" s="48"/>
      <c r="BN901" s="49"/>
      <c r="BO901" s="48"/>
      <c r="BP901" s="48"/>
      <c r="BQ901" s="50"/>
    </row>
    <row r="902" spans="1:69" ht="16" x14ac:dyDescent="0.35">
      <c r="A902"/>
      <c r="D902"/>
      <c r="G902"/>
      <c r="H902" s="20"/>
      <c r="I902" s="20"/>
      <c r="J902" s="20"/>
      <c r="K902" s="20"/>
      <c r="L902" s="20"/>
      <c r="Q902" s="83"/>
      <c r="Y902" s="20"/>
      <c r="AP902" s="93"/>
      <c r="AQ902" s="31"/>
      <c r="AR902" s="31"/>
      <c r="AS902" s="94"/>
      <c r="AT902" s="31"/>
      <c r="AU902" s="31"/>
      <c r="AV902" s="73" t="s">
        <v>212</v>
      </c>
      <c r="AW902" s="68"/>
      <c r="AX902" s="68"/>
      <c r="AY902" s="68"/>
      <c r="AZ902" s="68"/>
      <c r="BA902" s="68"/>
      <c r="BB902" s="67"/>
      <c r="BC902" s="67"/>
      <c r="BD902" s="67"/>
      <c r="BE902" s="67"/>
      <c r="BF902" s="95">
        <v>0</v>
      </c>
      <c r="BG902" s="52"/>
      <c r="BH902" s="52"/>
      <c r="BI902" s="52"/>
      <c r="BJ902" s="52"/>
      <c r="BK902" s="52"/>
      <c r="BL902" s="52"/>
      <c r="BM902" s="52"/>
      <c r="BN902" s="53"/>
      <c r="BO902" s="52"/>
      <c r="BP902" s="52"/>
      <c r="BQ902" s="54"/>
    </row>
    <row r="903" spans="1:69" ht="16" x14ac:dyDescent="0.35">
      <c r="A903"/>
      <c r="D903"/>
      <c r="G903"/>
      <c r="H903" s="20"/>
      <c r="I903" s="20"/>
      <c r="J903" s="20"/>
      <c r="K903" s="20"/>
      <c r="L903" s="20"/>
      <c r="Q903" s="83"/>
      <c r="Y903" s="20"/>
      <c r="AP903" s="92"/>
      <c r="AQ903" s="67"/>
      <c r="AR903" s="67"/>
      <c r="AS903" s="73"/>
      <c r="AT903" s="67"/>
      <c r="AU903" s="67"/>
      <c r="AV903" s="94" t="s">
        <v>212</v>
      </c>
      <c r="AW903" s="32"/>
      <c r="AX903" s="32"/>
      <c r="AY903" s="32"/>
      <c r="AZ903" s="32"/>
      <c r="BA903" s="32"/>
      <c r="BB903" s="31"/>
      <c r="BC903" s="31"/>
      <c r="BD903" s="31"/>
      <c r="BE903" s="31"/>
      <c r="BF903" s="96">
        <v>0</v>
      </c>
      <c r="BG903" s="48"/>
      <c r="BH903" s="48"/>
      <c r="BI903" s="48"/>
      <c r="BJ903" s="48"/>
      <c r="BK903" s="48"/>
      <c r="BL903" s="48"/>
      <c r="BM903" s="48"/>
      <c r="BN903" s="49"/>
      <c r="BO903" s="48"/>
      <c r="BP903" s="48"/>
      <c r="BQ903" s="50"/>
    </row>
    <row r="904" spans="1:69" ht="16" x14ac:dyDescent="0.35">
      <c r="A904"/>
      <c r="D904"/>
      <c r="G904"/>
      <c r="H904" s="20"/>
      <c r="I904" s="20"/>
      <c r="J904" s="20"/>
      <c r="K904" s="20"/>
      <c r="L904" s="20"/>
      <c r="Q904" s="83"/>
      <c r="Y904" s="20"/>
      <c r="AP904" s="93"/>
      <c r="AQ904" s="31"/>
      <c r="AR904" s="31"/>
      <c r="AS904" s="94"/>
      <c r="AT904" s="31"/>
      <c r="AU904" s="31"/>
      <c r="AV904" s="73" t="s">
        <v>212</v>
      </c>
      <c r="AW904" s="68"/>
      <c r="AX904" s="68"/>
      <c r="AY904" s="68"/>
      <c r="AZ904" s="68"/>
      <c r="BA904" s="68"/>
      <c r="BB904" s="67"/>
      <c r="BC904" s="67"/>
      <c r="BD904" s="67"/>
      <c r="BE904" s="67"/>
      <c r="BF904" s="95">
        <v>0</v>
      </c>
      <c r="BG904" s="52"/>
      <c r="BH904" s="52"/>
      <c r="BI904" s="52"/>
      <c r="BJ904" s="52"/>
      <c r="BK904" s="52"/>
      <c r="BL904" s="52"/>
      <c r="BM904" s="52"/>
      <c r="BN904" s="53"/>
      <c r="BO904" s="52"/>
      <c r="BP904" s="52"/>
      <c r="BQ904" s="54"/>
    </row>
    <row r="905" spans="1:69" ht="16" x14ac:dyDescent="0.35">
      <c r="A905"/>
      <c r="D905"/>
      <c r="G905"/>
      <c r="H905" s="20"/>
      <c r="I905" s="20"/>
      <c r="J905" s="20"/>
      <c r="K905" s="20"/>
      <c r="L905" s="20"/>
      <c r="Q905" s="83"/>
      <c r="Y905" s="20"/>
      <c r="AP905" s="92"/>
      <c r="AQ905" s="67"/>
      <c r="AR905" s="67"/>
      <c r="AS905" s="73"/>
      <c r="AT905" s="67"/>
      <c r="AU905" s="67"/>
      <c r="AV905" s="94" t="s">
        <v>212</v>
      </c>
      <c r="AW905" s="32"/>
      <c r="AX905" s="32"/>
      <c r="AY905" s="32"/>
      <c r="AZ905" s="32"/>
      <c r="BA905" s="32"/>
      <c r="BB905" s="31"/>
      <c r="BC905" s="31"/>
      <c r="BD905" s="31"/>
      <c r="BE905" s="31"/>
      <c r="BF905" s="96">
        <v>0</v>
      </c>
      <c r="BG905" s="48"/>
      <c r="BH905" s="48"/>
      <c r="BI905" s="48"/>
      <c r="BJ905" s="48"/>
      <c r="BK905" s="48"/>
      <c r="BL905" s="48"/>
      <c r="BM905" s="48"/>
      <c r="BN905" s="49"/>
      <c r="BO905" s="48"/>
      <c r="BP905" s="48"/>
      <c r="BQ905" s="50"/>
    </row>
    <row r="906" spans="1:69" ht="16" x14ac:dyDescent="0.35">
      <c r="A906"/>
      <c r="D906"/>
      <c r="G906"/>
      <c r="H906" s="20"/>
      <c r="I906" s="20"/>
      <c r="J906" s="20"/>
      <c r="K906" s="20"/>
      <c r="L906" s="20"/>
      <c r="Q906" s="83"/>
      <c r="Y906" s="20"/>
      <c r="AP906" s="93"/>
      <c r="AQ906" s="31"/>
      <c r="AR906" s="31"/>
      <c r="AS906" s="94"/>
      <c r="AT906" s="31"/>
      <c r="AU906" s="31"/>
      <c r="AV906" s="73" t="s">
        <v>212</v>
      </c>
      <c r="AW906" s="68"/>
      <c r="AX906" s="68"/>
      <c r="AY906" s="68"/>
      <c r="AZ906" s="68"/>
      <c r="BA906" s="68"/>
      <c r="BB906" s="67"/>
      <c r="BC906" s="67"/>
      <c r="BD906" s="67"/>
      <c r="BE906" s="67"/>
      <c r="BF906" s="95">
        <v>0</v>
      </c>
      <c r="BG906" s="52"/>
      <c r="BH906" s="52"/>
      <c r="BI906" s="52"/>
      <c r="BJ906" s="52"/>
      <c r="BK906" s="52"/>
      <c r="BL906" s="52"/>
      <c r="BM906" s="52"/>
      <c r="BN906" s="53"/>
      <c r="BO906" s="52"/>
      <c r="BP906" s="52"/>
      <c r="BQ906" s="54"/>
    </row>
    <row r="907" spans="1:69" ht="16" x14ac:dyDescent="0.35">
      <c r="A907"/>
      <c r="D907"/>
      <c r="G907"/>
      <c r="H907" s="20"/>
      <c r="I907" s="20"/>
      <c r="J907" s="20"/>
      <c r="K907" s="20"/>
      <c r="L907" s="20"/>
      <c r="Q907" s="83"/>
      <c r="Y907" s="20"/>
      <c r="AP907" s="92"/>
      <c r="AQ907" s="67"/>
      <c r="AR907" s="67"/>
      <c r="AS907" s="73"/>
      <c r="AT907" s="67"/>
      <c r="AU907" s="67"/>
      <c r="AV907" s="94" t="s">
        <v>212</v>
      </c>
      <c r="AW907" s="32"/>
      <c r="AX907" s="32"/>
      <c r="AY907" s="32"/>
      <c r="AZ907" s="32"/>
      <c r="BA907" s="32"/>
      <c r="BB907" s="31"/>
      <c r="BC907" s="31"/>
      <c r="BD907" s="31"/>
      <c r="BE907" s="31"/>
      <c r="BF907" s="96">
        <v>0</v>
      </c>
      <c r="BG907" s="48"/>
      <c r="BH907" s="48"/>
      <c r="BI907" s="48"/>
      <c r="BJ907" s="48"/>
      <c r="BK907" s="48"/>
      <c r="BL907" s="48"/>
      <c r="BM907" s="48"/>
      <c r="BN907" s="49"/>
      <c r="BO907" s="48"/>
      <c r="BP907" s="48"/>
      <c r="BQ907" s="50"/>
    </row>
    <row r="908" spans="1:69" ht="16" x14ac:dyDescent="0.35">
      <c r="A908"/>
      <c r="D908"/>
      <c r="G908"/>
      <c r="H908" s="20"/>
      <c r="I908" s="20"/>
      <c r="J908" s="20"/>
      <c r="K908" s="20"/>
      <c r="L908" s="20"/>
      <c r="Q908" s="83"/>
      <c r="Y908" s="20"/>
      <c r="AP908" s="93"/>
      <c r="AQ908" s="31"/>
      <c r="AR908" s="31"/>
      <c r="AS908" s="94"/>
      <c r="AT908" s="31"/>
      <c r="AU908" s="31"/>
      <c r="AV908" s="73" t="s">
        <v>213</v>
      </c>
      <c r="AW908" s="68"/>
      <c r="AX908" s="68"/>
      <c r="AY908" s="68"/>
      <c r="AZ908" s="68"/>
      <c r="BA908" s="68"/>
      <c r="BB908" s="67"/>
      <c r="BC908" s="67"/>
      <c r="BD908" s="67"/>
      <c r="BE908" s="67"/>
      <c r="BF908" s="95">
        <v>0</v>
      </c>
      <c r="BG908" s="52"/>
      <c r="BH908" s="52"/>
      <c r="BI908" s="52"/>
      <c r="BJ908" s="52"/>
      <c r="BK908" s="52"/>
      <c r="BL908" s="52"/>
      <c r="BM908" s="52"/>
      <c r="BN908" s="53"/>
      <c r="BO908" s="52"/>
      <c r="BP908" s="52"/>
      <c r="BQ908" s="54"/>
    </row>
    <row r="909" spans="1:69" ht="16" x14ac:dyDescent="0.35">
      <c r="A909"/>
      <c r="D909"/>
      <c r="G909"/>
      <c r="H909" s="20"/>
      <c r="I909" s="20"/>
      <c r="J909" s="20"/>
      <c r="K909" s="20"/>
      <c r="L909" s="20"/>
      <c r="Q909" s="83"/>
      <c r="Y909" s="20"/>
      <c r="AP909" s="92"/>
      <c r="AQ909" s="67"/>
      <c r="AR909" s="67"/>
      <c r="AS909" s="73"/>
      <c r="AT909" s="67"/>
      <c r="AU909" s="67"/>
      <c r="AV909" s="94" t="s">
        <v>213</v>
      </c>
      <c r="AW909" s="32"/>
      <c r="AX909" s="32"/>
      <c r="AY909" s="32"/>
      <c r="AZ909" s="32"/>
      <c r="BA909" s="32"/>
      <c r="BB909" s="31"/>
      <c r="BC909" s="31"/>
      <c r="BD909" s="31"/>
      <c r="BE909" s="31"/>
      <c r="BF909" s="96">
        <v>0</v>
      </c>
      <c r="BG909" s="48"/>
      <c r="BH909" s="48"/>
      <c r="BI909" s="48"/>
      <c r="BJ909" s="48"/>
      <c r="BK909" s="48"/>
      <c r="BL909" s="48"/>
      <c r="BM909" s="48"/>
      <c r="BN909" s="49"/>
      <c r="BO909" s="48"/>
      <c r="BP909" s="48"/>
      <c r="BQ909" s="50"/>
    </row>
    <row r="910" spans="1:69" ht="16" x14ac:dyDescent="0.35">
      <c r="A910"/>
      <c r="D910"/>
      <c r="G910"/>
      <c r="H910" s="20"/>
      <c r="I910" s="20"/>
      <c r="J910" s="20"/>
      <c r="K910" s="20"/>
      <c r="L910" s="20"/>
      <c r="Q910" s="83"/>
      <c r="Y910" s="20"/>
      <c r="AP910" s="93"/>
      <c r="AQ910" s="31"/>
      <c r="AR910" s="31"/>
      <c r="AS910" s="94"/>
      <c r="AT910" s="31"/>
      <c r="AU910" s="31"/>
      <c r="AV910" s="73" t="s">
        <v>213</v>
      </c>
      <c r="AW910" s="68"/>
      <c r="AX910" s="68"/>
      <c r="AY910" s="68"/>
      <c r="AZ910" s="68"/>
      <c r="BA910" s="68"/>
      <c r="BB910" s="67"/>
      <c r="BC910" s="67"/>
      <c r="BD910" s="67"/>
      <c r="BE910" s="67"/>
      <c r="BF910" s="95">
        <v>0</v>
      </c>
      <c r="BG910" s="52"/>
      <c r="BH910" s="52"/>
      <c r="BI910" s="52"/>
      <c r="BJ910" s="52"/>
      <c r="BK910" s="52"/>
      <c r="BL910" s="52"/>
      <c r="BM910" s="52"/>
      <c r="BN910" s="53"/>
      <c r="BO910" s="52"/>
      <c r="BP910" s="52"/>
      <c r="BQ910" s="54"/>
    </row>
    <row r="911" spans="1:69" ht="16" x14ac:dyDescent="0.35">
      <c r="A911"/>
      <c r="D911"/>
      <c r="G911"/>
      <c r="H911" s="20"/>
      <c r="I911" s="20"/>
      <c r="J911" s="20"/>
      <c r="K911" s="20"/>
      <c r="L911" s="20"/>
      <c r="Q911" s="83"/>
      <c r="Y911" s="20"/>
      <c r="AP911" s="92"/>
      <c r="AQ911" s="67"/>
      <c r="AR911" s="67"/>
      <c r="AS911" s="73"/>
      <c r="AT911" s="67"/>
      <c r="AU911" s="67"/>
      <c r="AV911" s="94" t="s">
        <v>213</v>
      </c>
      <c r="AW911" s="32"/>
      <c r="AX911" s="32"/>
      <c r="AY911" s="32"/>
      <c r="AZ911" s="32"/>
      <c r="BA911" s="32"/>
      <c r="BB911" s="31"/>
      <c r="BC911" s="31"/>
      <c r="BD911" s="31"/>
      <c r="BE911" s="31"/>
      <c r="BF911" s="96">
        <v>0</v>
      </c>
      <c r="BG911" s="48"/>
      <c r="BH911" s="48"/>
      <c r="BI911" s="48"/>
      <c r="BJ911" s="48"/>
      <c r="BK911" s="48"/>
      <c r="BL911" s="48"/>
      <c r="BM911" s="48"/>
      <c r="BN911" s="49"/>
      <c r="BO911" s="48"/>
      <c r="BP911" s="48"/>
      <c r="BQ911" s="50"/>
    </row>
    <row r="912" spans="1:69" ht="16" x14ac:dyDescent="0.35">
      <c r="A912"/>
      <c r="D912"/>
      <c r="G912"/>
      <c r="H912" s="20"/>
      <c r="I912" s="20"/>
      <c r="J912" s="20"/>
      <c r="K912" s="20"/>
      <c r="L912" s="20"/>
      <c r="Q912" s="83"/>
      <c r="Y912" s="20"/>
      <c r="AP912" s="93"/>
      <c r="AQ912" s="31"/>
      <c r="AR912" s="31"/>
      <c r="AS912" s="94"/>
      <c r="AT912" s="31"/>
      <c r="AU912" s="31"/>
      <c r="AV912" s="73" t="s">
        <v>213</v>
      </c>
      <c r="AW912" s="68"/>
      <c r="AX912" s="68"/>
      <c r="AY912" s="68"/>
      <c r="AZ912" s="68"/>
      <c r="BA912" s="68"/>
      <c r="BB912" s="67"/>
      <c r="BC912" s="67"/>
      <c r="BD912" s="67"/>
      <c r="BE912" s="67"/>
      <c r="BF912" s="95">
        <v>0</v>
      </c>
      <c r="BG912" s="52"/>
      <c r="BH912" s="52"/>
      <c r="BI912" s="52"/>
      <c r="BJ912" s="52"/>
      <c r="BK912" s="52"/>
      <c r="BL912" s="52"/>
      <c r="BM912" s="52"/>
      <c r="BN912" s="53"/>
      <c r="BO912" s="52"/>
      <c r="BP912" s="52"/>
      <c r="BQ912" s="54"/>
    </row>
    <row r="913" spans="1:69" ht="16" x14ac:dyDescent="0.35">
      <c r="A913"/>
      <c r="D913"/>
      <c r="G913"/>
      <c r="H913" s="20"/>
      <c r="I913" s="20"/>
      <c r="J913" s="20"/>
      <c r="K913" s="20"/>
      <c r="L913" s="20"/>
      <c r="Q913" s="83"/>
      <c r="Y913" s="20"/>
      <c r="AP913" s="92"/>
      <c r="AQ913" s="67"/>
      <c r="AR913" s="67"/>
      <c r="AS913" s="73"/>
      <c r="AT913" s="67"/>
      <c r="AU913" s="67"/>
      <c r="AV913" s="94" t="s">
        <v>213</v>
      </c>
      <c r="AW913" s="32"/>
      <c r="AX913" s="32"/>
      <c r="AY913" s="32"/>
      <c r="AZ913" s="32"/>
      <c r="BA913" s="32"/>
      <c r="BB913" s="31"/>
      <c r="BC913" s="31"/>
      <c r="BD913" s="31"/>
      <c r="BE913" s="31"/>
      <c r="BF913" s="96">
        <v>0</v>
      </c>
      <c r="BG913" s="48"/>
      <c r="BH913" s="48"/>
      <c r="BI913" s="48"/>
      <c r="BJ913" s="48"/>
      <c r="BK913" s="48"/>
      <c r="BL913" s="48"/>
      <c r="BM913" s="48"/>
      <c r="BN913" s="49"/>
      <c r="BO913" s="48"/>
      <c r="BP913" s="48"/>
      <c r="BQ913" s="50"/>
    </row>
    <row r="914" spans="1:69" ht="16" x14ac:dyDescent="0.35">
      <c r="A914"/>
      <c r="D914"/>
      <c r="G914"/>
      <c r="H914" s="20"/>
      <c r="I914" s="20"/>
      <c r="J914" s="20"/>
      <c r="K914" s="20"/>
      <c r="L914" s="20"/>
      <c r="Q914" s="83"/>
      <c r="Y914" s="20"/>
      <c r="AP914" s="93"/>
      <c r="AQ914" s="31"/>
      <c r="AR914" s="31"/>
      <c r="AS914" s="94"/>
      <c r="AT914" s="31"/>
      <c r="AU914" s="31"/>
      <c r="AV914" s="73" t="s">
        <v>212</v>
      </c>
      <c r="AW914" s="68"/>
      <c r="AX914" s="68"/>
      <c r="AY914" s="68"/>
      <c r="AZ914" s="68"/>
      <c r="BA914" s="68"/>
      <c r="BB914" s="67"/>
      <c r="BC914" s="67"/>
      <c r="BD914" s="67"/>
      <c r="BE914" s="67"/>
      <c r="BF914" s="95">
        <v>0</v>
      </c>
      <c r="BG914" s="52"/>
      <c r="BH914" s="52"/>
      <c r="BI914" s="52"/>
      <c r="BJ914" s="52"/>
      <c r="BK914" s="52"/>
      <c r="BL914" s="52"/>
      <c r="BM914" s="52"/>
      <c r="BN914" s="53"/>
      <c r="BO914" s="52"/>
      <c r="BP914" s="52"/>
      <c r="BQ914" s="54"/>
    </row>
    <row r="915" spans="1:69" ht="16" x14ac:dyDescent="0.35">
      <c r="A915"/>
      <c r="D915"/>
      <c r="G915"/>
      <c r="H915" s="20"/>
      <c r="I915" s="20"/>
      <c r="J915" s="20"/>
      <c r="K915" s="20"/>
      <c r="L915" s="20"/>
      <c r="Q915" s="83"/>
      <c r="Y915" s="20"/>
      <c r="AP915" s="92"/>
      <c r="AQ915" s="67"/>
      <c r="AR915" s="67"/>
      <c r="AS915" s="73"/>
      <c r="AT915" s="67"/>
      <c r="AU915" s="67"/>
      <c r="AV915" s="94" t="s">
        <v>212</v>
      </c>
      <c r="AW915" s="32"/>
      <c r="AX915" s="32"/>
      <c r="AY915" s="32"/>
      <c r="AZ915" s="32"/>
      <c r="BA915" s="32"/>
      <c r="BB915" s="31"/>
      <c r="BC915" s="31"/>
      <c r="BD915" s="31"/>
      <c r="BE915" s="31"/>
      <c r="BF915" s="96">
        <v>0</v>
      </c>
      <c r="BG915" s="48"/>
      <c r="BH915" s="48"/>
      <c r="BI915" s="48"/>
      <c r="BJ915" s="48"/>
      <c r="BK915" s="48"/>
      <c r="BL915" s="48"/>
      <c r="BM915" s="48"/>
      <c r="BN915" s="49"/>
      <c r="BO915" s="48"/>
      <c r="BP915" s="48"/>
      <c r="BQ915" s="50"/>
    </row>
    <row r="916" spans="1:69" ht="16" x14ac:dyDescent="0.35">
      <c r="A916"/>
      <c r="D916"/>
      <c r="G916"/>
      <c r="H916" s="20"/>
      <c r="I916" s="20"/>
      <c r="J916" s="20"/>
      <c r="K916" s="20"/>
      <c r="L916" s="20"/>
      <c r="Q916" s="83"/>
      <c r="Y916" s="20"/>
      <c r="AP916" s="93"/>
      <c r="AQ916" s="31"/>
      <c r="AR916" s="31"/>
      <c r="AS916" s="94"/>
      <c r="AT916" s="31"/>
      <c r="AU916" s="31"/>
      <c r="AV916" s="73" t="s">
        <v>212</v>
      </c>
      <c r="AW916" s="68"/>
      <c r="AX916" s="68"/>
      <c r="AY916" s="68"/>
      <c r="AZ916" s="68"/>
      <c r="BA916" s="68"/>
      <c r="BB916" s="67"/>
      <c r="BC916" s="67"/>
      <c r="BD916" s="67"/>
      <c r="BE916" s="67"/>
      <c r="BF916" s="95">
        <v>0</v>
      </c>
      <c r="BG916" s="52"/>
      <c r="BH916" s="52"/>
      <c r="BI916" s="52"/>
      <c r="BJ916" s="52"/>
      <c r="BK916" s="52"/>
      <c r="BL916" s="52"/>
      <c r="BM916" s="52"/>
      <c r="BN916" s="53"/>
      <c r="BO916" s="52"/>
      <c r="BP916" s="52"/>
      <c r="BQ916" s="54"/>
    </row>
    <row r="917" spans="1:69" ht="16" x14ac:dyDescent="0.35">
      <c r="A917"/>
      <c r="D917"/>
      <c r="G917"/>
      <c r="H917" s="20"/>
      <c r="I917" s="20"/>
      <c r="J917" s="20"/>
      <c r="K917" s="20"/>
      <c r="L917" s="20"/>
      <c r="Q917" s="83"/>
      <c r="Y917" s="20"/>
      <c r="AP917" s="92"/>
      <c r="AQ917" s="67"/>
      <c r="AR917" s="67"/>
      <c r="AS917" s="73"/>
      <c r="AT917" s="67"/>
      <c r="AU917" s="67"/>
      <c r="AV917" s="94" t="s">
        <v>212</v>
      </c>
      <c r="AW917" s="32"/>
      <c r="AX917" s="32"/>
      <c r="AY917" s="32"/>
      <c r="AZ917" s="32"/>
      <c r="BA917" s="32"/>
      <c r="BB917" s="31"/>
      <c r="BC917" s="31"/>
      <c r="BD917" s="31"/>
      <c r="BE917" s="31"/>
      <c r="BF917" s="96">
        <v>0</v>
      </c>
      <c r="BG917" s="48"/>
      <c r="BH917" s="48"/>
      <c r="BI917" s="48"/>
      <c r="BJ917" s="48"/>
      <c r="BK917" s="48"/>
      <c r="BL917" s="48"/>
      <c r="BM917" s="48"/>
      <c r="BN917" s="49"/>
      <c r="BO917" s="48"/>
      <c r="BP917" s="48"/>
      <c r="BQ917" s="50"/>
    </row>
    <row r="918" spans="1:69" ht="16" x14ac:dyDescent="0.35">
      <c r="A918"/>
      <c r="D918"/>
      <c r="G918"/>
      <c r="H918" s="20"/>
      <c r="I918" s="20"/>
      <c r="J918" s="20"/>
      <c r="K918" s="20"/>
      <c r="L918" s="20"/>
      <c r="Q918" s="83"/>
      <c r="Y918" s="20"/>
      <c r="AP918" s="93"/>
      <c r="AQ918" s="31"/>
      <c r="AR918" s="31"/>
      <c r="AS918" s="94"/>
      <c r="AT918" s="31"/>
      <c r="AU918" s="31"/>
      <c r="AV918" s="73" t="s">
        <v>212</v>
      </c>
      <c r="AW918" s="68"/>
      <c r="AX918" s="68"/>
      <c r="AY918" s="68"/>
      <c r="AZ918" s="68"/>
      <c r="BA918" s="68"/>
      <c r="BB918" s="67"/>
      <c r="BC918" s="67"/>
      <c r="BD918" s="67"/>
      <c r="BE918" s="67"/>
      <c r="BF918" s="95">
        <v>0</v>
      </c>
      <c r="BG918" s="52"/>
      <c r="BH918" s="52"/>
      <c r="BI918" s="52"/>
      <c r="BJ918" s="52"/>
      <c r="BK918" s="52"/>
      <c r="BL918" s="52"/>
      <c r="BM918" s="52"/>
      <c r="BN918" s="53"/>
      <c r="BO918" s="52"/>
      <c r="BP918" s="52"/>
      <c r="BQ918" s="54"/>
    </row>
    <row r="919" spans="1:69" ht="16" x14ac:dyDescent="0.35">
      <c r="A919"/>
      <c r="D919"/>
      <c r="G919"/>
      <c r="H919" s="20"/>
      <c r="I919" s="20"/>
      <c r="J919" s="20"/>
      <c r="K919" s="20"/>
      <c r="L919" s="20"/>
      <c r="Q919" s="83"/>
      <c r="Y919" s="20"/>
      <c r="AP919" s="92"/>
      <c r="AQ919" s="67"/>
      <c r="AR919" s="67"/>
      <c r="AS919" s="73"/>
      <c r="AT919" s="67"/>
      <c r="AU919" s="67"/>
      <c r="AV919" s="94" t="s">
        <v>212</v>
      </c>
      <c r="AW919" s="32"/>
      <c r="AX919" s="32"/>
      <c r="AY919" s="32"/>
      <c r="AZ919" s="32"/>
      <c r="BA919" s="32"/>
      <c r="BB919" s="31"/>
      <c r="BC919" s="31"/>
      <c r="BD919" s="31"/>
      <c r="BE919" s="31"/>
      <c r="BF919" s="96">
        <v>0</v>
      </c>
      <c r="BG919" s="48"/>
      <c r="BH919" s="48"/>
      <c r="BI919" s="48"/>
      <c r="BJ919" s="48"/>
      <c r="BK919" s="48"/>
      <c r="BL919" s="48"/>
      <c r="BM919" s="48"/>
      <c r="BN919" s="49"/>
      <c r="BO919" s="48"/>
      <c r="BP919" s="48"/>
      <c r="BQ919" s="50"/>
    </row>
    <row r="920" spans="1:69" ht="16" x14ac:dyDescent="0.35">
      <c r="A920"/>
      <c r="D920"/>
      <c r="G920"/>
      <c r="H920" s="20"/>
      <c r="I920" s="20"/>
      <c r="J920" s="20"/>
      <c r="K920" s="20"/>
      <c r="L920" s="20"/>
      <c r="Q920" s="83"/>
      <c r="Y920" s="20"/>
      <c r="AP920" s="93"/>
      <c r="AQ920" s="31"/>
      <c r="AR920" s="31"/>
      <c r="AS920" s="94"/>
      <c r="AT920" s="31"/>
      <c r="AU920" s="31"/>
      <c r="AV920" s="73" t="s">
        <v>213</v>
      </c>
      <c r="AW920" s="68"/>
      <c r="AX920" s="68"/>
      <c r="AY920" s="68"/>
      <c r="AZ920" s="68"/>
      <c r="BA920" s="68"/>
      <c r="BB920" s="67"/>
      <c r="BC920" s="67"/>
      <c r="BD920" s="67"/>
      <c r="BE920" s="67"/>
      <c r="BF920" s="95">
        <v>0</v>
      </c>
      <c r="BG920" s="52"/>
      <c r="BH920" s="52"/>
      <c r="BI920" s="52"/>
      <c r="BJ920" s="52"/>
      <c r="BK920" s="52"/>
      <c r="BL920" s="52"/>
      <c r="BM920" s="52"/>
      <c r="BN920" s="53"/>
      <c r="BO920" s="52"/>
      <c r="BP920" s="52"/>
      <c r="BQ920" s="54"/>
    </row>
    <row r="921" spans="1:69" ht="16" x14ac:dyDescent="0.35">
      <c r="A921"/>
      <c r="D921"/>
      <c r="G921"/>
      <c r="H921" s="20"/>
      <c r="I921" s="20"/>
      <c r="J921" s="20"/>
      <c r="K921" s="20"/>
      <c r="L921" s="20"/>
      <c r="Q921" s="83"/>
      <c r="Y921" s="20"/>
      <c r="AP921" s="92"/>
      <c r="AQ921" s="67"/>
      <c r="AR921" s="67"/>
      <c r="AS921" s="73"/>
      <c r="AT921" s="67"/>
      <c r="AU921" s="67"/>
      <c r="AV921" s="94" t="s">
        <v>212</v>
      </c>
      <c r="AW921" s="32"/>
      <c r="AX921" s="32"/>
      <c r="AY921" s="32"/>
      <c r="AZ921" s="32"/>
      <c r="BA921" s="32"/>
      <c r="BB921" s="31"/>
      <c r="BC921" s="31"/>
      <c r="BD921" s="31"/>
      <c r="BE921" s="31"/>
      <c r="BF921" s="96">
        <v>0</v>
      </c>
      <c r="BG921" s="48"/>
      <c r="BH921" s="48"/>
      <c r="BI921" s="48"/>
      <c r="BJ921" s="48"/>
      <c r="BK921" s="48"/>
      <c r="BL921" s="48"/>
      <c r="BM921" s="48"/>
      <c r="BN921" s="49"/>
      <c r="BO921" s="48"/>
      <c r="BP921" s="48"/>
      <c r="BQ921" s="50"/>
    </row>
    <row r="922" spans="1:69" ht="16" x14ac:dyDescent="0.35">
      <c r="A922"/>
      <c r="D922"/>
      <c r="G922"/>
      <c r="H922" s="20"/>
      <c r="I922" s="20"/>
      <c r="J922" s="20"/>
      <c r="K922" s="20"/>
      <c r="L922" s="20"/>
      <c r="Q922" s="83"/>
      <c r="Y922" s="20"/>
      <c r="AP922" s="93"/>
      <c r="AQ922" s="31"/>
      <c r="AR922" s="31"/>
      <c r="AS922" s="94"/>
      <c r="AT922" s="31"/>
      <c r="AU922" s="31"/>
      <c r="AV922" s="73" t="s">
        <v>212</v>
      </c>
      <c r="AW922" s="68"/>
      <c r="AX922" s="68"/>
      <c r="AY922" s="68"/>
      <c r="AZ922" s="68"/>
      <c r="BA922" s="68"/>
      <c r="BB922" s="67"/>
      <c r="BC922" s="67"/>
      <c r="BD922" s="67"/>
      <c r="BE922" s="67"/>
      <c r="BF922" s="95">
        <v>0</v>
      </c>
      <c r="BG922" s="52"/>
      <c r="BH922" s="52"/>
      <c r="BI922" s="52"/>
      <c r="BJ922" s="52"/>
      <c r="BK922" s="52"/>
      <c r="BL922" s="52"/>
      <c r="BM922" s="52"/>
      <c r="BN922" s="53"/>
      <c r="BO922" s="52"/>
      <c r="BP922" s="52"/>
      <c r="BQ922" s="54"/>
    </row>
    <row r="923" spans="1:69" ht="16" x14ac:dyDescent="0.35">
      <c r="A923"/>
      <c r="D923"/>
      <c r="G923"/>
      <c r="H923" s="20"/>
      <c r="I923" s="20"/>
      <c r="J923" s="20"/>
      <c r="K923" s="20"/>
      <c r="L923" s="20"/>
      <c r="Q923" s="83"/>
      <c r="Y923" s="20"/>
      <c r="AP923" s="92"/>
      <c r="AQ923" s="67"/>
      <c r="AR923" s="67"/>
      <c r="AS923" s="73"/>
      <c r="AT923" s="67"/>
      <c r="AU923" s="67"/>
      <c r="AV923" s="94" t="s">
        <v>212</v>
      </c>
      <c r="AW923" s="32"/>
      <c r="AX923" s="32"/>
      <c r="AY923" s="32"/>
      <c r="AZ923" s="32"/>
      <c r="BA923" s="32"/>
      <c r="BB923" s="31"/>
      <c r="BC923" s="31"/>
      <c r="BD923" s="31"/>
      <c r="BE923" s="31"/>
      <c r="BF923" s="96">
        <v>0</v>
      </c>
      <c r="BG923" s="48"/>
      <c r="BH923" s="48"/>
      <c r="BI923" s="48"/>
      <c r="BJ923" s="48"/>
      <c r="BK923" s="48"/>
      <c r="BL923" s="48"/>
      <c r="BM923" s="48"/>
      <c r="BN923" s="49"/>
      <c r="BO923" s="48"/>
      <c r="BP923" s="48"/>
      <c r="BQ923" s="50"/>
    </row>
    <row r="924" spans="1:69" ht="16" x14ac:dyDescent="0.35">
      <c r="A924"/>
      <c r="D924"/>
      <c r="G924"/>
      <c r="H924" s="20"/>
      <c r="I924" s="20"/>
      <c r="J924" s="20"/>
      <c r="K924" s="20"/>
      <c r="L924" s="20"/>
      <c r="Q924" s="83"/>
      <c r="Y924" s="20"/>
      <c r="AP924" s="93"/>
      <c r="AQ924" s="31"/>
      <c r="AR924" s="31"/>
      <c r="AS924" s="94"/>
      <c r="AT924" s="31"/>
      <c r="AU924" s="31"/>
      <c r="AV924" s="73" t="s">
        <v>242</v>
      </c>
      <c r="AW924" s="68"/>
      <c r="AX924" s="68"/>
      <c r="AY924" s="68"/>
      <c r="AZ924" s="68"/>
      <c r="BA924" s="68"/>
      <c r="BB924" s="67"/>
      <c r="BC924" s="67"/>
      <c r="BD924" s="67"/>
      <c r="BE924" s="67"/>
      <c r="BF924" s="95">
        <v>0</v>
      </c>
      <c r="BG924" s="52"/>
      <c r="BH924" s="52"/>
      <c r="BI924" s="52"/>
      <c r="BJ924" s="52"/>
      <c r="BK924" s="52"/>
      <c r="BL924" s="52"/>
      <c r="BM924" s="52"/>
      <c r="BN924" s="53"/>
      <c r="BO924" s="52"/>
      <c r="BP924" s="52"/>
      <c r="BQ924" s="54"/>
    </row>
    <row r="925" spans="1:69" ht="16" x14ac:dyDescent="0.35">
      <c r="A925"/>
      <c r="D925"/>
      <c r="G925"/>
      <c r="H925" s="20"/>
      <c r="I925" s="20"/>
      <c r="J925" s="20"/>
      <c r="K925" s="20"/>
      <c r="L925" s="20"/>
      <c r="Q925" s="83"/>
      <c r="Y925" s="20"/>
      <c r="AP925" s="92"/>
      <c r="AQ925" s="67"/>
      <c r="AR925" s="67"/>
      <c r="AS925" s="73"/>
      <c r="AT925" s="67"/>
      <c r="AU925" s="67"/>
      <c r="AV925" s="94" t="s">
        <v>242</v>
      </c>
      <c r="AW925" s="32"/>
      <c r="AX925" s="32"/>
      <c r="AY925" s="32"/>
      <c r="AZ925" s="32"/>
      <c r="BA925" s="32"/>
      <c r="BB925" s="31"/>
      <c r="BC925" s="31"/>
      <c r="BD925" s="31"/>
      <c r="BE925" s="31"/>
      <c r="BF925" s="96">
        <v>0</v>
      </c>
      <c r="BG925" s="48"/>
      <c r="BH925" s="48"/>
      <c r="BI925" s="48"/>
      <c r="BJ925" s="48"/>
      <c r="BK925" s="48"/>
      <c r="BL925" s="48"/>
      <c r="BM925" s="48"/>
      <c r="BN925" s="49"/>
      <c r="BO925" s="48"/>
      <c r="BP925" s="48"/>
      <c r="BQ925" s="50"/>
    </row>
    <row r="926" spans="1:69" ht="16" x14ac:dyDescent="0.35">
      <c r="A926"/>
      <c r="D926"/>
      <c r="G926"/>
      <c r="H926" s="20"/>
      <c r="I926" s="20"/>
      <c r="J926" s="20"/>
      <c r="K926" s="20"/>
      <c r="L926" s="20"/>
      <c r="Q926" s="83"/>
      <c r="Y926" s="20"/>
      <c r="AP926" s="93"/>
      <c r="AQ926" s="31"/>
      <c r="AR926" s="31"/>
      <c r="AS926" s="94"/>
      <c r="AT926" s="31"/>
      <c r="AU926" s="31"/>
      <c r="AV926" s="94"/>
      <c r="AW926" s="32"/>
      <c r="AX926" s="32"/>
      <c r="AY926" s="32"/>
      <c r="AZ926" s="32"/>
      <c r="BA926" s="32"/>
      <c r="BB926" s="31"/>
      <c r="BC926" s="31"/>
      <c r="BD926" s="31"/>
      <c r="BE926" s="31"/>
      <c r="BF926" s="96"/>
      <c r="BG926" s="52"/>
      <c r="BH926" s="52"/>
      <c r="BI926" s="52"/>
      <c r="BJ926" s="52"/>
      <c r="BK926" s="52"/>
      <c r="BL926" s="52"/>
      <c r="BM926" s="52"/>
      <c r="BN926" s="53"/>
      <c r="BO926" s="52"/>
      <c r="BP926" s="52"/>
      <c r="BQ926" s="54"/>
    </row>
    <row r="927" spans="1:69" ht="16" x14ac:dyDescent="0.35">
      <c r="A927"/>
      <c r="D927"/>
      <c r="G927"/>
      <c r="H927" s="20"/>
      <c r="I927" s="20"/>
      <c r="J927" s="20"/>
      <c r="K927" s="20"/>
      <c r="L927" s="20"/>
      <c r="Q927" s="83"/>
      <c r="Y927" s="20"/>
      <c r="AP927" s="92"/>
      <c r="AQ927" s="67"/>
      <c r="AR927" s="67"/>
      <c r="AS927" s="73"/>
      <c r="AT927" s="67"/>
      <c r="AU927" s="67"/>
      <c r="AV927" s="73"/>
      <c r="AW927" s="68"/>
      <c r="AX927" s="68"/>
      <c r="AY927" s="68"/>
      <c r="AZ927" s="68"/>
      <c r="BA927" s="68"/>
      <c r="BB927" s="67"/>
      <c r="BC927" s="67"/>
      <c r="BD927" s="67"/>
      <c r="BE927" s="67"/>
      <c r="BF927" s="95"/>
      <c r="BG927" s="48"/>
      <c r="BH927" s="48"/>
      <c r="BI927" s="48"/>
      <c r="BJ927" s="48"/>
      <c r="BK927" s="48"/>
      <c r="BL927" s="48"/>
      <c r="BM927" s="48"/>
      <c r="BN927" s="49"/>
      <c r="BO927" s="48"/>
      <c r="BP927" s="48"/>
      <c r="BQ927" s="50"/>
    </row>
    <row r="928" spans="1:69" ht="16" x14ac:dyDescent="0.35">
      <c r="A928"/>
      <c r="D928"/>
      <c r="G928"/>
      <c r="H928" s="20"/>
      <c r="I928" s="20"/>
      <c r="J928" s="20"/>
      <c r="K928" s="20"/>
      <c r="L928" s="20"/>
      <c r="Q928" s="83"/>
      <c r="Y928" s="20"/>
      <c r="AP928" s="93"/>
      <c r="AQ928" s="31"/>
      <c r="AR928" s="31"/>
      <c r="AS928" s="94"/>
      <c r="AT928" s="31"/>
      <c r="AU928" s="31"/>
      <c r="AV928" s="94"/>
      <c r="AW928" s="32"/>
      <c r="AX928" s="32"/>
      <c r="AY928" s="32"/>
      <c r="AZ928" s="32"/>
      <c r="BA928" s="32"/>
      <c r="BB928" s="31"/>
      <c r="BC928" s="31"/>
      <c r="BD928" s="31"/>
      <c r="BE928" s="31"/>
      <c r="BF928" s="96"/>
      <c r="BG928" s="52"/>
      <c r="BH928" s="52"/>
      <c r="BI928" s="52"/>
      <c r="BJ928" s="52"/>
      <c r="BK928" s="52"/>
      <c r="BL928" s="52"/>
      <c r="BM928" s="52"/>
      <c r="BN928" s="53"/>
      <c r="BO928" s="52"/>
      <c r="BP928" s="52"/>
      <c r="BQ928" s="54"/>
    </row>
    <row r="929" spans="1:69" ht="16" x14ac:dyDescent="0.35">
      <c r="A929"/>
      <c r="D929"/>
      <c r="G929"/>
      <c r="H929" s="20"/>
      <c r="I929" s="20"/>
      <c r="J929" s="20"/>
      <c r="K929" s="20"/>
      <c r="L929" s="20"/>
      <c r="Q929" s="83"/>
      <c r="Y929" s="20"/>
      <c r="AP929" s="92"/>
      <c r="AQ929" s="67"/>
      <c r="AR929" s="67"/>
      <c r="AS929" s="73"/>
      <c r="AT929" s="67"/>
      <c r="AU929" s="67"/>
      <c r="AV929" s="73"/>
      <c r="AW929" s="68"/>
      <c r="AX929" s="68"/>
      <c r="AY929" s="68"/>
      <c r="AZ929" s="68"/>
      <c r="BA929" s="68"/>
      <c r="BB929" s="67"/>
      <c r="BC929" s="67"/>
      <c r="BD929" s="67"/>
      <c r="BE929" s="67"/>
      <c r="BF929" s="95"/>
      <c r="BG929" s="48"/>
      <c r="BH929" s="48"/>
      <c r="BI929" s="48"/>
      <c r="BJ929" s="48"/>
      <c r="BK929" s="48"/>
      <c r="BL929" s="48"/>
      <c r="BM929" s="48"/>
      <c r="BN929" s="49"/>
      <c r="BO929" s="48"/>
      <c r="BP929" s="48"/>
      <c r="BQ929" s="50"/>
    </row>
    <row r="930" spans="1:69" ht="16" x14ac:dyDescent="0.35">
      <c r="A930"/>
      <c r="D930"/>
      <c r="G930"/>
      <c r="H930" s="20"/>
      <c r="I930" s="20"/>
      <c r="J930" s="20"/>
      <c r="K930" s="20"/>
      <c r="L930" s="20"/>
      <c r="Q930" s="83"/>
      <c r="Y930" s="20"/>
      <c r="AP930" s="93"/>
      <c r="AQ930" s="31"/>
      <c r="AR930" s="31"/>
      <c r="AS930" s="94"/>
      <c r="AT930" s="31"/>
      <c r="AU930" s="31"/>
      <c r="AV930" s="94"/>
      <c r="AW930" s="32"/>
      <c r="AX930" s="32"/>
      <c r="AY930" s="32"/>
      <c r="AZ930" s="32"/>
      <c r="BA930" s="32"/>
      <c r="BB930" s="31"/>
      <c r="BC930" s="31"/>
      <c r="BD930" s="31"/>
      <c r="BE930" s="31"/>
      <c r="BF930" s="96"/>
      <c r="BG930" s="52"/>
      <c r="BH930" s="52"/>
      <c r="BI930" s="52"/>
      <c r="BJ930" s="52"/>
      <c r="BK930" s="52"/>
      <c r="BL930" s="52"/>
      <c r="BM930" s="52"/>
      <c r="BN930" s="53"/>
      <c r="BO930" s="52"/>
      <c r="BP930" s="52"/>
      <c r="BQ930" s="54"/>
    </row>
    <row r="931" spans="1:69" ht="16" x14ac:dyDescent="0.35">
      <c r="A931"/>
      <c r="D931"/>
      <c r="G931"/>
      <c r="H931" s="20"/>
      <c r="I931" s="20"/>
      <c r="J931" s="20"/>
      <c r="K931" s="20"/>
      <c r="L931" s="20"/>
      <c r="Q931" s="83"/>
      <c r="Y931" s="20"/>
      <c r="AP931" s="92"/>
      <c r="AQ931" s="67"/>
      <c r="AR931" s="67"/>
      <c r="AS931" s="73"/>
      <c r="AT931" s="67"/>
      <c r="AU931" s="67"/>
      <c r="AV931" s="73"/>
      <c r="AW931" s="68"/>
      <c r="AX931" s="68"/>
      <c r="AY931" s="68"/>
      <c r="AZ931" s="68"/>
      <c r="BA931" s="68"/>
      <c r="BB931" s="67"/>
      <c r="BC931" s="67"/>
      <c r="BD931" s="67"/>
      <c r="BE931" s="67"/>
      <c r="BF931" s="95"/>
      <c r="BG931" s="48"/>
      <c r="BH931" s="48"/>
      <c r="BI931" s="48"/>
      <c r="BJ931" s="48"/>
      <c r="BK931" s="48"/>
      <c r="BL931" s="48"/>
      <c r="BM931" s="48"/>
      <c r="BN931" s="49"/>
      <c r="BO931" s="48"/>
      <c r="BP931" s="48"/>
      <c r="BQ931" s="50"/>
    </row>
    <row r="932" spans="1:69" ht="16" x14ac:dyDescent="0.35">
      <c r="A932"/>
      <c r="D932"/>
      <c r="G932"/>
      <c r="H932" s="20"/>
      <c r="I932" s="20"/>
      <c r="J932" s="20"/>
      <c r="K932" s="20"/>
      <c r="L932" s="20"/>
      <c r="Q932" s="83"/>
      <c r="Y932" s="20"/>
      <c r="AP932" s="93"/>
      <c r="AQ932" s="31"/>
      <c r="AR932" s="31"/>
      <c r="AS932" s="94"/>
      <c r="AT932" s="31"/>
      <c r="AU932" s="31"/>
      <c r="AV932" s="94"/>
      <c r="AW932" s="32"/>
      <c r="AX932" s="32"/>
      <c r="AY932" s="32"/>
      <c r="AZ932" s="32"/>
      <c r="BA932" s="32"/>
      <c r="BB932" s="31"/>
      <c r="BC932" s="31"/>
      <c r="BD932" s="31"/>
      <c r="BE932" s="31"/>
      <c r="BF932" s="96"/>
      <c r="BG932" s="52"/>
      <c r="BH932" s="52"/>
      <c r="BI932" s="52"/>
      <c r="BJ932" s="52"/>
      <c r="BK932" s="52"/>
      <c r="BL932" s="52"/>
      <c r="BM932" s="52"/>
      <c r="BN932" s="53"/>
      <c r="BO932" s="52"/>
      <c r="BP932" s="52"/>
      <c r="BQ932" s="54"/>
    </row>
    <row r="933" spans="1:69" ht="16" x14ac:dyDescent="0.35">
      <c r="A933"/>
      <c r="D933"/>
      <c r="G933"/>
      <c r="H933" s="20"/>
      <c r="I933" s="20"/>
      <c r="J933" s="20"/>
      <c r="K933" s="20"/>
      <c r="L933" s="20"/>
      <c r="Q933" s="83"/>
      <c r="Y933" s="20"/>
      <c r="AP933" s="92"/>
      <c r="AQ933" s="67"/>
      <c r="AR933" s="67"/>
      <c r="AS933" s="73"/>
      <c r="AT933" s="67"/>
      <c r="AU933" s="67"/>
      <c r="AV933" s="73"/>
      <c r="AW933" s="68"/>
      <c r="AX933" s="68"/>
      <c r="AY933" s="68"/>
      <c r="AZ933" s="68"/>
      <c r="BA933" s="68"/>
      <c r="BB933" s="67"/>
      <c r="BC933" s="67"/>
      <c r="BD933" s="67"/>
      <c r="BE933" s="67"/>
      <c r="BF933" s="95"/>
      <c r="BG933" s="48"/>
      <c r="BH933" s="48"/>
      <c r="BI933" s="48"/>
      <c r="BJ933" s="48"/>
      <c r="BK933" s="48"/>
      <c r="BL933" s="48"/>
      <c r="BM933" s="48"/>
      <c r="BN933" s="49"/>
      <c r="BO933" s="48"/>
      <c r="BP933" s="48"/>
      <c r="BQ933" s="50"/>
    </row>
    <row r="934" spans="1:69" ht="16" x14ac:dyDescent="0.35">
      <c r="A934"/>
      <c r="D934"/>
      <c r="G934"/>
      <c r="H934" s="20"/>
      <c r="I934" s="20"/>
      <c r="J934" s="20"/>
      <c r="K934" s="20"/>
      <c r="L934" s="20"/>
      <c r="Q934" s="83"/>
      <c r="Y934" s="20"/>
      <c r="AP934" s="93"/>
      <c r="AQ934" s="31"/>
      <c r="AR934" s="31"/>
      <c r="AS934" s="94"/>
      <c r="AT934" s="31"/>
      <c r="AU934" s="31"/>
      <c r="AV934" s="94"/>
      <c r="AW934" s="32"/>
      <c r="AX934" s="32"/>
      <c r="AY934" s="32"/>
      <c r="AZ934" s="32"/>
      <c r="BA934" s="32"/>
      <c r="BB934" s="31"/>
      <c r="BC934" s="31"/>
      <c r="BD934" s="31"/>
      <c r="BE934" s="31"/>
      <c r="BF934" s="96"/>
      <c r="BG934" s="52"/>
      <c r="BH934" s="52"/>
      <c r="BI934" s="52"/>
      <c r="BJ934" s="52"/>
      <c r="BK934" s="52"/>
      <c r="BL934" s="52"/>
      <c r="BM934" s="52"/>
      <c r="BN934" s="53"/>
      <c r="BO934" s="52"/>
      <c r="BP934" s="52"/>
      <c r="BQ934" s="54"/>
    </row>
    <row r="935" spans="1:69" ht="16" x14ac:dyDescent="0.35">
      <c r="A935"/>
      <c r="D935"/>
      <c r="G935"/>
      <c r="H935" s="20"/>
      <c r="I935" s="20"/>
      <c r="J935" s="20"/>
      <c r="K935" s="20"/>
      <c r="L935" s="20"/>
      <c r="Q935" s="83"/>
      <c r="Y935" s="20"/>
      <c r="AP935" s="92"/>
      <c r="AQ935" s="67"/>
      <c r="AR935" s="67"/>
      <c r="AS935" s="73"/>
      <c r="AT935" s="67"/>
      <c r="AU935" s="67"/>
      <c r="AV935" s="73"/>
      <c r="AW935" s="68"/>
      <c r="AX935" s="68"/>
      <c r="AY935" s="68"/>
      <c r="AZ935" s="68"/>
      <c r="BA935" s="68"/>
      <c r="BB935" s="67"/>
      <c r="BC935" s="67"/>
      <c r="BD935" s="67"/>
      <c r="BE935" s="67"/>
      <c r="BF935" s="95"/>
      <c r="BG935" s="48"/>
      <c r="BH935" s="48"/>
      <c r="BI935" s="48"/>
      <c r="BJ935" s="48"/>
      <c r="BK935" s="48"/>
      <c r="BL935" s="48"/>
      <c r="BM935" s="48"/>
      <c r="BN935" s="49"/>
      <c r="BO935" s="48"/>
      <c r="BP935" s="48"/>
      <c r="BQ935" s="50"/>
    </row>
    <row r="936" spans="1:69" ht="16" x14ac:dyDescent="0.35">
      <c r="A936"/>
      <c r="D936"/>
      <c r="G936"/>
      <c r="H936" s="20"/>
      <c r="I936" s="20"/>
      <c r="J936" s="20"/>
      <c r="K936" s="20"/>
      <c r="L936" s="20"/>
      <c r="Q936" s="83"/>
      <c r="Y936" s="20"/>
      <c r="AP936" s="93"/>
      <c r="AQ936" s="31"/>
      <c r="AR936" s="31"/>
      <c r="AS936" s="94"/>
      <c r="AT936" s="31"/>
      <c r="AU936" s="31"/>
      <c r="AV936" s="94"/>
      <c r="AW936" s="32"/>
      <c r="AX936" s="32"/>
      <c r="AY936" s="32"/>
      <c r="AZ936" s="32"/>
      <c r="BA936" s="32"/>
      <c r="BB936" s="31"/>
      <c r="BC936" s="31"/>
      <c r="BD936" s="31"/>
      <c r="BE936" s="31"/>
      <c r="BF936" s="96"/>
      <c r="BG936" s="52"/>
      <c r="BH936" s="52"/>
      <c r="BI936" s="52"/>
      <c r="BJ936" s="52"/>
      <c r="BK936" s="52"/>
      <c r="BL936" s="52"/>
      <c r="BM936" s="52"/>
      <c r="BN936" s="53"/>
      <c r="BO936" s="52"/>
      <c r="BP936" s="52"/>
      <c r="BQ936" s="54"/>
    </row>
    <row r="937" spans="1:69" ht="16" x14ac:dyDescent="0.35">
      <c r="A937"/>
      <c r="D937"/>
      <c r="G937"/>
      <c r="H937" s="20"/>
      <c r="I937" s="20"/>
      <c r="J937" s="20"/>
      <c r="K937" s="20"/>
      <c r="L937" s="20"/>
      <c r="Q937" s="83"/>
      <c r="Y937" s="20"/>
      <c r="AP937" s="92"/>
      <c r="AQ937" s="67"/>
      <c r="AR937" s="67"/>
      <c r="AS937" s="73"/>
      <c r="AT937" s="67"/>
      <c r="AU937" s="67"/>
      <c r="AV937" s="73"/>
      <c r="AW937" s="68"/>
      <c r="AX937" s="68"/>
      <c r="AY937" s="68"/>
      <c r="AZ937" s="68"/>
      <c r="BA937" s="68"/>
      <c r="BB937" s="67"/>
      <c r="BC937" s="67"/>
      <c r="BD937" s="67"/>
      <c r="BE937" s="67"/>
      <c r="BF937" s="95"/>
      <c r="BG937" s="48"/>
      <c r="BH937" s="48"/>
      <c r="BI937" s="48"/>
      <c r="BJ937" s="48"/>
      <c r="BK937" s="48"/>
      <c r="BL937" s="48"/>
      <c r="BM937" s="48"/>
      <c r="BN937" s="49"/>
      <c r="BO937" s="48"/>
      <c r="BP937" s="48"/>
      <c r="BQ937" s="50"/>
    </row>
    <row r="938" spans="1:69" ht="16" x14ac:dyDescent="0.35">
      <c r="A938"/>
      <c r="D938"/>
      <c r="G938"/>
      <c r="H938" s="20"/>
      <c r="I938" s="20"/>
      <c r="J938" s="20"/>
      <c r="K938" s="20"/>
      <c r="L938" s="20"/>
      <c r="Q938" s="83"/>
      <c r="Y938" s="20"/>
      <c r="AP938" s="93"/>
      <c r="AQ938" s="31"/>
      <c r="AR938" s="31"/>
      <c r="AS938" s="94"/>
      <c r="AT938" s="31"/>
      <c r="AU938" s="31"/>
      <c r="AV938" s="94"/>
      <c r="AW938" s="32"/>
      <c r="AX938" s="32"/>
      <c r="AY938" s="32"/>
      <c r="AZ938" s="32"/>
      <c r="BA938" s="32"/>
      <c r="BB938" s="31"/>
      <c r="BC938" s="31"/>
      <c r="BD938" s="31"/>
      <c r="BE938" s="31"/>
      <c r="BF938" s="96"/>
      <c r="BG938" s="52"/>
      <c r="BH938" s="52"/>
      <c r="BI938" s="52"/>
      <c r="BJ938" s="52"/>
      <c r="BK938" s="52"/>
      <c r="BL938" s="52"/>
      <c r="BM938" s="52"/>
      <c r="BN938" s="53"/>
      <c r="BO938" s="52"/>
      <c r="BP938" s="52"/>
      <c r="BQ938" s="54"/>
    </row>
    <row r="939" spans="1:69" ht="16" x14ac:dyDescent="0.35">
      <c r="A939"/>
      <c r="D939"/>
      <c r="G939"/>
      <c r="H939" s="20"/>
      <c r="I939" s="20"/>
      <c r="J939" s="20"/>
      <c r="K939" s="20"/>
      <c r="L939" s="20"/>
      <c r="Q939" s="83"/>
      <c r="Y939" s="20"/>
      <c r="AP939" s="92"/>
      <c r="AQ939" s="67"/>
      <c r="AR939" s="67"/>
      <c r="AS939" s="73"/>
      <c r="AT939" s="67"/>
      <c r="AU939" s="67"/>
      <c r="AV939" s="73"/>
      <c r="AW939" s="68"/>
      <c r="AX939" s="68"/>
      <c r="AY939" s="68"/>
      <c r="AZ939" s="68"/>
      <c r="BA939" s="68"/>
      <c r="BB939" s="67"/>
      <c r="BC939" s="67"/>
      <c r="BD939" s="67"/>
      <c r="BE939" s="67"/>
      <c r="BF939" s="95"/>
      <c r="BG939" s="48"/>
      <c r="BH939" s="48"/>
      <c r="BI939" s="48"/>
      <c r="BJ939" s="48"/>
      <c r="BK939" s="48"/>
      <c r="BL939" s="48"/>
      <c r="BM939" s="48"/>
      <c r="BN939" s="49"/>
      <c r="BO939" s="48"/>
      <c r="BP939" s="48"/>
      <c r="BQ939" s="50"/>
    </row>
    <row r="940" spans="1:69" ht="16" x14ac:dyDescent="0.35">
      <c r="A940"/>
      <c r="D940"/>
      <c r="G940"/>
      <c r="H940" s="20"/>
      <c r="I940" s="20"/>
      <c r="J940" s="20"/>
      <c r="K940" s="20"/>
      <c r="L940" s="20"/>
      <c r="Q940" s="83"/>
      <c r="Y940" s="20"/>
      <c r="AP940" s="93"/>
      <c r="AQ940" s="31"/>
      <c r="AR940" s="31"/>
      <c r="AS940" s="94"/>
      <c r="AT940" s="31"/>
      <c r="AU940" s="31"/>
      <c r="AV940" s="94"/>
      <c r="AW940" s="32"/>
      <c r="AX940" s="32"/>
      <c r="AY940" s="32"/>
      <c r="AZ940" s="32"/>
      <c r="BA940" s="32"/>
      <c r="BB940" s="31"/>
      <c r="BC940" s="31"/>
      <c r="BD940" s="31"/>
      <c r="BE940" s="31"/>
      <c r="BF940" s="96"/>
      <c r="BG940" s="52"/>
      <c r="BH940" s="52"/>
      <c r="BI940" s="52"/>
      <c r="BJ940" s="52"/>
      <c r="BK940" s="52"/>
      <c r="BL940" s="52"/>
      <c r="BM940" s="52"/>
      <c r="BN940" s="53"/>
      <c r="BO940" s="52"/>
      <c r="BP940" s="52"/>
      <c r="BQ940" s="54"/>
    </row>
    <row r="941" spans="1:69" ht="16" x14ac:dyDescent="0.35">
      <c r="A941"/>
      <c r="D941"/>
      <c r="G941"/>
      <c r="H941" s="20"/>
      <c r="I941" s="20"/>
      <c r="J941" s="20"/>
      <c r="K941" s="20"/>
      <c r="L941" s="20"/>
      <c r="Q941" s="83"/>
      <c r="Y941" s="20"/>
      <c r="AP941" s="92"/>
      <c r="AQ941" s="67"/>
      <c r="AR941" s="67"/>
      <c r="AS941" s="73"/>
      <c r="AT941" s="67"/>
      <c r="AU941" s="67"/>
      <c r="AV941" s="73"/>
      <c r="AW941" s="68"/>
      <c r="AX941" s="68"/>
      <c r="AY941" s="68"/>
      <c r="AZ941" s="68"/>
      <c r="BA941" s="68"/>
      <c r="BB941" s="67"/>
      <c r="BC941" s="67"/>
      <c r="BD941" s="67"/>
      <c r="BE941" s="67"/>
      <c r="BF941" s="95"/>
      <c r="BG941" s="48"/>
      <c r="BH941" s="48"/>
      <c r="BI941" s="48"/>
      <c r="BJ941" s="48"/>
      <c r="BK941" s="48"/>
      <c r="BL941" s="48"/>
      <c r="BM941" s="48"/>
      <c r="BN941" s="49"/>
      <c r="BO941" s="48"/>
      <c r="BP941" s="48"/>
      <c r="BQ941" s="50"/>
    </row>
    <row r="942" spans="1:69" ht="16" x14ac:dyDescent="0.35">
      <c r="A942"/>
      <c r="D942"/>
      <c r="G942"/>
      <c r="H942" s="20"/>
      <c r="I942" s="20"/>
      <c r="J942" s="20"/>
      <c r="K942" s="20"/>
      <c r="L942" s="20"/>
      <c r="Q942" s="83"/>
      <c r="Y942" s="20"/>
      <c r="AP942" s="93"/>
      <c r="AQ942" s="31"/>
      <c r="AR942" s="31"/>
      <c r="AS942" s="94"/>
      <c r="AT942" s="31"/>
      <c r="AU942" s="31"/>
      <c r="AV942" s="94"/>
      <c r="AW942" s="32"/>
      <c r="AX942" s="32"/>
      <c r="AY942" s="32"/>
      <c r="AZ942" s="32"/>
      <c r="BA942" s="32"/>
      <c r="BB942" s="31"/>
      <c r="BC942" s="31"/>
      <c r="BD942" s="31"/>
      <c r="BE942" s="31"/>
      <c r="BF942" s="96"/>
      <c r="BG942" s="52"/>
      <c r="BH942" s="52"/>
      <c r="BI942" s="52"/>
      <c r="BJ942" s="52"/>
      <c r="BK942" s="52"/>
      <c r="BL942" s="52"/>
      <c r="BM942" s="52"/>
      <c r="BN942" s="53"/>
      <c r="BO942" s="52"/>
      <c r="BP942" s="52"/>
      <c r="BQ942" s="54"/>
    </row>
    <row r="943" spans="1:69" ht="16" x14ac:dyDescent="0.35">
      <c r="A943"/>
      <c r="D943"/>
      <c r="G943"/>
      <c r="H943" s="20"/>
      <c r="I943" s="20"/>
      <c r="J943" s="20"/>
      <c r="K943" s="20"/>
      <c r="L943" s="20"/>
      <c r="Q943" s="83"/>
      <c r="Y943" s="20"/>
      <c r="AP943" s="92"/>
      <c r="AQ943" s="67"/>
      <c r="AR943" s="67"/>
      <c r="AS943" s="73"/>
      <c r="AT943" s="67"/>
      <c r="AU943" s="67"/>
      <c r="AV943" s="73"/>
      <c r="AW943" s="68"/>
      <c r="AX943" s="68"/>
      <c r="AY943" s="68"/>
      <c r="AZ943" s="68"/>
      <c r="BA943" s="68"/>
      <c r="BB943" s="67"/>
      <c r="BC943" s="67"/>
      <c r="BD943" s="67"/>
      <c r="BE943" s="67"/>
      <c r="BF943" s="95"/>
      <c r="BG943" s="48"/>
      <c r="BH943" s="48"/>
      <c r="BI943" s="48"/>
      <c r="BJ943" s="48"/>
      <c r="BK943" s="48"/>
      <c r="BL943" s="48"/>
      <c r="BM943" s="48"/>
      <c r="BN943" s="49"/>
      <c r="BO943" s="48"/>
      <c r="BP943" s="48"/>
      <c r="BQ943" s="50"/>
    </row>
    <row r="944" spans="1:69" ht="16" x14ac:dyDescent="0.35">
      <c r="A944"/>
      <c r="D944"/>
      <c r="G944"/>
      <c r="H944" s="20"/>
      <c r="I944" s="20"/>
      <c r="J944" s="20"/>
      <c r="K944" s="20"/>
      <c r="L944" s="20"/>
      <c r="Q944" s="83"/>
      <c r="Y944" s="20"/>
      <c r="AP944" s="93"/>
      <c r="AQ944" s="31"/>
      <c r="AR944" s="31"/>
      <c r="AS944" s="94"/>
      <c r="AT944" s="31"/>
      <c r="AU944" s="31"/>
      <c r="AV944" s="94"/>
      <c r="AW944" s="32"/>
      <c r="AX944" s="32"/>
      <c r="AY944" s="32"/>
      <c r="AZ944" s="32"/>
      <c r="BA944" s="32"/>
      <c r="BB944" s="31"/>
      <c r="BC944" s="31"/>
      <c r="BD944" s="31"/>
      <c r="BE944" s="31"/>
      <c r="BF944" s="96"/>
      <c r="BG944" s="52"/>
      <c r="BH944" s="52"/>
      <c r="BI944" s="52"/>
      <c r="BJ944" s="52"/>
      <c r="BK944" s="52"/>
      <c r="BL944" s="52"/>
      <c r="BM944" s="52"/>
      <c r="BN944" s="53"/>
      <c r="BO944" s="52"/>
      <c r="BP944" s="52"/>
      <c r="BQ944" s="54"/>
    </row>
    <row r="945" spans="1:69" ht="16" x14ac:dyDescent="0.35">
      <c r="A945"/>
      <c r="D945"/>
      <c r="G945"/>
      <c r="H945" s="20"/>
      <c r="I945" s="20"/>
      <c r="J945" s="20"/>
      <c r="K945" s="20"/>
      <c r="L945" s="20"/>
      <c r="Q945" s="83"/>
      <c r="Y945" s="20"/>
      <c r="AP945" s="92"/>
      <c r="AQ945" s="67"/>
      <c r="AR945" s="67"/>
      <c r="AS945" s="73"/>
      <c r="AT945" s="67"/>
      <c r="AU945" s="67"/>
      <c r="AV945" s="73"/>
      <c r="AW945" s="68"/>
      <c r="AX945" s="68"/>
      <c r="AY945" s="68"/>
      <c r="AZ945" s="68"/>
      <c r="BA945" s="68"/>
      <c r="BB945" s="67"/>
      <c r="BC945" s="67"/>
      <c r="BD945" s="67"/>
      <c r="BE945" s="67"/>
      <c r="BF945" s="95"/>
      <c r="BG945" s="48"/>
      <c r="BH945" s="48"/>
      <c r="BI945" s="48"/>
      <c r="BJ945" s="48"/>
      <c r="BK945" s="48"/>
      <c r="BL945" s="48"/>
      <c r="BM945" s="48"/>
      <c r="BN945" s="49"/>
      <c r="BO945" s="48"/>
      <c r="BP945" s="48"/>
      <c r="BQ945" s="50"/>
    </row>
    <row r="946" spans="1:69" ht="16" x14ac:dyDescent="0.35">
      <c r="A946"/>
      <c r="D946"/>
      <c r="G946"/>
      <c r="H946" s="20"/>
      <c r="I946" s="20"/>
      <c r="J946" s="20"/>
      <c r="K946" s="20"/>
      <c r="L946" s="20"/>
      <c r="Q946" s="83"/>
      <c r="Y946" s="20"/>
      <c r="AP946" s="93"/>
      <c r="AQ946" s="31"/>
      <c r="AR946" s="31"/>
      <c r="AS946" s="94"/>
      <c r="AT946" s="31"/>
      <c r="AU946" s="31"/>
      <c r="AV946" s="94"/>
      <c r="AW946" s="32"/>
      <c r="AX946" s="32"/>
      <c r="AY946" s="32"/>
      <c r="AZ946" s="32"/>
      <c r="BA946" s="32"/>
      <c r="BB946" s="31"/>
      <c r="BC946" s="31"/>
      <c r="BD946" s="31"/>
      <c r="BE946" s="31"/>
      <c r="BF946" s="96"/>
      <c r="BG946" s="52"/>
      <c r="BH946" s="52"/>
      <c r="BI946" s="52"/>
      <c r="BJ946" s="52"/>
      <c r="BK946" s="52"/>
      <c r="BL946" s="52"/>
      <c r="BM946" s="52"/>
      <c r="BN946" s="53"/>
      <c r="BO946" s="52"/>
      <c r="BP946" s="52"/>
      <c r="BQ946" s="54"/>
    </row>
    <row r="947" spans="1:69" ht="16" x14ac:dyDescent="0.35">
      <c r="A947"/>
      <c r="D947"/>
      <c r="G947"/>
      <c r="H947" s="20"/>
      <c r="I947" s="20"/>
      <c r="J947" s="20"/>
      <c r="K947" s="20"/>
      <c r="L947" s="20"/>
      <c r="Q947" s="83"/>
      <c r="Y947" s="20"/>
      <c r="AP947" s="92"/>
      <c r="AQ947" s="67"/>
      <c r="AR947" s="67"/>
      <c r="AS947" s="73"/>
      <c r="AT947" s="67"/>
      <c r="AU947" s="67"/>
      <c r="AV947" s="73"/>
      <c r="AW947" s="68"/>
      <c r="AX947" s="68"/>
      <c r="AY947" s="68"/>
      <c r="AZ947" s="68"/>
      <c r="BA947" s="68"/>
      <c r="BB947" s="67"/>
      <c r="BC947" s="67"/>
      <c r="BD947" s="67"/>
      <c r="BE947" s="67"/>
      <c r="BF947" s="95"/>
      <c r="BG947" s="48"/>
      <c r="BH947" s="48"/>
      <c r="BI947" s="48"/>
      <c r="BJ947" s="48"/>
      <c r="BK947" s="48"/>
      <c r="BL947" s="48"/>
      <c r="BM947" s="48"/>
      <c r="BN947" s="49"/>
      <c r="BO947" s="48"/>
      <c r="BP947" s="48"/>
      <c r="BQ947" s="50"/>
    </row>
    <row r="948" spans="1:69" ht="16" x14ac:dyDescent="0.35">
      <c r="A948"/>
      <c r="D948"/>
      <c r="G948"/>
      <c r="H948" s="20"/>
      <c r="I948" s="20"/>
      <c r="J948" s="20"/>
      <c r="K948" s="20"/>
      <c r="L948" s="20"/>
      <c r="Q948" s="83"/>
      <c r="Y948" s="20"/>
      <c r="AP948" s="93"/>
      <c r="AQ948" s="31"/>
      <c r="AR948" s="31"/>
      <c r="AS948" s="94"/>
      <c r="AT948" s="31"/>
      <c r="AU948" s="31"/>
      <c r="AV948" s="94"/>
      <c r="AW948" s="32"/>
      <c r="AX948" s="32"/>
      <c r="AY948" s="32"/>
      <c r="AZ948" s="32"/>
      <c r="BA948" s="32"/>
      <c r="BB948" s="31"/>
      <c r="BC948" s="31"/>
      <c r="BD948" s="31"/>
      <c r="BE948" s="31"/>
      <c r="BF948" s="96"/>
      <c r="BG948" s="52"/>
      <c r="BH948" s="52"/>
      <c r="BI948" s="52"/>
      <c r="BJ948" s="52"/>
      <c r="BK948" s="52"/>
      <c r="BL948" s="52"/>
      <c r="BM948" s="52"/>
      <c r="BN948" s="53"/>
      <c r="BO948" s="52"/>
      <c r="BP948" s="52"/>
      <c r="BQ948" s="54"/>
    </row>
    <row r="949" spans="1:69" ht="16" x14ac:dyDescent="0.35">
      <c r="A949"/>
      <c r="D949"/>
      <c r="G949"/>
      <c r="H949" s="20"/>
      <c r="I949" s="20"/>
      <c r="J949" s="20"/>
      <c r="K949" s="20"/>
      <c r="L949" s="20"/>
      <c r="Q949" s="83"/>
      <c r="Y949" s="20"/>
      <c r="AP949" s="92"/>
      <c r="AQ949" s="67"/>
      <c r="AR949" s="67"/>
      <c r="AS949" s="73"/>
      <c r="AT949" s="67"/>
      <c r="AU949" s="67"/>
      <c r="AV949" s="73"/>
      <c r="AW949" s="68"/>
      <c r="AX949" s="68"/>
      <c r="AY949" s="68"/>
      <c r="AZ949" s="68"/>
      <c r="BA949" s="68"/>
      <c r="BB949" s="67"/>
      <c r="BC949" s="67"/>
      <c r="BD949" s="67"/>
      <c r="BE949" s="67"/>
      <c r="BF949" s="95"/>
      <c r="BG949" s="48"/>
      <c r="BH949" s="48"/>
      <c r="BI949" s="48"/>
      <c r="BJ949" s="48"/>
      <c r="BK949" s="48"/>
      <c r="BL949" s="48"/>
      <c r="BM949" s="48"/>
      <c r="BN949" s="49"/>
      <c r="BO949" s="48"/>
      <c r="BP949" s="48"/>
      <c r="BQ949" s="50"/>
    </row>
    <row r="950" spans="1:69" ht="16" x14ac:dyDescent="0.35">
      <c r="A950"/>
      <c r="D950"/>
      <c r="G950"/>
      <c r="H950" s="20"/>
      <c r="I950" s="20"/>
      <c r="J950" s="20"/>
      <c r="K950" s="20"/>
      <c r="L950" s="20"/>
      <c r="Q950" s="83"/>
      <c r="Y950" s="20"/>
      <c r="AP950" s="93"/>
      <c r="AQ950" s="31"/>
      <c r="AR950" s="31"/>
      <c r="AS950" s="94"/>
      <c r="AT950" s="31"/>
      <c r="AU950" s="31"/>
      <c r="AV950" s="94"/>
      <c r="AW950" s="32"/>
      <c r="AX950" s="32"/>
      <c r="AY950" s="32"/>
      <c r="AZ950" s="32"/>
      <c r="BA950" s="32"/>
      <c r="BB950" s="31"/>
      <c r="BC950" s="31"/>
      <c r="BD950" s="31"/>
      <c r="BE950" s="31"/>
      <c r="BF950" s="96"/>
      <c r="BG950" s="52"/>
      <c r="BH950" s="52"/>
      <c r="BI950" s="52"/>
      <c r="BJ950" s="52"/>
      <c r="BK950" s="52"/>
      <c r="BL950" s="52"/>
      <c r="BM950" s="52"/>
      <c r="BN950" s="53"/>
      <c r="BO950" s="52"/>
      <c r="BP950" s="52"/>
      <c r="BQ950" s="54"/>
    </row>
    <row r="951" spans="1:69" ht="16" x14ac:dyDescent="0.35">
      <c r="A951"/>
      <c r="D951"/>
      <c r="G951"/>
      <c r="H951" s="20"/>
      <c r="I951" s="20"/>
      <c r="J951" s="20"/>
      <c r="K951" s="20"/>
      <c r="L951" s="20"/>
      <c r="Q951" s="83"/>
      <c r="Y951" s="20"/>
      <c r="AP951" s="92"/>
      <c r="AQ951" s="67"/>
      <c r="AR951" s="67"/>
      <c r="AS951" s="73"/>
      <c r="AT951" s="67"/>
      <c r="AU951" s="67"/>
      <c r="AV951" s="73"/>
      <c r="AW951" s="68"/>
      <c r="AX951" s="68"/>
      <c r="AY951" s="68"/>
      <c r="AZ951" s="68"/>
      <c r="BA951" s="68"/>
      <c r="BB951" s="67"/>
      <c r="BC951" s="67"/>
      <c r="BD951" s="67"/>
      <c r="BE951" s="67"/>
      <c r="BF951" s="95"/>
      <c r="BG951" s="48"/>
      <c r="BH951" s="48"/>
      <c r="BI951" s="48"/>
      <c r="BJ951" s="48"/>
      <c r="BK951" s="48"/>
      <c r="BL951" s="48"/>
      <c r="BM951" s="48"/>
      <c r="BN951" s="49"/>
      <c r="BO951" s="48"/>
      <c r="BP951" s="48"/>
      <c r="BQ951" s="50"/>
    </row>
    <row r="952" spans="1:69" ht="16" x14ac:dyDescent="0.35">
      <c r="A952"/>
      <c r="D952"/>
      <c r="G952"/>
      <c r="H952" s="20"/>
      <c r="I952" s="20"/>
      <c r="J952" s="20"/>
      <c r="K952" s="20"/>
      <c r="L952" s="20"/>
      <c r="Q952" s="83"/>
      <c r="Y952" s="20"/>
      <c r="AP952" s="93"/>
      <c r="AQ952" s="31"/>
      <c r="AR952" s="31"/>
      <c r="AS952" s="94"/>
      <c r="AT952" s="31"/>
      <c r="AU952" s="31"/>
      <c r="AV952" s="94"/>
      <c r="AW952" s="32"/>
      <c r="AX952" s="32"/>
      <c r="AY952" s="32"/>
      <c r="AZ952" s="32"/>
      <c r="BA952" s="32"/>
      <c r="BB952" s="31"/>
      <c r="BC952" s="31"/>
      <c r="BD952" s="31"/>
      <c r="BE952" s="31"/>
      <c r="BF952" s="96"/>
      <c r="BG952" s="52"/>
      <c r="BH952" s="52"/>
      <c r="BI952" s="52"/>
      <c r="BJ952" s="52"/>
      <c r="BK952" s="52"/>
      <c r="BL952" s="52"/>
      <c r="BM952" s="52"/>
      <c r="BN952" s="53"/>
      <c r="BO952" s="52"/>
      <c r="BP952" s="52"/>
      <c r="BQ952" s="54"/>
    </row>
    <row r="953" spans="1:69" ht="16" x14ac:dyDescent="0.35">
      <c r="A953"/>
      <c r="D953"/>
      <c r="G953"/>
      <c r="H953" s="20"/>
      <c r="I953" s="20"/>
      <c r="J953" s="20"/>
      <c r="K953" s="20"/>
      <c r="L953" s="20"/>
      <c r="Q953" s="83"/>
      <c r="Y953" s="20"/>
      <c r="AP953" s="92"/>
      <c r="AQ953" s="67"/>
      <c r="AR953" s="67"/>
      <c r="AS953" s="73"/>
      <c r="AT953" s="67"/>
      <c r="AU953" s="67"/>
      <c r="AV953" s="73"/>
      <c r="AW953" s="68"/>
      <c r="AX953" s="68"/>
      <c r="AY953" s="68"/>
      <c r="AZ953" s="68"/>
      <c r="BA953" s="68"/>
      <c r="BB953" s="67"/>
      <c r="BC953" s="67"/>
      <c r="BD953" s="67"/>
      <c r="BE953" s="67"/>
      <c r="BF953" s="95"/>
      <c r="BG953" s="48"/>
      <c r="BH953" s="48"/>
      <c r="BI953" s="48"/>
      <c r="BJ953" s="48"/>
      <c r="BK953" s="48"/>
      <c r="BL953" s="48"/>
      <c r="BM953" s="48"/>
      <c r="BN953" s="49"/>
      <c r="BO953" s="48"/>
      <c r="BP953" s="48"/>
      <c r="BQ953" s="50"/>
    </row>
    <row r="954" spans="1:69" ht="16" x14ac:dyDescent="0.35">
      <c r="A954"/>
      <c r="D954"/>
      <c r="G954"/>
      <c r="H954" s="20"/>
      <c r="I954" s="20"/>
      <c r="J954" s="20"/>
      <c r="K954" s="20"/>
      <c r="L954" s="20"/>
      <c r="Q954" s="83"/>
      <c r="Y954" s="20"/>
      <c r="AP954" s="93"/>
      <c r="AQ954" s="31"/>
      <c r="AR954" s="31"/>
      <c r="AS954" s="94"/>
      <c r="AT954" s="31"/>
      <c r="AU954" s="31"/>
      <c r="AV954" s="94"/>
      <c r="AW954" s="32"/>
      <c r="AX954" s="32"/>
      <c r="AY954" s="32"/>
      <c r="AZ954" s="32"/>
      <c r="BA954" s="32"/>
      <c r="BB954" s="31"/>
      <c r="BC954" s="31"/>
      <c r="BD954" s="31"/>
      <c r="BE954" s="31"/>
      <c r="BF954" s="96"/>
      <c r="BG954" s="52"/>
      <c r="BH954" s="52"/>
      <c r="BI954" s="52"/>
      <c r="BJ954" s="52"/>
      <c r="BK954" s="52"/>
      <c r="BL954" s="52"/>
      <c r="BM954" s="52"/>
      <c r="BN954" s="53"/>
      <c r="BO954" s="52"/>
      <c r="BP954" s="52"/>
      <c r="BQ954" s="54"/>
    </row>
    <row r="955" spans="1:69" ht="16" x14ac:dyDescent="0.35">
      <c r="A955"/>
      <c r="D955"/>
      <c r="G955"/>
      <c r="H955" s="20"/>
      <c r="I955" s="20"/>
      <c r="J955" s="20"/>
      <c r="K955" s="20"/>
      <c r="L955" s="20"/>
      <c r="Q955" s="83"/>
      <c r="Y955" s="20"/>
      <c r="AP955" s="92"/>
      <c r="AQ955" s="67"/>
      <c r="AR955" s="67"/>
      <c r="AS955" s="73"/>
      <c r="AT955" s="67"/>
      <c r="AU955" s="67"/>
      <c r="AV955" s="73"/>
      <c r="AW955" s="68"/>
      <c r="AX955" s="68"/>
      <c r="AY955" s="68"/>
      <c r="AZ955" s="68"/>
      <c r="BA955" s="68"/>
      <c r="BB955" s="67"/>
      <c r="BC955" s="67"/>
      <c r="BD955" s="67"/>
      <c r="BE955" s="67"/>
      <c r="BF955" s="95"/>
      <c r="BG955" s="48"/>
      <c r="BH955" s="48"/>
      <c r="BI955" s="48"/>
      <c r="BJ955" s="48"/>
      <c r="BK955" s="48"/>
      <c r="BL955" s="48"/>
      <c r="BM955" s="48"/>
      <c r="BN955" s="49"/>
      <c r="BO955" s="48"/>
      <c r="BP955" s="48"/>
      <c r="BQ955" s="50"/>
    </row>
    <row r="956" spans="1:69" ht="16" x14ac:dyDescent="0.35">
      <c r="A956"/>
      <c r="D956"/>
      <c r="G956"/>
      <c r="H956" s="20"/>
      <c r="I956" s="20"/>
      <c r="J956" s="20"/>
      <c r="K956" s="20"/>
      <c r="L956" s="20"/>
      <c r="Q956" s="83"/>
      <c r="Y956" s="20"/>
      <c r="AP956" s="93"/>
      <c r="AQ956" s="31"/>
      <c r="AR956" s="31"/>
      <c r="AS956" s="94"/>
      <c r="AT956" s="31"/>
      <c r="AU956" s="31"/>
      <c r="AV956" s="94"/>
      <c r="AW956" s="32"/>
      <c r="AX956" s="32"/>
      <c r="AY956" s="32"/>
      <c r="AZ956" s="32"/>
      <c r="BA956" s="32"/>
      <c r="BB956" s="31"/>
      <c r="BC956" s="31"/>
      <c r="BD956" s="31"/>
      <c r="BE956" s="31"/>
      <c r="BF956" s="96"/>
      <c r="BG956" s="52"/>
      <c r="BH956" s="52"/>
      <c r="BI956" s="52"/>
      <c r="BJ956" s="52"/>
      <c r="BK956" s="52"/>
      <c r="BL956" s="52"/>
      <c r="BM956" s="52"/>
      <c r="BN956" s="53"/>
      <c r="BO956" s="52"/>
      <c r="BP956" s="52"/>
      <c r="BQ956" s="54"/>
    </row>
    <row r="957" spans="1:69" ht="16" x14ac:dyDescent="0.35">
      <c r="A957"/>
      <c r="D957"/>
      <c r="G957"/>
      <c r="H957" s="20"/>
      <c r="I957" s="20"/>
      <c r="J957" s="20"/>
      <c r="K957" s="20"/>
      <c r="L957" s="20"/>
      <c r="Q957" s="83"/>
      <c r="Y957" s="20"/>
      <c r="AP957" s="92"/>
      <c r="AQ957" s="67"/>
      <c r="AR957" s="67"/>
      <c r="AS957" s="73"/>
      <c r="AT957" s="67"/>
      <c r="AU957" s="67"/>
      <c r="AV957" s="73"/>
      <c r="AW957" s="68"/>
      <c r="AX957" s="68"/>
      <c r="AY957" s="68"/>
      <c r="AZ957" s="68"/>
      <c r="BA957" s="68"/>
      <c r="BB957" s="67"/>
      <c r="BC957" s="67"/>
      <c r="BD957" s="67"/>
      <c r="BE957" s="67"/>
      <c r="BF957" s="95"/>
      <c r="BG957" s="48"/>
      <c r="BH957" s="48"/>
      <c r="BI957" s="48"/>
      <c r="BJ957" s="48"/>
      <c r="BK957" s="48"/>
      <c r="BL957" s="48"/>
      <c r="BM957" s="48"/>
      <c r="BN957" s="49"/>
      <c r="BO957" s="48"/>
      <c r="BP957" s="48"/>
      <c r="BQ957" s="50"/>
    </row>
    <row r="958" spans="1:69" ht="16" x14ac:dyDescent="0.35">
      <c r="A958"/>
      <c r="D958"/>
      <c r="G958"/>
      <c r="H958" s="20"/>
      <c r="I958" s="20"/>
      <c r="J958" s="20"/>
      <c r="K958" s="20"/>
      <c r="L958" s="20"/>
      <c r="Q958" s="83"/>
      <c r="Y958" s="20"/>
      <c r="AP958" s="93"/>
      <c r="AQ958" s="31"/>
      <c r="AR958" s="31"/>
      <c r="AS958" s="94"/>
      <c r="AT958" s="31"/>
      <c r="AU958" s="31"/>
      <c r="AV958" s="94"/>
      <c r="AW958" s="32"/>
      <c r="AX958" s="32"/>
      <c r="AY958" s="32"/>
      <c r="AZ958" s="32"/>
      <c r="BA958" s="32"/>
      <c r="BB958" s="31"/>
      <c r="BC958" s="31"/>
      <c r="BD958" s="31"/>
      <c r="BE958" s="31"/>
      <c r="BF958" s="96"/>
      <c r="BG958" s="52"/>
      <c r="BH958" s="52"/>
      <c r="BI958" s="52"/>
      <c r="BJ958" s="52"/>
      <c r="BK958" s="52"/>
      <c r="BL958" s="52"/>
      <c r="BM958" s="52"/>
      <c r="BN958" s="53"/>
      <c r="BO958" s="52"/>
      <c r="BP958" s="52"/>
      <c r="BQ958" s="54"/>
    </row>
    <row r="959" spans="1:69" ht="16" x14ac:dyDescent="0.35">
      <c r="A959"/>
      <c r="D959"/>
      <c r="G959"/>
      <c r="H959" s="20"/>
      <c r="I959" s="20"/>
      <c r="J959" s="20"/>
      <c r="K959" s="20"/>
      <c r="L959" s="20"/>
      <c r="Q959" s="83"/>
      <c r="Y959" s="20"/>
      <c r="AP959" s="92"/>
      <c r="AQ959" s="67"/>
      <c r="AR959" s="67"/>
      <c r="AS959" s="73"/>
      <c r="AT959" s="67"/>
      <c r="AU959" s="67"/>
      <c r="AV959" s="73"/>
      <c r="AW959" s="68"/>
      <c r="AX959" s="68"/>
      <c r="AY959" s="68"/>
      <c r="AZ959" s="68"/>
      <c r="BA959" s="68"/>
      <c r="BB959" s="67"/>
      <c r="BC959" s="67"/>
      <c r="BD959" s="67"/>
      <c r="BE959" s="67"/>
      <c r="BF959" s="95"/>
      <c r="BG959" s="48"/>
      <c r="BH959" s="48"/>
      <c r="BI959" s="48"/>
      <c r="BJ959" s="48"/>
      <c r="BK959" s="48"/>
      <c r="BL959" s="48"/>
      <c r="BM959" s="48"/>
      <c r="BN959" s="49"/>
      <c r="BO959" s="48"/>
      <c r="BP959" s="48"/>
      <c r="BQ959" s="50"/>
    </row>
    <row r="960" spans="1:69" ht="16" x14ac:dyDescent="0.35">
      <c r="A960"/>
      <c r="D960"/>
      <c r="G960"/>
      <c r="H960" s="20"/>
      <c r="I960" s="20"/>
      <c r="J960" s="20"/>
      <c r="K960" s="20"/>
      <c r="L960" s="20"/>
      <c r="Q960" s="83"/>
      <c r="Y960" s="20"/>
      <c r="AP960" s="93"/>
      <c r="AQ960" s="31"/>
      <c r="AR960" s="31"/>
      <c r="AS960" s="94"/>
      <c r="AT960" s="31"/>
      <c r="AU960" s="31"/>
      <c r="AV960" s="94"/>
      <c r="AW960" s="32"/>
      <c r="AX960" s="32"/>
      <c r="AY960" s="32"/>
      <c r="AZ960" s="32"/>
      <c r="BA960" s="32"/>
      <c r="BB960" s="31"/>
      <c r="BC960" s="31"/>
      <c r="BD960" s="31"/>
      <c r="BE960" s="31"/>
      <c r="BF960" s="96"/>
      <c r="BG960" s="52"/>
      <c r="BH960" s="52"/>
      <c r="BI960" s="52"/>
      <c r="BJ960" s="52"/>
      <c r="BK960" s="52"/>
      <c r="BL960" s="52"/>
      <c r="BM960" s="52"/>
      <c r="BN960" s="53"/>
      <c r="BO960" s="52"/>
      <c r="BP960" s="52"/>
      <c r="BQ960" s="54"/>
    </row>
    <row r="961" spans="1:69" ht="16" x14ac:dyDescent="0.35">
      <c r="A961"/>
      <c r="D961"/>
      <c r="G961"/>
      <c r="H961" s="20"/>
      <c r="I961" s="20"/>
      <c r="J961" s="20"/>
      <c r="K961" s="20"/>
      <c r="L961" s="20"/>
      <c r="Q961" s="83"/>
      <c r="Y961" s="20"/>
      <c r="AP961" s="92"/>
      <c r="AQ961" s="67"/>
      <c r="AR961" s="67"/>
      <c r="AS961" s="73"/>
      <c r="AT961" s="67"/>
      <c r="AU961" s="67"/>
      <c r="AV961" s="73"/>
      <c r="AW961" s="68"/>
      <c r="AX961" s="68"/>
      <c r="AY961" s="68"/>
      <c r="AZ961" s="68"/>
      <c r="BA961" s="68"/>
      <c r="BB961" s="67"/>
      <c r="BC961" s="67"/>
      <c r="BD961" s="67"/>
      <c r="BE961" s="67"/>
      <c r="BF961" s="95"/>
      <c r="BG961" s="48"/>
      <c r="BH961" s="48"/>
      <c r="BI961" s="48"/>
      <c r="BJ961" s="48"/>
      <c r="BK961" s="48"/>
      <c r="BL961" s="48"/>
      <c r="BM961" s="48"/>
      <c r="BN961" s="49"/>
      <c r="BO961" s="48"/>
      <c r="BP961" s="48"/>
      <c r="BQ961" s="50"/>
    </row>
    <row r="962" spans="1:69" ht="16" x14ac:dyDescent="0.35">
      <c r="A962"/>
      <c r="D962"/>
      <c r="G962"/>
      <c r="H962" s="20"/>
      <c r="I962" s="20"/>
      <c r="J962" s="20"/>
      <c r="K962" s="20"/>
      <c r="L962" s="20"/>
      <c r="Q962" s="83"/>
      <c r="Y962" s="20"/>
      <c r="AP962" s="93"/>
      <c r="AQ962" s="31"/>
      <c r="AR962" s="31"/>
      <c r="AS962" s="94"/>
      <c r="AT962" s="31"/>
      <c r="AU962" s="31"/>
      <c r="AV962" s="94"/>
      <c r="AW962" s="32"/>
      <c r="AX962" s="32"/>
      <c r="AY962" s="32"/>
      <c r="AZ962" s="32"/>
      <c r="BA962" s="32"/>
      <c r="BB962" s="31"/>
      <c r="BC962" s="31"/>
      <c r="BD962" s="31"/>
      <c r="BE962" s="31"/>
      <c r="BF962" s="96"/>
      <c r="BG962" s="52"/>
      <c r="BH962" s="52"/>
      <c r="BI962" s="52"/>
      <c r="BJ962" s="52"/>
      <c r="BK962" s="52"/>
      <c r="BL962" s="52"/>
      <c r="BM962" s="52"/>
      <c r="BN962" s="53"/>
      <c r="BO962" s="52"/>
      <c r="BP962" s="52"/>
      <c r="BQ962" s="54"/>
    </row>
    <row r="963" spans="1:69" ht="16" x14ac:dyDescent="0.35">
      <c r="A963"/>
      <c r="D963"/>
      <c r="G963"/>
      <c r="H963" s="20"/>
      <c r="I963" s="20"/>
      <c r="J963" s="20"/>
      <c r="K963" s="20"/>
      <c r="L963" s="20"/>
      <c r="Q963" s="83"/>
      <c r="Y963" s="20"/>
      <c r="AP963" s="92"/>
      <c r="AQ963" s="67"/>
      <c r="AR963" s="67"/>
      <c r="AS963" s="73"/>
      <c r="AT963" s="67"/>
      <c r="AU963" s="67"/>
      <c r="AV963" s="73"/>
      <c r="AW963" s="68"/>
      <c r="AX963" s="68"/>
      <c r="AY963" s="68"/>
      <c r="AZ963" s="68"/>
      <c r="BA963" s="68"/>
      <c r="BB963" s="67"/>
      <c r="BC963" s="67"/>
      <c r="BD963" s="67"/>
      <c r="BE963" s="67"/>
      <c r="BF963" s="95"/>
      <c r="BG963" s="48"/>
      <c r="BH963" s="48"/>
      <c r="BI963" s="48"/>
      <c r="BJ963" s="48"/>
      <c r="BK963" s="48"/>
      <c r="BL963" s="48"/>
      <c r="BM963" s="48"/>
      <c r="BN963" s="49"/>
      <c r="BO963" s="48"/>
      <c r="BP963" s="48"/>
      <c r="BQ963" s="50"/>
    </row>
    <row r="964" spans="1:69" ht="16" x14ac:dyDescent="0.35">
      <c r="A964"/>
      <c r="D964"/>
      <c r="G964"/>
      <c r="H964" s="20"/>
      <c r="I964" s="20"/>
      <c r="J964" s="20"/>
      <c r="K964" s="20"/>
      <c r="L964" s="20"/>
      <c r="Q964" s="83"/>
      <c r="Y964" s="20"/>
      <c r="AP964" s="93"/>
      <c r="AQ964" s="31"/>
      <c r="AR964" s="31"/>
      <c r="AS964" s="94"/>
      <c r="AT964" s="31"/>
      <c r="AU964" s="31"/>
      <c r="AV964" s="94"/>
      <c r="AW964" s="32"/>
      <c r="AX964" s="32"/>
      <c r="AY964" s="32"/>
      <c r="AZ964" s="32"/>
      <c r="BA964" s="32"/>
      <c r="BB964" s="31"/>
      <c r="BC964" s="31"/>
      <c r="BD964" s="31"/>
      <c r="BE964" s="31"/>
      <c r="BF964" s="96"/>
      <c r="BG964" s="52"/>
      <c r="BH964" s="52"/>
      <c r="BI964" s="52"/>
      <c r="BJ964" s="52"/>
      <c r="BK964" s="52"/>
      <c r="BL964" s="52"/>
      <c r="BM964" s="52"/>
      <c r="BN964" s="53"/>
      <c r="BO964" s="52"/>
      <c r="BP964" s="52"/>
      <c r="BQ964" s="54"/>
    </row>
    <row r="965" spans="1:69" ht="16" x14ac:dyDescent="0.35">
      <c r="A965"/>
      <c r="D965"/>
      <c r="G965"/>
      <c r="H965" s="20"/>
      <c r="I965" s="20"/>
      <c r="J965" s="20"/>
      <c r="K965" s="20"/>
      <c r="L965" s="20"/>
      <c r="Q965" s="83"/>
      <c r="Y965" s="20"/>
      <c r="AP965" s="92"/>
      <c r="AQ965" s="67"/>
      <c r="AR965" s="67"/>
      <c r="AS965" s="73"/>
      <c r="AT965" s="67"/>
      <c r="AU965" s="67"/>
      <c r="AV965" s="73"/>
      <c r="AW965" s="68"/>
      <c r="AX965" s="68"/>
      <c r="AY965" s="68"/>
      <c r="AZ965" s="68"/>
      <c r="BA965" s="68"/>
      <c r="BB965" s="67"/>
      <c r="BC965" s="67"/>
      <c r="BD965" s="67"/>
      <c r="BE965" s="67"/>
      <c r="BF965" s="95"/>
      <c r="BG965" s="48"/>
      <c r="BH965" s="48"/>
      <c r="BI965" s="48"/>
      <c r="BJ965" s="48"/>
      <c r="BK965" s="48"/>
      <c r="BL965" s="48"/>
      <c r="BM965" s="48"/>
      <c r="BN965" s="49"/>
      <c r="BO965" s="48"/>
      <c r="BP965" s="48"/>
      <c r="BQ965" s="50"/>
    </row>
    <row r="966" spans="1:69" ht="16" x14ac:dyDescent="0.35">
      <c r="A966"/>
      <c r="D966"/>
      <c r="G966"/>
      <c r="H966" s="20"/>
      <c r="I966" s="20"/>
      <c r="J966" s="20"/>
      <c r="K966" s="20"/>
      <c r="L966" s="20"/>
      <c r="Q966" s="83"/>
      <c r="Y966" s="20"/>
      <c r="AP966" s="93"/>
      <c r="AQ966" s="31"/>
      <c r="AR966" s="31"/>
      <c r="AS966" s="94"/>
      <c r="AT966" s="31"/>
      <c r="AU966" s="31"/>
      <c r="AV966" s="94"/>
      <c r="AW966" s="32"/>
      <c r="AX966" s="32"/>
      <c r="AY966" s="32"/>
      <c r="AZ966" s="32"/>
      <c r="BA966" s="32"/>
      <c r="BB966" s="31"/>
      <c r="BC966" s="31"/>
      <c r="BD966" s="31"/>
      <c r="BE966" s="31"/>
      <c r="BF966" s="96"/>
      <c r="BG966" s="52"/>
      <c r="BH966" s="52"/>
      <c r="BI966" s="52"/>
      <c r="BJ966" s="52"/>
      <c r="BK966" s="52"/>
      <c r="BL966" s="52"/>
      <c r="BM966" s="52"/>
      <c r="BN966" s="53"/>
      <c r="BO966" s="52"/>
      <c r="BP966" s="52"/>
      <c r="BQ966" s="54"/>
    </row>
    <row r="967" spans="1:69" ht="16" x14ac:dyDescent="0.35">
      <c r="A967"/>
      <c r="D967"/>
      <c r="G967"/>
      <c r="H967" s="20"/>
      <c r="I967" s="20"/>
      <c r="J967" s="20"/>
      <c r="K967" s="20"/>
      <c r="L967" s="20"/>
      <c r="Q967" s="83"/>
      <c r="Y967" s="20"/>
      <c r="AP967" s="92"/>
      <c r="AQ967" s="67"/>
      <c r="AR967" s="67"/>
      <c r="AS967" s="73"/>
      <c r="AT967" s="67"/>
      <c r="AU967" s="67"/>
      <c r="AV967" s="73"/>
      <c r="AW967" s="68"/>
      <c r="AX967" s="68"/>
      <c r="AY967" s="68"/>
      <c r="AZ967" s="68"/>
      <c r="BA967" s="68"/>
      <c r="BB967" s="67"/>
      <c r="BC967" s="67"/>
      <c r="BD967" s="67"/>
      <c r="BE967" s="67"/>
      <c r="BF967" s="95"/>
      <c r="BG967" s="48"/>
      <c r="BH967" s="48"/>
      <c r="BI967" s="48"/>
      <c r="BJ967" s="48"/>
      <c r="BK967" s="48"/>
      <c r="BL967" s="48"/>
      <c r="BM967" s="48"/>
      <c r="BN967" s="49"/>
      <c r="BO967" s="48"/>
      <c r="BP967" s="48"/>
      <c r="BQ967" s="50"/>
    </row>
    <row r="968" spans="1:69" ht="16" x14ac:dyDescent="0.35">
      <c r="A968"/>
      <c r="D968"/>
      <c r="G968"/>
      <c r="H968" s="20"/>
      <c r="I968" s="20"/>
      <c r="J968" s="20"/>
      <c r="K968" s="20"/>
      <c r="L968" s="20"/>
      <c r="Q968" s="83"/>
      <c r="Y968" s="20"/>
      <c r="AP968" s="93"/>
      <c r="AQ968" s="31"/>
      <c r="AR968" s="31"/>
      <c r="AS968" s="94"/>
      <c r="AT968" s="31"/>
      <c r="AU968" s="31"/>
      <c r="AV968" s="94"/>
      <c r="AW968" s="32"/>
      <c r="AX968" s="32"/>
      <c r="AY968" s="32"/>
      <c r="AZ968" s="32"/>
      <c r="BA968" s="32"/>
      <c r="BB968" s="31"/>
      <c r="BC968" s="31"/>
      <c r="BD968" s="31"/>
      <c r="BE968" s="31"/>
      <c r="BF968" s="96"/>
      <c r="BG968" s="52"/>
      <c r="BH968" s="52"/>
      <c r="BI968" s="52"/>
      <c r="BJ968" s="52"/>
      <c r="BK968" s="52"/>
      <c r="BL968" s="52"/>
      <c r="BM968" s="52"/>
      <c r="BN968" s="53"/>
      <c r="BO968" s="52"/>
      <c r="BP968" s="52"/>
      <c r="BQ968" s="54"/>
    </row>
    <row r="969" spans="1:69" ht="16" x14ac:dyDescent="0.35">
      <c r="A969"/>
      <c r="D969"/>
      <c r="G969"/>
      <c r="H969" s="20"/>
      <c r="I969" s="20"/>
      <c r="J969" s="20"/>
      <c r="K969" s="20"/>
      <c r="L969" s="20"/>
      <c r="Q969" s="83"/>
      <c r="Y969" s="20"/>
      <c r="AP969" s="92"/>
      <c r="AQ969" s="67"/>
      <c r="AR969" s="67"/>
      <c r="AS969" s="73"/>
      <c r="AT969" s="67"/>
      <c r="AU969" s="67"/>
      <c r="AV969" s="73"/>
      <c r="AW969" s="68"/>
      <c r="AX969" s="68"/>
      <c r="AY969" s="68"/>
      <c r="AZ969" s="68"/>
      <c r="BA969" s="68"/>
      <c r="BB969" s="67"/>
      <c r="BC969" s="67"/>
      <c r="BD969" s="67"/>
      <c r="BE969" s="67"/>
      <c r="BF969" s="95"/>
      <c r="BG969" s="48"/>
      <c r="BH969" s="48"/>
      <c r="BI969" s="48"/>
      <c r="BJ969" s="48"/>
      <c r="BK969" s="48"/>
      <c r="BL969" s="48"/>
      <c r="BM969" s="48"/>
      <c r="BN969" s="49"/>
      <c r="BO969" s="48"/>
      <c r="BP969" s="48"/>
      <c r="BQ969" s="50"/>
    </row>
    <row r="970" spans="1:69" ht="16" x14ac:dyDescent="0.35">
      <c r="A970"/>
      <c r="D970"/>
      <c r="G970"/>
      <c r="H970" s="20"/>
      <c r="I970" s="20"/>
      <c r="J970" s="20"/>
      <c r="K970" s="20"/>
      <c r="L970" s="20"/>
      <c r="Q970" s="83"/>
      <c r="Y970" s="20"/>
      <c r="AP970" s="93"/>
      <c r="AQ970" s="31"/>
      <c r="AR970" s="31"/>
      <c r="AS970" s="94"/>
      <c r="AT970" s="31"/>
      <c r="AU970" s="31"/>
      <c r="AV970" s="94"/>
      <c r="AW970" s="32"/>
      <c r="AX970" s="32"/>
      <c r="AY970" s="32"/>
      <c r="AZ970" s="32"/>
      <c r="BA970" s="32"/>
      <c r="BB970" s="31"/>
      <c r="BC970" s="31"/>
      <c r="BD970" s="31"/>
      <c r="BE970" s="31"/>
      <c r="BF970" s="96"/>
      <c r="BG970" s="52"/>
      <c r="BH970" s="52"/>
      <c r="BI970" s="52"/>
      <c r="BJ970" s="52"/>
      <c r="BK970" s="52"/>
      <c r="BL970" s="52"/>
      <c r="BM970" s="52"/>
      <c r="BN970" s="53"/>
      <c r="BO970" s="52"/>
      <c r="BP970" s="52"/>
      <c r="BQ970" s="54"/>
    </row>
    <row r="971" spans="1:69" ht="16" x14ac:dyDescent="0.35">
      <c r="A971"/>
      <c r="D971"/>
      <c r="G971"/>
      <c r="H971" s="20"/>
      <c r="I971" s="20"/>
      <c r="J971" s="20"/>
      <c r="K971" s="20"/>
      <c r="L971" s="20"/>
      <c r="Q971" s="83"/>
      <c r="Y971" s="20"/>
      <c r="AP971" s="92"/>
      <c r="AQ971" s="67"/>
      <c r="AR971" s="67"/>
      <c r="AS971" s="73"/>
      <c r="AT971" s="67"/>
      <c r="AU971" s="67"/>
      <c r="AV971" s="73"/>
      <c r="AW971" s="68"/>
      <c r="AX971" s="68"/>
      <c r="AY971" s="68"/>
      <c r="AZ971" s="68"/>
      <c r="BA971" s="68"/>
      <c r="BB971" s="67"/>
      <c r="BC971" s="67"/>
      <c r="BD971" s="67"/>
      <c r="BE971" s="67"/>
      <c r="BF971" s="95"/>
      <c r="BG971" s="48"/>
      <c r="BH971" s="48"/>
      <c r="BI971" s="48"/>
      <c r="BJ971" s="48"/>
      <c r="BK971" s="48"/>
      <c r="BL971" s="48"/>
      <c r="BM971" s="48"/>
      <c r="BN971" s="49"/>
      <c r="BO971" s="48"/>
      <c r="BP971" s="48"/>
      <c r="BQ971" s="50"/>
    </row>
    <row r="972" spans="1:69" ht="16" x14ac:dyDescent="0.35">
      <c r="A972"/>
      <c r="D972"/>
      <c r="G972"/>
      <c r="H972" s="20"/>
      <c r="I972" s="20"/>
      <c r="J972" s="20"/>
      <c r="K972" s="20"/>
      <c r="L972" s="20"/>
      <c r="Q972" s="83"/>
      <c r="Y972" s="20"/>
      <c r="AP972" s="93"/>
      <c r="AQ972" s="31"/>
      <c r="AR972" s="31"/>
      <c r="AS972" s="94"/>
      <c r="AT972" s="31"/>
      <c r="AU972" s="31"/>
      <c r="AV972" s="94"/>
      <c r="AW972" s="32"/>
      <c r="AX972" s="32"/>
      <c r="AY972" s="32"/>
      <c r="AZ972" s="32"/>
      <c r="BA972" s="32"/>
      <c r="BB972" s="31"/>
      <c r="BC972" s="31"/>
      <c r="BD972" s="31"/>
      <c r="BE972" s="31"/>
      <c r="BF972" s="96"/>
      <c r="BG972" s="52"/>
      <c r="BH972" s="52"/>
      <c r="BI972" s="52"/>
      <c r="BJ972" s="52"/>
      <c r="BK972" s="52"/>
      <c r="BL972" s="52"/>
      <c r="BM972" s="52"/>
      <c r="BN972" s="53"/>
      <c r="BO972" s="52"/>
      <c r="BP972" s="52"/>
      <c r="BQ972" s="54"/>
    </row>
    <row r="973" spans="1:69" ht="16" x14ac:dyDescent="0.35">
      <c r="A973"/>
      <c r="D973"/>
      <c r="G973"/>
      <c r="H973" s="20"/>
      <c r="I973" s="20"/>
      <c r="J973" s="20"/>
      <c r="K973" s="20"/>
      <c r="L973" s="20"/>
      <c r="Q973" s="83"/>
      <c r="Y973" s="20"/>
      <c r="AP973" s="92"/>
      <c r="AQ973" s="67"/>
      <c r="AR973" s="67"/>
      <c r="AS973" s="73"/>
      <c r="AT973" s="67"/>
      <c r="AU973" s="67"/>
      <c r="AV973" s="73"/>
      <c r="AW973" s="68"/>
      <c r="AX973" s="68"/>
      <c r="AY973" s="68"/>
      <c r="AZ973" s="68"/>
      <c r="BA973" s="68"/>
      <c r="BB973" s="67"/>
      <c r="BC973" s="67"/>
      <c r="BD973" s="67"/>
      <c r="BE973" s="67"/>
      <c r="BF973" s="95"/>
      <c r="BG973" s="48"/>
      <c r="BH973" s="48"/>
      <c r="BI973" s="48"/>
      <c r="BJ973" s="48"/>
      <c r="BK973" s="48"/>
      <c r="BL973" s="48"/>
      <c r="BM973" s="48"/>
      <c r="BN973" s="49"/>
      <c r="BO973" s="48"/>
      <c r="BP973" s="48"/>
      <c r="BQ973" s="50"/>
    </row>
    <row r="974" spans="1:69" ht="16" x14ac:dyDescent="0.35">
      <c r="A974"/>
      <c r="D974"/>
      <c r="G974"/>
      <c r="H974" s="20"/>
      <c r="I974" s="20"/>
      <c r="J974" s="20"/>
      <c r="K974" s="20"/>
      <c r="L974" s="20"/>
      <c r="Q974" s="83"/>
      <c r="Y974" s="20"/>
      <c r="AP974" s="93"/>
      <c r="AQ974" s="31"/>
      <c r="AR974" s="31"/>
      <c r="AS974" s="94"/>
      <c r="AT974" s="31"/>
      <c r="AU974" s="31"/>
      <c r="AV974" s="94"/>
      <c r="AW974" s="32"/>
      <c r="AX974" s="32"/>
      <c r="AY974" s="32"/>
      <c r="AZ974" s="32"/>
      <c r="BA974" s="32"/>
      <c r="BB974" s="31"/>
      <c r="BC974" s="31"/>
      <c r="BD974" s="31"/>
      <c r="BE974" s="31"/>
      <c r="BF974" s="96"/>
      <c r="BG974" s="52"/>
      <c r="BH974" s="52"/>
      <c r="BI974" s="52"/>
      <c r="BJ974" s="52"/>
      <c r="BK974" s="52"/>
      <c r="BL974" s="52"/>
      <c r="BM974" s="52"/>
      <c r="BN974" s="53"/>
      <c r="BO974" s="52"/>
      <c r="BP974" s="52"/>
      <c r="BQ974" s="54"/>
    </row>
    <row r="975" spans="1:69" ht="16" x14ac:dyDescent="0.35">
      <c r="A975"/>
      <c r="D975"/>
      <c r="G975"/>
      <c r="H975" s="20"/>
      <c r="I975" s="20"/>
      <c r="J975" s="20"/>
      <c r="K975" s="20"/>
      <c r="L975" s="20"/>
      <c r="Q975" s="83"/>
      <c r="Y975" s="20"/>
      <c r="AP975" s="92"/>
      <c r="AQ975" s="67"/>
      <c r="AR975" s="67"/>
      <c r="AS975" s="73"/>
      <c r="AT975" s="67"/>
      <c r="AU975" s="67"/>
      <c r="AV975" s="73"/>
      <c r="AW975" s="68"/>
      <c r="AX975" s="68"/>
      <c r="AY975" s="68"/>
      <c r="AZ975" s="68"/>
      <c r="BA975" s="68"/>
      <c r="BB975" s="67"/>
      <c r="BC975" s="67"/>
      <c r="BD975" s="67"/>
      <c r="BE975" s="67"/>
      <c r="BF975" s="95"/>
      <c r="BG975" s="48"/>
      <c r="BH975" s="48"/>
      <c r="BI975" s="48"/>
      <c r="BJ975" s="48"/>
      <c r="BK975" s="48"/>
      <c r="BL975" s="48"/>
      <c r="BM975" s="48"/>
      <c r="BN975" s="49"/>
      <c r="BO975" s="48"/>
      <c r="BP975" s="48"/>
      <c r="BQ975" s="50"/>
    </row>
    <row r="976" spans="1:69" ht="16" x14ac:dyDescent="0.35">
      <c r="A976"/>
      <c r="D976"/>
      <c r="G976"/>
      <c r="H976" s="20"/>
      <c r="I976" s="20"/>
      <c r="J976" s="20"/>
      <c r="K976" s="20"/>
      <c r="L976" s="20"/>
      <c r="Q976" s="83"/>
      <c r="Y976" s="20"/>
      <c r="AP976" s="93"/>
      <c r="AQ976" s="31"/>
      <c r="AR976" s="31"/>
      <c r="AS976" s="94"/>
      <c r="AT976" s="31"/>
      <c r="AU976" s="31"/>
      <c r="AV976" s="94"/>
      <c r="AW976" s="32"/>
      <c r="AX976" s="32"/>
      <c r="AY976" s="32"/>
      <c r="AZ976" s="32"/>
      <c r="BA976" s="32"/>
      <c r="BB976" s="31"/>
      <c r="BC976" s="31"/>
      <c r="BD976" s="31"/>
      <c r="BE976" s="31"/>
      <c r="BF976" s="96"/>
      <c r="BG976" s="52"/>
      <c r="BH976" s="52"/>
      <c r="BI976" s="52"/>
      <c r="BJ976" s="52"/>
      <c r="BK976" s="52"/>
      <c r="BL976" s="52"/>
      <c r="BM976" s="52"/>
      <c r="BN976" s="53"/>
      <c r="BO976" s="52"/>
      <c r="BP976" s="52"/>
      <c r="BQ976" s="54"/>
    </row>
    <row r="977" spans="1:69" ht="16" x14ac:dyDescent="0.35">
      <c r="A977"/>
      <c r="D977"/>
      <c r="G977"/>
      <c r="H977" s="20"/>
      <c r="I977" s="20"/>
      <c r="J977" s="20"/>
      <c r="K977" s="20"/>
      <c r="L977" s="20"/>
      <c r="Q977" s="83"/>
      <c r="Y977" s="20"/>
      <c r="AP977" s="92"/>
      <c r="AQ977" s="67"/>
      <c r="AR977" s="67"/>
      <c r="AS977" s="73"/>
      <c r="AT977" s="67"/>
      <c r="AU977" s="67"/>
      <c r="AV977" s="73"/>
      <c r="AW977" s="68"/>
      <c r="AX977" s="68"/>
      <c r="AY977" s="68"/>
      <c r="AZ977" s="68"/>
      <c r="BA977" s="68"/>
      <c r="BB977" s="67"/>
      <c r="BC977" s="67"/>
      <c r="BD977" s="67"/>
      <c r="BE977" s="67"/>
      <c r="BF977" s="95"/>
      <c r="BG977" s="48"/>
      <c r="BH977" s="48"/>
      <c r="BI977" s="48"/>
      <c r="BJ977" s="48"/>
      <c r="BK977" s="48"/>
      <c r="BL977" s="48"/>
      <c r="BM977" s="48"/>
      <c r="BN977" s="49"/>
      <c r="BO977" s="48"/>
      <c r="BP977" s="48"/>
      <c r="BQ977" s="50"/>
    </row>
    <row r="978" spans="1:69" ht="16" x14ac:dyDescent="0.35">
      <c r="A978"/>
      <c r="D978"/>
      <c r="G978"/>
      <c r="H978" s="20"/>
      <c r="I978" s="20"/>
      <c r="J978" s="20"/>
      <c r="K978" s="20"/>
      <c r="L978" s="20"/>
      <c r="Q978" s="83"/>
      <c r="Y978" s="20"/>
      <c r="AP978" s="93"/>
      <c r="AQ978" s="31"/>
      <c r="AR978" s="31"/>
      <c r="AS978" s="94"/>
      <c r="AT978" s="31"/>
      <c r="AU978" s="31"/>
      <c r="AV978" s="94"/>
      <c r="AW978" s="32"/>
      <c r="AX978" s="32"/>
      <c r="AY978" s="32"/>
      <c r="AZ978" s="32"/>
      <c r="BA978" s="32"/>
      <c r="BB978" s="31"/>
      <c r="BC978" s="31"/>
      <c r="BD978" s="31"/>
      <c r="BE978" s="31"/>
      <c r="BF978" s="96"/>
      <c r="BG978" s="52"/>
      <c r="BH978" s="52"/>
      <c r="BI978" s="52"/>
      <c r="BJ978" s="52"/>
      <c r="BK978" s="52"/>
      <c r="BL978" s="52"/>
      <c r="BM978" s="52"/>
      <c r="BN978" s="53"/>
      <c r="BO978" s="52"/>
      <c r="BP978" s="52"/>
      <c r="BQ978" s="54"/>
    </row>
    <row r="979" spans="1:69" ht="16" x14ac:dyDescent="0.35">
      <c r="A979"/>
      <c r="D979"/>
      <c r="G979"/>
      <c r="H979" s="20"/>
      <c r="I979" s="20"/>
      <c r="J979" s="20"/>
      <c r="K979" s="20"/>
      <c r="L979" s="20"/>
      <c r="Q979" s="83"/>
      <c r="Y979" s="20"/>
      <c r="AP979" s="92"/>
      <c r="AQ979" s="67"/>
      <c r="AR979" s="67"/>
      <c r="AS979" s="73"/>
      <c r="AT979" s="67"/>
      <c r="AU979" s="67"/>
      <c r="AV979" s="73"/>
      <c r="AW979" s="68"/>
      <c r="AX979" s="68"/>
      <c r="AY979" s="68"/>
      <c r="AZ979" s="68"/>
      <c r="BA979" s="68"/>
      <c r="BB979" s="67"/>
      <c r="BC979" s="67"/>
      <c r="BD979" s="67"/>
      <c r="BE979" s="67"/>
      <c r="BF979" s="95"/>
      <c r="BG979" s="48"/>
      <c r="BH979" s="48"/>
      <c r="BI979" s="48"/>
      <c r="BJ979" s="48"/>
      <c r="BK979" s="48"/>
      <c r="BL979" s="48"/>
      <c r="BM979" s="48"/>
      <c r="BN979" s="49"/>
      <c r="BO979" s="48"/>
      <c r="BP979" s="48"/>
      <c r="BQ979" s="50"/>
    </row>
    <row r="980" spans="1:69" ht="16" x14ac:dyDescent="0.35">
      <c r="A980"/>
      <c r="D980"/>
      <c r="G980"/>
      <c r="H980" s="20"/>
      <c r="I980" s="20"/>
      <c r="J980" s="20"/>
      <c r="K980" s="20"/>
      <c r="L980" s="20"/>
      <c r="Q980" s="83"/>
      <c r="Y980" s="20"/>
      <c r="AP980" s="93"/>
      <c r="AQ980" s="31"/>
      <c r="AR980" s="31"/>
      <c r="AS980" s="94"/>
      <c r="AT980" s="31"/>
      <c r="AU980" s="31"/>
      <c r="AV980" s="94"/>
      <c r="AW980" s="32"/>
      <c r="AX980" s="32"/>
      <c r="AY980" s="32"/>
      <c r="AZ980" s="32"/>
      <c r="BA980" s="32"/>
      <c r="BB980" s="31"/>
      <c r="BC980" s="31"/>
      <c r="BD980" s="31"/>
      <c r="BE980" s="31"/>
      <c r="BF980" s="96"/>
      <c r="BG980" s="52"/>
      <c r="BH980" s="52"/>
      <c r="BI980" s="52"/>
      <c r="BJ980" s="52"/>
      <c r="BK980" s="52"/>
      <c r="BL980" s="52"/>
      <c r="BM980" s="52"/>
      <c r="BN980" s="53"/>
      <c r="BO980" s="52"/>
      <c r="BP980" s="52"/>
      <c r="BQ980" s="54"/>
    </row>
    <row r="981" spans="1:69" ht="16" x14ac:dyDescent="0.35">
      <c r="A981"/>
      <c r="D981"/>
      <c r="G981"/>
      <c r="H981" s="20"/>
      <c r="I981" s="20"/>
      <c r="J981" s="20"/>
      <c r="K981" s="20"/>
      <c r="L981" s="20"/>
      <c r="Q981" s="83"/>
      <c r="Y981" s="20"/>
      <c r="AP981" s="92"/>
      <c r="AQ981" s="67"/>
      <c r="AR981" s="67"/>
      <c r="AS981" s="73"/>
      <c r="AT981" s="67"/>
      <c r="AU981" s="67"/>
      <c r="AV981" s="73"/>
      <c r="AW981" s="68"/>
      <c r="AX981" s="68"/>
      <c r="AY981" s="68"/>
      <c r="AZ981" s="68"/>
      <c r="BA981" s="68"/>
      <c r="BB981" s="67"/>
      <c r="BC981" s="67"/>
      <c r="BD981" s="67"/>
      <c r="BE981" s="67"/>
      <c r="BF981" s="95"/>
      <c r="BG981" s="48"/>
      <c r="BH981" s="48"/>
      <c r="BI981" s="48"/>
      <c r="BJ981" s="48"/>
      <c r="BK981" s="48"/>
      <c r="BL981" s="48"/>
      <c r="BM981" s="48"/>
      <c r="BN981" s="49"/>
      <c r="BO981" s="48"/>
      <c r="BP981" s="48"/>
      <c r="BQ981" s="50"/>
    </row>
    <row r="982" spans="1:69" ht="16" x14ac:dyDescent="0.35">
      <c r="A982"/>
      <c r="D982"/>
      <c r="G982"/>
      <c r="H982" s="20"/>
      <c r="I982" s="20"/>
      <c r="J982" s="20"/>
      <c r="K982" s="20"/>
      <c r="L982" s="20"/>
      <c r="Q982" s="83"/>
      <c r="Y982" s="20"/>
      <c r="AP982" s="93"/>
      <c r="AQ982" s="31"/>
      <c r="AR982" s="31"/>
      <c r="AS982" s="94"/>
      <c r="AT982" s="31"/>
      <c r="AU982" s="31"/>
      <c r="AV982" s="94"/>
      <c r="AW982" s="32"/>
      <c r="AX982" s="32"/>
      <c r="AY982" s="32"/>
      <c r="AZ982" s="32"/>
      <c r="BA982" s="32"/>
      <c r="BB982" s="31"/>
      <c r="BC982" s="31"/>
      <c r="BD982" s="31"/>
      <c r="BE982" s="31"/>
      <c r="BF982" s="96"/>
      <c r="BG982" s="52"/>
      <c r="BH982" s="52"/>
      <c r="BI982" s="52"/>
      <c r="BJ982" s="52"/>
      <c r="BK982" s="52"/>
      <c r="BL982" s="52"/>
      <c r="BM982" s="52"/>
      <c r="BN982" s="53"/>
      <c r="BO982" s="52"/>
      <c r="BP982" s="52"/>
      <c r="BQ982" s="54"/>
    </row>
    <row r="983" spans="1:69" ht="16" x14ac:dyDescent="0.35">
      <c r="A983"/>
      <c r="D983"/>
      <c r="G983"/>
      <c r="H983" s="20"/>
      <c r="I983" s="20"/>
      <c r="J983" s="20"/>
      <c r="K983" s="20"/>
      <c r="L983" s="20"/>
      <c r="Q983" s="83"/>
      <c r="Y983" s="20"/>
      <c r="AP983" s="92"/>
      <c r="AQ983" s="67"/>
      <c r="AR983" s="67"/>
      <c r="AS983" s="73"/>
      <c r="AT983" s="67"/>
      <c r="AU983" s="67"/>
      <c r="AV983" s="73"/>
      <c r="AW983" s="68"/>
      <c r="AX983" s="68"/>
      <c r="AY983" s="68"/>
      <c r="AZ983" s="68"/>
      <c r="BA983" s="68"/>
      <c r="BB983" s="67"/>
      <c r="BC983" s="67"/>
      <c r="BD983" s="67"/>
      <c r="BE983" s="67"/>
      <c r="BF983" s="95"/>
      <c r="BG983" s="48"/>
      <c r="BH983" s="48"/>
      <c r="BI983" s="48"/>
      <c r="BJ983" s="48"/>
      <c r="BK983" s="48"/>
      <c r="BL983" s="48"/>
      <c r="BM983" s="48"/>
      <c r="BN983" s="49"/>
      <c r="BO983" s="48"/>
      <c r="BP983" s="48"/>
      <c r="BQ983" s="50"/>
    </row>
    <row r="984" spans="1:69" ht="16" x14ac:dyDescent="0.35">
      <c r="A984"/>
      <c r="D984"/>
      <c r="G984"/>
      <c r="H984" s="20"/>
      <c r="I984" s="20"/>
      <c r="J984" s="20"/>
      <c r="K984" s="20"/>
      <c r="L984" s="20"/>
      <c r="Q984" s="83"/>
      <c r="Y984" s="20"/>
      <c r="AP984" s="93"/>
      <c r="AQ984" s="31"/>
      <c r="AR984" s="31"/>
      <c r="AS984" s="94"/>
      <c r="AT984" s="31"/>
      <c r="AU984" s="31"/>
      <c r="AV984" s="94"/>
      <c r="AW984" s="32"/>
      <c r="AX984" s="32"/>
      <c r="AY984" s="32"/>
      <c r="AZ984" s="32"/>
      <c r="BA984" s="32"/>
      <c r="BB984" s="31"/>
      <c r="BC984" s="31"/>
      <c r="BD984" s="31"/>
      <c r="BE984" s="31"/>
      <c r="BF984" s="96"/>
      <c r="BG984" s="52"/>
      <c r="BH984" s="52"/>
      <c r="BI984" s="52"/>
      <c r="BJ984" s="52"/>
      <c r="BK984" s="52"/>
      <c r="BL984" s="52"/>
      <c r="BM984" s="52"/>
      <c r="BN984" s="53"/>
      <c r="BO984" s="52"/>
      <c r="BP984" s="52"/>
      <c r="BQ984" s="54"/>
    </row>
    <row r="985" spans="1:69" ht="16" x14ac:dyDescent="0.35">
      <c r="A985"/>
      <c r="D985"/>
      <c r="G985"/>
      <c r="H985" s="20"/>
      <c r="I985" s="20"/>
      <c r="J985" s="20"/>
      <c r="K985" s="20"/>
      <c r="L985" s="20"/>
      <c r="Q985" s="83"/>
      <c r="Y985" s="20"/>
      <c r="AP985" s="92"/>
      <c r="AQ985" s="67"/>
      <c r="AR985" s="67"/>
      <c r="AS985" s="73"/>
      <c r="AT985" s="67"/>
      <c r="AU985" s="67"/>
      <c r="AV985" s="73"/>
      <c r="AW985" s="68"/>
      <c r="AX985" s="68"/>
      <c r="AY985" s="68"/>
      <c r="AZ985" s="68"/>
      <c r="BA985" s="68"/>
      <c r="BB985" s="67"/>
      <c r="BC985" s="67"/>
      <c r="BD985" s="67"/>
      <c r="BE985" s="67"/>
      <c r="BF985" s="95"/>
      <c r="BG985" s="48"/>
      <c r="BH985" s="48"/>
      <c r="BI985" s="48"/>
      <c r="BJ985" s="48"/>
      <c r="BK985" s="48"/>
      <c r="BL985" s="48"/>
      <c r="BM985" s="48"/>
      <c r="BN985" s="49"/>
      <c r="BO985" s="48"/>
      <c r="BP985" s="48"/>
      <c r="BQ985" s="50"/>
    </row>
    <row r="986" spans="1:69" ht="16" x14ac:dyDescent="0.35">
      <c r="A986"/>
      <c r="D986"/>
      <c r="G986"/>
      <c r="H986" s="20"/>
      <c r="I986" s="20"/>
      <c r="J986" s="20"/>
      <c r="K986" s="20"/>
      <c r="L986" s="20"/>
      <c r="Q986" s="83"/>
      <c r="Y986" s="20"/>
      <c r="AP986" s="93"/>
      <c r="AQ986" s="31"/>
      <c r="AR986" s="31"/>
      <c r="AS986" s="94"/>
      <c r="AT986" s="31"/>
      <c r="AU986" s="31"/>
      <c r="AV986" s="94"/>
      <c r="AW986" s="32"/>
      <c r="AX986" s="32"/>
      <c r="AY986" s="32"/>
      <c r="AZ986" s="32"/>
      <c r="BA986" s="32"/>
      <c r="BB986" s="31"/>
      <c r="BC986" s="31"/>
      <c r="BD986" s="31"/>
      <c r="BE986" s="31"/>
      <c r="BF986" s="96"/>
      <c r="BG986" s="52"/>
      <c r="BH986" s="52"/>
      <c r="BI986" s="52"/>
      <c r="BJ986" s="52"/>
      <c r="BK986" s="52"/>
      <c r="BL986" s="52"/>
      <c r="BM986" s="52"/>
      <c r="BN986" s="53"/>
      <c r="BO986" s="52"/>
      <c r="BP986" s="52"/>
      <c r="BQ986" s="54"/>
    </row>
    <row r="987" spans="1:69" ht="16" x14ac:dyDescent="0.35">
      <c r="A987"/>
      <c r="D987"/>
      <c r="G987"/>
      <c r="H987" s="20"/>
      <c r="I987" s="20"/>
      <c r="J987" s="20"/>
      <c r="K987" s="20"/>
      <c r="L987" s="20"/>
      <c r="Q987" s="83"/>
      <c r="Y987" s="20"/>
      <c r="AP987" s="92"/>
      <c r="AQ987" s="67"/>
      <c r="AR987" s="67"/>
      <c r="AS987" s="73"/>
      <c r="AT987" s="67"/>
      <c r="AU987" s="67"/>
      <c r="AV987" s="73"/>
      <c r="AW987" s="68"/>
      <c r="AX987" s="68"/>
      <c r="AY987" s="68"/>
      <c r="AZ987" s="68"/>
      <c r="BA987" s="68"/>
      <c r="BB987" s="67"/>
      <c r="BC987" s="67"/>
      <c r="BD987" s="67"/>
      <c r="BE987" s="67"/>
      <c r="BF987" s="95"/>
      <c r="BG987" s="48"/>
      <c r="BH987" s="48"/>
      <c r="BI987" s="48"/>
      <c r="BJ987" s="48"/>
      <c r="BK987" s="48"/>
      <c r="BL987" s="48"/>
      <c r="BM987" s="48"/>
      <c r="BN987" s="49"/>
      <c r="BO987" s="48"/>
      <c r="BP987" s="48"/>
      <c r="BQ987" s="50"/>
    </row>
    <row r="988" spans="1:69" ht="16" x14ac:dyDescent="0.35">
      <c r="A988"/>
      <c r="D988"/>
      <c r="G988"/>
      <c r="H988" s="20"/>
      <c r="I988" s="20"/>
      <c r="J988" s="20"/>
      <c r="K988" s="20"/>
      <c r="L988" s="20"/>
      <c r="Q988" s="83"/>
      <c r="Y988" s="20"/>
      <c r="AP988" s="93"/>
      <c r="AQ988" s="31"/>
      <c r="AR988" s="31"/>
      <c r="AS988" s="94"/>
      <c r="AT988" s="31"/>
      <c r="AU988" s="31"/>
      <c r="AV988" s="94"/>
      <c r="AW988" s="32"/>
      <c r="AX988" s="32"/>
      <c r="AY988" s="32"/>
      <c r="AZ988" s="32"/>
      <c r="BA988" s="32"/>
      <c r="BB988" s="31"/>
      <c r="BC988" s="31"/>
      <c r="BD988" s="31"/>
      <c r="BE988" s="31"/>
      <c r="BF988" s="96"/>
      <c r="BG988" s="52"/>
      <c r="BH988" s="52"/>
      <c r="BI988" s="52"/>
      <c r="BJ988" s="52"/>
      <c r="BK988" s="52"/>
      <c r="BL988" s="52"/>
      <c r="BM988" s="52"/>
      <c r="BN988" s="53"/>
      <c r="BO988" s="52"/>
      <c r="BP988" s="52"/>
      <c r="BQ988" s="54"/>
    </row>
    <row r="989" spans="1:69" ht="16" x14ac:dyDescent="0.35">
      <c r="A989"/>
      <c r="D989"/>
      <c r="G989"/>
      <c r="H989" s="20"/>
      <c r="I989" s="20"/>
      <c r="J989" s="20"/>
      <c r="K989" s="20"/>
      <c r="L989" s="20"/>
      <c r="Q989" s="83"/>
      <c r="Y989" s="20"/>
      <c r="AP989" s="92"/>
      <c r="AQ989" s="67"/>
      <c r="AR989" s="67"/>
      <c r="AS989" s="73"/>
      <c r="AT989" s="67"/>
      <c r="AU989" s="67"/>
      <c r="AV989" s="73"/>
      <c r="AW989" s="68"/>
      <c r="AX989" s="68"/>
      <c r="AY989" s="68"/>
      <c r="AZ989" s="68"/>
      <c r="BA989" s="68"/>
      <c r="BB989" s="67"/>
      <c r="BC989" s="67"/>
      <c r="BD989" s="67"/>
      <c r="BE989" s="67"/>
      <c r="BF989" s="95"/>
      <c r="BG989" s="48"/>
      <c r="BH989" s="48"/>
      <c r="BI989" s="48"/>
      <c r="BJ989" s="48"/>
      <c r="BK989" s="48"/>
      <c r="BL989" s="48"/>
      <c r="BM989" s="48"/>
      <c r="BN989" s="49"/>
      <c r="BO989" s="48"/>
      <c r="BP989" s="48"/>
      <c r="BQ989" s="50"/>
    </row>
    <row r="990" spans="1:69" ht="16" x14ac:dyDescent="0.35">
      <c r="A990"/>
      <c r="D990"/>
      <c r="G990"/>
      <c r="H990" s="20"/>
      <c r="I990" s="20"/>
      <c r="J990" s="20"/>
      <c r="K990" s="20"/>
      <c r="L990" s="20"/>
      <c r="Q990" s="83"/>
      <c r="Y990" s="20"/>
      <c r="AP990" s="93"/>
      <c r="AQ990" s="31"/>
      <c r="AR990" s="31"/>
      <c r="AS990" s="94"/>
      <c r="AT990" s="31"/>
      <c r="AU990" s="31"/>
      <c r="AV990" s="94"/>
      <c r="AW990" s="32"/>
      <c r="AX990" s="32"/>
      <c r="AY990" s="32"/>
      <c r="AZ990" s="32"/>
      <c r="BA990" s="32"/>
      <c r="BB990" s="31"/>
      <c r="BC990" s="31"/>
      <c r="BD990" s="31"/>
      <c r="BE990" s="31"/>
      <c r="BF990" s="96"/>
      <c r="BG990" s="52"/>
      <c r="BH990" s="52"/>
      <c r="BI990" s="52"/>
      <c r="BJ990" s="52"/>
      <c r="BK990" s="52"/>
      <c r="BL990" s="52"/>
      <c r="BM990" s="52"/>
      <c r="BN990" s="53"/>
      <c r="BO990" s="52"/>
      <c r="BP990" s="52"/>
      <c r="BQ990" s="54"/>
    </row>
    <row r="991" spans="1:69" ht="16" x14ac:dyDescent="0.35">
      <c r="A991"/>
      <c r="D991"/>
      <c r="G991"/>
      <c r="H991" s="20"/>
      <c r="I991" s="20"/>
      <c r="J991" s="20"/>
      <c r="K991" s="20"/>
      <c r="L991" s="20"/>
      <c r="Q991" s="83"/>
      <c r="Y991" s="20"/>
      <c r="AP991" s="92"/>
      <c r="AQ991" s="67"/>
      <c r="AR991" s="67"/>
      <c r="AS991" s="73"/>
      <c r="AT991" s="67"/>
      <c r="AU991" s="67"/>
      <c r="AV991" s="73"/>
      <c r="AW991" s="68"/>
      <c r="AX991" s="68"/>
      <c r="AY991" s="68"/>
      <c r="AZ991" s="68"/>
      <c r="BA991" s="68"/>
      <c r="BB991" s="67"/>
      <c r="BC991" s="67"/>
      <c r="BD991" s="67"/>
      <c r="BE991" s="67"/>
      <c r="BF991" s="95"/>
      <c r="BG991" s="48"/>
      <c r="BH991" s="48"/>
      <c r="BI991" s="48"/>
      <c r="BJ991" s="48"/>
      <c r="BK991" s="48"/>
      <c r="BL991" s="48"/>
      <c r="BM991" s="48"/>
      <c r="BN991" s="49"/>
      <c r="BO991" s="48"/>
      <c r="BP991" s="48"/>
      <c r="BQ991" s="50"/>
    </row>
    <row r="992" spans="1:69" ht="16" x14ac:dyDescent="0.35">
      <c r="A992"/>
      <c r="D992"/>
      <c r="G992"/>
      <c r="H992" s="20"/>
      <c r="I992" s="20"/>
      <c r="J992" s="20"/>
      <c r="K992" s="20"/>
      <c r="L992" s="20"/>
      <c r="Q992" s="83"/>
      <c r="Y992" s="20"/>
      <c r="AP992" s="93"/>
      <c r="AQ992" s="31"/>
      <c r="AR992" s="31"/>
      <c r="AS992" s="94"/>
      <c r="AT992" s="31"/>
      <c r="AU992" s="31"/>
      <c r="AV992" s="94"/>
      <c r="AW992" s="32"/>
      <c r="AX992" s="32"/>
      <c r="AY992" s="32"/>
      <c r="AZ992" s="32"/>
      <c r="BA992" s="32"/>
      <c r="BB992" s="31"/>
      <c r="BC992" s="31"/>
      <c r="BD992" s="31"/>
      <c r="BE992" s="31"/>
      <c r="BF992" s="96"/>
      <c r="BG992" s="52"/>
      <c r="BH992" s="52"/>
      <c r="BI992" s="52"/>
      <c r="BJ992" s="52"/>
      <c r="BK992" s="52"/>
      <c r="BL992" s="52"/>
      <c r="BM992" s="52"/>
      <c r="BN992" s="53"/>
      <c r="BO992" s="52"/>
      <c r="BP992" s="52"/>
      <c r="BQ992" s="54"/>
    </row>
    <row r="993" spans="1:69" ht="16" x14ac:dyDescent="0.35">
      <c r="A993"/>
      <c r="D993"/>
      <c r="G993"/>
      <c r="H993" s="20"/>
      <c r="I993" s="20"/>
      <c r="J993" s="20"/>
      <c r="K993" s="20"/>
      <c r="L993" s="20"/>
      <c r="Q993" s="83"/>
      <c r="Y993" s="20"/>
      <c r="AP993" s="92"/>
      <c r="AQ993" s="67"/>
      <c r="AR993" s="67"/>
      <c r="AS993" s="73"/>
      <c r="AT993" s="67"/>
      <c r="AU993" s="67"/>
      <c r="AV993" s="73"/>
      <c r="AW993" s="68"/>
      <c r="AX993" s="68"/>
      <c r="AY993" s="68"/>
      <c r="AZ993" s="68"/>
      <c r="BA993" s="68"/>
      <c r="BB993" s="67"/>
      <c r="BC993" s="67"/>
      <c r="BD993" s="67"/>
      <c r="BE993" s="67"/>
      <c r="BF993" s="95"/>
      <c r="BG993" s="48"/>
      <c r="BH993" s="48"/>
      <c r="BI993" s="48"/>
      <c r="BJ993" s="48"/>
      <c r="BK993" s="48"/>
      <c r="BL993" s="48"/>
      <c r="BM993" s="48"/>
      <c r="BN993" s="49"/>
      <c r="BO993" s="48"/>
      <c r="BP993" s="48"/>
      <c r="BQ993" s="50"/>
    </row>
    <row r="994" spans="1:69" ht="16" x14ac:dyDescent="0.35">
      <c r="A994"/>
      <c r="D994"/>
      <c r="G994"/>
      <c r="H994" s="20"/>
      <c r="I994" s="20"/>
      <c r="J994" s="20"/>
      <c r="K994" s="20"/>
      <c r="L994" s="20"/>
      <c r="Q994" s="83"/>
      <c r="Y994" s="20"/>
      <c r="AP994" s="93"/>
      <c r="AQ994" s="31"/>
      <c r="AR994" s="31"/>
      <c r="AS994" s="94"/>
      <c r="AT994" s="31"/>
      <c r="AU994" s="31"/>
      <c r="AV994" s="94"/>
      <c r="AW994" s="32"/>
      <c r="AX994" s="32"/>
      <c r="AY994" s="32"/>
      <c r="AZ994" s="32"/>
      <c r="BA994" s="32"/>
      <c r="BB994" s="31"/>
      <c r="BC994" s="31"/>
      <c r="BD994" s="31"/>
      <c r="BE994" s="31"/>
      <c r="BF994" s="96"/>
      <c r="BG994" s="52"/>
      <c r="BH994" s="52"/>
      <c r="BI994" s="52"/>
      <c r="BJ994" s="52"/>
      <c r="BK994" s="52"/>
      <c r="BL994" s="52"/>
      <c r="BM994" s="52"/>
      <c r="BN994" s="53"/>
      <c r="BO994" s="52"/>
      <c r="BP994" s="52"/>
      <c r="BQ994" s="54"/>
    </row>
    <row r="995" spans="1:69" ht="16" x14ac:dyDescent="0.35">
      <c r="A995"/>
      <c r="D995"/>
      <c r="G995"/>
      <c r="H995" s="20"/>
      <c r="I995" s="20"/>
      <c r="J995" s="20"/>
      <c r="K995" s="20"/>
      <c r="L995" s="20"/>
      <c r="Q995" s="83"/>
      <c r="Y995" s="20"/>
      <c r="AP995" s="92"/>
      <c r="AQ995" s="67"/>
      <c r="AR995" s="67"/>
      <c r="AS995" s="73"/>
      <c r="AT995" s="67"/>
      <c r="AU995" s="67"/>
      <c r="AV995" s="73"/>
      <c r="AW995" s="68"/>
      <c r="AX995" s="68"/>
      <c r="AY995" s="68"/>
      <c r="AZ995" s="68"/>
      <c r="BA995" s="68"/>
      <c r="BB995" s="67"/>
      <c r="BC995" s="67"/>
      <c r="BD995" s="67"/>
      <c r="BE995" s="67"/>
      <c r="BF995" s="95"/>
      <c r="BG995" s="48"/>
      <c r="BH995" s="48"/>
      <c r="BI995" s="48"/>
      <c r="BJ995" s="48"/>
      <c r="BK995" s="48"/>
      <c r="BL995" s="48"/>
      <c r="BM995" s="48"/>
      <c r="BN995" s="49"/>
      <c r="BO995" s="48"/>
      <c r="BP995" s="48"/>
      <c r="BQ995" s="50"/>
    </row>
    <row r="996" spans="1:69" ht="16" x14ac:dyDescent="0.35">
      <c r="A996"/>
      <c r="D996"/>
      <c r="G996"/>
      <c r="H996" s="20"/>
      <c r="I996" s="20"/>
      <c r="J996" s="20"/>
      <c r="K996" s="20"/>
      <c r="L996" s="20"/>
      <c r="Q996" s="83"/>
      <c r="Y996" s="20"/>
      <c r="AP996" s="93"/>
      <c r="AQ996" s="31"/>
      <c r="AR996" s="31"/>
      <c r="AS996" s="94"/>
      <c r="AT996" s="31"/>
      <c r="AU996" s="31"/>
      <c r="AV996" s="94"/>
      <c r="AW996" s="32"/>
      <c r="AX996" s="32"/>
      <c r="AY996" s="32"/>
      <c r="AZ996" s="32"/>
      <c r="BA996" s="32"/>
      <c r="BB996" s="31"/>
      <c r="BC996" s="31"/>
      <c r="BD996" s="31"/>
      <c r="BE996" s="31"/>
      <c r="BF996" s="96"/>
      <c r="BG996" s="52"/>
      <c r="BH996" s="52"/>
      <c r="BI996" s="52"/>
      <c r="BJ996" s="52"/>
      <c r="BK996" s="52"/>
      <c r="BL996" s="52"/>
      <c r="BM996" s="52"/>
      <c r="BN996" s="53"/>
      <c r="BO996" s="52"/>
      <c r="BP996" s="52"/>
      <c r="BQ996" s="54"/>
    </row>
    <row r="997" spans="1:69" ht="16" x14ac:dyDescent="0.35">
      <c r="A997"/>
      <c r="D997"/>
      <c r="G997"/>
      <c r="H997" s="20"/>
      <c r="I997" s="20"/>
      <c r="J997" s="20"/>
      <c r="K997" s="20"/>
      <c r="L997" s="20"/>
      <c r="Q997" s="83"/>
      <c r="Y997" s="20"/>
      <c r="AP997" s="92"/>
      <c r="AQ997" s="67"/>
      <c r="AR997" s="67"/>
      <c r="AS997" s="73"/>
      <c r="AT997" s="67"/>
      <c r="AU997" s="67"/>
      <c r="AV997" s="73"/>
      <c r="AW997" s="68"/>
      <c r="AX997" s="68"/>
      <c r="AY997" s="68"/>
      <c r="AZ997" s="68"/>
      <c r="BA997" s="68"/>
      <c r="BB997" s="67"/>
      <c r="BC997" s="67"/>
      <c r="BD997" s="67"/>
      <c r="BE997" s="67"/>
      <c r="BF997" s="95"/>
      <c r="BG997" s="48"/>
      <c r="BH997" s="48"/>
      <c r="BI997" s="48"/>
      <c r="BJ997" s="48"/>
      <c r="BK997" s="48"/>
      <c r="BL997" s="48"/>
      <c r="BM997" s="48"/>
      <c r="BN997" s="49"/>
      <c r="BO997" s="48"/>
      <c r="BP997" s="48"/>
      <c r="BQ997" s="50"/>
    </row>
    <row r="998" spans="1:69" ht="16" x14ac:dyDescent="0.35">
      <c r="A998"/>
      <c r="D998"/>
      <c r="G998"/>
      <c r="H998" s="20"/>
      <c r="I998" s="20"/>
      <c r="J998" s="20"/>
      <c r="K998" s="20"/>
      <c r="L998" s="20"/>
      <c r="Q998" s="83"/>
      <c r="Y998" s="20"/>
      <c r="AP998" s="93"/>
      <c r="AQ998" s="31"/>
      <c r="AR998" s="31"/>
      <c r="AS998" s="94"/>
      <c r="AT998" s="31"/>
      <c r="AU998" s="31"/>
      <c r="AV998" s="94"/>
      <c r="AW998" s="32"/>
      <c r="AX998" s="32"/>
      <c r="AY998" s="32"/>
      <c r="AZ998" s="32"/>
      <c r="BA998" s="32"/>
      <c r="BB998" s="31"/>
      <c r="BC998" s="31"/>
      <c r="BD998" s="31"/>
      <c r="BE998" s="31"/>
      <c r="BF998" s="96"/>
      <c r="BG998" s="52"/>
      <c r="BH998" s="52"/>
      <c r="BI998" s="52"/>
      <c r="BJ998" s="52"/>
      <c r="BK998" s="52"/>
      <c r="BL998" s="52"/>
      <c r="BM998" s="52"/>
      <c r="BN998" s="53"/>
      <c r="BO998" s="52"/>
      <c r="BP998" s="52"/>
      <c r="BQ998" s="54"/>
    </row>
    <row r="999" spans="1:69" ht="16" x14ac:dyDescent="0.35">
      <c r="A999"/>
      <c r="D999"/>
      <c r="G999"/>
      <c r="H999" s="20"/>
      <c r="I999" s="20"/>
      <c r="J999" s="20"/>
      <c r="K999" s="20"/>
      <c r="L999" s="20"/>
      <c r="Q999" s="83"/>
      <c r="Y999" s="20"/>
      <c r="AP999" s="92"/>
      <c r="AQ999" s="67"/>
      <c r="AR999" s="67"/>
      <c r="AS999" s="73"/>
      <c r="AT999" s="67"/>
      <c r="AU999" s="67"/>
      <c r="AV999" s="73"/>
      <c r="AW999" s="68"/>
      <c r="AX999" s="68"/>
      <c r="AY999" s="68"/>
      <c r="AZ999" s="68"/>
      <c r="BA999" s="68"/>
      <c r="BB999" s="67"/>
      <c r="BC999" s="67"/>
      <c r="BD999" s="67"/>
      <c r="BE999" s="67"/>
      <c r="BF999" s="95"/>
      <c r="BG999" s="48"/>
      <c r="BH999" s="48"/>
      <c r="BI999" s="48"/>
      <c r="BJ999" s="48"/>
      <c r="BK999" s="48"/>
      <c r="BL999" s="48"/>
      <c r="BM999" s="48"/>
      <c r="BN999" s="49"/>
      <c r="BO999" s="48"/>
      <c r="BP999" s="48"/>
      <c r="BQ999" s="50"/>
    </row>
    <row r="1000" spans="1:69" ht="16" x14ac:dyDescent="0.35">
      <c r="A1000"/>
      <c r="D1000"/>
      <c r="G1000"/>
      <c r="H1000" s="20"/>
      <c r="I1000" s="20"/>
      <c r="J1000" s="20"/>
      <c r="K1000" s="20"/>
      <c r="L1000" s="20"/>
      <c r="Q1000" s="83"/>
      <c r="Y1000" s="20"/>
      <c r="AP1000" s="93"/>
      <c r="AQ1000" s="31"/>
      <c r="AR1000" s="31"/>
      <c r="AS1000" s="94"/>
      <c r="AT1000" s="31"/>
      <c r="AU1000" s="31"/>
      <c r="AV1000" s="94"/>
      <c r="AW1000" s="32"/>
      <c r="AX1000" s="32"/>
      <c r="AY1000" s="32"/>
      <c r="AZ1000" s="32"/>
      <c r="BA1000" s="32"/>
      <c r="BB1000" s="31"/>
      <c r="BC1000" s="31"/>
      <c r="BD1000" s="31"/>
      <c r="BE1000" s="31"/>
      <c r="BF1000" s="96"/>
      <c r="BG1000" s="52"/>
      <c r="BH1000" s="52"/>
      <c r="BI1000" s="52"/>
      <c r="BJ1000" s="52"/>
      <c r="BK1000" s="52"/>
      <c r="BL1000" s="52"/>
      <c r="BM1000" s="52"/>
      <c r="BN1000" s="53"/>
      <c r="BO1000" s="52"/>
      <c r="BP1000" s="52"/>
      <c r="BQ1000" s="54"/>
    </row>
    <row r="1001" spans="1:69" ht="16" x14ac:dyDescent="0.35">
      <c r="A1001"/>
      <c r="D1001"/>
      <c r="G1001"/>
      <c r="H1001" s="20"/>
      <c r="I1001" s="20"/>
      <c r="J1001" s="20"/>
      <c r="K1001" s="20"/>
      <c r="L1001" s="20"/>
      <c r="Q1001" s="83"/>
      <c r="Y1001" s="20"/>
      <c r="AP1001" s="92"/>
      <c r="AQ1001" s="67"/>
      <c r="AR1001" s="67"/>
      <c r="AS1001" s="73"/>
      <c r="AT1001" s="67"/>
      <c r="AU1001" s="67"/>
      <c r="AV1001" s="73"/>
      <c r="AW1001" s="68"/>
      <c r="AX1001" s="68"/>
      <c r="AY1001" s="68"/>
      <c r="AZ1001" s="68"/>
      <c r="BA1001" s="68"/>
      <c r="BB1001" s="67"/>
      <c r="BC1001" s="67"/>
      <c r="BD1001" s="67"/>
      <c r="BE1001" s="67"/>
      <c r="BF1001" s="95"/>
      <c r="BG1001" s="48"/>
      <c r="BH1001" s="48"/>
      <c r="BI1001" s="48"/>
      <c r="BJ1001" s="48"/>
      <c r="BK1001" s="48"/>
      <c r="BL1001" s="48"/>
      <c r="BM1001" s="48"/>
      <c r="BN1001" s="49"/>
      <c r="BO1001" s="48"/>
      <c r="BP1001" s="48"/>
      <c r="BQ1001" s="50"/>
    </row>
    <row r="1002" spans="1:69" ht="16" x14ac:dyDescent="0.35">
      <c r="A1002"/>
      <c r="D1002"/>
      <c r="G1002"/>
      <c r="H1002" s="20"/>
      <c r="I1002" s="20"/>
      <c r="J1002" s="20"/>
      <c r="K1002" s="20"/>
      <c r="L1002" s="20"/>
      <c r="Q1002" s="83"/>
      <c r="Y1002" s="20"/>
      <c r="AP1002" s="93"/>
      <c r="AQ1002" s="31"/>
      <c r="AR1002" s="31"/>
      <c r="AS1002" s="94"/>
      <c r="AT1002" s="31"/>
      <c r="AU1002" s="31"/>
      <c r="AV1002" s="94"/>
      <c r="AW1002" s="32"/>
      <c r="AX1002" s="32"/>
      <c r="AY1002" s="32"/>
      <c r="AZ1002" s="32"/>
      <c r="BA1002" s="32"/>
      <c r="BB1002" s="31"/>
      <c r="BC1002" s="31"/>
      <c r="BD1002" s="31"/>
      <c r="BE1002" s="31"/>
      <c r="BF1002" s="96"/>
      <c r="BG1002" s="52"/>
      <c r="BH1002" s="52"/>
      <c r="BI1002" s="52"/>
      <c r="BJ1002" s="52"/>
      <c r="BK1002" s="52"/>
      <c r="BL1002" s="52"/>
      <c r="BM1002" s="52"/>
      <c r="BN1002" s="53"/>
      <c r="BO1002" s="52"/>
      <c r="BP1002" s="52"/>
      <c r="BQ1002" s="54"/>
    </row>
    <row r="1003" spans="1:69" ht="16" x14ac:dyDescent="0.35">
      <c r="A1003"/>
      <c r="D1003"/>
      <c r="G1003"/>
      <c r="H1003" s="20"/>
      <c r="I1003" s="20"/>
      <c r="J1003" s="20"/>
      <c r="K1003" s="20"/>
      <c r="L1003" s="20"/>
      <c r="Q1003" s="83"/>
      <c r="Y1003" s="20"/>
      <c r="AP1003" s="92"/>
      <c r="AQ1003" s="67"/>
      <c r="AR1003" s="67"/>
      <c r="AS1003" s="73"/>
      <c r="AT1003" s="67"/>
      <c r="AU1003" s="67"/>
      <c r="AV1003" s="73"/>
      <c r="AW1003" s="68"/>
      <c r="AX1003" s="68"/>
      <c r="AY1003" s="68"/>
      <c r="AZ1003" s="68"/>
      <c r="BA1003" s="68"/>
      <c r="BB1003" s="67"/>
      <c r="BC1003" s="67"/>
      <c r="BD1003" s="67"/>
      <c r="BE1003" s="67"/>
      <c r="BF1003" s="95"/>
      <c r="BG1003" s="48"/>
      <c r="BH1003" s="48"/>
      <c r="BI1003" s="48"/>
      <c r="BJ1003" s="48"/>
      <c r="BK1003" s="48"/>
      <c r="BL1003" s="48"/>
      <c r="BM1003" s="48"/>
      <c r="BN1003" s="49"/>
      <c r="BO1003" s="48"/>
      <c r="BP1003" s="48"/>
      <c r="BQ1003" s="50"/>
    </row>
    <row r="1004" spans="1:69" ht="16" x14ac:dyDescent="0.35">
      <c r="A1004"/>
      <c r="D1004"/>
      <c r="G1004"/>
      <c r="H1004" s="20"/>
      <c r="I1004" s="20"/>
      <c r="J1004" s="20"/>
      <c r="K1004" s="20"/>
      <c r="L1004" s="20"/>
      <c r="Q1004" s="83"/>
      <c r="Y1004" s="20"/>
      <c r="AP1004" s="93"/>
      <c r="AQ1004" s="31"/>
      <c r="AR1004" s="31"/>
      <c r="AS1004" s="94"/>
      <c r="AT1004" s="31"/>
      <c r="AU1004" s="31"/>
      <c r="AV1004" s="94"/>
      <c r="AW1004" s="32"/>
      <c r="AX1004" s="32"/>
      <c r="AY1004" s="32"/>
      <c r="AZ1004" s="32"/>
      <c r="BA1004" s="32"/>
      <c r="BB1004" s="31"/>
      <c r="BC1004" s="31"/>
      <c r="BD1004" s="31"/>
      <c r="BE1004" s="31"/>
      <c r="BF1004" s="96"/>
      <c r="BG1004" s="52"/>
      <c r="BH1004" s="52"/>
      <c r="BI1004" s="52"/>
      <c r="BJ1004" s="52"/>
      <c r="BK1004" s="52"/>
      <c r="BL1004" s="52"/>
      <c r="BM1004" s="52"/>
      <c r="BN1004" s="53"/>
      <c r="BO1004" s="52"/>
      <c r="BP1004" s="52"/>
      <c r="BQ1004" s="54"/>
    </row>
    <row r="1005" spans="1:69" x14ac:dyDescent="0.35">
      <c r="A1005"/>
      <c r="D1005"/>
      <c r="G1005"/>
      <c r="H1005" s="20"/>
      <c r="I1005" s="20"/>
      <c r="J1005" s="20"/>
      <c r="K1005" s="20"/>
      <c r="L1005" s="20"/>
      <c r="Q1005" s="83"/>
      <c r="Y1005" s="20"/>
      <c r="AP1005" s="92"/>
      <c r="AQ1005" s="67"/>
      <c r="AR1005" s="67"/>
      <c r="AS1005" s="73"/>
      <c r="AT1005" s="67"/>
      <c r="AU1005" s="67"/>
      <c r="AV1005" s="73"/>
      <c r="AW1005" s="68"/>
      <c r="AX1005" s="68"/>
      <c r="AY1005" s="68"/>
      <c r="AZ1005" s="68"/>
      <c r="BA1005" s="68"/>
      <c r="BB1005" s="67"/>
      <c r="BC1005" s="67"/>
      <c r="BD1005" s="67"/>
      <c r="BE1005" s="67"/>
      <c r="BF1005" s="95"/>
      <c r="BG1005" s="67"/>
      <c r="BH1005" s="67"/>
      <c r="BI1005" s="67"/>
      <c r="BJ1005" s="67"/>
      <c r="BK1005" s="67"/>
      <c r="BL1005" s="67"/>
      <c r="BM1005" s="67"/>
      <c r="BN1005" s="68"/>
      <c r="BO1005" s="67"/>
      <c r="BP1005" s="67"/>
      <c r="BQ1005" s="69"/>
    </row>
    <row r="1006" spans="1:69" x14ac:dyDescent="0.35">
      <c r="A1006"/>
      <c r="D1006"/>
      <c r="G1006"/>
      <c r="H1006" s="20"/>
      <c r="I1006" s="20"/>
      <c r="J1006" s="20"/>
      <c r="K1006" s="20"/>
      <c r="L1006" s="20"/>
      <c r="Q1006" s="83"/>
      <c r="Y1006" s="20"/>
      <c r="AP1006" s="93"/>
      <c r="AQ1006" s="31"/>
      <c r="AR1006" s="31"/>
      <c r="AS1006" s="94"/>
      <c r="AT1006" s="31"/>
      <c r="AU1006" s="31"/>
      <c r="AV1006" s="94"/>
      <c r="AW1006" s="32"/>
      <c r="AX1006" s="32"/>
      <c r="AY1006" s="32"/>
      <c r="AZ1006" s="32"/>
      <c r="BA1006" s="32"/>
      <c r="BB1006" s="31"/>
      <c r="BC1006" s="31"/>
      <c r="BD1006" s="31"/>
      <c r="BE1006" s="31"/>
      <c r="BF1006" s="96"/>
      <c r="BG1006" s="31"/>
      <c r="BH1006" s="31"/>
      <c r="BI1006" s="31"/>
      <c r="BJ1006" s="31"/>
      <c r="BK1006" s="31"/>
      <c r="BL1006" s="31"/>
      <c r="BM1006" s="31"/>
      <c r="BN1006" s="32"/>
      <c r="BO1006" s="31"/>
      <c r="BP1006" s="31"/>
      <c r="BQ1006" s="33"/>
    </row>
    <row r="1007" spans="1:69" x14ac:dyDescent="0.35">
      <c r="A1007"/>
      <c r="D1007"/>
      <c r="G1007"/>
      <c r="H1007" s="20"/>
      <c r="I1007" s="20"/>
      <c r="J1007" s="20"/>
      <c r="K1007" s="20"/>
      <c r="L1007" s="20"/>
      <c r="Q1007" s="83"/>
      <c r="Y1007" s="20"/>
      <c r="AP1007" s="92"/>
      <c r="AQ1007" s="67"/>
      <c r="AR1007" s="67"/>
      <c r="AS1007" s="73"/>
      <c r="AT1007" s="67"/>
      <c r="AU1007" s="67"/>
      <c r="AV1007" s="73"/>
      <c r="AW1007" s="68"/>
      <c r="AX1007" s="68"/>
      <c r="AY1007" s="68"/>
      <c r="AZ1007" s="68"/>
      <c r="BA1007" s="68"/>
      <c r="BB1007" s="67"/>
      <c r="BC1007" s="67"/>
      <c r="BD1007" s="67"/>
      <c r="BE1007" s="67"/>
      <c r="BF1007" s="95"/>
      <c r="BG1007" s="67"/>
      <c r="BH1007" s="67"/>
      <c r="BI1007" s="67"/>
      <c r="BJ1007" s="67"/>
      <c r="BK1007" s="67"/>
      <c r="BL1007" s="67"/>
      <c r="BM1007" s="67"/>
      <c r="BN1007" s="68"/>
      <c r="BO1007" s="67"/>
      <c r="BP1007" s="67"/>
      <c r="BQ1007" s="69"/>
    </row>
    <row r="1008" spans="1:69" x14ac:dyDescent="0.35">
      <c r="A1008"/>
      <c r="D1008"/>
      <c r="G1008"/>
      <c r="H1008" s="20"/>
      <c r="I1008" s="20"/>
      <c r="J1008" s="20"/>
      <c r="K1008" s="20"/>
      <c r="L1008" s="20"/>
      <c r="Q1008" s="83"/>
      <c r="Y1008" s="20"/>
      <c r="AP1008" s="93"/>
      <c r="AQ1008" s="31"/>
      <c r="AR1008" s="31"/>
      <c r="AS1008" s="94"/>
      <c r="AT1008" s="31"/>
      <c r="AU1008" s="31"/>
      <c r="AV1008" s="94"/>
      <c r="AW1008" s="32"/>
      <c r="AX1008" s="32"/>
      <c r="AY1008" s="32"/>
      <c r="AZ1008" s="32"/>
      <c r="BA1008" s="32"/>
      <c r="BB1008" s="31"/>
      <c r="BC1008" s="31"/>
      <c r="BD1008" s="31"/>
      <c r="BE1008" s="31"/>
      <c r="BF1008" s="96"/>
      <c r="BG1008" s="31"/>
      <c r="BH1008" s="31"/>
      <c r="BI1008" s="31"/>
      <c r="BJ1008" s="31"/>
      <c r="BK1008" s="31"/>
      <c r="BL1008" s="31"/>
      <c r="BM1008" s="31"/>
      <c r="BN1008" s="32"/>
      <c r="BO1008" s="31"/>
      <c r="BP1008" s="31"/>
      <c r="BQ1008" s="33"/>
    </row>
    <row r="1009" spans="1:69" x14ac:dyDescent="0.35">
      <c r="A1009"/>
      <c r="D1009"/>
      <c r="G1009"/>
      <c r="H1009" s="20"/>
      <c r="I1009" s="20"/>
      <c r="J1009" s="20"/>
      <c r="K1009" s="20"/>
      <c r="L1009" s="20"/>
      <c r="Q1009" s="83"/>
      <c r="Y1009" s="20"/>
      <c r="AP1009" s="92"/>
      <c r="AQ1009" s="67"/>
      <c r="AR1009" s="67"/>
      <c r="AS1009" s="73"/>
      <c r="AT1009" s="67"/>
      <c r="AU1009" s="67"/>
      <c r="AV1009" s="73"/>
      <c r="AW1009" s="68"/>
      <c r="AX1009" s="68"/>
      <c r="AY1009" s="68"/>
      <c r="AZ1009" s="68"/>
      <c r="BA1009" s="68"/>
      <c r="BB1009" s="67"/>
      <c r="BC1009" s="67"/>
      <c r="BD1009" s="67"/>
      <c r="BE1009" s="67"/>
      <c r="BF1009" s="95"/>
      <c r="BG1009" s="67"/>
      <c r="BH1009" s="67"/>
      <c r="BI1009" s="67"/>
      <c r="BJ1009" s="67"/>
      <c r="BK1009" s="67"/>
      <c r="BL1009" s="67"/>
      <c r="BM1009" s="67"/>
      <c r="BN1009" s="68"/>
      <c r="BO1009" s="67"/>
      <c r="BP1009" s="67"/>
      <c r="BQ1009" s="69"/>
    </row>
    <row r="1010" spans="1:69" x14ac:dyDescent="0.35">
      <c r="A1010"/>
      <c r="D1010"/>
      <c r="G1010"/>
      <c r="H1010" s="20"/>
      <c r="I1010" s="20"/>
      <c r="J1010" s="20"/>
      <c r="K1010" s="20"/>
      <c r="L1010" s="20"/>
      <c r="Q1010" s="83"/>
      <c r="Y1010" s="20"/>
      <c r="AP1010" s="93"/>
      <c r="AQ1010" s="31"/>
      <c r="AR1010" s="31"/>
      <c r="AS1010" s="94"/>
      <c r="AT1010" s="31"/>
      <c r="AU1010" s="31"/>
      <c r="AV1010" s="94"/>
      <c r="AW1010" s="32"/>
      <c r="AX1010" s="32"/>
      <c r="AY1010" s="32"/>
      <c r="AZ1010" s="32"/>
      <c r="BA1010" s="32"/>
      <c r="BB1010" s="31"/>
      <c r="BC1010" s="31"/>
      <c r="BD1010" s="31"/>
      <c r="BE1010" s="31"/>
      <c r="BF1010" s="96"/>
      <c r="BG1010" s="31"/>
      <c r="BH1010" s="31"/>
      <c r="BI1010" s="31"/>
      <c r="BJ1010" s="31"/>
      <c r="BK1010" s="31"/>
      <c r="BL1010" s="31"/>
      <c r="BM1010" s="31"/>
      <c r="BN1010" s="32"/>
      <c r="BO1010" s="31"/>
      <c r="BP1010" s="31"/>
      <c r="BQ1010" s="33"/>
    </row>
    <row r="1011" spans="1:69" x14ac:dyDescent="0.35">
      <c r="A1011"/>
      <c r="D1011"/>
      <c r="G1011"/>
      <c r="H1011" s="20"/>
      <c r="I1011" s="20"/>
      <c r="J1011" s="20"/>
      <c r="K1011" s="20"/>
      <c r="L1011" s="20"/>
      <c r="Q1011" s="83"/>
      <c r="Y1011" s="20"/>
      <c r="AP1011" s="92"/>
      <c r="AQ1011" s="67"/>
      <c r="AR1011" s="67"/>
      <c r="AS1011" s="73"/>
      <c r="AT1011" s="67"/>
      <c r="AU1011" s="67"/>
      <c r="AV1011" s="73"/>
      <c r="AW1011" s="68"/>
      <c r="AX1011" s="68"/>
      <c r="AY1011" s="68"/>
      <c r="AZ1011" s="68"/>
      <c r="BA1011" s="68"/>
      <c r="BB1011" s="67"/>
      <c r="BC1011" s="67"/>
      <c r="BD1011" s="67"/>
      <c r="BE1011" s="67"/>
      <c r="BF1011" s="95"/>
      <c r="BG1011" s="67"/>
      <c r="BH1011" s="67"/>
      <c r="BI1011" s="67"/>
      <c r="BJ1011" s="67"/>
      <c r="BK1011" s="67"/>
      <c r="BL1011" s="67"/>
      <c r="BM1011" s="67"/>
      <c r="BN1011" s="68"/>
      <c r="BO1011" s="67"/>
      <c r="BP1011" s="67"/>
      <c r="BQ1011" s="69"/>
    </row>
    <row r="1012" spans="1:69" x14ac:dyDescent="0.35">
      <c r="A1012"/>
      <c r="D1012"/>
      <c r="G1012"/>
      <c r="H1012" s="20"/>
      <c r="I1012" s="20"/>
      <c r="J1012" s="20"/>
      <c r="K1012" s="20"/>
      <c r="L1012" s="20"/>
      <c r="Q1012" s="83"/>
      <c r="Y1012" s="20"/>
      <c r="AP1012" s="93"/>
      <c r="AQ1012" s="31"/>
      <c r="AR1012" s="31"/>
      <c r="AS1012" s="94"/>
      <c r="AT1012" s="31"/>
      <c r="AU1012" s="31"/>
      <c r="AV1012" s="94"/>
      <c r="AW1012" s="32"/>
      <c r="AX1012" s="32"/>
      <c r="AY1012" s="32"/>
      <c r="AZ1012" s="32"/>
      <c r="BA1012" s="32"/>
      <c r="BB1012" s="31"/>
      <c r="BC1012" s="31"/>
      <c r="BD1012" s="31"/>
      <c r="BE1012" s="31"/>
      <c r="BF1012" s="96"/>
      <c r="BG1012" s="31"/>
      <c r="BH1012" s="31"/>
      <c r="BI1012" s="31"/>
      <c r="BJ1012" s="31"/>
      <c r="BK1012" s="31"/>
      <c r="BL1012" s="31"/>
      <c r="BM1012" s="31"/>
      <c r="BN1012" s="32"/>
      <c r="BO1012" s="31"/>
      <c r="BP1012" s="31"/>
      <c r="BQ1012" s="33"/>
    </row>
    <row r="1013" spans="1:69" x14ac:dyDescent="0.35">
      <c r="A1013"/>
      <c r="D1013"/>
      <c r="G1013"/>
      <c r="H1013" s="20"/>
      <c r="I1013" s="20"/>
      <c r="J1013" s="20"/>
      <c r="K1013" s="20"/>
      <c r="L1013" s="20"/>
      <c r="Q1013" s="83"/>
      <c r="Y1013" s="20"/>
      <c r="AP1013" s="92"/>
      <c r="AQ1013" s="67"/>
      <c r="AR1013" s="67"/>
      <c r="AS1013" s="73"/>
      <c r="AT1013" s="67"/>
      <c r="AU1013" s="67"/>
      <c r="AV1013" s="73"/>
      <c r="AW1013" s="68"/>
      <c r="AX1013" s="68"/>
      <c r="AY1013" s="68"/>
      <c r="AZ1013" s="68"/>
      <c r="BA1013" s="68"/>
      <c r="BB1013" s="67"/>
      <c r="BC1013" s="67"/>
      <c r="BD1013" s="67"/>
      <c r="BE1013" s="67"/>
      <c r="BF1013" s="95"/>
      <c r="BG1013" s="67"/>
      <c r="BH1013" s="67"/>
      <c r="BI1013" s="67"/>
      <c r="BJ1013" s="67"/>
      <c r="BK1013" s="67"/>
      <c r="BL1013" s="67"/>
      <c r="BM1013" s="67"/>
      <c r="BN1013" s="68"/>
      <c r="BO1013" s="67"/>
      <c r="BP1013" s="67"/>
      <c r="BQ1013" s="69"/>
    </row>
    <row r="1014" spans="1:69" x14ac:dyDescent="0.35">
      <c r="A1014"/>
      <c r="D1014"/>
      <c r="G1014"/>
      <c r="H1014" s="20"/>
      <c r="I1014" s="20"/>
      <c r="J1014" s="20"/>
      <c r="K1014" s="20"/>
      <c r="L1014" s="20"/>
      <c r="Q1014" s="83"/>
      <c r="Y1014" s="20"/>
      <c r="AP1014" s="93"/>
      <c r="AQ1014" s="31"/>
      <c r="AR1014" s="31"/>
      <c r="AS1014" s="94"/>
      <c r="AT1014" s="31"/>
      <c r="AU1014" s="31"/>
      <c r="AV1014" s="94"/>
      <c r="AW1014" s="32"/>
      <c r="AX1014" s="32"/>
      <c r="AY1014" s="32"/>
      <c r="AZ1014" s="32"/>
      <c r="BA1014" s="32"/>
      <c r="BB1014" s="31"/>
      <c r="BC1014" s="31"/>
      <c r="BD1014" s="31"/>
      <c r="BE1014" s="31"/>
      <c r="BF1014" s="96"/>
      <c r="BG1014" s="31"/>
      <c r="BH1014" s="31"/>
      <c r="BI1014" s="31"/>
      <c r="BJ1014" s="31"/>
      <c r="BK1014" s="31"/>
      <c r="BL1014" s="31"/>
      <c r="BM1014" s="31"/>
      <c r="BN1014" s="32"/>
      <c r="BO1014" s="31"/>
      <c r="BP1014" s="31"/>
      <c r="BQ1014" s="33"/>
    </row>
    <row r="1015" spans="1:69" x14ac:dyDescent="0.35">
      <c r="A1015"/>
      <c r="D1015"/>
      <c r="G1015"/>
      <c r="H1015" s="20"/>
      <c r="I1015" s="20"/>
      <c r="J1015" s="20"/>
      <c r="K1015" s="20"/>
      <c r="L1015" s="20"/>
      <c r="Q1015" s="83"/>
      <c r="Y1015" s="20"/>
      <c r="AP1015" s="92"/>
      <c r="AQ1015" s="67"/>
      <c r="AR1015" s="67"/>
      <c r="AS1015" s="73"/>
      <c r="AT1015" s="67"/>
      <c r="AU1015" s="67"/>
      <c r="AV1015" s="73"/>
      <c r="AW1015" s="68"/>
      <c r="AX1015" s="68"/>
      <c r="AY1015" s="68"/>
      <c r="AZ1015" s="68"/>
      <c r="BA1015" s="68"/>
      <c r="BB1015" s="67"/>
      <c r="BC1015" s="67"/>
      <c r="BD1015" s="67"/>
      <c r="BE1015" s="67"/>
      <c r="BF1015" s="95"/>
      <c r="BG1015" s="67"/>
      <c r="BH1015" s="67"/>
      <c r="BI1015" s="67"/>
      <c r="BJ1015" s="67"/>
      <c r="BK1015" s="67"/>
      <c r="BL1015" s="67"/>
      <c r="BM1015" s="67"/>
      <c r="BN1015" s="68"/>
      <c r="BO1015" s="67"/>
      <c r="BP1015" s="67"/>
      <c r="BQ1015" s="69"/>
    </row>
    <row r="1016" spans="1:69" x14ac:dyDescent="0.35">
      <c r="A1016"/>
      <c r="D1016"/>
      <c r="G1016"/>
      <c r="H1016" s="20"/>
      <c r="I1016" s="20"/>
      <c r="J1016" s="20"/>
      <c r="K1016" s="20"/>
      <c r="L1016" s="20"/>
      <c r="Q1016" s="83"/>
      <c r="Y1016" s="20"/>
      <c r="AP1016" s="93"/>
      <c r="AQ1016" s="31"/>
      <c r="AR1016" s="31"/>
      <c r="AS1016" s="94"/>
      <c r="AT1016" s="31"/>
      <c r="AU1016" s="31"/>
      <c r="AV1016" s="94"/>
      <c r="AW1016" s="32"/>
      <c r="AX1016" s="32"/>
      <c r="AY1016" s="32"/>
      <c r="AZ1016" s="32"/>
      <c r="BA1016" s="32"/>
      <c r="BB1016" s="31"/>
      <c r="BC1016" s="31"/>
      <c r="BD1016" s="31"/>
      <c r="BE1016" s="31"/>
      <c r="BF1016" s="96"/>
      <c r="BG1016" s="31"/>
      <c r="BH1016" s="31"/>
      <c r="BI1016" s="31"/>
      <c r="BJ1016" s="31"/>
      <c r="BK1016" s="31"/>
      <c r="BL1016" s="31"/>
      <c r="BM1016" s="31"/>
      <c r="BN1016" s="32"/>
      <c r="BO1016" s="31"/>
      <c r="BP1016" s="31"/>
      <c r="BQ1016" s="33"/>
    </row>
    <row r="1017" spans="1:69" x14ac:dyDescent="0.35">
      <c r="A1017"/>
      <c r="D1017"/>
      <c r="G1017"/>
      <c r="H1017" s="20"/>
      <c r="I1017" s="20"/>
      <c r="J1017" s="20"/>
      <c r="K1017" s="20"/>
      <c r="L1017" s="20"/>
      <c r="Q1017" s="83"/>
      <c r="Y1017" s="20"/>
      <c r="AP1017" s="92"/>
      <c r="AQ1017" s="67"/>
      <c r="AR1017" s="67"/>
      <c r="AS1017" s="73"/>
      <c r="AT1017" s="67"/>
      <c r="AU1017" s="67"/>
      <c r="AV1017" s="73"/>
      <c r="AW1017" s="68"/>
      <c r="AX1017" s="68"/>
      <c r="AY1017" s="68"/>
      <c r="AZ1017" s="68"/>
      <c r="BA1017" s="68"/>
      <c r="BB1017" s="67"/>
      <c r="BC1017" s="67"/>
      <c r="BD1017" s="67"/>
      <c r="BE1017" s="67"/>
      <c r="BF1017" s="95"/>
      <c r="BG1017" s="67"/>
      <c r="BH1017" s="67"/>
      <c r="BI1017" s="67"/>
      <c r="BJ1017" s="67"/>
      <c r="BK1017" s="67"/>
      <c r="BL1017" s="67"/>
      <c r="BM1017" s="67"/>
      <c r="BN1017" s="68"/>
      <c r="BO1017" s="67"/>
      <c r="BP1017" s="67"/>
      <c r="BQ1017" s="69"/>
    </row>
    <row r="1018" spans="1:69" x14ac:dyDescent="0.35">
      <c r="A1018"/>
      <c r="D1018"/>
      <c r="G1018"/>
      <c r="H1018" s="20"/>
      <c r="I1018" s="20"/>
      <c r="J1018" s="20"/>
      <c r="K1018" s="20"/>
      <c r="L1018" s="20"/>
      <c r="Q1018" s="83"/>
      <c r="Y1018" s="20"/>
      <c r="AP1018" s="93"/>
      <c r="AQ1018" s="31"/>
      <c r="AR1018" s="31"/>
      <c r="AS1018" s="94"/>
      <c r="AT1018" s="31"/>
      <c r="AU1018" s="31"/>
      <c r="AV1018" s="94"/>
      <c r="AW1018" s="32"/>
      <c r="AX1018" s="32"/>
      <c r="AY1018" s="32"/>
      <c r="AZ1018" s="32"/>
      <c r="BA1018" s="32"/>
      <c r="BB1018" s="31"/>
      <c r="BC1018" s="31"/>
      <c r="BD1018" s="31"/>
      <c r="BE1018" s="31"/>
      <c r="BF1018" s="96"/>
      <c r="BG1018" s="31"/>
      <c r="BH1018" s="31"/>
      <c r="BI1018" s="31"/>
      <c r="BJ1018" s="31"/>
      <c r="BK1018" s="31"/>
      <c r="BL1018" s="31"/>
      <c r="BM1018" s="31"/>
      <c r="BN1018" s="32"/>
      <c r="BO1018" s="31"/>
      <c r="BP1018" s="31"/>
      <c r="BQ1018" s="33"/>
    </row>
    <row r="1019" spans="1:69" x14ac:dyDescent="0.35">
      <c r="A1019"/>
      <c r="D1019"/>
      <c r="G1019"/>
      <c r="H1019" s="20"/>
      <c r="I1019" s="20"/>
      <c r="J1019" s="20"/>
      <c r="K1019" s="20"/>
      <c r="L1019" s="20"/>
      <c r="Q1019" s="83"/>
      <c r="Y1019" s="20"/>
      <c r="AP1019" s="92"/>
      <c r="AQ1019" s="67"/>
      <c r="AR1019" s="67"/>
      <c r="AS1019" s="73"/>
      <c r="AT1019" s="67"/>
      <c r="AU1019" s="67"/>
      <c r="AV1019" s="73"/>
      <c r="AW1019" s="68"/>
      <c r="AX1019" s="68"/>
      <c r="AY1019" s="68"/>
      <c r="AZ1019" s="68"/>
      <c r="BA1019" s="68"/>
      <c r="BB1019" s="67"/>
      <c r="BC1019" s="67"/>
      <c r="BD1019" s="67"/>
      <c r="BE1019" s="67"/>
      <c r="BF1019" s="95"/>
      <c r="BG1019" s="67"/>
      <c r="BH1019" s="67"/>
      <c r="BI1019" s="67"/>
      <c r="BJ1019" s="67"/>
      <c r="BK1019" s="67"/>
      <c r="BL1019" s="67"/>
      <c r="BM1019" s="67"/>
      <c r="BN1019" s="68"/>
      <c r="BO1019" s="67"/>
      <c r="BP1019" s="67"/>
      <c r="BQ1019" s="69"/>
    </row>
    <row r="1020" spans="1:69" x14ac:dyDescent="0.35">
      <c r="A1020"/>
      <c r="D1020"/>
      <c r="G1020"/>
      <c r="H1020" s="20"/>
      <c r="I1020" s="20"/>
      <c r="J1020" s="20"/>
      <c r="K1020" s="20"/>
      <c r="L1020" s="20"/>
      <c r="Q1020" s="83"/>
      <c r="Y1020" s="20"/>
      <c r="AP1020" s="93"/>
      <c r="AQ1020" s="31"/>
      <c r="AR1020" s="31"/>
      <c r="AS1020" s="94"/>
      <c r="AT1020" s="31"/>
      <c r="AU1020" s="31"/>
      <c r="AV1020" s="94"/>
      <c r="AW1020" s="32"/>
      <c r="AX1020" s="32"/>
      <c r="AY1020" s="32"/>
      <c r="AZ1020" s="32"/>
      <c r="BA1020" s="32"/>
      <c r="BB1020" s="31"/>
      <c r="BC1020" s="31"/>
      <c r="BD1020" s="31"/>
      <c r="BE1020" s="31"/>
      <c r="BF1020" s="96"/>
      <c r="BG1020" s="31"/>
      <c r="BH1020" s="31"/>
      <c r="BI1020" s="31"/>
      <c r="BJ1020" s="31"/>
      <c r="BK1020" s="31"/>
      <c r="BL1020" s="31"/>
      <c r="BM1020" s="31"/>
      <c r="BN1020" s="32"/>
      <c r="BO1020" s="31"/>
      <c r="BP1020" s="31"/>
      <c r="BQ1020" s="33"/>
    </row>
    <row r="1021" spans="1:69" x14ac:dyDescent="0.35">
      <c r="A1021"/>
      <c r="D1021"/>
      <c r="G1021"/>
      <c r="H1021" s="20"/>
      <c r="I1021" s="20"/>
      <c r="J1021" s="20"/>
      <c r="K1021" s="20"/>
      <c r="L1021" s="20"/>
      <c r="Q1021" s="83"/>
      <c r="Y1021" s="20"/>
      <c r="AP1021" s="92"/>
      <c r="AQ1021" s="67"/>
      <c r="AR1021" s="67"/>
      <c r="AS1021" s="73"/>
      <c r="AT1021" s="67"/>
      <c r="AU1021" s="67"/>
      <c r="AV1021" s="73"/>
      <c r="AW1021" s="68"/>
      <c r="AX1021" s="68"/>
      <c r="AY1021" s="68"/>
      <c r="AZ1021" s="68"/>
      <c r="BA1021" s="68"/>
      <c r="BB1021" s="67"/>
      <c r="BC1021" s="67"/>
      <c r="BD1021" s="67"/>
      <c r="BE1021" s="67"/>
      <c r="BF1021" s="95"/>
      <c r="BG1021" s="67"/>
      <c r="BH1021" s="67"/>
      <c r="BI1021" s="67"/>
      <c r="BJ1021" s="67"/>
      <c r="BK1021" s="67"/>
      <c r="BL1021" s="67"/>
      <c r="BM1021" s="67"/>
      <c r="BN1021" s="68"/>
      <c r="BO1021" s="67"/>
      <c r="BP1021" s="67"/>
      <c r="BQ1021" s="69"/>
    </row>
    <row r="1022" spans="1:69" x14ac:dyDescent="0.35">
      <c r="A1022"/>
      <c r="D1022"/>
      <c r="G1022"/>
      <c r="H1022" s="20"/>
      <c r="I1022" s="20"/>
      <c r="J1022" s="20"/>
      <c r="K1022" s="20"/>
      <c r="L1022" s="20"/>
      <c r="Q1022" s="83"/>
      <c r="Y1022" s="20"/>
      <c r="AP1022" s="93"/>
      <c r="AQ1022" s="31"/>
      <c r="AR1022" s="31"/>
      <c r="AS1022" s="94"/>
      <c r="AT1022" s="31"/>
      <c r="AU1022" s="31"/>
      <c r="AV1022" s="94"/>
      <c r="AW1022" s="32"/>
      <c r="AX1022" s="32"/>
      <c r="AY1022" s="32"/>
      <c r="AZ1022" s="32"/>
      <c r="BA1022" s="32"/>
      <c r="BB1022" s="31"/>
      <c r="BC1022" s="31"/>
      <c r="BD1022" s="31"/>
      <c r="BE1022" s="31"/>
      <c r="BF1022" s="96"/>
      <c r="BG1022" s="31"/>
      <c r="BH1022" s="31"/>
      <c r="BI1022" s="31"/>
      <c r="BJ1022" s="31"/>
      <c r="BK1022" s="31"/>
      <c r="BL1022" s="31"/>
      <c r="BM1022" s="31"/>
      <c r="BN1022" s="32"/>
      <c r="BO1022" s="31"/>
      <c r="BP1022" s="31"/>
      <c r="BQ1022" s="33"/>
    </row>
    <row r="1023" spans="1:69" x14ac:dyDescent="0.35">
      <c r="A1023"/>
      <c r="D1023"/>
      <c r="G1023"/>
      <c r="H1023" s="20"/>
      <c r="I1023" s="20"/>
      <c r="J1023" s="20"/>
      <c r="K1023" s="20"/>
      <c r="L1023" s="20"/>
      <c r="Q1023" s="83"/>
      <c r="Y1023" s="20"/>
      <c r="AP1023" s="92"/>
      <c r="AQ1023" s="67"/>
      <c r="AR1023" s="67"/>
      <c r="AS1023" s="73"/>
      <c r="AT1023" s="67"/>
      <c r="AU1023" s="67"/>
      <c r="AV1023" s="73"/>
      <c r="AW1023" s="68"/>
      <c r="AX1023" s="68"/>
      <c r="AY1023" s="68"/>
      <c r="AZ1023" s="68"/>
      <c r="BA1023" s="68"/>
      <c r="BB1023" s="67"/>
      <c r="BC1023" s="67"/>
      <c r="BD1023" s="67"/>
      <c r="BE1023" s="67"/>
      <c r="BF1023" s="95"/>
      <c r="BG1023" s="67"/>
      <c r="BH1023" s="67"/>
      <c r="BI1023" s="67"/>
      <c r="BJ1023" s="67"/>
      <c r="BK1023" s="67"/>
      <c r="BL1023" s="67"/>
      <c r="BM1023" s="67"/>
      <c r="BN1023" s="68"/>
      <c r="BO1023" s="67"/>
      <c r="BP1023" s="67"/>
      <c r="BQ1023" s="69"/>
    </row>
    <row r="1024" spans="1:69" x14ac:dyDescent="0.35">
      <c r="A1024"/>
      <c r="D1024"/>
      <c r="G1024"/>
      <c r="H1024" s="20"/>
      <c r="I1024" s="20"/>
      <c r="J1024" s="20"/>
      <c r="K1024" s="20"/>
      <c r="L1024" s="20"/>
      <c r="Q1024" s="83"/>
      <c r="Y1024" s="20"/>
      <c r="AP1024" s="93"/>
      <c r="AQ1024" s="31"/>
      <c r="AR1024" s="31"/>
      <c r="AS1024" s="94"/>
      <c r="AT1024" s="31"/>
      <c r="AU1024" s="31"/>
      <c r="AV1024" s="94"/>
      <c r="AW1024" s="32"/>
      <c r="AX1024" s="32"/>
      <c r="AY1024" s="32"/>
      <c r="AZ1024" s="32"/>
      <c r="BA1024" s="32"/>
      <c r="BB1024" s="31"/>
      <c r="BC1024" s="31"/>
      <c r="BD1024" s="31"/>
      <c r="BE1024" s="31"/>
      <c r="BF1024" s="96"/>
      <c r="BG1024" s="31"/>
      <c r="BH1024" s="31"/>
      <c r="BI1024" s="31"/>
      <c r="BJ1024" s="31"/>
      <c r="BK1024" s="31"/>
      <c r="BL1024" s="31"/>
      <c r="BM1024" s="31"/>
      <c r="BN1024" s="32"/>
      <c r="BO1024" s="31"/>
      <c r="BP1024" s="31"/>
      <c r="BQ1024" s="33"/>
    </row>
    <row r="1025" spans="1:69" x14ac:dyDescent="0.35">
      <c r="A1025"/>
      <c r="D1025"/>
      <c r="G1025"/>
      <c r="H1025" s="20"/>
      <c r="I1025" s="20"/>
      <c r="J1025" s="20"/>
      <c r="K1025" s="20"/>
      <c r="L1025" s="20"/>
      <c r="Q1025" s="83"/>
      <c r="Y1025" s="20"/>
      <c r="AP1025" s="92"/>
      <c r="AQ1025" s="67"/>
      <c r="AR1025" s="67"/>
      <c r="AS1025" s="73"/>
      <c r="AT1025" s="67"/>
      <c r="AU1025" s="67"/>
      <c r="AV1025" s="73"/>
      <c r="AW1025" s="68"/>
      <c r="AX1025" s="68"/>
      <c r="AY1025" s="68"/>
      <c r="AZ1025" s="68"/>
      <c r="BA1025" s="68"/>
      <c r="BB1025" s="67"/>
      <c r="BC1025" s="67"/>
      <c r="BD1025" s="67"/>
      <c r="BE1025" s="67"/>
      <c r="BF1025" s="95"/>
      <c r="BG1025" s="67"/>
      <c r="BH1025" s="67"/>
      <c r="BI1025" s="67"/>
      <c r="BJ1025" s="67"/>
      <c r="BK1025" s="67"/>
      <c r="BL1025" s="67"/>
      <c r="BM1025" s="67"/>
      <c r="BN1025" s="68"/>
      <c r="BO1025" s="67"/>
      <c r="BP1025" s="67"/>
      <c r="BQ1025" s="69"/>
    </row>
    <row r="1026" spans="1:69" x14ac:dyDescent="0.35">
      <c r="A1026"/>
      <c r="D1026"/>
      <c r="G1026"/>
      <c r="H1026" s="20"/>
      <c r="I1026" s="20"/>
      <c r="J1026" s="20"/>
      <c r="K1026" s="20"/>
      <c r="L1026" s="20"/>
      <c r="Q1026" s="83"/>
      <c r="Y1026" s="20"/>
      <c r="AP1026" s="93"/>
      <c r="AQ1026" s="31"/>
      <c r="AR1026" s="31"/>
      <c r="AS1026" s="94"/>
      <c r="AT1026" s="31"/>
      <c r="AU1026" s="31"/>
      <c r="AV1026" s="94"/>
      <c r="AW1026" s="32"/>
      <c r="AX1026" s="32"/>
      <c r="AY1026" s="32"/>
      <c r="AZ1026" s="32"/>
      <c r="BA1026" s="32"/>
      <c r="BB1026" s="31"/>
      <c r="BC1026" s="31"/>
      <c r="BD1026" s="31"/>
      <c r="BE1026" s="31"/>
      <c r="BF1026" s="96"/>
      <c r="BG1026" s="31"/>
      <c r="BH1026" s="31"/>
      <c r="BI1026" s="31"/>
      <c r="BJ1026" s="31"/>
      <c r="BK1026" s="31"/>
      <c r="BL1026" s="31"/>
      <c r="BM1026" s="31"/>
      <c r="BN1026" s="32"/>
      <c r="BO1026" s="31"/>
      <c r="BP1026" s="31"/>
      <c r="BQ1026" s="33"/>
    </row>
    <row r="1027" spans="1:69" x14ac:dyDescent="0.35">
      <c r="A1027"/>
      <c r="D1027"/>
      <c r="G1027"/>
      <c r="H1027" s="20"/>
      <c r="I1027" s="20"/>
      <c r="J1027" s="20"/>
      <c r="K1027" s="20"/>
      <c r="L1027" s="20"/>
      <c r="Q1027" s="83"/>
      <c r="Y1027" s="20"/>
      <c r="AP1027" s="92"/>
      <c r="AQ1027" s="67"/>
      <c r="AR1027" s="67"/>
      <c r="AS1027" s="73"/>
      <c r="AT1027" s="67"/>
      <c r="AU1027" s="67"/>
      <c r="AV1027" s="73"/>
      <c r="AW1027" s="68"/>
      <c r="AX1027" s="68"/>
      <c r="AY1027" s="68"/>
      <c r="AZ1027" s="68"/>
      <c r="BA1027" s="68"/>
      <c r="BB1027" s="67"/>
      <c r="BC1027" s="67"/>
      <c r="BD1027" s="67"/>
      <c r="BE1027" s="67"/>
      <c r="BF1027" s="95"/>
      <c r="BG1027" s="67"/>
      <c r="BH1027" s="67"/>
      <c r="BI1027" s="67"/>
      <c r="BJ1027" s="67"/>
      <c r="BK1027" s="67"/>
      <c r="BL1027" s="67"/>
      <c r="BM1027" s="67"/>
      <c r="BN1027" s="68"/>
      <c r="BO1027" s="67"/>
      <c r="BP1027" s="67"/>
      <c r="BQ1027" s="69"/>
    </row>
    <row r="1028" spans="1:69" x14ac:dyDescent="0.35">
      <c r="A1028"/>
      <c r="D1028"/>
      <c r="G1028"/>
      <c r="H1028" s="20"/>
      <c r="I1028" s="20"/>
      <c r="J1028" s="20"/>
      <c r="K1028" s="20"/>
      <c r="L1028" s="20"/>
      <c r="Q1028" s="83"/>
      <c r="Y1028" s="20"/>
      <c r="AP1028" s="93"/>
      <c r="AQ1028" s="31"/>
      <c r="AR1028" s="31"/>
      <c r="AS1028" s="94"/>
      <c r="AT1028" s="31"/>
      <c r="AU1028" s="31"/>
      <c r="AV1028" s="94"/>
      <c r="AW1028" s="32"/>
      <c r="AX1028" s="32"/>
      <c r="AY1028" s="32"/>
      <c r="AZ1028" s="32"/>
      <c r="BA1028" s="32"/>
      <c r="BB1028" s="31"/>
      <c r="BC1028" s="31"/>
      <c r="BD1028" s="31"/>
      <c r="BE1028" s="31"/>
      <c r="BF1028" s="96"/>
      <c r="BG1028" s="31"/>
      <c r="BH1028" s="31"/>
      <c r="BI1028" s="31"/>
      <c r="BJ1028" s="31"/>
      <c r="BK1028" s="31"/>
      <c r="BL1028" s="31"/>
      <c r="BM1028" s="31"/>
      <c r="BN1028" s="32"/>
      <c r="BO1028" s="31"/>
      <c r="BP1028" s="31"/>
      <c r="BQ1028" s="33"/>
    </row>
    <row r="1029" spans="1:69" x14ac:dyDescent="0.35">
      <c r="A1029"/>
      <c r="D1029"/>
      <c r="G1029"/>
      <c r="H1029" s="20"/>
      <c r="I1029" s="20"/>
      <c r="J1029" s="20"/>
      <c r="K1029" s="20"/>
      <c r="L1029" s="20"/>
      <c r="Q1029" s="83"/>
      <c r="Y1029" s="20"/>
      <c r="AP1029" s="92"/>
      <c r="AQ1029" s="67"/>
      <c r="AR1029" s="67"/>
      <c r="AS1029" s="73"/>
      <c r="AT1029" s="67"/>
      <c r="AU1029" s="67"/>
      <c r="AV1029" s="73"/>
      <c r="AW1029" s="68"/>
      <c r="AX1029" s="68"/>
      <c r="AY1029" s="68"/>
      <c r="AZ1029" s="68"/>
      <c r="BA1029" s="68"/>
      <c r="BB1029" s="67"/>
      <c r="BC1029" s="67"/>
      <c r="BD1029" s="67"/>
      <c r="BE1029" s="67"/>
      <c r="BF1029" s="95"/>
      <c r="BG1029" s="67"/>
      <c r="BH1029" s="67"/>
      <c r="BI1029" s="67"/>
      <c r="BJ1029" s="67"/>
      <c r="BK1029" s="67"/>
      <c r="BL1029" s="67"/>
      <c r="BM1029" s="67"/>
      <c r="BN1029" s="68"/>
      <c r="BO1029" s="67"/>
      <c r="BP1029" s="67"/>
      <c r="BQ1029" s="69"/>
    </row>
    <row r="1030" spans="1:69" x14ac:dyDescent="0.35">
      <c r="A1030"/>
      <c r="D1030"/>
      <c r="G1030"/>
      <c r="H1030" s="20"/>
      <c r="I1030" s="20"/>
      <c r="J1030" s="20"/>
      <c r="K1030" s="20"/>
      <c r="L1030" s="20"/>
      <c r="Q1030" s="83"/>
      <c r="Y1030" s="20"/>
      <c r="AP1030" s="93"/>
      <c r="AQ1030" s="31"/>
      <c r="AR1030" s="31"/>
      <c r="AS1030" s="94"/>
      <c r="AT1030" s="31"/>
      <c r="AU1030" s="31"/>
      <c r="AV1030" s="94"/>
      <c r="AW1030" s="32"/>
      <c r="AX1030" s="32"/>
      <c r="AY1030" s="32"/>
      <c r="AZ1030" s="32"/>
      <c r="BA1030" s="32"/>
      <c r="BB1030" s="31"/>
      <c r="BC1030" s="31"/>
      <c r="BD1030" s="31"/>
      <c r="BE1030" s="31"/>
      <c r="BF1030" s="96"/>
      <c r="BG1030" s="31"/>
      <c r="BH1030" s="31"/>
      <c r="BI1030" s="31"/>
      <c r="BJ1030" s="31"/>
      <c r="BK1030" s="31"/>
      <c r="BL1030" s="31"/>
      <c r="BM1030" s="31"/>
      <c r="BN1030" s="32"/>
      <c r="BO1030" s="31"/>
      <c r="BP1030" s="31"/>
      <c r="BQ1030" s="33"/>
    </row>
    <row r="1031" spans="1:69" x14ac:dyDescent="0.35">
      <c r="A1031"/>
      <c r="D1031"/>
      <c r="G1031"/>
      <c r="H1031" s="20"/>
      <c r="I1031" s="20"/>
      <c r="J1031" s="20"/>
      <c r="K1031" s="20"/>
      <c r="L1031" s="20"/>
      <c r="Q1031" s="83"/>
      <c r="Y1031" s="20"/>
      <c r="AP1031" s="92"/>
      <c r="AQ1031" s="67"/>
      <c r="AR1031" s="67"/>
      <c r="AS1031" s="73"/>
      <c r="AT1031" s="67"/>
      <c r="AU1031" s="67"/>
      <c r="AV1031" s="73"/>
      <c r="AW1031" s="68"/>
      <c r="AX1031" s="68"/>
      <c r="AY1031" s="68"/>
      <c r="AZ1031" s="68"/>
      <c r="BA1031" s="68"/>
      <c r="BB1031" s="67"/>
      <c r="BC1031" s="67"/>
      <c r="BD1031" s="67"/>
      <c r="BE1031" s="67"/>
      <c r="BF1031" s="95"/>
      <c r="BG1031" s="67"/>
      <c r="BH1031" s="67"/>
      <c r="BI1031" s="67"/>
      <c r="BJ1031" s="67"/>
      <c r="BK1031" s="67"/>
      <c r="BL1031" s="67"/>
      <c r="BM1031" s="67"/>
      <c r="BN1031" s="68"/>
      <c r="BO1031" s="67"/>
      <c r="BP1031" s="67"/>
      <c r="BQ1031" s="69"/>
    </row>
    <row r="1032" spans="1:69" x14ac:dyDescent="0.35">
      <c r="A1032"/>
      <c r="D1032"/>
      <c r="G1032"/>
      <c r="H1032" s="20"/>
      <c r="I1032" s="20"/>
      <c r="J1032" s="20"/>
      <c r="K1032" s="20"/>
      <c r="L1032" s="20"/>
      <c r="Q1032" s="83"/>
      <c r="Y1032" s="20"/>
      <c r="AP1032" s="93"/>
      <c r="AQ1032" s="31"/>
      <c r="AR1032" s="31"/>
      <c r="AS1032" s="94"/>
      <c r="AT1032" s="31"/>
      <c r="AU1032" s="31"/>
      <c r="AV1032" s="94"/>
      <c r="AW1032" s="32"/>
      <c r="AX1032" s="32"/>
      <c r="AY1032" s="32"/>
      <c r="AZ1032" s="32"/>
      <c r="BA1032" s="32"/>
      <c r="BB1032" s="31"/>
      <c r="BC1032" s="31"/>
      <c r="BD1032" s="31"/>
      <c r="BE1032" s="31"/>
      <c r="BF1032" s="96"/>
      <c r="BG1032" s="31"/>
      <c r="BH1032" s="31"/>
      <c r="BI1032" s="31"/>
      <c r="BJ1032" s="31"/>
      <c r="BK1032" s="31"/>
      <c r="BL1032" s="31"/>
      <c r="BM1032" s="31"/>
      <c r="BN1032" s="32"/>
      <c r="BO1032" s="31"/>
      <c r="BP1032" s="31"/>
      <c r="BQ1032" s="33"/>
    </row>
    <row r="1033" spans="1:69" x14ac:dyDescent="0.35">
      <c r="A1033"/>
      <c r="D1033"/>
      <c r="G1033"/>
      <c r="H1033" s="20"/>
      <c r="I1033" s="20"/>
      <c r="J1033" s="20"/>
      <c r="K1033" s="20"/>
      <c r="L1033" s="20"/>
      <c r="Q1033" s="83"/>
      <c r="Y1033" s="20"/>
      <c r="AP1033" s="92"/>
      <c r="AQ1033" s="67"/>
      <c r="AR1033" s="67"/>
      <c r="AS1033" s="73"/>
      <c r="AT1033" s="67"/>
      <c r="AU1033" s="67"/>
      <c r="AV1033" s="73"/>
      <c r="AW1033" s="68"/>
      <c r="AX1033" s="68"/>
      <c r="AY1033" s="68"/>
      <c r="AZ1033" s="68"/>
      <c r="BA1033" s="68"/>
      <c r="BB1033" s="67"/>
      <c r="BC1033" s="67"/>
      <c r="BD1033" s="67"/>
      <c r="BE1033" s="67"/>
      <c r="BF1033" s="95"/>
      <c r="BG1033" s="67"/>
      <c r="BH1033" s="67"/>
      <c r="BI1033" s="67"/>
      <c r="BJ1033" s="67"/>
      <c r="BK1033" s="67"/>
      <c r="BL1033" s="67"/>
      <c r="BM1033" s="67"/>
      <c r="BN1033" s="68"/>
      <c r="BO1033" s="67"/>
      <c r="BP1033" s="67"/>
      <c r="BQ1033" s="69"/>
    </row>
    <row r="1034" spans="1:69" x14ac:dyDescent="0.35">
      <c r="A1034"/>
      <c r="D1034"/>
      <c r="G1034"/>
      <c r="H1034" s="20"/>
      <c r="I1034" s="20"/>
      <c r="J1034" s="20"/>
      <c r="K1034" s="20"/>
      <c r="L1034" s="20"/>
      <c r="Q1034" s="83"/>
      <c r="Y1034" s="20"/>
      <c r="AP1034" s="93"/>
      <c r="AQ1034" s="31"/>
      <c r="AR1034" s="31"/>
      <c r="AS1034" s="94"/>
      <c r="AT1034" s="31"/>
      <c r="AU1034" s="31"/>
      <c r="AV1034" s="94"/>
      <c r="AW1034" s="32"/>
      <c r="AX1034" s="32"/>
      <c r="AY1034" s="32"/>
      <c r="AZ1034" s="32"/>
      <c r="BA1034" s="32"/>
      <c r="BB1034" s="31"/>
      <c r="BC1034" s="31"/>
      <c r="BD1034" s="31"/>
      <c r="BE1034" s="31"/>
      <c r="BF1034" s="96"/>
      <c r="BG1034" s="31"/>
      <c r="BH1034" s="31"/>
      <c r="BI1034" s="31"/>
      <c r="BJ1034" s="31"/>
      <c r="BK1034" s="31"/>
      <c r="BL1034" s="31"/>
      <c r="BM1034" s="31"/>
      <c r="BN1034" s="32"/>
      <c r="BO1034" s="31"/>
      <c r="BP1034" s="31"/>
      <c r="BQ1034" s="33"/>
    </row>
    <row r="1035" spans="1:69" x14ac:dyDescent="0.35">
      <c r="A1035"/>
      <c r="D1035"/>
      <c r="G1035"/>
      <c r="H1035" s="20"/>
      <c r="I1035" s="20"/>
      <c r="J1035" s="20"/>
      <c r="K1035" s="20"/>
      <c r="L1035" s="20"/>
      <c r="Q1035" s="83"/>
      <c r="Y1035" s="20"/>
      <c r="AP1035" s="92"/>
      <c r="AQ1035" s="67"/>
      <c r="AR1035" s="67"/>
      <c r="AS1035" s="73"/>
      <c r="AT1035" s="67"/>
      <c r="AU1035" s="67"/>
      <c r="AV1035" s="73"/>
      <c r="AW1035" s="68"/>
      <c r="AX1035" s="68"/>
      <c r="AY1035" s="68"/>
      <c r="AZ1035" s="68"/>
      <c r="BA1035" s="68"/>
      <c r="BB1035" s="67"/>
      <c r="BC1035" s="67"/>
      <c r="BD1035" s="67"/>
      <c r="BE1035" s="67"/>
      <c r="BF1035" s="95"/>
      <c r="BG1035" s="67"/>
      <c r="BH1035" s="67"/>
      <c r="BI1035" s="67"/>
      <c r="BJ1035" s="67"/>
      <c r="BK1035" s="67"/>
      <c r="BL1035" s="67"/>
      <c r="BM1035" s="67"/>
      <c r="BN1035" s="68"/>
      <c r="BO1035" s="67"/>
      <c r="BP1035" s="67"/>
      <c r="BQ1035" s="69"/>
    </row>
    <row r="1036" spans="1:69" x14ac:dyDescent="0.35">
      <c r="A1036"/>
      <c r="D1036"/>
      <c r="G1036"/>
      <c r="H1036" s="20"/>
      <c r="I1036" s="20"/>
      <c r="J1036" s="20"/>
      <c r="K1036" s="20"/>
      <c r="L1036" s="20"/>
      <c r="Q1036" s="83"/>
      <c r="Y1036" s="20"/>
      <c r="AP1036" s="93"/>
      <c r="AQ1036" s="31"/>
      <c r="AR1036" s="31"/>
      <c r="AS1036" s="94"/>
      <c r="AT1036" s="31"/>
      <c r="AU1036" s="31"/>
      <c r="AV1036" s="94"/>
      <c r="AW1036" s="32"/>
      <c r="AX1036" s="32"/>
      <c r="AY1036" s="32"/>
      <c r="AZ1036" s="32"/>
      <c r="BA1036" s="32"/>
      <c r="BB1036" s="31"/>
      <c r="BC1036" s="31"/>
      <c r="BD1036" s="31"/>
      <c r="BE1036" s="31"/>
      <c r="BF1036" s="96"/>
      <c r="BG1036" s="31"/>
      <c r="BH1036" s="31"/>
      <c r="BI1036" s="31"/>
      <c r="BJ1036" s="31"/>
      <c r="BK1036" s="31"/>
      <c r="BL1036" s="31"/>
      <c r="BM1036" s="31"/>
      <c r="BN1036" s="32"/>
      <c r="BO1036" s="31"/>
      <c r="BP1036" s="31"/>
      <c r="BQ1036" s="33"/>
    </row>
    <row r="1037" spans="1:69" x14ac:dyDescent="0.35">
      <c r="A1037"/>
      <c r="D1037"/>
      <c r="G1037"/>
      <c r="H1037" s="20"/>
      <c r="I1037" s="20"/>
      <c r="J1037" s="20"/>
      <c r="K1037" s="20"/>
      <c r="L1037" s="20"/>
      <c r="Q1037" s="83"/>
      <c r="Y1037" s="20"/>
      <c r="AP1037" s="92"/>
      <c r="AQ1037" s="67"/>
      <c r="AR1037" s="67"/>
      <c r="AS1037" s="73"/>
      <c r="AT1037" s="67"/>
      <c r="AU1037" s="67"/>
      <c r="AV1037" s="73"/>
      <c r="AW1037" s="68"/>
      <c r="AX1037" s="68"/>
      <c r="AY1037" s="68"/>
      <c r="AZ1037" s="68"/>
      <c r="BA1037" s="68"/>
      <c r="BB1037" s="67"/>
      <c r="BC1037" s="67"/>
      <c r="BD1037" s="67"/>
      <c r="BE1037" s="67"/>
      <c r="BF1037" s="95"/>
      <c r="BG1037" s="67"/>
      <c r="BH1037" s="67"/>
      <c r="BI1037" s="67"/>
      <c r="BJ1037" s="67"/>
      <c r="BK1037" s="67"/>
      <c r="BL1037" s="67"/>
      <c r="BM1037" s="67"/>
      <c r="BN1037" s="68"/>
      <c r="BO1037" s="67"/>
      <c r="BP1037" s="67"/>
      <c r="BQ1037" s="69"/>
    </row>
    <row r="1038" spans="1:69" x14ac:dyDescent="0.35">
      <c r="A1038"/>
      <c r="D1038"/>
      <c r="G1038"/>
      <c r="H1038" s="20"/>
      <c r="I1038" s="20"/>
      <c r="J1038" s="20"/>
      <c r="K1038" s="20"/>
      <c r="L1038" s="20"/>
      <c r="Q1038" s="83"/>
      <c r="Y1038" s="20"/>
      <c r="AP1038" s="93"/>
      <c r="AQ1038" s="31"/>
      <c r="AR1038" s="31"/>
      <c r="AS1038" s="94"/>
      <c r="AT1038" s="31"/>
      <c r="AU1038" s="31"/>
      <c r="AV1038" s="94"/>
      <c r="AW1038" s="32"/>
      <c r="AX1038" s="32"/>
      <c r="AY1038" s="32"/>
      <c r="AZ1038" s="32"/>
      <c r="BA1038" s="32"/>
      <c r="BB1038" s="31"/>
      <c r="BC1038" s="31"/>
      <c r="BD1038" s="31"/>
      <c r="BE1038" s="31"/>
      <c r="BF1038" s="96"/>
      <c r="BG1038" s="31"/>
      <c r="BH1038" s="31"/>
      <c r="BI1038" s="31"/>
      <c r="BJ1038" s="31"/>
      <c r="BK1038" s="31"/>
      <c r="BL1038" s="31"/>
      <c r="BM1038" s="31"/>
      <c r="BN1038" s="32"/>
      <c r="BO1038" s="31"/>
      <c r="BP1038" s="31"/>
      <c r="BQ1038" s="33"/>
    </row>
    <row r="1039" spans="1:69" x14ac:dyDescent="0.35">
      <c r="A1039"/>
      <c r="D1039"/>
      <c r="G1039"/>
      <c r="H1039" s="20"/>
      <c r="I1039" s="20"/>
      <c r="J1039" s="20"/>
      <c r="K1039" s="20"/>
      <c r="L1039" s="20"/>
      <c r="Q1039" s="83"/>
      <c r="Y1039" s="20"/>
      <c r="AP1039" s="92"/>
      <c r="AQ1039" s="67"/>
      <c r="AR1039" s="67"/>
      <c r="AS1039" s="73"/>
      <c r="AT1039" s="67"/>
      <c r="AU1039" s="67"/>
      <c r="AV1039" s="73"/>
      <c r="AW1039" s="68"/>
      <c r="AX1039" s="68"/>
      <c r="AY1039" s="68"/>
      <c r="AZ1039" s="68"/>
      <c r="BA1039" s="68"/>
      <c r="BB1039" s="67"/>
      <c r="BC1039" s="67"/>
      <c r="BD1039" s="67"/>
      <c r="BE1039" s="67"/>
      <c r="BF1039" s="95"/>
      <c r="BG1039" s="67"/>
      <c r="BH1039" s="67"/>
      <c r="BI1039" s="67"/>
      <c r="BJ1039" s="67"/>
      <c r="BK1039" s="67"/>
      <c r="BL1039" s="67"/>
      <c r="BM1039" s="67"/>
      <c r="BN1039" s="68"/>
      <c r="BO1039" s="67"/>
      <c r="BP1039" s="67"/>
      <c r="BQ1039" s="69"/>
    </row>
    <row r="1040" spans="1:69" x14ac:dyDescent="0.35">
      <c r="A1040"/>
      <c r="D1040"/>
      <c r="G1040"/>
      <c r="H1040" s="20"/>
      <c r="I1040" s="20"/>
      <c r="J1040" s="20"/>
      <c r="K1040" s="20"/>
      <c r="L1040" s="20"/>
      <c r="Q1040" s="83"/>
      <c r="Y1040" s="20"/>
      <c r="AP1040" s="93"/>
      <c r="AQ1040" s="31"/>
      <c r="AR1040" s="31"/>
      <c r="AS1040" s="94"/>
      <c r="AT1040" s="31"/>
      <c r="AU1040" s="31"/>
      <c r="AV1040" s="94"/>
      <c r="AW1040" s="32"/>
      <c r="AX1040" s="32"/>
      <c r="AY1040" s="32"/>
      <c r="AZ1040" s="32"/>
      <c r="BA1040" s="32"/>
      <c r="BB1040" s="31"/>
      <c r="BC1040" s="31"/>
      <c r="BD1040" s="31"/>
      <c r="BE1040" s="31"/>
      <c r="BF1040" s="96"/>
      <c r="BG1040" s="31"/>
      <c r="BH1040" s="31"/>
      <c r="BI1040" s="31"/>
      <c r="BJ1040" s="31"/>
      <c r="BK1040" s="31"/>
      <c r="BL1040" s="31"/>
      <c r="BM1040" s="31"/>
      <c r="BN1040" s="32"/>
      <c r="BO1040" s="31"/>
      <c r="BP1040" s="31"/>
      <c r="BQ1040" s="33"/>
    </row>
    <row r="1041" spans="1:69" x14ac:dyDescent="0.35">
      <c r="A1041"/>
      <c r="D1041"/>
      <c r="G1041"/>
      <c r="H1041" s="20"/>
      <c r="I1041" s="20"/>
      <c r="J1041" s="20"/>
      <c r="K1041" s="20"/>
      <c r="L1041" s="20"/>
      <c r="Q1041" s="83"/>
      <c r="Y1041" s="20"/>
      <c r="AP1041" s="92"/>
      <c r="AQ1041" s="67"/>
      <c r="AR1041" s="67"/>
      <c r="AS1041" s="73"/>
      <c r="AT1041" s="67"/>
      <c r="AU1041" s="67"/>
      <c r="AV1041" s="73"/>
      <c r="AW1041" s="68"/>
      <c r="AX1041" s="68"/>
      <c r="AY1041" s="68"/>
      <c r="AZ1041" s="68"/>
      <c r="BA1041" s="68"/>
      <c r="BB1041" s="67"/>
      <c r="BC1041" s="67"/>
      <c r="BD1041" s="67"/>
      <c r="BE1041" s="67"/>
      <c r="BF1041" s="95"/>
      <c r="BG1041" s="67"/>
      <c r="BH1041" s="67"/>
      <c r="BI1041" s="67"/>
      <c r="BJ1041" s="67"/>
      <c r="BK1041" s="67"/>
      <c r="BL1041" s="67"/>
      <c r="BM1041" s="67"/>
      <c r="BN1041" s="68"/>
      <c r="BO1041" s="67"/>
      <c r="BP1041" s="67"/>
      <c r="BQ1041" s="69"/>
    </row>
    <row r="1042" spans="1:69" x14ac:dyDescent="0.35">
      <c r="A1042"/>
      <c r="D1042"/>
      <c r="G1042"/>
      <c r="H1042" s="20"/>
      <c r="I1042" s="20"/>
      <c r="J1042" s="20"/>
      <c r="K1042" s="20"/>
      <c r="L1042" s="20"/>
      <c r="Q1042" s="83"/>
      <c r="Y1042" s="20"/>
      <c r="AP1042" s="93"/>
      <c r="AQ1042" s="31"/>
      <c r="AR1042" s="31"/>
      <c r="AS1042" s="94"/>
      <c r="AT1042" s="31"/>
      <c r="AU1042" s="31"/>
      <c r="AV1042" s="94"/>
      <c r="AW1042" s="32"/>
      <c r="AX1042" s="32"/>
      <c r="AY1042" s="32"/>
      <c r="AZ1042" s="32"/>
      <c r="BA1042" s="32"/>
      <c r="BB1042" s="31"/>
      <c r="BC1042" s="31"/>
      <c r="BD1042" s="31"/>
      <c r="BE1042" s="31"/>
      <c r="BF1042" s="96"/>
      <c r="BG1042" s="31"/>
      <c r="BH1042" s="31"/>
      <c r="BI1042" s="31"/>
      <c r="BJ1042" s="31"/>
      <c r="BK1042" s="31"/>
      <c r="BL1042" s="31"/>
      <c r="BM1042" s="31"/>
      <c r="BN1042" s="32"/>
      <c r="BO1042" s="31"/>
      <c r="BP1042" s="31"/>
      <c r="BQ1042" s="33"/>
    </row>
    <row r="1043" spans="1:69" x14ac:dyDescent="0.35">
      <c r="A1043"/>
      <c r="D1043"/>
      <c r="G1043"/>
      <c r="H1043" s="20"/>
      <c r="I1043" s="20"/>
      <c r="J1043" s="20"/>
      <c r="K1043" s="20"/>
      <c r="L1043" s="20"/>
      <c r="Q1043" s="83"/>
      <c r="Y1043" s="20"/>
      <c r="AP1043" s="92"/>
      <c r="AQ1043" s="67"/>
      <c r="AR1043" s="67"/>
      <c r="AS1043" s="73"/>
      <c r="AT1043" s="67"/>
      <c r="AU1043" s="67"/>
      <c r="AV1043" s="73"/>
      <c r="AW1043" s="68"/>
      <c r="AX1043" s="68"/>
      <c r="AY1043" s="68"/>
      <c r="AZ1043" s="68"/>
      <c r="BA1043" s="68"/>
      <c r="BB1043" s="67"/>
      <c r="BC1043" s="67"/>
      <c r="BD1043" s="67"/>
      <c r="BE1043" s="67"/>
      <c r="BF1043" s="95"/>
      <c r="BG1043" s="67"/>
      <c r="BH1043" s="67"/>
      <c r="BI1043" s="67"/>
      <c r="BJ1043" s="67"/>
      <c r="BK1043" s="67"/>
      <c r="BL1043" s="67"/>
      <c r="BM1043" s="67"/>
      <c r="BN1043" s="68"/>
      <c r="BO1043" s="67"/>
      <c r="BP1043" s="67"/>
      <c r="BQ1043" s="69"/>
    </row>
    <row r="1044" spans="1:69" x14ac:dyDescent="0.35">
      <c r="A1044"/>
      <c r="D1044"/>
      <c r="G1044"/>
      <c r="H1044" s="20"/>
      <c r="I1044" s="20"/>
      <c r="J1044" s="20"/>
      <c r="K1044" s="20"/>
      <c r="L1044" s="20"/>
      <c r="Q1044" s="83"/>
      <c r="Y1044" s="20"/>
      <c r="AP1044" s="93"/>
      <c r="AQ1044" s="31"/>
      <c r="AR1044" s="31"/>
      <c r="AS1044" s="94"/>
      <c r="AT1044" s="31"/>
      <c r="AU1044" s="31"/>
      <c r="AV1044" s="94"/>
      <c r="AW1044" s="32"/>
      <c r="AX1044" s="32"/>
      <c r="AY1044" s="32"/>
      <c r="AZ1044" s="32"/>
      <c r="BA1044" s="32"/>
      <c r="BB1044" s="31"/>
      <c r="BC1044" s="31"/>
      <c r="BD1044" s="31"/>
      <c r="BE1044" s="31"/>
      <c r="BF1044" s="96"/>
      <c r="BG1044" s="31"/>
      <c r="BH1044" s="31"/>
      <c r="BI1044" s="31"/>
      <c r="BJ1044" s="31"/>
      <c r="BK1044" s="31"/>
      <c r="BL1044" s="31"/>
      <c r="BM1044" s="31"/>
      <c r="BN1044" s="32"/>
      <c r="BO1044" s="31"/>
      <c r="BP1044" s="31"/>
      <c r="BQ1044" s="33"/>
    </row>
    <row r="1045" spans="1:69" x14ac:dyDescent="0.35">
      <c r="A1045"/>
      <c r="D1045"/>
      <c r="G1045"/>
      <c r="H1045" s="20"/>
      <c r="I1045" s="20"/>
      <c r="J1045" s="20"/>
      <c r="K1045" s="20"/>
      <c r="L1045" s="20"/>
      <c r="Q1045" s="83"/>
      <c r="Y1045" s="20"/>
      <c r="AP1045" s="92"/>
      <c r="AQ1045" s="67"/>
      <c r="AR1045" s="67"/>
      <c r="AS1045" s="73"/>
      <c r="AT1045" s="67"/>
      <c r="AU1045" s="67"/>
      <c r="AV1045" s="73"/>
      <c r="AW1045" s="68"/>
      <c r="AX1045" s="68"/>
      <c r="AY1045" s="68"/>
      <c r="AZ1045" s="68"/>
      <c r="BA1045" s="68"/>
      <c r="BB1045" s="67"/>
      <c r="BC1045" s="67"/>
      <c r="BD1045" s="67"/>
      <c r="BE1045" s="67"/>
      <c r="BF1045" s="95"/>
      <c r="BG1045" s="67"/>
      <c r="BH1045" s="67"/>
      <c r="BI1045" s="67"/>
      <c r="BJ1045" s="67"/>
      <c r="BK1045" s="67"/>
      <c r="BL1045" s="67"/>
      <c r="BM1045" s="67"/>
      <c r="BN1045" s="68"/>
      <c r="BO1045" s="67"/>
      <c r="BP1045" s="67"/>
      <c r="BQ1045" s="69"/>
    </row>
    <row r="1046" spans="1:69" x14ac:dyDescent="0.35">
      <c r="A1046"/>
      <c r="D1046"/>
      <c r="G1046"/>
      <c r="H1046" s="20"/>
      <c r="I1046" s="20"/>
      <c r="J1046" s="20"/>
      <c r="K1046" s="20"/>
      <c r="L1046" s="20"/>
      <c r="Q1046" s="83"/>
      <c r="Y1046" s="20"/>
      <c r="AP1046" s="93"/>
      <c r="AQ1046" s="31"/>
      <c r="AR1046" s="31"/>
      <c r="AS1046" s="94"/>
      <c r="AT1046" s="31"/>
      <c r="AU1046" s="31"/>
      <c r="AV1046" s="94"/>
      <c r="AW1046" s="32"/>
      <c r="AX1046" s="32"/>
      <c r="AY1046" s="32"/>
      <c r="AZ1046" s="32"/>
      <c r="BA1046" s="32"/>
      <c r="BB1046" s="31"/>
      <c r="BC1046" s="31"/>
      <c r="BD1046" s="31"/>
      <c r="BE1046" s="31"/>
      <c r="BF1046" s="96"/>
      <c r="BG1046" s="31"/>
      <c r="BH1046" s="31"/>
      <c r="BI1046" s="31"/>
      <c r="BJ1046" s="31"/>
      <c r="BK1046" s="31"/>
      <c r="BL1046" s="31"/>
      <c r="BM1046" s="31"/>
      <c r="BN1046" s="32"/>
      <c r="BO1046" s="31"/>
      <c r="BP1046" s="31"/>
      <c r="BQ1046" s="33"/>
    </row>
    <row r="1047" spans="1:69" x14ac:dyDescent="0.35">
      <c r="A1047"/>
      <c r="D1047"/>
      <c r="G1047"/>
      <c r="H1047" s="20"/>
      <c r="I1047" s="20"/>
      <c r="J1047" s="20"/>
      <c r="K1047" s="20"/>
      <c r="L1047" s="20"/>
      <c r="Q1047" s="83"/>
      <c r="Y1047" s="20"/>
      <c r="AP1047" s="92"/>
      <c r="AQ1047" s="67"/>
      <c r="AR1047" s="67"/>
      <c r="AS1047" s="73"/>
      <c r="AT1047" s="67"/>
      <c r="AU1047" s="67"/>
      <c r="AV1047" s="73"/>
      <c r="AW1047" s="68"/>
      <c r="AX1047" s="68"/>
      <c r="AY1047" s="68"/>
      <c r="AZ1047" s="68"/>
      <c r="BA1047" s="68"/>
      <c r="BB1047" s="67"/>
      <c r="BC1047" s="67"/>
      <c r="BD1047" s="67"/>
      <c r="BE1047" s="67"/>
      <c r="BF1047" s="95"/>
      <c r="BG1047" s="67"/>
      <c r="BH1047" s="67"/>
      <c r="BI1047" s="67"/>
      <c r="BJ1047" s="67"/>
      <c r="BK1047" s="67"/>
      <c r="BL1047" s="67"/>
      <c r="BM1047" s="67"/>
      <c r="BN1047" s="68"/>
      <c r="BO1047" s="67"/>
      <c r="BP1047" s="67"/>
      <c r="BQ1047" s="69"/>
    </row>
    <row r="1048" spans="1:69" x14ac:dyDescent="0.35">
      <c r="A1048"/>
      <c r="D1048"/>
      <c r="G1048"/>
      <c r="H1048" s="20"/>
      <c r="I1048" s="20"/>
      <c r="J1048" s="20"/>
      <c r="K1048" s="20"/>
      <c r="L1048" s="20"/>
      <c r="Q1048" s="83"/>
      <c r="Y1048" s="20"/>
      <c r="AP1048" s="93"/>
      <c r="AQ1048" s="31"/>
      <c r="AR1048" s="31"/>
      <c r="AS1048" s="94"/>
      <c r="AT1048" s="31"/>
      <c r="AU1048" s="31"/>
      <c r="AV1048" s="94"/>
      <c r="AW1048" s="32"/>
      <c r="AX1048" s="32"/>
      <c r="AY1048" s="32"/>
      <c r="AZ1048" s="32"/>
      <c r="BA1048" s="32"/>
      <c r="BB1048" s="31"/>
      <c r="BC1048" s="31"/>
      <c r="BD1048" s="31"/>
      <c r="BE1048" s="31"/>
      <c r="BF1048" s="96"/>
      <c r="BG1048" s="31"/>
      <c r="BH1048" s="31"/>
      <c r="BI1048" s="31"/>
      <c r="BJ1048" s="31"/>
      <c r="BK1048" s="31"/>
      <c r="BL1048" s="31"/>
      <c r="BM1048" s="31"/>
      <c r="BN1048" s="32"/>
      <c r="BO1048" s="31"/>
      <c r="BP1048" s="31"/>
      <c r="BQ1048" s="33"/>
    </row>
    <row r="1049" spans="1:69" x14ac:dyDescent="0.35">
      <c r="A1049"/>
      <c r="D1049"/>
      <c r="G1049"/>
      <c r="H1049" s="20"/>
      <c r="I1049" s="20"/>
      <c r="J1049" s="20"/>
      <c r="K1049" s="20"/>
      <c r="L1049" s="20"/>
      <c r="Q1049" s="83"/>
      <c r="Y1049" s="20"/>
      <c r="AP1049" s="92"/>
      <c r="AQ1049" s="67"/>
      <c r="AR1049" s="67"/>
      <c r="AS1049" s="73"/>
      <c r="AT1049" s="67"/>
      <c r="AU1049" s="67"/>
      <c r="AV1049" s="73"/>
      <c r="AW1049" s="68"/>
      <c r="AX1049" s="68"/>
      <c r="AY1049" s="68"/>
      <c r="AZ1049" s="68"/>
      <c r="BA1049" s="68"/>
      <c r="BB1049" s="67"/>
      <c r="BC1049" s="67"/>
      <c r="BD1049" s="67"/>
      <c r="BE1049" s="67"/>
      <c r="BF1049" s="95"/>
      <c r="BG1049" s="67"/>
      <c r="BH1049" s="67"/>
      <c r="BI1049" s="67"/>
      <c r="BJ1049" s="67"/>
      <c r="BK1049" s="67"/>
      <c r="BL1049" s="67"/>
      <c r="BM1049" s="67"/>
      <c r="BN1049" s="68"/>
      <c r="BO1049" s="67"/>
      <c r="BP1049" s="67"/>
      <c r="BQ1049" s="69"/>
    </row>
    <row r="1050" spans="1:69" x14ac:dyDescent="0.35">
      <c r="A1050"/>
      <c r="D1050"/>
      <c r="G1050"/>
      <c r="H1050" s="20"/>
      <c r="I1050" s="20"/>
      <c r="J1050" s="20"/>
      <c r="K1050" s="20"/>
      <c r="L1050" s="20"/>
      <c r="Q1050" s="83"/>
      <c r="Y1050" s="20"/>
      <c r="AP1050" s="93"/>
      <c r="AQ1050" s="31"/>
      <c r="AR1050" s="31"/>
      <c r="AS1050" s="94"/>
      <c r="AT1050" s="31"/>
      <c r="AU1050" s="31"/>
      <c r="AV1050" s="94"/>
      <c r="AW1050" s="32"/>
      <c r="AX1050" s="32"/>
      <c r="AY1050" s="32"/>
      <c r="AZ1050" s="32"/>
      <c r="BA1050" s="32"/>
      <c r="BB1050" s="31"/>
      <c r="BC1050" s="31"/>
      <c r="BD1050" s="31"/>
      <c r="BE1050" s="31"/>
      <c r="BF1050" s="96"/>
      <c r="BG1050" s="31"/>
      <c r="BH1050" s="31"/>
      <c r="BI1050" s="31"/>
      <c r="BJ1050" s="31"/>
      <c r="BK1050" s="31"/>
      <c r="BL1050" s="31"/>
      <c r="BM1050" s="31"/>
      <c r="BN1050" s="32"/>
      <c r="BO1050" s="31"/>
      <c r="BP1050" s="31"/>
      <c r="BQ1050" s="33"/>
    </row>
    <row r="1051" spans="1:69" x14ac:dyDescent="0.35">
      <c r="A1051"/>
      <c r="D1051"/>
      <c r="G1051"/>
      <c r="H1051" s="20"/>
      <c r="I1051" s="20"/>
      <c r="J1051" s="20"/>
      <c r="K1051" s="20"/>
      <c r="L1051" s="20"/>
      <c r="Q1051" s="83"/>
      <c r="Y1051" s="20"/>
      <c r="AP1051" s="92"/>
      <c r="AQ1051" s="67"/>
      <c r="AR1051" s="67"/>
      <c r="AS1051" s="73"/>
      <c r="AT1051" s="67"/>
      <c r="AU1051" s="67"/>
      <c r="AV1051" s="73"/>
      <c r="AW1051" s="68"/>
      <c r="AX1051" s="68"/>
      <c r="AY1051" s="68"/>
      <c r="AZ1051" s="68"/>
      <c r="BA1051" s="68"/>
      <c r="BB1051" s="67"/>
      <c r="BC1051" s="67"/>
      <c r="BD1051" s="67"/>
      <c r="BE1051" s="67"/>
      <c r="BF1051" s="95"/>
      <c r="BG1051" s="67"/>
      <c r="BH1051" s="67"/>
      <c r="BI1051" s="67"/>
      <c r="BJ1051" s="67"/>
      <c r="BK1051" s="67"/>
      <c r="BL1051" s="67"/>
      <c r="BM1051" s="67"/>
      <c r="BN1051" s="68"/>
      <c r="BO1051" s="67"/>
      <c r="BP1051" s="67"/>
      <c r="BQ1051" s="69"/>
    </row>
    <row r="1052" spans="1:69" x14ac:dyDescent="0.35">
      <c r="A1052"/>
      <c r="D1052"/>
      <c r="G1052"/>
      <c r="H1052" s="20"/>
      <c r="I1052" s="20"/>
      <c r="J1052" s="20"/>
      <c r="K1052" s="20"/>
      <c r="L1052" s="20"/>
      <c r="Q1052" s="83"/>
      <c r="Y1052" s="20"/>
      <c r="AP1052" s="93"/>
      <c r="AQ1052" s="31"/>
      <c r="AR1052" s="31"/>
      <c r="AS1052" s="94"/>
      <c r="AT1052" s="31"/>
      <c r="AU1052" s="31"/>
      <c r="AV1052" s="94"/>
      <c r="AW1052" s="32"/>
      <c r="AX1052" s="32"/>
      <c r="AY1052" s="32"/>
      <c r="AZ1052" s="32"/>
      <c r="BA1052" s="32"/>
      <c r="BB1052" s="31"/>
      <c r="BC1052" s="31"/>
      <c r="BD1052" s="31"/>
      <c r="BE1052" s="31"/>
      <c r="BF1052" s="96"/>
      <c r="BG1052" s="31"/>
      <c r="BH1052" s="31"/>
      <c r="BI1052" s="31"/>
      <c r="BJ1052" s="31"/>
      <c r="BK1052" s="31"/>
      <c r="BL1052" s="31"/>
      <c r="BM1052" s="31"/>
      <c r="BN1052" s="32"/>
      <c r="BO1052" s="31"/>
      <c r="BP1052" s="31"/>
      <c r="BQ1052" s="33"/>
    </row>
    <row r="1053" spans="1:69" x14ac:dyDescent="0.35">
      <c r="A1053"/>
      <c r="D1053"/>
      <c r="G1053"/>
      <c r="H1053" s="20"/>
      <c r="I1053" s="20"/>
      <c r="J1053" s="20"/>
      <c r="K1053" s="20"/>
      <c r="L1053" s="20"/>
      <c r="Q1053" s="83"/>
      <c r="Y1053" s="20"/>
      <c r="AP1053" s="92"/>
      <c r="AQ1053" s="67"/>
      <c r="AR1053" s="67"/>
      <c r="AS1053" s="73"/>
      <c r="AT1053" s="67"/>
      <c r="AU1053" s="67"/>
      <c r="AV1053" s="73"/>
      <c r="AW1053" s="68"/>
      <c r="AX1053" s="68"/>
      <c r="AY1053" s="68"/>
      <c r="AZ1053" s="68"/>
      <c r="BA1053" s="68"/>
      <c r="BB1053" s="67"/>
      <c r="BC1053" s="67"/>
      <c r="BD1053" s="67"/>
      <c r="BE1053" s="67"/>
      <c r="BF1053" s="95"/>
      <c r="BG1053" s="67"/>
      <c r="BH1053" s="67"/>
      <c r="BI1053" s="67"/>
      <c r="BJ1053" s="67"/>
      <c r="BK1053" s="67"/>
      <c r="BL1053" s="67"/>
      <c r="BM1053" s="67"/>
      <c r="BN1053" s="68"/>
      <c r="BO1053" s="67"/>
      <c r="BP1053" s="67"/>
      <c r="BQ1053" s="69"/>
    </row>
    <row r="1054" spans="1:69" x14ac:dyDescent="0.35">
      <c r="A1054"/>
      <c r="D1054"/>
      <c r="G1054"/>
      <c r="H1054" s="20"/>
      <c r="I1054" s="20"/>
      <c r="J1054" s="20"/>
      <c r="K1054" s="20"/>
      <c r="L1054" s="20"/>
      <c r="Q1054" s="83"/>
      <c r="Y1054" s="20"/>
      <c r="AP1054" s="93"/>
      <c r="AQ1054" s="31"/>
      <c r="AR1054" s="31"/>
      <c r="AS1054" s="94"/>
      <c r="AT1054" s="31"/>
      <c r="AU1054" s="31"/>
      <c r="AV1054" s="94"/>
      <c r="AW1054" s="32"/>
      <c r="AX1054" s="32"/>
      <c r="AY1054" s="32"/>
      <c r="AZ1054" s="32"/>
      <c r="BA1054" s="32"/>
      <c r="BB1054" s="31"/>
      <c r="BC1054" s="31"/>
      <c r="BD1054" s="31"/>
      <c r="BE1054" s="31"/>
      <c r="BF1054" s="96"/>
      <c r="BG1054" s="31"/>
      <c r="BH1054" s="31"/>
      <c r="BI1054" s="31"/>
      <c r="BJ1054" s="31"/>
      <c r="BK1054" s="31"/>
      <c r="BL1054" s="31"/>
      <c r="BM1054" s="31"/>
      <c r="BN1054" s="32"/>
      <c r="BO1054" s="31"/>
      <c r="BP1054" s="31"/>
      <c r="BQ1054" s="33"/>
    </row>
    <row r="1055" spans="1:69" x14ac:dyDescent="0.35">
      <c r="A1055"/>
      <c r="D1055"/>
      <c r="G1055"/>
      <c r="H1055" s="20"/>
      <c r="I1055" s="20"/>
      <c r="J1055" s="20"/>
      <c r="K1055" s="20"/>
      <c r="L1055" s="20"/>
      <c r="Q1055" s="83"/>
      <c r="Y1055" s="20"/>
      <c r="AP1055" s="92"/>
      <c r="AQ1055" s="67"/>
      <c r="AR1055" s="67"/>
      <c r="AS1055" s="73"/>
      <c r="AT1055" s="67"/>
      <c r="AU1055" s="67"/>
      <c r="AV1055" s="73"/>
      <c r="AW1055" s="68"/>
      <c r="AX1055" s="68"/>
      <c r="AY1055" s="68"/>
      <c r="AZ1055" s="68"/>
      <c r="BA1055" s="68"/>
      <c r="BB1055" s="67"/>
      <c r="BC1055" s="67"/>
      <c r="BD1055" s="67"/>
      <c r="BE1055" s="67"/>
      <c r="BF1055" s="95"/>
      <c r="BG1055" s="67"/>
      <c r="BH1055" s="67"/>
      <c r="BI1055" s="67"/>
      <c r="BJ1055" s="67"/>
      <c r="BK1055" s="67"/>
      <c r="BL1055" s="67"/>
      <c r="BM1055" s="67"/>
      <c r="BN1055" s="68"/>
      <c r="BO1055" s="67"/>
      <c r="BP1055" s="67"/>
      <c r="BQ1055" s="69"/>
    </row>
    <row r="1056" spans="1:69" x14ac:dyDescent="0.35">
      <c r="A1056"/>
      <c r="D1056"/>
      <c r="G1056"/>
      <c r="H1056" s="20"/>
      <c r="I1056" s="20"/>
      <c r="J1056" s="20"/>
      <c r="K1056" s="20"/>
      <c r="L1056" s="20"/>
      <c r="Q1056" s="83"/>
      <c r="Y1056" s="20"/>
      <c r="AP1056" s="93"/>
      <c r="AQ1056" s="31"/>
      <c r="AR1056" s="31"/>
      <c r="AS1056" s="94"/>
      <c r="AT1056" s="31"/>
      <c r="AU1056" s="31"/>
      <c r="AV1056" s="94"/>
      <c r="AW1056" s="32"/>
      <c r="AX1056" s="32"/>
      <c r="AY1056" s="32"/>
      <c r="AZ1056" s="32"/>
      <c r="BA1056" s="32"/>
      <c r="BB1056" s="31"/>
      <c r="BC1056" s="31"/>
      <c r="BD1056" s="31"/>
      <c r="BE1056" s="31"/>
      <c r="BF1056" s="96"/>
      <c r="BG1056" s="31"/>
      <c r="BH1056" s="31"/>
      <c r="BI1056" s="31"/>
      <c r="BJ1056" s="31"/>
      <c r="BK1056" s="31"/>
      <c r="BL1056" s="31"/>
      <c r="BM1056" s="31"/>
      <c r="BN1056" s="32"/>
      <c r="BO1056" s="31"/>
      <c r="BP1056" s="31"/>
      <c r="BQ1056" s="33"/>
    </row>
    <row r="1057" spans="1:69" x14ac:dyDescent="0.35">
      <c r="A1057"/>
      <c r="D1057"/>
      <c r="G1057"/>
      <c r="H1057" s="20"/>
      <c r="I1057" s="20"/>
      <c r="J1057" s="20"/>
      <c r="K1057" s="20"/>
      <c r="L1057" s="20"/>
      <c r="Q1057" s="83"/>
      <c r="Y1057" s="20"/>
      <c r="AP1057" s="92"/>
      <c r="AQ1057" s="67"/>
      <c r="AR1057" s="67"/>
      <c r="AS1057" s="73"/>
      <c r="AT1057" s="67"/>
      <c r="AU1057" s="67"/>
      <c r="AV1057" s="73"/>
      <c r="AW1057" s="68"/>
      <c r="AX1057" s="68"/>
      <c r="AY1057" s="68"/>
      <c r="AZ1057" s="68"/>
      <c r="BA1057" s="68"/>
      <c r="BB1057" s="67"/>
      <c r="BC1057" s="67"/>
      <c r="BD1057" s="67"/>
      <c r="BE1057" s="67"/>
      <c r="BF1057" s="95"/>
      <c r="BG1057" s="67"/>
      <c r="BH1057" s="67"/>
      <c r="BI1057" s="67"/>
      <c r="BJ1057" s="67"/>
      <c r="BK1057" s="67"/>
      <c r="BL1057" s="67"/>
      <c r="BM1057" s="67"/>
      <c r="BN1057" s="68"/>
      <c r="BO1057" s="67"/>
      <c r="BP1057" s="67"/>
      <c r="BQ1057" s="69"/>
    </row>
    <row r="1058" spans="1:69" x14ac:dyDescent="0.35">
      <c r="A1058"/>
      <c r="D1058"/>
      <c r="G1058"/>
      <c r="H1058" s="20"/>
      <c r="I1058" s="20"/>
      <c r="J1058" s="20"/>
      <c r="K1058" s="20"/>
      <c r="L1058" s="20"/>
      <c r="Q1058" s="83"/>
      <c r="Y1058" s="20"/>
      <c r="AP1058" s="93"/>
      <c r="AQ1058" s="31"/>
      <c r="AR1058" s="31"/>
      <c r="AS1058" s="94"/>
      <c r="AT1058" s="31"/>
      <c r="AU1058" s="31"/>
      <c r="AV1058" s="94"/>
      <c r="AW1058" s="32"/>
      <c r="AX1058" s="32"/>
      <c r="AY1058" s="32"/>
      <c r="AZ1058" s="32"/>
      <c r="BA1058" s="32"/>
      <c r="BB1058" s="31"/>
      <c r="BC1058" s="31"/>
      <c r="BD1058" s="31"/>
      <c r="BE1058" s="31"/>
      <c r="BF1058" s="96"/>
      <c r="BG1058" s="31"/>
      <c r="BH1058" s="31"/>
      <c r="BI1058" s="31"/>
      <c r="BJ1058" s="31"/>
      <c r="BK1058" s="31"/>
      <c r="BL1058" s="31"/>
      <c r="BM1058" s="31"/>
      <c r="BN1058" s="32"/>
      <c r="BO1058" s="31"/>
      <c r="BP1058" s="31"/>
      <c r="BQ1058" s="33"/>
    </row>
    <row r="1059" spans="1:69" x14ac:dyDescent="0.35">
      <c r="A1059"/>
      <c r="D1059"/>
      <c r="G1059"/>
      <c r="H1059" s="20"/>
      <c r="I1059" s="20"/>
      <c r="J1059" s="20"/>
      <c r="K1059" s="20"/>
      <c r="L1059" s="20"/>
      <c r="Q1059" s="83"/>
      <c r="Y1059" s="20"/>
      <c r="AP1059" s="92"/>
      <c r="AQ1059" s="67"/>
      <c r="AR1059" s="67"/>
      <c r="AS1059" s="73"/>
      <c r="AT1059" s="67"/>
      <c r="AU1059" s="67"/>
      <c r="AV1059" s="73"/>
      <c r="AW1059" s="68"/>
      <c r="AX1059" s="68"/>
      <c r="AY1059" s="68"/>
      <c r="AZ1059" s="68"/>
      <c r="BA1059" s="68"/>
      <c r="BB1059" s="67"/>
      <c r="BC1059" s="67"/>
      <c r="BD1059" s="67"/>
      <c r="BE1059" s="67"/>
      <c r="BF1059" s="95"/>
      <c r="BG1059" s="67"/>
      <c r="BH1059" s="67"/>
      <c r="BI1059" s="67"/>
      <c r="BJ1059" s="67"/>
      <c r="BK1059" s="67"/>
      <c r="BL1059" s="67"/>
      <c r="BM1059" s="67"/>
      <c r="BN1059" s="68"/>
      <c r="BO1059" s="67"/>
      <c r="BP1059" s="67"/>
      <c r="BQ1059" s="69"/>
    </row>
    <row r="1060" spans="1:69" x14ac:dyDescent="0.35">
      <c r="A1060"/>
      <c r="D1060"/>
      <c r="G1060"/>
      <c r="H1060" s="20"/>
      <c r="I1060" s="20"/>
      <c r="J1060" s="20"/>
      <c r="K1060" s="20"/>
      <c r="L1060" s="20"/>
      <c r="Q1060" s="83"/>
      <c r="Y1060" s="20"/>
      <c r="AP1060" s="93"/>
      <c r="AQ1060" s="31"/>
      <c r="AR1060" s="31"/>
      <c r="AS1060" s="94"/>
      <c r="AT1060" s="31"/>
      <c r="AU1060" s="31"/>
      <c r="AV1060" s="94"/>
      <c r="AW1060" s="32"/>
      <c r="AX1060" s="32"/>
      <c r="AY1060" s="32"/>
      <c r="AZ1060" s="32"/>
      <c r="BA1060" s="32"/>
      <c r="BB1060" s="31"/>
      <c r="BC1060" s="31"/>
      <c r="BD1060" s="31"/>
      <c r="BE1060" s="31"/>
      <c r="BF1060" s="96"/>
      <c r="BG1060" s="31"/>
      <c r="BH1060" s="31"/>
      <c r="BI1060" s="31"/>
      <c r="BJ1060" s="31"/>
      <c r="BK1060" s="31"/>
      <c r="BL1060" s="31"/>
      <c r="BM1060" s="31"/>
      <c r="BN1060" s="32"/>
      <c r="BO1060" s="31"/>
      <c r="BP1060" s="31"/>
      <c r="BQ1060" s="33"/>
    </row>
    <row r="1061" spans="1:69" x14ac:dyDescent="0.35">
      <c r="A1061"/>
      <c r="D1061"/>
      <c r="G1061"/>
      <c r="H1061" s="20"/>
      <c r="I1061" s="20"/>
      <c r="J1061" s="20"/>
      <c r="K1061" s="20"/>
      <c r="L1061" s="20"/>
      <c r="Q1061" s="83"/>
      <c r="Y1061" s="20"/>
      <c r="AP1061" s="92"/>
      <c r="AQ1061" s="67"/>
      <c r="AR1061" s="67"/>
      <c r="AS1061" s="73"/>
      <c r="AT1061" s="67"/>
      <c r="AU1061" s="67"/>
      <c r="AV1061" s="73"/>
      <c r="AW1061" s="68"/>
      <c r="AX1061" s="68"/>
      <c r="AY1061" s="68"/>
      <c r="AZ1061" s="68"/>
      <c r="BA1061" s="68"/>
      <c r="BB1061" s="67"/>
      <c r="BC1061" s="67"/>
      <c r="BD1061" s="67"/>
      <c r="BE1061" s="67"/>
      <c r="BF1061" s="95"/>
      <c r="BG1061" s="67"/>
      <c r="BH1061" s="67"/>
      <c r="BI1061" s="67"/>
      <c r="BJ1061" s="67"/>
      <c r="BK1061" s="67"/>
      <c r="BL1061" s="67"/>
      <c r="BM1061" s="67"/>
      <c r="BN1061" s="68"/>
      <c r="BO1061" s="67"/>
      <c r="BP1061" s="67"/>
      <c r="BQ1061" s="69"/>
    </row>
    <row r="1062" spans="1:69" x14ac:dyDescent="0.35">
      <c r="A1062"/>
      <c r="D1062"/>
      <c r="G1062"/>
      <c r="H1062" s="20"/>
      <c r="I1062" s="20"/>
      <c r="J1062" s="20"/>
      <c r="K1062" s="20"/>
      <c r="L1062" s="20"/>
      <c r="Q1062" s="83"/>
      <c r="Y1062" s="20"/>
      <c r="AP1062" s="93"/>
      <c r="AQ1062" s="31"/>
      <c r="AR1062" s="31"/>
      <c r="AS1062" s="94"/>
      <c r="AT1062" s="31"/>
      <c r="AU1062" s="31"/>
      <c r="AV1062" s="94"/>
      <c r="AW1062" s="32"/>
      <c r="AX1062" s="32"/>
      <c r="AY1062" s="32"/>
      <c r="AZ1062" s="32"/>
      <c r="BA1062" s="32"/>
      <c r="BB1062" s="31"/>
      <c r="BC1062" s="31"/>
      <c r="BD1062" s="31"/>
      <c r="BE1062" s="31"/>
      <c r="BF1062" s="96"/>
      <c r="BG1062" s="31"/>
      <c r="BH1062" s="31"/>
      <c r="BI1062" s="31"/>
      <c r="BJ1062" s="31"/>
      <c r="BK1062" s="31"/>
      <c r="BL1062" s="31"/>
      <c r="BM1062" s="31"/>
      <c r="BN1062" s="32"/>
      <c r="BO1062" s="31"/>
      <c r="BP1062" s="31"/>
      <c r="BQ1062" s="33"/>
    </row>
    <row r="1063" spans="1:69" x14ac:dyDescent="0.35">
      <c r="A1063"/>
      <c r="D1063"/>
      <c r="G1063"/>
      <c r="H1063" s="20"/>
      <c r="I1063" s="20"/>
      <c r="J1063" s="20"/>
      <c r="K1063" s="20"/>
      <c r="L1063" s="20"/>
      <c r="Q1063" s="83"/>
      <c r="Y1063" s="20"/>
      <c r="AP1063" s="92"/>
      <c r="AQ1063" s="67"/>
      <c r="AR1063" s="67"/>
      <c r="AS1063" s="73"/>
      <c r="AT1063" s="67"/>
      <c r="AU1063" s="67"/>
      <c r="AV1063" s="73"/>
      <c r="AW1063" s="68"/>
      <c r="AX1063" s="68"/>
      <c r="AY1063" s="68"/>
      <c r="AZ1063" s="68"/>
      <c r="BA1063" s="68"/>
      <c r="BB1063" s="67"/>
      <c r="BC1063" s="67"/>
      <c r="BD1063" s="67"/>
      <c r="BE1063" s="67"/>
      <c r="BF1063" s="95"/>
      <c r="BG1063" s="67"/>
      <c r="BH1063" s="67"/>
      <c r="BI1063" s="67"/>
      <c r="BJ1063" s="67"/>
      <c r="BK1063" s="67"/>
      <c r="BL1063" s="67"/>
      <c r="BM1063" s="67"/>
      <c r="BN1063" s="68"/>
      <c r="BO1063" s="67"/>
      <c r="BP1063" s="67"/>
      <c r="BQ1063" s="69"/>
    </row>
    <row r="1064" spans="1:69" x14ac:dyDescent="0.35">
      <c r="A1064"/>
      <c r="D1064"/>
      <c r="G1064"/>
      <c r="H1064" s="20"/>
      <c r="I1064" s="20"/>
      <c r="J1064" s="20"/>
      <c r="K1064" s="20"/>
      <c r="L1064" s="20"/>
      <c r="Q1064" s="83"/>
      <c r="Y1064" s="20"/>
      <c r="AP1064" s="93"/>
      <c r="AQ1064" s="31"/>
      <c r="AR1064" s="31"/>
      <c r="AS1064" s="94"/>
      <c r="AT1064" s="31"/>
      <c r="AU1064" s="31"/>
      <c r="AV1064" s="94"/>
      <c r="AW1064" s="32"/>
      <c r="AX1064" s="32"/>
      <c r="AY1064" s="32"/>
      <c r="AZ1064" s="32"/>
      <c r="BA1064" s="32"/>
      <c r="BB1064" s="31"/>
      <c r="BC1064" s="31"/>
      <c r="BD1064" s="31"/>
      <c r="BE1064" s="31"/>
      <c r="BF1064" s="96"/>
      <c r="BG1064" s="31"/>
      <c r="BH1064" s="31"/>
      <c r="BI1064" s="31"/>
      <c r="BJ1064" s="31"/>
      <c r="BK1064" s="31"/>
      <c r="BL1064" s="31"/>
      <c r="BM1064" s="31"/>
      <c r="BN1064" s="32"/>
      <c r="BO1064" s="31"/>
      <c r="BP1064" s="31"/>
      <c r="BQ1064" s="33"/>
    </row>
    <row r="1065" spans="1:69" x14ac:dyDescent="0.35">
      <c r="A1065"/>
      <c r="D1065"/>
      <c r="G1065"/>
      <c r="H1065" s="20"/>
      <c r="I1065" s="20"/>
      <c r="J1065" s="20"/>
      <c r="K1065" s="20"/>
      <c r="L1065" s="20"/>
      <c r="Q1065" s="83"/>
      <c r="Y1065" s="20"/>
      <c r="AP1065" s="92"/>
      <c r="AQ1065" s="67"/>
      <c r="AR1065" s="67"/>
      <c r="AS1065" s="73"/>
      <c r="AT1065" s="67"/>
      <c r="AU1065" s="67"/>
      <c r="AV1065" s="73"/>
      <c r="AW1065" s="68"/>
      <c r="AX1065" s="68"/>
      <c r="AY1065" s="68"/>
      <c r="AZ1065" s="68"/>
      <c r="BA1065" s="68"/>
      <c r="BB1065" s="67"/>
      <c r="BC1065" s="67"/>
      <c r="BD1065" s="67"/>
      <c r="BE1065" s="67"/>
      <c r="BF1065" s="95"/>
      <c r="BG1065" s="67"/>
      <c r="BH1065" s="67"/>
      <c r="BI1065" s="67"/>
      <c r="BJ1065" s="67"/>
      <c r="BK1065" s="67"/>
      <c r="BL1065" s="67"/>
      <c r="BM1065" s="67"/>
      <c r="BN1065" s="68"/>
      <c r="BO1065" s="67"/>
      <c r="BP1065" s="67"/>
      <c r="BQ1065" s="69"/>
    </row>
    <row r="1066" spans="1:69" x14ac:dyDescent="0.35">
      <c r="A1066"/>
      <c r="D1066"/>
      <c r="G1066"/>
      <c r="H1066" s="20"/>
      <c r="I1066" s="20"/>
      <c r="J1066" s="20"/>
      <c r="K1066" s="20"/>
      <c r="L1066" s="20"/>
      <c r="Q1066" s="83"/>
      <c r="Y1066" s="20"/>
      <c r="AP1066" s="93"/>
      <c r="AQ1066" s="31"/>
      <c r="AR1066" s="31"/>
      <c r="AS1066" s="94"/>
      <c r="AT1066" s="31"/>
      <c r="AU1066" s="31"/>
      <c r="AV1066" s="94"/>
      <c r="AW1066" s="32"/>
      <c r="AX1066" s="32"/>
      <c r="AY1066" s="32"/>
      <c r="AZ1066" s="32"/>
      <c r="BA1066" s="32"/>
      <c r="BB1066" s="31"/>
      <c r="BC1066" s="31"/>
      <c r="BD1066" s="31"/>
      <c r="BE1066" s="31"/>
      <c r="BF1066" s="96"/>
      <c r="BG1066" s="31"/>
      <c r="BH1066" s="31"/>
      <c r="BI1066" s="31"/>
      <c r="BJ1066" s="31"/>
      <c r="BK1066" s="31"/>
      <c r="BL1066" s="31"/>
      <c r="BM1066" s="31"/>
      <c r="BN1066" s="32"/>
      <c r="BO1066" s="31"/>
      <c r="BP1066" s="31"/>
      <c r="BQ1066" s="33"/>
    </row>
    <row r="1067" spans="1:69" x14ac:dyDescent="0.35">
      <c r="A1067"/>
      <c r="D1067"/>
      <c r="G1067"/>
      <c r="H1067" s="20"/>
      <c r="I1067" s="20"/>
      <c r="J1067" s="20"/>
      <c r="K1067" s="20"/>
      <c r="L1067" s="20"/>
      <c r="Q1067" s="83"/>
      <c r="Y1067" s="20"/>
      <c r="AP1067" s="92"/>
      <c r="AQ1067" s="67"/>
      <c r="AR1067" s="67"/>
      <c r="AS1067" s="73"/>
      <c r="AT1067" s="67"/>
      <c r="AU1067" s="67"/>
      <c r="AV1067" s="73"/>
      <c r="AW1067" s="68"/>
      <c r="AX1067" s="68"/>
      <c r="AY1067" s="68"/>
      <c r="AZ1067" s="68"/>
      <c r="BA1067" s="68"/>
      <c r="BB1067" s="67"/>
      <c r="BC1067" s="67"/>
      <c r="BD1067" s="67"/>
      <c r="BE1067" s="67"/>
      <c r="BF1067" s="95"/>
      <c r="BG1067" s="67"/>
      <c r="BH1067" s="67"/>
      <c r="BI1067" s="67"/>
      <c r="BJ1067" s="67"/>
      <c r="BK1067" s="67"/>
      <c r="BL1067" s="67"/>
      <c r="BM1067" s="67"/>
      <c r="BN1067" s="68"/>
      <c r="BO1067" s="67"/>
      <c r="BP1067" s="67"/>
      <c r="BQ1067" s="69"/>
    </row>
    <row r="1068" spans="1:69" x14ac:dyDescent="0.35">
      <c r="A1068"/>
      <c r="D1068"/>
      <c r="G1068"/>
      <c r="H1068" s="20"/>
      <c r="I1068" s="20"/>
      <c r="J1068" s="20"/>
      <c r="K1068" s="20"/>
      <c r="L1068" s="20"/>
      <c r="Q1068" s="83"/>
      <c r="Y1068" s="20"/>
      <c r="AP1068" s="93"/>
      <c r="AQ1068" s="31"/>
      <c r="AR1068" s="31"/>
      <c r="AS1068" s="94"/>
      <c r="AT1068" s="31"/>
      <c r="AU1068" s="31"/>
      <c r="AV1068" s="94"/>
      <c r="AW1068" s="32"/>
      <c r="AX1068" s="32"/>
      <c r="AY1068" s="32"/>
      <c r="AZ1068" s="32"/>
      <c r="BA1068" s="32"/>
      <c r="BB1068" s="31"/>
      <c r="BC1068" s="31"/>
      <c r="BD1068" s="31"/>
      <c r="BE1068" s="31"/>
      <c r="BF1068" s="96"/>
      <c r="BG1068" s="31"/>
      <c r="BH1068" s="31"/>
      <c r="BI1068" s="31"/>
      <c r="BJ1068" s="31"/>
      <c r="BK1068" s="31"/>
      <c r="BL1068" s="31"/>
      <c r="BM1068" s="31"/>
      <c r="BN1068" s="32"/>
      <c r="BO1068" s="31"/>
      <c r="BP1068" s="31"/>
      <c r="BQ1068" s="33"/>
    </row>
    <row r="1069" spans="1:69" x14ac:dyDescent="0.35">
      <c r="A1069"/>
      <c r="D1069"/>
      <c r="G1069"/>
      <c r="H1069" s="20"/>
      <c r="I1069" s="20"/>
      <c r="J1069" s="20"/>
      <c r="K1069" s="20"/>
      <c r="L1069" s="20"/>
      <c r="Q1069" s="83"/>
      <c r="Y1069" s="20"/>
      <c r="AP1069" s="92"/>
      <c r="AQ1069" s="67"/>
      <c r="AR1069" s="67"/>
      <c r="AS1069" s="73"/>
      <c r="AT1069" s="67"/>
      <c r="AU1069" s="67"/>
      <c r="AV1069" s="73"/>
      <c r="AW1069" s="68"/>
      <c r="AX1069" s="68"/>
      <c r="AY1069" s="68"/>
      <c r="AZ1069" s="68"/>
      <c r="BA1069" s="68"/>
      <c r="BB1069" s="67"/>
      <c r="BC1069" s="67"/>
      <c r="BD1069" s="67"/>
      <c r="BE1069" s="67"/>
      <c r="BF1069" s="95"/>
      <c r="BG1069" s="67"/>
      <c r="BH1069" s="67"/>
      <c r="BI1069" s="67"/>
      <c r="BJ1069" s="67"/>
      <c r="BK1069" s="67"/>
      <c r="BL1069" s="67"/>
      <c r="BM1069" s="67"/>
      <c r="BN1069" s="68"/>
      <c r="BO1069" s="67"/>
      <c r="BP1069" s="67"/>
      <c r="BQ1069" s="69"/>
    </row>
    <row r="1070" spans="1:69" x14ac:dyDescent="0.35">
      <c r="A1070"/>
      <c r="D1070"/>
      <c r="G1070"/>
      <c r="H1070" s="20"/>
      <c r="I1070" s="20"/>
      <c r="J1070" s="20"/>
      <c r="K1070" s="20"/>
      <c r="L1070" s="20"/>
      <c r="Q1070" s="83"/>
      <c r="Y1070" s="20"/>
      <c r="AP1070" s="93"/>
      <c r="AQ1070" s="31"/>
      <c r="AR1070" s="31"/>
      <c r="AS1070" s="94"/>
      <c r="AT1070" s="31"/>
      <c r="AU1070" s="31"/>
      <c r="AV1070" s="94"/>
      <c r="AW1070" s="32"/>
      <c r="AX1070" s="32"/>
      <c r="AY1070" s="32"/>
      <c r="AZ1070" s="32"/>
      <c r="BA1070" s="32"/>
      <c r="BB1070" s="31"/>
      <c r="BC1070" s="31"/>
      <c r="BD1070" s="31"/>
      <c r="BE1070" s="31"/>
      <c r="BF1070" s="96"/>
      <c r="BG1070" s="31"/>
      <c r="BH1070" s="31"/>
      <c r="BI1070" s="31"/>
      <c r="BJ1070" s="31"/>
      <c r="BK1070" s="31"/>
      <c r="BL1070" s="31"/>
      <c r="BM1070" s="31"/>
      <c r="BN1070" s="32"/>
      <c r="BO1070" s="31"/>
      <c r="BP1070" s="31"/>
      <c r="BQ1070" s="33"/>
    </row>
    <row r="1071" spans="1:69" x14ac:dyDescent="0.35">
      <c r="A1071"/>
      <c r="D1071"/>
      <c r="G1071"/>
      <c r="H1071" s="20"/>
      <c r="I1071" s="20"/>
      <c r="J1071" s="20"/>
      <c r="K1071" s="20"/>
      <c r="L1071" s="20"/>
      <c r="Q1071" s="83"/>
      <c r="Y1071" s="20"/>
      <c r="AP1071" s="92"/>
      <c r="AQ1071" s="67"/>
      <c r="AR1071" s="67"/>
      <c r="AS1071" s="73"/>
      <c r="AT1071" s="67"/>
      <c r="AU1071" s="67"/>
      <c r="AV1071" s="73"/>
      <c r="AW1071" s="68"/>
      <c r="AX1071" s="68"/>
      <c r="AY1071" s="68"/>
      <c r="AZ1071" s="68"/>
      <c r="BA1071" s="68"/>
      <c r="BB1071" s="67"/>
      <c r="BC1071" s="67"/>
      <c r="BD1071" s="67"/>
      <c r="BE1071" s="67"/>
      <c r="BF1071" s="95"/>
      <c r="BG1071" s="67"/>
      <c r="BH1071" s="67"/>
      <c r="BI1071" s="67"/>
      <c r="BJ1071" s="67"/>
      <c r="BK1071" s="67"/>
      <c r="BL1071" s="67"/>
      <c r="BM1071" s="67"/>
      <c r="BN1071" s="68"/>
      <c r="BO1071" s="67"/>
      <c r="BP1071" s="67"/>
      <c r="BQ1071" s="69"/>
    </row>
    <row r="1072" spans="1:69" x14ac:dyDescent="0.35">
      <c r="A1072"/>
      <c r="D1072"/>
      <c r="G1072"/>
      <c r="H1072" s="20"/>
      <c r="I1072" s="20"/>
      <c r="J1072" s="20"/>
      <c r="K1072" s="20"/>
      <c r="L1072" s="20"/>
      <c r="Q1072" s="83"/>
      <c r="Y1072" s="20"/>
      <c r="AP1072" s="93"/>
      <c r="AQ1072" s="31"/>
      <c r="AR1072" s="31"/>
      <c r="AS1072" s="94"/>
      <c r="AT1072" s="31"/>
      <c r="AU1072" s="31"/>
      <c r="AV1072" s="94"/>
      <c r="AW1072" s="32"/>
      <c r="AX1072" s="32"/>
      <c r="AY1072" s="32"/>
      <c r="AZ1072" s="32"/>
      <c r="BA1072" s="32"/>
      <c r="BB1072" s="31"/>
      <c r="BC1072" s="31"/>
      <c r="BD1072" s="31"/>
      <c r="BE1072" s="31"/>
      <c r="BF1072" s="96"/>
      <c r="BG1072" s="31"/>
      <c r="BH1072" s="31"/>
      <c r="BI1072" s="31"/>
      <c r="BJ1072" s="31"/>
      <c r="BK1072" s="31"/>
      <c r="BL1072" s="31"/>
      <c r="BM1072" s="31"/>
      <c r="BN1072" s="32"/>
      <c r="BO1072" s="31"/>
      <c r="BP1072" s="31"/>
      <c r="BQ1072" s="33"/>
    </row>
    <row r="1073" spans="1:69" x14ac:dyDescent="0.35">
      <c r="A1073"/>
      <c r="D1073"/>
      <c r="G1073"/>
      <c r="H1073" s="20"/>
      <c r="I1073" s="20"/>
      <c r="J1073" s="20"/>
      <c r="K1073" s="20"/>
      <c r="L1073" s="20"/>
      <c r="Q1073" s="83"/>
      <c r="Y1073" s="20"/>
      <c r="AP1073" s="92"/>
      <c r="AQ1073" s="67"/>
      <c r="AR1073" s="67"/>
      <c r="AS1073" s="73"/>
      <c r="AT1073" s="67"/>
      <c r="AU1073" s="67"/>
      <c r="AV1073" s="73"/>
      <c r="AW1073" s="68"/>
      <c r="AX1073" s="68"/>
      <c r="AY1073" s="68"/>
      <c r="AZ1073" s="68"/>
      <c r="BA1073" s="68"/>
      <c r="BB1073" s="67"/>
      <c r="BC1073" s="67"/>
      <c r="BD1073" s="67"/>
      <c r="BE1073" s="67"/>
      <c r="BF1073" s="95"/>
      <c r="BG1073" s="67"/>
      <c r="BH1073" s="67"/>
      <c r="BI1073" s="67"/>
      <c r="BJ1073" s="67"/>
      <c r="BK1073" s="67"/>
      <c r="BL1073" s="67"/>
      <c r="BM1073" s="67"/>
      <c r="BN1073" s="68"/>
      <c r="BO1073" s="67"/>
      <c r="BP1073" s="67"/>
      <c r="BQ1073" s="69"/>
    </row>
    <row r="1074" spans="1:69" x14ac:dyDescent="0.35">
      <c r="A1074"/>
      <c r="D1074"/>
      <c r="G1074"/>
      <c r="H1074" s="20"/>
      <c r="I1074" s="20"/>
      <c r="J1074" s="20"/>
      <c r="K1074" s="20"/>
      <c r="L1074" s="20"/>
      <c r="Q1074" s="83"/>
      <c r="Y1074" s="20"/>
      <c r="AP1074" s="93"/>
      <c r="AQ1074" s="31"/>
      <c r="AR1074" s="31"/>
      <c r="AS1074" s="94"/>
      <c r="AT1074" s="31"/>
      <c r="AU1074" s="31"/>
      <c r="AV1074" s="94"/>
      <c r="AW1074" s="32"/>
      <c r="AX1074" s="32"/>
      <c r="AY1074" s="32"/>
      <c r="AZ1074" s="32"/>
      <c r="BA1074" s="32"/>
      <c r="BB1074" s="31"/>
      <c r="BC1074" s="31"/>
      <c r="BD1074" s="31"/>
      <c r="BE1074" s="31"/>
      <c r="BF1074" s="96"/>
      <c r="BG1074" s="31"/>
      <c r="BH1074" s="31"/>
      <c r="BI1074" s="31"/>
      <c r="BJ1074" s="31"/>
      <c r="BK1074" s="31"/>
      <c r="BL1074" s="31"/>
      <c r="BM1074" s="31"/>
      <c r="BN1074" s="32"/>
      <c r="BO1074" s="31"/>
      <c r="BP1074" s="31"/>
      <c r="BQ1074" s="33"/>
    </row>
    <row r="1075" spans="1:69" x14ac:dyDescent="0.35">
      <c r="A1075"/>
      <c r="D1075"/>
      <c r="G1075"/>
      <c r="H1075" s="20"/>
      <c r="I1075" s="20"/>
      <c r="J1075" s="20"/>
      <c r="K1075" s="20"/>
      <c r="L1075" s="20"/>
      <c r="Q1075" s="83"/>
      <c r="Y1075" s="20"/>
      <c r="AP1075" s="92"/>
      <c r="AQ1075" s="67"/>
      <c r="AR1075" s="67"/>
      <c r="AS1075" s="73"/>
      <c r="AT1075" s="67"/>
      <c r="AU1075" s="67"/>
      <c r="AV1075" s="73"/>
      <c r="AW1075" s="68"/>
      <c r="AX1075" s="68"/>
      <c r="AY1075" s="68"/>
      <c r="AZ1075" s="68"/>
      <c r="BA1075" s="68"/>
      <c r="BB1075" s="67"/>
      <c r="BC1075" s="67"/>
      <c r="BD1075" s="67"/>
      <c r="BE1075" s="67"/>
      <c r="BF1075" s="95"/>
      <c r="BG1075" s="67"/>
      <c r="BH1075" s="67"/>
      <c r="BI1075" s="67"/>
      <c r="BJ1075" s="67"/>
      <c r="BK1075" s="67"/>
      <c r="BL1075" s="67"/>
      <c r="BM1075" s="67"/>
      <c r="BN1075" s="68"/>
      <c r="BO1075" s="67"/>
      <c r="BP1075" s="67"/>
      <c r="BQ1075" s="69"/>
    </row>
    <row r="1076" spans="1:69" x14ac:dyDescent="0.35">
      <c r="A1076"/>
      <c r="D1076"/>
      <c r="G1076"/>
      <c r="H1076" s="20"/>
      <c r="I1076" s="20"/>
      <c r="J1076" s="20"/>
      <c r="K1076" s="20"/>
      <c r="L1076" s="20"/>
      <c r="Q1076" s="83"/>
      <c r="Y1076" s="20"/>
      <c r="AP1076" s="93"/>
      <c r="AQ1076" s="31"/>
      <c r="AR1076" s="31"/>
      <c r="AS1076" s="94"/>
      <c r="AT1076" s="31"/>
      <c r="AU1076" s="31"/>
      <c r="AV1076" s="94"/>
      <c r="AW1076" s="32"/>
      <c r="AX1076" s="32"/>
      <c r="AY1076" s="32"/>
      <c r="AZ1076" s="32"/>
      <c r="BA1076" s="32"/>
      <c r="BB1076" s="31"/>
      <c r="BC1076" s="31"/>
      <c r="BD1076" s="31"/>
      <c r="BE1076" s="31"/>
      <c r="BF1076" s="96"/>
      <c r="BG1076" s="31"/>
      <c r="BH1076" s="31"/>
      <c r="BI1076" s="31"/>
      <c r="BJ1076" s="31"/>
      <c r="BK1076" s="31"/>
      <c r="BL1076" s="31"/>
      <c r="BM1076" s="31"/>
      <c r="BN1076" s="32"/>
      <c r="BO1076" s="31"/>
      <c r="BP1076" s="31"/>
      <c r="BQ1076" s="33"/>
    </row>
    <row r="1077" spans="1:69" x14ac:dyDescent="0.35">
      <c r="A1077"/>
      <c r="D1077"/>
      <c r="G1077"/>
      <c r="H1077" s="20"/>
      <c r="I1077" s="20"/>
      <c r="J1077" s="20"/>
      <c r="K1077" s="20"/>
      <c r="L1077" s="20"/>
      <c r="Q1077" s="83"/>
      <c r="Y1077" s="20"/>
      <c r="AP1077" s="92"/>
      <c r="AQ1077" s="67"/>
      <c r="AR1077" s="67"/>
      <c r="AS1077" s="73"/>
      <c r="AT1077" s="67"/>
      <c r="AU1077" s="67"/>
      <c r="AV1077" s="73"/>
      <c r="AW1077" s="68"/>
      <c r="AX1077" s="68"/>
      <c r="AY1077" s="68"/>
      <c r="AZ1077" s="68"/>
      <c r="BA1077" s="68"/>
      <c r="BB1077" s="67"/>
      <c r="BC1077" s="67"/>
      <c r="BD1077" s="67"/>
      <c r="BE1077" s="67"/>
      <c r="BF1077" s="95"/>
      <c r="BG1077" s="67"/>
      <c r="BH1077" s="67"/>
      <c r="BI1077" s="67"/>
      <c r="BJ1077" s="67"/>
      <c r="BK1077" s="67"/>
      <c r="BL1077" s="67"/>
      <c r="BM1077" s="67"/>
      <c r="BN1077" s="68"/>
      <c r="BO1077" s="67"/>
      <c r="BP1077" s="67"/>
      <c r="BQ1077" s="69"/>
    </row>
    <row r="1078" spans="1:69" x14ac:dyDescent="0.35">
      <c r="A1078"/>
      <c r="D1078"/>
      <c r="G1078"/>
      <c r="H1078" s="20"/>
      <c r="I1078" s="20"/>
      <c r="J1078" s="20"/>
      <c r="K1078" s="20"/>
      <c r="L1078" s="20"/>
      <c r="Q1078" s="83"/>
      <c r="Y1078" s="20"/>
      <c r="AP1078" s="93"/>
      <c r="AQ1078" s="31"/>
      <c r="AR1078" s="31"/>
      <c r="AS1078" s="94"/>
      <c r="AT1078" s="31"/>
      <c r="AU1078" s="31"/>
      <c r="AV1078" s="94"/>
      <c r="AW1078" s="32"/>
      <c r="AX1078" s="32"/>
      <c r="AY1078" s="32"/>
      <c r="AZ1078" s="32"/>
      <c r="BA1078" s="32"/>
      <c r="BB1078" s="31"/>
      <c r="BC1078" s="31"/>
      <c r="BD1078" s="31"/>
      <c r="BE1078" s="31"/>
      <c r="BF1078" s="96"/>
      <c r="BG1078" s="31"/>
      <c r="BH1078" s="31"/>
      <c r="BI1078" s="31"/>
      <c r="BJ1078" s="31"/>
      <c r="BK1078" s="31"/>
      <c r="BL1078" s="31"/>
      <c r="BM1078" s="31"/>
      <c r="BN1078" s="32"/>
      <c r="BO1078" s="31"/>
      <c r="BP1078" s="31"/>
      <c r="BQ1078" s="33"/>
    </row>
    <row r="1079" spans="1:69" x14ac:dyDescent="0.35">
      <c r="A1079"/>
      <c r="D1079"/>
      <c r="G1079"/>
      <c r="H1079" s="20"/>
      <c r="I1079" s="20"/>
      <c r="J1079" s="20"/>
      <c r="K1079" s="20"/>
      <c r="L1079" s="20"/>
      <c r="Q1079" s="83"/>
      <c r="Y1079" s="20"/>
      <c r="AP1079" s="92"/>
      <c r="AQ1079" s="67"/>
      <c r="AR1079" s="67"/>
      <c r="AS1079" s="73"/>
      <c r="AT1079" s="67"/>
      <c r="AU1079" s="67"/>
      <c r="AV1079" s="73"/>
      <c r="AW1079" s="68"/>
      <c r="AX1079" s="68"/>
      <c r="AY1079" s="68"/>
      <c r="AZ1079" s="68"/>
      <c r="BA1079" s="68"/>
      <c r="BB1079" s="67"/>
      <c r="BC1079" s="67"/>
      <c r="BD1079" s="67"/>
      <c r="BE1079" s="67"/>
      <c r="BF1079" s="95"/>
      <c r="BG1079" s="67"/>
      <c r="BH1079" s="67"/>
      <c r="BI1079" s="67"/>
      <c r="BJ1079" s="67"/>
      <c r="BK1079" s="67"/>
      <c r="BL1079" s="67"/>
      <c r="BM1079" s="67"/>
      <c r="BN1079" s="68"/>
      <c r="BO1079" s="67"/>
      <c r="BP1079" s="67"/>
      <c r="BQ1079" s="69"/>
    </row>
    <row r="1080" spans="1:69" x14ac:dyDescent="0.35">
      <c r="A1080"/>
      <c r="D1080"/>
      <c r="G1080"/>
      <c r="H1080" s="20"/>
      <c r="I1080" s="20"/>
      <c r="J1080" s="20"/>
      <c r="K1080" s="20"/>
      <c r="L1080" s="20"/>
      <c r="Q1080" s="83"/>
      <c r="Y1080" s="20"/>
      <c r="AP1080" s="93"/>
      <c r="AQ1080" s="31"/>
      <c r="AR1080" s="31"/>
      <c r="AS1080" s="94"/>
      <c r="AT1080" s="31"/>
      <c r="AU1080" s="31"/>
      <c r="AV1080" s="94"/>
      <c r="AW1080" s="32"/>
      <c r="AX1080" s="32"/>
      <c r="AY1080" s="32"/>
      <c r="AZ1080" s="32"/>
      <c r="BA1080" s="32"/>
      <c r="BB1080" s="31"/>
      <c r="BC1080" s="31"/>
      <c r="BD1080" s="31"/>
      <c r="BE1080" s="31"/>
      <c r="BF1080" s="96"/>
      <c r="BG1080" s="31"/>
      <c r="BH1080" s="31"/>
      <c r="BI1080" s="31"/>
      <c r="BJ1080" s="31"/>
      <c r="BK1080" s="31"/>
      <c r="BL1080" s="31"/>
      <c r="BM1080" s="31"/>
      <c r="BN1080" s="32"/>
      <c r="BO1080" s="31"/>
      <c r="BP1080" s="31"/>
      <c r="BQ1080" s="33"/>
    </row>
    <row r="1081" spans="1:69" x14ac:dyDescent="0.35">
      <c r="A1081"/>
      <c r="D1081"/>
      <c r="G1081"/>
      <c r="H1081" s="20"/>
      <c r="I1081" s="20"/>
      <c r="J1081" s="20"/>
      <c r="K1081" s="20"/>
      <c r="L1081" s="20"/>
      <c r="Q1081" s="83"/>
      <c r="Y1081" s="20"/>
      <c r="AP1081" s="92"/>
      <c r="AQ1081" s="67"/>
      <c r="AR1081" s="67"/>
      <c r="AS1081" s="73"/>
      <c r="AT1081" s="67"/>
      <c r="AU1081" s="67"/>
      <c r="AV1081" s="73"/>
      <c r="AW1081" s="68"/>
      <c r="AX1081" s="68"/>
      <c r="AY1081" s="68"/>
      <c r="AZ1081" s="68"/>
      <c r="BA1081" s="68"/>
      <c r="BB1081" s="67"/>
      <c r="BC1081" s="67"/>
      <c r="BD1081" s="67"/>
      <c r="BE1081" s="67"/>
      <c r="BF1081" s="95"/>
      <c r="BG1081" s="67"/>
      <c r="BH1081" s="67"/>
      <c r="BI1081" s="67"/>
      <c r="BJ1081" s="67"/>
      <c r="BK1081" s="67"/>
      <c r="BL1081" s="67"/>
      <c r="BM1081" s="67"/>
      <c r="BN1081" s="68"/>
      <c r="BO1081" s="67"/>
      <c r="BP1081" s="67"/>
      <c r="BQ1081" s="69"/>
    </row>
    <row r="1082" spans="1:69" x14ac:dyDescent="0.35">
      <c r="A1082"/>
      <c r="D1082"/>
      <c r="G1082"/>
      <c r="H1082" s="20"/>
      <c r="I1082" s="20"/>
      <c r="J1082" s="20"/>
      <c r="K1082" s="20"/>
      <c r="L1082" s="20"/>
      <c r="Q1082" s="83"/>
      <c r="Y1082" s="20"/>
      <c r="AP1082" s="93"/>
      <c r="AQ1082" s="31"/>
      <c r="AR1082" s="31"/>
      <c r="AS1082" s="94"/>
      <c r="AT1082" s="31"/>
      <c r="AU1082" s="31"/>
      <c r="AV1082" s="94"/>
      <c r="AW1082" s="32"/>
      <c r="AX1082" s="32"/>
      <c r="AY1082" s="32"/>
      <c r="AZ1082" s="32"/>
      <c r="BA1082" s="32"/>
      <c r="BB1082" s="31"/>
      <c r="BC1082" s="31"/>
      <c r="BD1082" s="31"/>
      <c r="BE1082" s="31"/>
      <c r="BF1082" s="96"/>
      <c r="BG1082" s="31"/>
      <c r="BH1082" s="31"/>
      <c r="BI1082" s="31"/>
      <c r="BJ1082" s="31"/>
      <c r="BK1082" s="31"/>
      <c r="BL1082" s="31"/>
      <c r="BM1082" s="31"/>
      <c r="BN1082" s="32"/>
      <c r="BO1082" s="31"/>
      <c r="BP1082" s="31"/>
      <c r="BQ1082" s="33"/>
    </row>
    <row r="1083" spans="1:69" x14ac:dyDescent="0.35">
      <c r="A1083"/>
      <c r="D1083"/>
      <c r="G1083"/>
      <c r="H1083" s="20"/>
      <c r="I1083" s="20"/>
      <c r="J1083" s="20"/>
      <c r="K1083" s="20"/>
      <c r="L1083" s="20"/>
      <c r="Q1083" s="83"/>
      <c r="Y1083" s="20"/>
      <c r="AP1083" s="92"/>
      <c r="AQ1083" s="67"/>
      <c r="AR1083" s="67"/>
      <c r="AS1083" s="73"/>
      <c r="AT1083" s="67"/>
      <c r="AU1083" s="67"/>
      <c r="AV1083" s="73"/>
      <c r="AW1083" s="68"/>
      <c r="AX1083" s="68"/>
      <c r="AY1083" s="68"/>
      <c r="AZ1083" s="68"/>
      <c r="BA1083" s="68"/>
      <c r="BB1083" s="67"/>
      <c r="BC1083" s="67"/>
      <c r="BD1083" s="67"/>
      <c r="BE1083" s="67"/>
      <c r="BF1083" s="95"/>
      <c r="BG1083" s="67"/>
      <c r="BH1083" s="67"/>
      <c r="BI1083" s="67"/>
      <c r="BJ1083" s="67"/>
      <c r="BK1083" s="67"/>
      <c r="BL1083" s="67"/>
      <c r="BM1083" s="67"/>
      <c r="BN1083" s="68"/>
      <c r="BO1083" s="67"/>
      <c r="BP1083" s="67"/>
      <c r="BQ1083" s="69"/>
    </row>
    <row r="1084" spans="1:69" x14ac:dyDescent="0.35">
      <c r="A1084"/>
      <c r="D1084"/>
      <c r="G1084"/>
      <c r="H1084" s="20"/>
      <c r="I1084" s="20"/>
      <c r="J1084" s="20"/>
      <c r="K1084" s="20"/>
      <c r="L1084" s="20"/>
      <c r="Q1084" s="83"/>
      <c r="Y1084" s="20"/>
      <c r="AP1084" s="93"/>
      <c r="AQ1084" s="31"/>
      <c r="AR1084" s="31"/>
      <c r="AS1084" s="94"/>
      <c r="AT1084" s="31"/>
      <c r="AU1084" s="31"/>
      <c r="AV1084" s="94"/>
      <c r="AW1084" s="32"/>
      <c r="AX1084" s="32"/>
      <c r="AY1084" s="32"/>
      <c r="AZ1084" s="32"/>
      <c r="BA1084" s="32"/>
      <c r="BB1084" s="31"/>
      <c r="BC1084" s="31"/>
      <c r="BD1084" s="31"/>
      <c r="BE1084" s="31"/>
      <c r="BF1084" s="96"/>
      <c r="BG1084" s="31"/>
      <c r="BH1084" s="31"/>
      <c r="BI1084" s="31"/>
      <c r="BJ1084" s="31"/>
      <c r="BK1084" s="31"/>
      <c r="BL1084" s="31"/>
      <c r="BM1084" s="31"/>
      <c r="BN1084" s="32"/>
      <c r="BO1084" s="31"/>
      <c r="BP1084" s="31"/>
      <c r="BQ1084" s="33"/>
    </row>
    <row r="1085" spans="1:69" x14ac:dyDescent="0.35">
      <c r="A1085"/>
      <c r="D1085"/>
      <c r="G1085"/>
      <c r="H1085" s="20"/>
      <c r="I1085" s="20"/>
      <c r="J1085" s="20"/>
      <c r="K1085" s="20"/>
      <c r="L1085" s="20"/>
      <c r="Q1085" s="83"/>
      <c r="Y1085" s="20"/>
      <c r="AP1085" s="92"/>
      <c r="AQ1085" s="67"/>
      <c r="AR1085" s="67"/>
      <c r="AS1085" s="73"/>
      <c r="AT1085" s="67"/>
      <c r="AU1085" s="67"/>
      <c r="AV1085" s="73"/>
      <c r="AW1085" s="68"/>
      <c r="AX1085" s="68"/>
      <c r="AY1085" s="68"/>
      <c r="AZ1085" s="68"/>
      <c r="BA1085" s="68"/>
      <c r="BB1085" s="67"/>
      <c r="BC1085" s="67"/>
      <c r="BD1085" s="67"/>
      <c r="BE1085" s="67"/>
      <c r="BF1085" s="95"/>
      <c r="BG1085" s="67"/>
      <c r="BH1085" s="67"/>
      <c r="BI1085" s="67"/>
      <c r="BJ1085" s="67"/>
      <c r="BK1085" s="67"/>
      <c r="BL1085" s="67"/>
      <c r="BM1085" s="67"/>
      <c r="BN1085" s="68"/>
      <c r="BO1085" s="67"/>
      <c r="BP1085" s="67"/>
      <c r="BQ1085" s="69"/>
    </row>
    <row r="1086" spans="1:69" x14ac:dyDescent="0.35">
      <c r="A1086"/>
      <c r="D1086"/>
      <c r="G1086"/>
      <c r="H1086" s="20"/>
      <c r="I1086" s="20"/>
      <c r="J1086" s="20"/>
      <c r="K1086" s="20"/>
      <c r="L1086" s="20"/>
      <c r="Q1086" s="83"/>
      <c r="Y1086" s="20"/>
      <c r="AP1086" s="93"/>
      <c r="AQ1086" s="31"/>
      <c r="AR1086" s="31"/>
      <c r="AS1086" s="94"/>
      <c r="AT1086" s="31"/>
      <c r="AU1086" s="31"/>
      <c r="AV1086" s="94"/>
      <c r="AW1086" s="32"/>
      <c r="AX1086" s="32"/>
      <c r="AY1086" s="32"/>
      <c r="AZ1086" s="32"/>
      <c r="BA1086" s="32"/>
      <c r="BB1086" s="31"/>
      <c r="BC1086" s="31"/>
      <c r="BD1086" s="31"/>
      <c r="BE1086" s="31"/>
      <c r="BF1086" s="96"/>
      <c r="BG1086" s="31"/>
      <c r="BH1086" s="31"/>
      <c r="BI1086" s="31"/>
      <c r="BJ1086" s="31"/>
      <c r="BK1086" s="31"/>
      <c r="BL1086" s="31"/>
      <c r="BM1086" s="31"/>
      <c r="BN1086" s="32"/>
      <c r="BO1086" s="31"/>
      <c r="BP1086" s="31"/>
      <c r="BQ1086" s="33"/>
    </row>
    <row r="1087" spans="1:69" x14ac:dyDescent="0.35">
      <c r="A1087"/>
      <c r="D1087"/>
      <c r="G1087"/>
      <c r="H1087" s="20"/>
      <c r="I1087" s="20"/>
      <c r="J1087" s="20"/>
      <c r="K1087" s="20"/>
      <c r="L1087" s="20"/>
      <c r="Q1087" s="83"/>
      <c r="Y1087" s="20"/>
      <c r="AP1087" s="92"/>
      <c r="AQ1087" s="67"/>
      <c r="AR1087" s="67"/>
      <c r="AS1087" s="73"/>
      <c r="AT1087" s="67"/>
      <c r="AU1087" s="67"/>
      <c r="AV1087" s="73"/>
      <c r="AW1087" s="68"/>
      <c r="AX1087" s="68"/>
      <c r="AY1087" s="68"/>
      <c r="AZ1087" s="68"/>
      <c r="BA1087" s="68"/>
      <c r="BB1087" s="67"/>
      <c r="BC1087" s="67"/>
      <c r="BD1087" s="67"/>
      <c r="BE1087" s="67"/>
      <c r="BF1087" s="95"/>
      <c r="BG1087" s="67"/>
      <c r="BH1087" s="67"/>
      <c r="BI1087" s="67"/>
      <c r="BJ1087" s="67"/>
      <c r="BK1087" s="67"/>
      <c r="BL1087" s="67"/>
      <c r="BM1087" s="67"/>
      <c r="BN1087" s="68"/>
      <c r="BO1087" s="67"/>
      <c r="BP1087" s="67"/>
      <c r="BQ1087" s="69"/>
    </row>
    <row r="1088" spans="1:69" x14ac:dyDescent="0.35">
      <c r="A1088"/>
      <c r="D1088"/>
      <c r="G1088"/>
      <c r="H1088" s="20"/>
      <c r="I1088" s="20"/>
      <c r="J1088" s="20"/>
      <c r="K1088" s="20"/>
      <c r="L1088" s="20"/>
      <c r="Q1088" s="83"/>
      <c r="Y1088" s="20"/>
      <c r="AP1088" s="93"/>
      <c r="AQ1088" s="31"/>
      <c r="AR1088" s="31"/>
      <c r="AS1088" s="94"/>
      <c r="AT1088" s="31"/>
      <c r="AU1088" s="31"/>
      <c r="AV1088" s="94"/>
      <c r="AW1088" s="32"/>
      <c r="AX1088" s="32"/>
      <c r="AY1088" s="32"/>
      <c r="AZ1088" s="32"/>
      <c r="BA1088" s="32"/>
      <c r="BB1088" s="31"/>
      <c r="BC1088" s="31"/>
      <c r="BD1088" s="31"/>
      <c r="BE1088" s="31"/>
      <c r="BF1088" s="96"/>
      <c r="BG1088" s="31"/>
      <c r="BH1088" s="31"/>
      <c r="BI1088" s="31"/>
      <c r="BJ1088" s="31"/>
      <c r="BK1088" s="31"/>
      <c r="BL1088" s="31"/>
      <c r="BM1088" s="31"/>
      <c r="BN1088" s="32"/>
      <c r="BO1088" s="31"/>
      <c r="BP1088" s="31"/>
      <c r="BQ1088" s="33"/>
    </row>
    <row r="1089" spans="1:69" x14ac:dyDescent="0.35">
      <c r="A1089"/>
      <c r="D1089"/>
      <c r="G1089"/>
      <c r="H1089" s="20"/>
      <c r="I1089" s="20"/>
      <c r="J1089" s="20"/>
      <c r="K1089" s="20"/>
      <c r="L1089" s="20"/>
      <c r="Q1089" s="83"/>
      <c r="Y1089" s="20"/>
      <c r="AP1089" s="92"/>
      <c r="AQ1089" s="67"/>
      <c r="AR1089" s="67"/>
      <c r="AS1089" s="73"/>
      <c r="AT1089" s="67"/>
      <c r="AU1089" s="67"/>
      <c r="AV1089" s="73"/>
      <c r="AW1089" s="68"/>
      <c r="AX1089" s="68"/>
      <c r="AY1089" s="68"/>
      <c r="AZ1089" s="68"/>
      <c r="BA1089" s="68"/>
      <c r="BB1089" s="67"/>
      <c r="BC1089" s="67"/>
      <c r="BD1089" s="67"/>
      <c r="BE1089" s="67"/>
      <c r="BF1089" s="95"/>
      <c r="BG1089" s="67"/>
      <c r="BH1089" s="67"/>
      <c r="BI1089" s="67"/>
      <c r="BJ1089" s="67"/>
      <c r="BK1089" s="67"/>
      <c r="BL1089" s="67"/>
      <c r="BM1089" s="67"/>
      <c r="BN1089" s="68"/>
      <c r="BO1089" s="67"/>
      <c r="BP1089" s="67"/>
      <c r="BQ1089" s="69"/>
    </row>
    <row r="1090" spans="1:69" x14ac:dyDescent="0.35">
      <c r="A1090"/>
      <c r="D1090"/>
      <c r="G1090"/>
      <c r="H1090" s="20"/>
      <c r="I1090" s="20"/>
      <c r="J1090" s="20"/>
      <c r="K1090" s="20"/>
      <c r="L1090" s="20"/>
      <c r="Q1090" s="83"/>
      <c r="Y1090" s="20"/>
      <c r="AP1090" s="93"/>
      <c r="AQ1090" s="31"/>
      <c r="AR1090" s="31"/>
      <c r="AS1090" s="94"/>
      <c r="AT1090" s="31"/>
      <c r="AU1090" s="31"/>
      <c r="AV1090" s="94"/>
      <c r="AW1090" s="32"/>
      <c r="AX1090" s="32"/>
      <c r="AY1090" s="32"/>
      <c r="AZ1090" s="32"/>
      <c r="BA1090" s="32"/>
      <c r="BB1090" s="31"/>
      <c r="BC1090" s="31"/>
      <c r="BD1090" s="31"/>
      <c r="BE1090" s="31"/>
      <c r="BF1090" s="96"/>
      <c r="BG1090" s="31"/>
      <c r="BH1090" s="31"/>
      <c r="BI1090" s="31"/>
      <c r="BJ1090" s="31"/>
      <c r="BK1090" s="31"/>
      <c r="BL1090" s="31"/>
      <c r="BM1090" s="31"/>
      <c r="BN1090" s="32"/>
      <c r="BO1090" s="31"/>
      <c r="BP1090" s="31"/>
      <c r="BQ1090" s="33"/>
    </row>
    <row r="1091" spans="1:69" x14ac:dyDescent="0.35">
      <c r="A1091"/>
      <c r="D1091"/>
      <c r="G1091"/>
      <c r="H1091" s="20"/>
      <c r="I1091" s="20"/>
      <c r="J1091" s="20"/>
      <c r="K1091" s="20"/>
      <c r="L1091" s="20"/>
      <c r="Q1091" s="83"/>
      <c r="Y1091" s="20"/>
      <c r="AP1091" s="92"/>
      <c r="AQ1091" s="67"/>
      <c r="AR1091" s="67"/>
      <c r="AS1091" s="73"/>
      <c r="AT1091" s="67"/>
      <c r="AU1091" s="67"/>
      <c r="AV1091" s="73"/>
      <c r="AW1091" s="68"/>
      <c r="AX1091" s="68"/>
      <c r="AY1091" s="68"/>
      <c r="AZ1091" s="68"/>
      <c r="BA1091" s="68"/>
      <c r="BB1091" s="67"/>
      <c r="BC1091" s="67"/>
      <c r="BD1091" s="67"/>
      <c r="BE1091" s="67"/>
      <c r="BF1091" s="95"/>
      <c r="BG1091" s="67"/>
      <c r="BH1091" s="67"/>
      <c r="BI1091" s="67"/>
      <c r="BJ1091" s="67"/>
      <c r="BK1091" s="67"/>
      <c r="BL1091" s="67"/>
      <c r="BM1091" s="67"/>
      <c r="BN1091" s="68"/>
      <c r="BO1091" s="67"/>
      <c r="BP1091" s="67"/>
      <c r="BQ1091" s="69"/>
    </row>
    <row r="1092" spans="1:69" x14ac:dyDescent="0.35">
      <c r="A1092"/>
      <c r="D1092"/>
      <c r="G1092"/>
      <c r="H1092" s="20"/>
      <c r="I1092" s="20"/>
      <c r="J1092" s="20"/>
      <c r="K1092" s="20"/>
      <c r="L1092" s="20"/>
      <c r="Q1092" s="83"/>
      <c r="Y1092" s="20"/>
      <c r="AP1092" s="93"/>
      <c r="AQ1092" s="31"/>
      <c r="AR1092" s="31"/>
      <c r="AS1092" s="94"/>
      <c r="AT1092" s="31"/>
      <c r="AU1092" s="31"/>
      <c r="AV1092" s="94"/>
      <c r="AW1092" s="32"/>
      <c r="AX1092" s="32"/>
      <c r="AY1092" s="32"/>
      <c r="AZ1092" s="32"/>
      <c r="BA1092" s="32"/>
      <c r="BB1092" s="31"/>
      <c r="BC1092" s="31"/>
      <c r="BD1092" s="31"/>
      <c r="BE1092" s="31"/>
      <c r="BF1092" s="96"/>
      <c r="BG1092" s="31"/>
      <c r="BH1092" s="31"/>
      <c r="BI1092" s="31"/>
      <c r="BJ1092" s="31"/>
      <c r="BK1092" s="31"/>
      <c r="BL1092" s="31"/>
      <c r="BM1092" s="31"/>
      <c r="BN1092" s="32"/>
      <c r="BO1092" s="31"/>
      <c r="BP1092" s="31"/>
      <c r="BQ1092" s="33"/>
    </row>
    <row r="1093" spans="1:69" x14ac:dyDescent="0.35">
      <c r="A1093"/>
      <c r="D1093"/>
      <c r="G1093"/>
      <c r="H1093" s="20"/>
      <c r="I1093" s="20"/>
      <c r="J1093" s="20"/>
      <c r="K1093" s="20"/>
      <c r="L1093" s="20"/>
      <c r="Q1093" s="83"/>
      <c r="Y1093" s="20"/>
      <c r="AP1093" s="92"/>
      <c r="AQ1093" s="67"/>
      <c r="AR1093" s="67"/>
      <c r="AS1093" s="73"/>
      <c r="AT1093" s="67"/>
      <c r="AU1093" s="67"/>
      <c r="AV1093" s="73"/>
      <c r="AW1093" s="68"/>
      <c r="AX1093" s="68"/>
      <c r="AY1093" s="68"/>
      <c r="AZ1093" s="68"/>
      <c r="BA1093" s="68"/>
      <c r="BB1093" s="67"/>
      <c r="BC1093" s="67"/>
      <c r="BD1093" s="67"/>
      <c r="BE1093" s="67"/>
      <c r="BF1093" s="95"/>
      <c r="BG1093" s="67"/>
      <c r="BH1093" s="67"/>
      <c r="BI1093" s="67"/>
      <c r="BJ1093" s="67"/>
      <c r="BK1093" s="67"/>
      <c r="BL1093" s="67"/>
      <c r="BM1093" s="67"/>
      <c r="BN1093" s="68"/>
      <c r="BO1093" s="67"/>
      <c r="BP1093" s="67"/>
      <c r="BQ1093" s="69"/>
    </row>
    <row r="1094" spans="1:69" x14ac:dyDescent="0.35">
      <c r="A1094"/>
      <c r="D1094"/>
      <c r="G1094"/>
      <c r="H1094" s="20"/>
      <c r="I1094" s="20"/>
      <c r="J1094" s="20"/>
      <c r="K1094" s="20"/>
      <c r="L1094" s="20"/>
      <c r="Q1094" s="83"/>
      <c r="Y1094" s="20"/>
      <c r="AP1094" s="93"/>
      <c r="AQ1094" s="31"/>
      <c r="AR1094" s="31"/>
      <c r="AS1094" s="94"/>
      <c r="AT1094" s="31"/>
      <c r="AU1094" s="31"/>
      <c r="AV1094" s="94"/>
      <c r="AW1094" s="32"/>
      <c r="AX1094" s="32"/>
      <c r="AY1094" s="32"/>
      <c r="AZ1094" s="32"/>
      <c r="BA1094" s="32"/>
      <c r="BB1094" s="31"/>
      <c r="BC1094" s="31"/>
      <c r="BD1094" s="31"/>
      <c r="BE1094" s="31"/>
      <c r="BF1094" s="96"/>
      <c r="BG1094" s="31"/>
      <c r="BH1094" s="31"/>
      <c r="BI1094" s="31"/>
      <c r="BJ1094" s="31"/>
      <c r="BK1094" s="31"/>
      <c r="BL1094" s="31"/>
      <c r="BM1094" s="31"/>
      <c r="BN1094" s="32"/>
      <c r="BO1094" s="31"/>
      <c r="BP1094" s="31"/>
      <c r="BQ1094" s="33"/>
    </row>
    <row r="1095" spans="1:69" x14ac:dyDescent="0.35">
      <c r="A1095"/>
      <c r="D1095"/>
      <c r="G1095"/>
      <c r="H1095" s="20"/>
      <c r="I1095" s="20"/>
      <c r="J1095" s="20"/>
      <c r="K1095" s="20"/>
      <c r="L1095" s="20"/>
      <c r="Q1095" s="83"/>
      <c r="Y1095" s="20"/>
      <c r="AP1095" s="92"/>
      <c r="AQ1095" s="67"/>
      <c r="AR1095" s="67"/>
      <c r="AS1095" s="73"/>
      <c r="AT1095" s="67"/>
      <c r="AU1095" s="67"/>
      <c r="AV1095" s="73"/>
      <c r="AW1095" s="68"/>
      <c r="AX1095" s="68"/>
      <c r="AY1095" s="68"/>
      <c r="AZ1095" s="68"/>
      <c r="BA1095" s="68"/>
      <c r="BB1095" s="67"/>
      <c r="BC1095" s="67"/>
      <c r="BD1095" s="67"/>
      <c r="BE1095" s="67"/>
      <c r="BF1095" s="95"/>
      <c r="BG1095" s="67"/>
      <c r="BH1095" s="67"/>
      <c r="BI1095" s="67"/>
      <c r="BJ1095" s="67"/>
      <c r="BK1095" s="67"/>
      <c r="BL1095" s="67"/>
      <c r="BM1095" s="67"/>
      <c r="BN1095" s="68"/>
      <c r="BO1095" s="67"/>
      <c r="BP1095" s="67"/>
      <c r="BQ1095" s="69"/>
    </row>
    <row r="1096" spans="1:69" x14ac:dyDescent="0.35">
      <c r="A1096"/>
      <c r="D1096"/>
      <c r="G1096"/>
      <c r="H1096" s="20"/>
      <c r="I1096" s="20"/>
      <c r="J1096" s="20"/>
      <c r="K1096" s="20"/>
      <c r="L1096" s="20"/>
      <c r="Q1096" s="83"/>
      <c r="Y1096" s="20"/>
      <c r="AP1096" s="93"/>
      <c r="AQ1096" s="31"/>
      <c r="AR1096" s="31"/>
      <c r="AS1096" s="94"/>
      <c r="AT1096" s="31"/>
      <c r="AU1096" s="31"/>
      <c r="AV1096" s="94"/>
      <c r="AW1096" s="32"/>
      <c r="AX1096" s="32"/>
      <c r="AY1096" s="32"/>
      <c r="AZ1096" s="32"/>
      <c r="BA1096" s="32"/>
      <c r="BB1096" s="31"/>
      <c r="BC1096" s="31"/>
      <c r="BD1096" s="31"/>
      <c r="BE1096" s="31"/>
      <c r="BF1096" s="96"/>
      <c r="BG1096" s="31"/>
      <c r="BH1096" s="31"/>
      <c r="BI1096" s="31"/>
      <c r="BJ1096" s="31"/>
      <c r="BK1096" s="31"/>
      <c r="BL1096" s="31"/>
      <c r="BM1096" s="31"/>
      <c r="BN1096" s="32"/>
      <c r="BO1096" s="31"/>
      <c r="BP1096" s="31"/>
      <c r="BQ1096" s="33"/>
    </row>
    <row r="1097" spans="1:69" x14ac:dyDescent="0.35">
      <c r="A1097"/>
      <c r="D1097"/>
      <c r="G1097"/>
      <c r="H1097" s="20"/>
      <c r="I1097" s="20"/>
      <c r="J1097" s="20"/>
      <c r="K1097" s="20"/>
      <c r="L1097" s="20"/>
      <c r="Q1097" s="83"/>
      <c r="Y1097" s="20"/>
      <c r="AP1097" s="92"/>
      <c r="AQ1097" s="67"/>
      <c r="AR1097" s="67"/>
      <c r="AS1097" s="73"/>
      <c r="AT1097" s="67"/>
      <c r="AU1097" s="67"/>
      <c r="AV1097" s="73"/>
      <c r="AW1097" s="68"/>
      <c r="AX1097" s="68"/>
      <c r="AY1097" s="68"/>
      <c r="AZ1097" s="68"/>
      <c r="BA1097" s="68"/>
      <c r="BB1097" s="67"/>
      <c r="BC1097" s="67"/>
      <c r="BD1097" s="67"/>
      <c r="BE1097" s="67"/>
      <c r="BF1097" s="95"/>
      <c r="BG1097" s="67"/>
      <c r="BH1097" s="67"/>
      <c r="BI1097" s="67"/>
      <c r="BJ1097" s="67"/>
      <c r="BK1097" s="67"/>
      <c r="BL1097" s="67"/>
      <c r="BM1097" s="67"/>
      <c r="BN1097" s="68"/>
      <c r="BO1097" s="67"/>
      <c r="BP1097" s="67"/>
      <c r="BQ1097" s="69"/>
    </row>
    <row r="1098" spans="1:69" x14ac:dyDescent="0.35">
      <c r="A1098"/>
      <c r="D1098"/>
      <c r="G1098"/>
      <c r="H1098" s="20"/>
      <c r="I1098" s="20"/>
      <c r="J1098" s="20"/>
      <c r="K1098" s="20"/>
      <c r="L1098" s="20"/>
      <c r="Q1098" s="83"/>
      <c r="Y1098" s="20"/>
      <c r="AP1098" s="93"/>
      <c r="AQ1098" s="31"/>
      <c r="AR1098" s="31"/>
      <c r="AS1098" s="94"/>
      <c r="AT1098" s="31"/>
      <c r="AU1098" s="31"/>
      <c r="AV1098" s="94"/>
      <c r="AW1098" s="32"/>
      <c r="AX1098" s="32"/>
      <c r="AY1098" s="32"/>
      <c r="AZ1098" s="32"/>
      <c r="BA1098" s="32"/>
      <c r="BB1098" s="31"/>
      <c r="BC1098" s="31"/>
      <c r="BD1098" s="31"/>
      <c r="BE1098" s="31"/>
      <c r="BF1098" s="96"/>
      <c r="BG1098" s="31"/>
      <c r="BH1098" s="31"/>
      <c r="BI1098" s="31"/>
      <c r="BJ1098" s="31"/>
      <c r="BK1098" s="31"/>
      <c r="BL1098" s="31"/>
      <c r="BM1098" s="31"/>
      <c r="BN1098" s="32"/>
      <c r="BO1098" s="31"/>
      <c r="BP1098" s="31"/>
      <c r="BQ1098" s="33"/>
    </row>
    <row r="1099" spans="1:69" x14ac:dyDescent="0.35">
      <c r="A1099"/>
      <c r="D1099"/>
      <c r="G1099"/>
      <c r="H1099" s="20"/>
      <c r="I1099" s="20"/>
      <c r="J1099" s="20"/>
      <c r="K1099" s="20"/>
      <c r="L1099" s="20"/>
      <c r="Q1099" s="83"/>
      <c r="Y1099" s="20"/>
      <c r="AP1099" s="92"/>
      <c r="AQ1099" s="67"/>
      <c r="AR1099" s="67"/>
      <c r="AS1099" s="73"/>
      <c r="AT1099" s="67"/>
      <c r="AU1099" s="67"/>
      <c r="AV1099" s="73"/>
      <c r="AW1099" s="68"/>
      <c r="AX1099" s="68"/>
      <c r="AY1099" s="68"/>
      <c r="AZ1099" s="68"/>
      <c r="BA1099" s="68"/>
      <c r="BB1099" s="67"/>
      <c r="BC1099" s="67"/>
      <c r="BD1099" s="67"/>
      <c r="BE1099" s="67"/>
      <c r="BF1099" s="95"/>
      <c r="BG1099" s="67"/>
      <c r="BH1099" s="67"/>
      <c r="BI1099" s="67"/>
      <c r="BJ1099" s="67"/>
      <c r="BK1099" s="67"/>
      <c r="BL1099" s="67"/>
      <c r="BM1099" s="67"/>
      <c r="BN1099" s="68"/>
      <c r="BO1099" s="67"/>
      <c r="BP1099" s="67"/>
      <c r="BQ1099" s="69"/>
    </row>
    <row r="1100" spans="1:69" x14ac:dyDescent="0.35">
      <c r="A1100"/>
      <c r="D1100"/>
      <c r="G1100"/>
      <c r="H1100" s="20"/>
      <c r="I1100" s="20"/>
      <c r="J1100" s="20"/>
      <c r="K1100" s="20"/>
      <c r="L1100" s="20"/>
      <c r="Q1100" s="83"/>
      <c r="Y1100" s="20"/>
      <c r="AP1100" s="93"/>
      <c r="AQ1100" s="31"/>
      <c r="AR1100" s="31"/>
      <c r="AS1100" s="94"/>
      <c r="AT1100" s="31"/>
      <c r="AU1100" s="31"/>
      <c r="AV1100" s="94"/>
      <c r="AW1100" s="32"/>
      <c r="AX1100" s="32"/>
      <c r="AY1100" s="32"/>
      <c r="AZ1100" s="32"/>
      <c r="BA1100" s="32"/>
      <c r="BB1100" s="31"/>
      <c r="BC1100" s="31"/>
      <c r="BD1100" s="31"/>
      <c r="BE1100" s="31"/>
      <c r="BF1100" s="96"/>
      <c r="BG1100" s="31"/>
      <c r="BH1100" s="31"/>
      <c r="BI1100" s="31"/>
      <c r="BJ1100" s="31"/>
      <c r="BK1100" s="31"/>
      <c r="BL1100" s="31"/>
      <c r="BM1100" s="31"/>
      <c r="BN1100" s="32"/>
      <c r="BO1100" s="31"/>
      <c r="BP1100" s="31"/>
      <c r="BQ1100" s="33"/>
    </row>
    <row r="1101" spans="1:69" x14ac:dyDescent="0.35">
      <c r="A1101"/>
      <c r="D1101"/>
      <c r="G1101"/>
      <c r="H1101" s="20"/>
      <c r="I1101" s="20"/>
      <c r="J1101" s="20"/>
      <c r="K1101" s="20"/>
      <c r="L1101" s="20"/>
      <c r="Q1101" s="83"/>
      <c r="Y1101" s="20"/>
      <c r="AP1101" s="92"/>
      <c r="AQ1101" s="67"/>
      <c r="AR1101" s="67"/>
      <c r="AS1101" s="73"/>
      <c r="AT1101" s="67"/>
      <c r="AU1101" s="67"/>
      <c r="AV1101" s="73"/>
      <c r="AW1101" s="68"/>
      <c r="AX1101" s="68"/>
      <c r="AY1101" s="68"/>
      <c r="AZ1101" s="68"/>
      <c r="BA1101" s="68"/>
      <c r="BB1101" s="67"/>
      <c r="BC1101" s="67"/>
      <c r="BD1101" s="67"/>
      <c r="BE1101" s="67"/>
      <c r="BF1101" s="95"/>
      <c r="BG1101" s="67"/>
      <c r="BH1101" s="67"/>
      <c r="BI1101" s="67"/>
      <c r="BJ1101" s="67"/>
      <c r="BK1101" s="67"/>
      <c r="BL1101" s="67"/>
      <c r="BM1101" s="67"/>
      <c r="BN1101" s="68"/>
      <c r="BO1101" s="67"/>
      <c r="BP1101" s="67"/>
      <c r="BQ1101" s="69"/>
    </row>
    <row r="1102" spans="1:69" x14ac:dyDescent="0.35">
      <c r="A1102"/>
      <c r="D1102"/>
      <c r="G1102"/>
      <c r="H1102" s="20"/>
      <c r="I1102" s="20"/>
      <c r="J1102" s="20"/>
      <c r="K1102" s="20"/>
      <c r="L1102" s="20"/>
      <c r="Q1102" s="83"/>
      <c r="Y1102" s="20"/>
      <c r="AP1102" s="93"/>
      <c r="AQ1102" s="31"/>
      <c r="AR1102" s="31"/>
      <c r="AS1102" s="94"/>
      <c r="AT1102" s="31"/>
      <c r="AU1102" s="31"/>
      <c r="AV1102" s="94"/>
      <c r="AW1102" s="32"/>
      <c r="AX1102" s="32"/>
      <c r="AY1102" s="32"/>
      <c r="AZ1102" s="32"/>
      <c r="BA1102" s="32"/>
      <c r="BB1102" s="31"/>
      <c r="BC1102" s="31"/>
      <c r="BD1102" s="31"/>
      <c r="BE1102" s="31"/>
      <c r="BF1102" s="96"/>
      <c r="BG1102" s="31"/>
      <c r="BH1102" s="31"/>
      <c r="BI1102" s="31"/>
      <c r="BJ1102" s="31"/>
      <c r="BK1102" s="31"/>
      <c r="BL1102" s="31"/>
      <c r="BM1102" s="31"/>
      <c r="BN1102" s="32"/>
      <c r="BO1102" s="31"/>
      <c r="BP1102" s="31"/>
      <c r="BQ1102" s="33"/>
    </row>
    <row r="1103" spans="1:69" x14ac:dyDescent="0.35">
      <c r="A1103"/>
      <c r="D1103"/>
      <c r="G1103"/>
      <c r="H1103" s="20"/>
      <c r="I1103" s="20"/>
      <c r="J1103" s="20"/>
      <c r="K1103" s="20"/>
      <c r="L1103" s="20"/>
      <c r="Q1103" s="83"/>
      <c r="Y1103" s="20"/>
      <c r="AP1103" s="92"/>
      <c r="AQ1103" s="67"/>
      <c r="AR1103" s="67"/>
      <c r="AS1103" s="73"/>
      <c r="AT1103" s="67"/>
      <c r="AU1103" s="67"/>
      <c r="AV1103" s="73"/>
      <c r="AW1103" s="68"/>
      <c r="AX1103" s="68"/>
      <c r="AY1103" s="68"/>
      <c r="AZ1103" s="68"/>
      <c r="BA1103" s="68"/>
      <c r="BB1103" s="67"/>
      <c r="BC1103" s="67"/>
      <c r="BD1103" s="67"/>
      <c r="BE1103" s="67"/>
      <c r="BF1103" s="95"/>
      <c r="BG1103" s="67"/>
      <c r="BH1103" s="67"/>
      <c r="BI1103" s="67"/>
      <c r="BJ1103" s="67"/>
      <c r="BK1103" s="67"/>
      <c r="BL1103" s="67"/>
      <c r="BM1103" s="67"/>
      <c r="BN1103" s="68"/>
      <c r="BO1103" s="67"/>
      <c r="BP1103" s="67"/>
      <c r="BQ1103" s="69"/>
    </row>
    <row r="1104" spans="1:69" x14ac:dyDescent="0.35">
      <c r="A1104"/>
      <c r="D1104"/>
      <c r="G1104"/>
      <c r="H1104" s="20"/>
      <c r="I1104" s="20"/>
      <c r="J1104" s="20"/>
      <c r="K1104" s="20"/>
      <c r="L1104" s="20"/>
      <c r="Q1104" s="83"/>
      <c r="Y1104" s="20"/>
      <c r="AP1104" s="93"/>
      <c r="AQ1104" s="31"/>
      <c r="AR1104" s="31"/>
      <c r="AS1104" s="94"/>
      <c r="AT1104" s="31"/>
      <c r="AU1104" s="31"/>
      <c r="AV1104" s="94"/>
      <c r="AW1104" s="32"/>
      <c r="AX1104" s="32"/>
      <c r="AY1104" s="32"/>
      <c r="AZ1104" s="32"/>
      <c r="BA1104" s="32"/>
      <c r="BB1104" s="31"/>
      <c r="BC1104" s="31"/>
      <c r="BD1104" s="31"/>
      <c r="BE1104" s="31"/>
      <c r="BF1104" s="96"/>
      <c r="BG1104" s="31"/>
      <c r="BH1104" s="31"/>
      <c r="BI1104" s="31"/>
      <c r="BJ1104" s="31"/>
      <c r="BK1104" s="31"/>
      <c r="BL1104" s="31"/>
      <c r="BM1104" s="31"/>
      <c r="BN1104" s="32"/>
      <c r="BO1104" s="31"/>
      <c r="BP1104" s="31"/>
      <c r="BQ1104" s="33"/>
    </row>
    <row r="1105" spans="1:69" x14ac:dyDescent="0.35">
      <c r="A1105"/>
      <c r="D1105"/>
      <c r="G1105"/>
      <c r="H1105" s="20"/>
      <c r="I1105" s="20"/>
      <c r="J1105" s="20"/>
      <c r="K1105" s="20"/>
      <c r="L1105" s="20"/>
      <c r="Q1105" s="83"/>
      <c r="Y1105" s="20"/>
      <c r="AP1105" s="92"/>
      <c r="AQ1105" s="67"/>
      <c r="AR1105" s="67"/>
      <c r="AS1105" s="73"/>
      <c r="AT1105" s="67"/>
      <c r="AU1105" s="67"/>
      <c r="AV1105" s="73"/>
      <c r="AW1105" s="68"/>
      <c r="AX1105" s="68"/>
      <c r="AY1105" s="68"/>
      <c r="AZ1105" s="68"/>
      <c r="BA1105" s="68"/>
      <c r="BB1105" s="67"/>
      <c r="BC1105" s="67"/>
      <c r="BD1105" s="67"/>
      <c r="BE1105" s="67"/>
      <c r="BF1105" s="95"/>
      <c r="BG1105" s="67"/>
      <c r="BH1105" s="67"/>
      <c r="BI1105" s="67"/>
      <c r="BJ1105" s="67"/>
      <c r="BK1105" s="67"/>
      <c r="BL1105" s="67"/>
      <c r="BM1105" s="67"/>
      <c r="BN1105" s="68"/>
      <c r="BO1105" s="67"/>
      <c r="BP1105" s="67"/>
      <c r="BQ1105" s="69"/>
    </row>
    <row r="1106" spans="1:69" x14ac:dyDescent="0.35">
      <c r="A1106"/>
      <c r="D1106"/>
      <c r="G1106"/>
      <c r="H1106" s="20"/>
      <c r="I1106" s="20"/>
      <c r="J1106" s="20"/>
      <c r="K1106" s="20"/>
      <c r="L1106" s="20"/>
      <c r="Q1106" s="83"/>
      <c r="Y1106" s="20"/>
      <c r="AP1106" s="93"/>
      <c r="AQ1106" s="31"/>
      <c r="AR1106" s="31"/>
      <c r="AS1106" s="94"/>
      <c r="AT1106" s="31"/>
      <c r="AU1106" s="31"/>
      <c r="AV1106" s="94"/>
      <c r="AW1106" s="32"/>
      <c r="AX1106" s="32"/>
      <c r="AY1106" s="32"/>
      <c r="AZ1106" s="32"/>
      <c r="BA1106" s="32"/>
      <c r="BB1106" s="31"/>
      <c r="BC1106" s="31"/>
      <c r="BD1106" s="31"/>
      <c r="BE1106" s="31"/>
      <c r="BF1106" s="96"/>
      <c r="BG1106" s="31"/>
      <c r="BH1106" s="31"/>
      <c r="BI1106" s="31"/>
      <c r="BJ1106" s="31"/>
      <c r="BK1106" s="31"/>
      <c r="BL1106" s="31"/>
      <c r="BM1106" s="31"/>
      <c r="BN1106" s="32"/>
      <c r="BO1106" s="31"/>
      <c r="BP1106" s="31"/>
      <c r="BQ1106" s="33"/>
    </row>
    <row r="1107" spans="1:69" x14ac:dyDescent="0.35">
      <c r="A1107"/>
      <c r="D1107"/>
      <c r="G1107"/>
      <c r="H1107" s="20"/>
      <c r="I1107" s="20"/>
      <c r="J1107" s="20"/>
      <c r="K1107" s="20"/>
      <c r="L1107" s="20"/>
      <c r="Q1107" s="83"/>
      <c r="Y1107" s="20"/>
      <c r="AP1107" s="92"/>
      <c r="AQ1107" s="67"/>
      <c r="AR1107" s="67"/>
      <c r="AS1107" s="73"/>
      <c r="AT1107" s="67"/>
      <c r="AU1107" s="67"/>
      <c r="AV1107" s="73"/>
      <c r="AW1107" s="68"/>
      <c r="AX1107" s="68"/>
      <c r="AY1107" s="68"/>
      <c r="AZ1107" s="68"/>
      <c r="BA1107" s="68"/>
      <c r="BB1107" s="67"/>
      <c r="BC1107" s="67"/>
      <c r="BD1107" s="67"/>
      <c r="BE1107" s="67"/>
      <c r="BF1107" s="95"/>
      <c r="BG1107" s="67"/>
      <c r="BH1107" s="67"/>
      <c r="BI1107" s="67"/>
      <c r="BJ1107" s="67"/>
      <c r="BK1107" s="67"/>
      <c r="BL1107" s="67"/>
      <c r="BM1107" s="67"/>
      <c r="BN1107" s="68"/>
      <c r="BO1107" s="67"/>
      <c r="BP1107" s="67"/>
      <c r="BQ1107" s="69"/>
    </row>
    <row r="1108" spans="1:69" x14ac:dyDescent="0.35">
      <c r="A1108"/>
      <c r="D1108"/>
      <c r="G1108"/>
      <c r="H1108" s="20"/>
      <c r="I1108" s="20"/>
      <c r="J1108" s="20"/>
      <c r="K1108" s="20"/>
      <c r="L1108" s="20"/>
      <c r="Q1108" s="83"/>
      <c r="Y1108" s="20"/>
      <c r="AP1108" s="93"/>
      <c r="AQ1108" s="31"/>
      <c r="AR1108" s="31"/>
      <c r="AS1108" s="94"/>
      <c r="AT1108" s="31"/>
      <c r="AU1108" s="31"/>
      <c r="AV1108" s="94"/>
      <c r="AW1108" s="32"/>
      <c r="AX1108" s="32"/>
      <c r="AY1108" s="32"/>
      <c r="AZ1108" s="32"/>
      <c r="BA1108" s="32"/>
      <c r="BB1108" s="31"/>
      <c r="BC1108" s="31"/>
      <c r="BD1108" s="31"/>
      <c r="BE1108" s="31"/>
      <c r="BF1108" s="96"/>
      <c r="BG1108" s="31"/>
      <c r="BH1108" s="31"/>
      <c r="BI1108" s="31"/>
      <c r="BJ1108" s="31"/>
      <c r="BK1108" s="31"/>
      <c r="BL1108" s="31"/>
      <c r="BM1108" s="31"/>
      <c r="BN1108" s="32"/>
      <c r="BO1108" s="31"/>
      <c r="BP1108" s="31"/>
      <c r="BQ1108" s="33"/>
    </row>
    <row r="1109" spans="1:69" x14ac:dyDescent="0.35">
      <c r="A1109"/>
      <c r="D1109"/>
      <c r="G1109"/>
      <c r="H1109" s="20"/>
      <c r="I1109" s="20"/>
      <c r="J1109" s="20"/>
      <c r="K1109" s="20"/>
      <c r="L1109" s="20"/>
      <c r="Q1109" s="83"/>
      <c r="Y1109" s="20"/>
      <c r="AP1109" s="92"/>
      <c r="AQ1109" s="67"/>
      <c r="AR1109" s="67"/>
      <c r="AS1109" s="73"/>
      <c r="AT1109" s="67"/>
      <c r="AU1109" s="67"/>
      <c r="AV1109" s="73"/>
      <c r="AW1109" s="68"/>
      <c r="AX1109" s="68"/>
      <c r="AY1109" s="68"/>
      <c r="AZ1109" s="68"/>
      <c r="BA1109" s="68"/>
      <c r="BB1109" s="67"/>
      <c r="BC1109" s="67"/>
      <c r="BD1109" s="67"/>
      <c r="BE1109" s="67"/>
      <c r="BF1109" s="95"/>
      <c r="BG1109" s="67"/>
      <c r="BH1109" s="67"/>
      <c r="BI1109" s="67"/>
      <c r="BJ1109" s="67"/>
      <c r="BK1109" s="67"/>
      <c r="BL1109" s="67"/>
      <c r="BM1109" s="67"/>
      <c r="BN1109" s="68"/>
      <c r="BO1109" s="67"/>
      <c r="BP1109" s="67"/>
      <c r="BQ1109" s="69"/>
    </row>
    <row r="1110" spans="1:69" x14ac:dyDescent="0.35">
      <c r="A1110"/>
      <c r="D1110"/>
      <c r="G1110"/>
      <c r="H1110" s="20"/>
      <c r="I1110" s="20"/>
      <c r="J1110" s="20"/>
      <c r="K1110" s="20"/>
      <c r="L1110" s="20"/>
      <c r="Q1110" s="83"/>
      <c r="Y1110" s="20"/>
      <c r="AP1110" s="93"/>
      <c r="AQ1110" s="31"/>
      <c r="AR1110" s="31"/>
      <c r="AS1110" s="94"/>
      <c r="AT1110" s="31"/>
      <c r="AU1110" s="31"/>
      <c r="AV1110" s="94"/>
      <c r="AW1110" s="32"/>
      <c r="AX1110" s="32"/>
      <c r="AY1110" s="32"/>
      <c r="AZ1110" s="32"/>
      <c r="BA1110" s="32"/>
      <c r="BB1110" s="31"/>
      <c r="BC1110" s="31"/>
      <c r="BD1110" s="31"/>
      <c r="BE1110" s="31"/>
      <c r="BF1110" s="96"/>
      <c r="BG1110" s="31"/>
      <c r="BH1110" s="31"/>
      <c r="BI1110" s="31"/>
      <c r="BJ1110" s="31"/>
      <c r="BK1110" s="31"/>
      <c r="BL1110" s="31"/>
      <c r="BM1110" s="31"/>
      <c r="BN1110" s="32"/>
      <c r="BO1110" s="31"/>
      <c r="BP1110" s="31"/>
      <c r="BQ1110" s="33"/>
    </row>
    <row r="1111" spans="1:69" x14ac:dyDescent="0.35">
      <c r="A1111"/>
      <c r="D1111"/>
      <c r="G1111"/>
      <c r="H1111" s="20"/>
      <c r="I1111" s="20"/>
      <c r="J1111" s="20"/>
      <c r="K1111" s="20"/>
      <c r="L1111" s="20"/>
      <c r="Q1111" s="83"/>
      <c r="Y1111" s="20"/>
      <c r="AP1111" s="92"/>
      <c r="AQ1111" s="67"/>
      <c r="AR1111" s="67"/>
      <c r="AS1111" s="73"/>
      <c r="AT1111" s="67"/>
      <c r="AU1111" s="67"/>
      <c r="AV1111" s="73"/>
      <c r="AW1111" s="68"/>
      <c r="AX1111" s="68"/>
      <c r="AY1111" s="68"/>
      <c r="AZ1111" s="68"/>
      <c r="BA1111" s="68"/>
      <c r="BB1111" s="67"/>
      <c r="BC1111" s="67"/>
      <c r="BD1111" s="67"/>
      <c r="BE1111" s="67"/>
      <c r="BF1111" s="95"/>
      <c r="BG1111" s="67"/>
      <c r="BH1111" s="67"/>
      <c r="BI1111" s="67"/>
      <c r="BJ1111" s="67"/>
      <c r="BK1111" s="67"/>
      <c r="BL1111" s="67"/>
      <c r="BM1111" s="67"/>
      <c r="BN1111" s="68"/>
      <c r="BO1111" s="67"/>
      <c r="BP1111" s="67"/>
      <c r="BQ1111" s="69"/>
    </row>
    <row r="1112" spans="1:69" x14ac:dyDescent="0.35">
      <c r="A1112"/>
      <c r="D1112"/>
      <c r="G1112"/>
      <c r="H1112" s="20"/>
      <c r="I1112" s="20"/>
      <c r="J1112" s="20"/>
      <c r="K1112" s="20"/>
      <c r="L1112" s="20"/>
      <c r="Q1112" s="83"/>
      <c r="Y1112" s="20"/>
      <c r="AP1112" s="93"/>
      <c r="AQ1112" s="31"/>
      <c r="AR1112" s="31"/>
      <c r="AS1112" s="94"/>
      <c r="AT1112" s="31"/>
      <c r="AU1112" s="31"/>
      <c r="AV1112" s="94"/>
      <c r="AW1112" s="32"/>
      <c r="AX1112" s="32"/>
      <c r="AY1112" s="32"/>
      <c r="AZ1112" s="32"/>
      <c r="BA1112" s="32"/>
      <c r="BB1112" s="31"/>
      <c r="BC1112" s="31"/>
      <c r="BD1112" s="31"/>
      <c r="BE1112" s="31"/>
      <c r="BF1112" s="96"/>
      <c r="BG1112" s="31"/>
      <c r="BH1112" s="31"/>
      <c r="BI1112" s="31"/>
      <c r="BJ1112" s="31"/>
      <c r="BK1112" s="31"/>
      <c r="BL1112" s="31"/>
      <c r="BM1112" s="31"/>
      <c r="BN1112" s="32"/>
      <c r="BO1112" s="31"/>
      <c r="BP1112" s="31"/>
      <c r="BQ1112" s="33"/>
    </row>
    <row r="1113" spans="1:69" x14ac:dyDescent="0.35">
      <c r="A1113"/>
      <c r="D1113"/>
      <c r="G1113"/>
      <c r="H1113" s="20"/>
      <c r="I1113" s="20"/>
      <c r="J1113" s="20"/>
      <c r="K1113" s="20"/>
      <c r="L1113" s="20"/>
      <c r="Q1113" s="83"/>
      <c r="Y1113" s="20"/>
      <c r="AP1113" s="92"/>
      <c r="AQ1113" s="67"/>
      <c r="AR1113" s="67"/>
      <c r="AS1113" s="73"/>
      <c r="AT1113" s="67"/>
      <c r="AU1113" s="67"/>
      <c r="AV1113" s="73"/>
      <c r="AW1113" s="68"/>
      <c r="AX1113" s="68"/>
      <c r="AY1113" s="68"/>
      <c r="AZ1113" s="68"/>
      <c r="BA1113" s="68"/>
      <c r="BB1113" s="67"/>
      <c r="BC1113" s="67"/>
      <c r="BD1113" s="67"/>
      <c r="BE1113" s="67"/>
      <c r="BF1113" s="95"/>
      <c r="BG1113" s="67"/>
      <c r="BH1113" s="67"/>
      <c r="BI1113" s="67"/>
      <c r="BJ1113" s="67"/>
      <c r="BK1113" s="67"/>
      <c r="BL1113" s="67"/>
      <c r="BM1113" s="67"/>
      <c r="BN1113" s="68"/>
      <c r="BO1113" s="67"/>
      <c r="BP1113" s="67"/>
      <c r="BQ1113" s="69"/>
    </row>
    <row r="1114" spans="1:69" x14ac:dyDescent="0.35">
      <c r="A1114"/>
      <c r="D1114"/>
      <c r="G1114"/>
      <c r="H1114" s="20"/>
      <c r="I1114" s="20"/>
      <c r="J1114" s="20"/>
      <c r="K1114" s="20"/>
      <c r="L1114" s="20"/>
      <c r="Q1114" s="83"/>
      <c r="Y1114" s="20"/>
      <c r="AP1114" s="93"/>
      <c r="AQ1114" s="31"/>
      <c r="AR1114" s="31"/>
      <c r="AS1114" s="94"/>
      <c r="AT1114" s="31"/>
      <c r="AU1114" s="31"/>
      <c r="AV1114" s="94"/>
      <c r="AW1114" s="32"/>
      <c r="AX1114" s="32"/>
      <c r="AY1114" s="32"/>
      <c r="AZ1114" s="32"/>
      <c r="BA1114" s="32"/>
      <c r="BB1114" s="31"/>
      <c r="BC1114" s="31"/>
      <c r="BD1114" s="31"/>
      <c r="BE1114" s="31"/>
      <c r="BF1114" s="96"/>
      <c r="BG1114" s="31"/>
      <c r="BH1114" s="31"/>
      <c r="BI1114" s="31"/>
      <c r="BJ1114" s="31"/>
      <c r="BK1114" s="31"/>
      <c r="BL1114" s="31"/>
      <c r="BM1114" s="31"/>
      <c r="BN1114" s="32"/>
      <c r="BO1114" s="31"/>
      <c r="BP1114" s="31"/>
      <c r="BQ1114" s="33"/>
    </row>
    <row r="1115" spans="1:69" x14ac:dyDescent="0.35">
      <c r="A1115"/>
      <c r="D1115"/>
      <c r="G1115"/>
      <c r="H1115" s="20"/>
      <c r="I1115" s="20"/>
      <c r="J1115" s="20"/>
      <c r="K1115" s="20"/>
      <c r="L1115" s="20"/>
      <c r="Q1115" s="83"/>
      <c r="Y1115" s="20"/>
      <c r="AP1115" s="92"/>
      <c r="AQ1115" s="67"/>
      <c r="AR1115" s="67"/>
      <c r="AS1115" s="73"/>
      <c r="AT1115" s="67"/>
      <c r="AU1115" s="67"/>
      <c r="AV1115" s="73"/>
      <c r="AW1115" s="68"/>
      <c r="AX1115" s="68"/>
      <c r="AY1115" s="68"/>
      <c r="AZ1115" s="68"/>
      <c r="BA1115" s="68"/>
      <c r="BB1115" s="67"/>
      <c r="BC1115" s="67"/>
      <c r="BD1115" s="67"/>
      <c r="BE1115" s="67"/>
      <c r="BF1115" s="95"/>
      <c r="BG1115" s="67"/>
      <c r="BH1115" s="67"/>
      <c r="BI1115" s="67"/>
      <c r="BJ1115" s="67"/>
      <c r="BK1115" s="67"/>
      <c r="BL1115" s="67"/>
      <c r="BM1115" s="67"/>
      <c r="BN1115" s="68"/>
      <c r="BO1115" s="67"/>
      <c r="BP1115" s="67"/>
      <c r="BQ1115" s="69"/>
    </row>
    <row r="1116" spans="1:69" x14ac:dyDescent="0.35">
      <c r="A1116"/>
      <c r="D1116"/>
      <c r="G1116"/>
      <c r="H1116" s="20"/>
      <c r="I1116" s="20"/>
      <c r="J1116" s="20"/>
      <c r="K1116" s="20"/>
      <c r="L1116" s="20"/>
      <c r="Q1116" s="83"/>
      <c r="Y1116" s="20"/>
      <c r="AP1116" s="93"/>
      <c r="AQ1116" s="31"/>
      <c r="AR1116" s="31"/>
      <c r="AS1116" s="94"/>
      <c r="AT1116" s="31"/>
      <c r="AU1116" s="31"/>
      <c r="AV1116" s="94"/>
      <c r="AW1116" s="32"/>
      <c r="AX1116" s="32"/>
      <c r="AY1116" s="32"/>
      <c r="AZ1116" s="32"/>
      <c r="BA1116" s="32"/>
      <c r="BB1116" s="31"/>
      <c r="BC1116" s="31"/>
      <c r="BD1116" s="31"/>
      <c r="BE1116" s="31"/>
      <c r="BF1116" s="96"/>
      <c r="BG1116" s="31"/>
      <c r="BH1116" s="31"/>
      <c r="BI1116" s="31"/>
      <c r="BJ1116" s="31"/>
      <c r="BK1116" s="31"/>
      <c r="BL1116" s="31"/>
      <c r="BM1116" s="31"/>
      <c r="BN1116" s="32"/>
      <c r="BO1116" s="31"/>
      <c r="BP1116" s="31"/>
      <c r="BQ1116" s="33"/>
    </row>
    <row r="1117" spans="1:69" x14ac:dyDescent="0.35">
      <c r="A1117"/>
      <c r="D1117"/>
      <c r="G1117"/>
      <c r="H1117" s="20"/>
      <c r="I1117" s="20"/>
      <c r="J1117" s="20"/>
      <c r="K1117" s="20"/>
      <c r="L1117" s="20"/>
      <c r="Q1117" s="83"/>
      <c r="Y1117" s="20"/>
      <c r="AP1117" s="92"/>
      <c r="AQ1117" s="67"/>
      <c r="AR1117" s="67"/>
      <c r="AS1117" s="73"/>
      <c r="AT1117" s="67"/>
      <c r="AU1117" s="67"/>
      <c r="AV1117" s="73"/>
      <c r="AW1117" s="68"/>
      <c r="AX1117" s="68"/>
      <c r="AY1117" s="68"/>
      <c r="AZ1117" s="68"/>
      <c r="BA1117" s="68"/>
      <c r="BB1117" s="67"/>
      <c r="BC1117" s="67"/>
      <c r="BD1117" s="67"/>
      <c r="BE1117" s="67"/>
      <c r="BF1117" s="95"/>
      <c r="BG1117" s="67"/>
      <c r="BH1117" s="67"/>
      <c r="BI1117" s="67"/>
      <c r="BJ1117" s="67"/>
      <c r="BK1117" s="67"/>
      <c r="BL1117" s="67"/>
      <c r="BM1117" s="67"/>
      <c r="BN1117" s="68"/>
      <c r="BO1117" s="67"/>
      <c r="BP1117" s="67"/>
      <c r="BQ1117" s="69"/>
    </row>
    <row r="1118" spans="1:69" x14ac:dyDescent="0.35">
      <c r="A1118"/>
      <c r="D1118"/>
      <c r="G1118"/>
      <c r="H1118" s="20"/>
      <c r="I1118" s="20"/>
      <c r="J1118" s="20"/>
      <c r="K1118" s="20"/>
      <c r="L1118" s="20"/>
      <c r="Q1118" s="83"/>
      <c r="Y1118" s="20"/>
      <c r="AP1118" s="93"/>
      <c r="AQ1118" s="31"/>
      <c r="AR1118" s="31"/>
      <c r="AS1118" s="94"/>
      <c r="AT1118" s="31"/>
      <c r="AU1118" s="31"/>
      <c r="AV1118" s="94"/>
      <c r="AW1118" s="32"/>
      <c r="AX1118" s="32"/>
      <c r="AY1118" s="32"/>
      <c r="AZ1118" s="32"/>
      <c r="BA1118" s="32"/>
      <c r="BB1118" s="31"/>
      <c r="BC1118" s="31"/>
      <c r="BD1118" s="31"/>
      <c r="BE1118" s="31"/>
      <c r="BF1118" s="96"/>
      <c r="BG1118" s="31"/>
      <c r="BH1118" s="31"/>
      <c r="BI1118" s="31"/>
      <c r="BJ1118" s="31"/>
      <c r="BK1118" s="31"/>
      <c r="BL1118" s="31"/>
      <c r="BM1118" s="31"/>
      <c r="BN1118" s="32"/>
      <c r="BO1118" s="31"/>
      <c r="BP1118" s="31"/>
      <c r="BQ1118" s="33"/>
    </row>
    <row r="1119" spans="1:69" x14ac:dyDescent="0.35">
      <c r="A1119"/>
      <c r="D1119"/>
      <c r="G1119"/>
      <c r="H1119" s="20"/>
      <c r="I1119" s="20"/>
      <c r="J1119" s="20"/>
      <c r="K1119" s="20"/>
      <c r="L1119" s="20"/>
      <c r="Q1119" s="83"/>
      <c r="Y1119" s="20"/>
      <c r="AP1119" s="92"/>
      <c r="AQ1119" s="67"/>
      <c r="AR1119" s="67"/>
      <c r="AS1119" s="73"/>
      <c r="AT1119" s="67"/>
      <c r="AU1119" s="67"/>
      <c r="AV1119" s="73"/>
      <c r="AW1119" s="68"/>
      <c r="AX1119" s="68"/>
      <c r="AY1119" s="68"/>
      <c r="AZ1119" s="68"/>
      <c r="BA1119" s="68"/>
      <c r="BB1119" s="67"/>
      <c r="BC1119" s="67"/>
      <c r="BD1119" s="67"/>
      <c r="BE1119" s="67"/>
      <c r="BF1119" s="95"/>
      <c r="BG1119" s="67"/>
      <c r="BH1119" s="67"/>
      <c r="BI1119" s="67"/>
      <c r="BJ1119" s="67"/>
      <c r="BK1119" s="67"/>
      <c r="BL1119" s="67"/>
      <c r="BM1119" s="67"/>
      <c r="BN1119" s="68"/>
      <c r="BO1119" s="67"/>
      <c r="BP1119" s="67"/>
      <c r="BQ1119" s="69"/>
    </row>
    <row r="1120" spans="1:69" x14ac:dyDescent="0.35">
      <c r="A1120"/>
      <c r="D1120"/>
      <c r="G1120"/>
      <c r="H1120" s="20"/>
      <c r="I1120" s="20"/>
      <c r="J1120" s="20"/>
      <c r="K1120" s="20"/>
      <c r="L1120" s="20"/>
      <c r="Q1120" s="83"/>
      <c r="Y1120" s="20"/>
      <c r="AP1120" s="93"/>
      <c r="AQ1120" s="31"/>
      <c r="AR1120" s="31"/>
      <c r="AS1120" s="94"/>
      <c r="AT1120" s="31"/>
      <c r="AU1120" s="31"/>
      <c r="AV1120" s="94"/>
      <c r="AW1120" s="32"/>
      <c r="AX1120" s="32"/>
      <c r="AY1120" s="32"/>
      <c r="AZ1120" s="32"/>
      <c r="BA1120" s="32"/>
      <c r="BB1120" s="31"/>
      <c r="BC1120" s="31"/>
      <c r="BD1120" s="31"/>
      <c r="BE1120" s="31"/>
      <c r="BF1120" s="96"/>
      <c r="BG1120" s="31"/>
      <c r="BH1120" s="31"/>
      <c r="BI1120" s="31"/>
      <c r="BJ1120" s="31"/>
      <c r="BK1120" s="31"/>
      <c r="BL1120" s="31"/>
      <c r="BM1120" s="31"/>
      <c r="BN1120" s="32"/>
      <c r="BO1120" s="31"/>
      <c r="BP1120" s="31"/>
      <c r="BQ1120" s="33"/>
    </row>
    <row r="1121" spans="1:69" x14ac:dyDescent="0.35">
      <c r="A1121"/>
      <c r="D1121"/>
      <c r="G1121"/>
      <c r="H1121" s="20"/>
      <c r="I1121" s="20"/>
      <c r="J1121" s="20"/>
      <c r="K1121" s="20"/>
      <c r="L1121" s="20"/>
      <c r="Q1121" s="83"/>
      <c r="Y1121" s="20"/>
      <c r="AP1121" s="92"/>
      <c r="AQ1121" s="67"/>
      <c r="AR1121" s="67"/>
      <c r="AS1121" s="73"/>
      <c r="AT1121" s="67"/>
      <c r="AU1121" s="67"/>
      <c r="AV1121" s="73"/>
      <c r="AW1121" s="68"/>
      <c r="AX1121" s="68"/>
      <c r="AY1121" s="68"/>
      <c r="AZ1121" s="68"/>
      <c r="BA1121" s="68"/>
      <c r="BB1121" s="67"/>
      <c r="BC1121" s="67"/>
      <c r="BD1121" s="67"/>
      <c r="BE1121" s="67"/>
      <c r="BF1121" s="95"/>
      <c r="BG1121" s="67"/>
      <c r="BH1121" s="67"/>
      <c r="BI1121" s="67"/>
      <c r="BJ1121" s="67"/>
      <c r="BK1121" s="67"/>
      <c r="BL1121" s="67"/>
      <c r="BM1121" s="67"/>
      <c r="BN1121" s="68"/>
      <c r="BO1121" s="67"/>
      <c r="BP1121" s="67"/>
      <c r="BQ1121" s="69"/>
    </row>
    <row r="1122" spans="1:69" x14ac:dyDescent="0.35">
      <c r="A1122"/>
      <c r="D1122"/>
      <c r="G1122"/>
      <c r="H1122" s="20"/>
      <c r="I1122" s="20"/>
      <c r="J1122" s="20"/>
      <c r="K1122" s="20"/>
      <c r="L1122" s="20"/>
      <c r="Q1122" s="83"/>
      <c r="Y1122" s="20"/>
      <c r="AP1122" s="93"/>
      <c r="AQ1122" s="31"/>
      <c r="AR1122" s="31"/>
      <c r="AS1122" s="94"/>
      <c r="AT1122" s="31"/>
      <c r="AU1122" s="31"/>
      <c r="AV1122" s="94"/>
      <c r="AW1122" s="32"/>
      <c r="AX1122" s="32"/>
      <c r="AY1122" s="32"/>
      <c r="AZ1122" s="32"/>
      <c r="BA1122" s="32"/>
      <c r="BB1122" s="31"/>
      <c r="BC1122" s="31"/>
      <c r="BD1122" s="31"/>
      <c r="BE1122" s="31"/>
      <c r="BF1122" s="96"/>
      <c r="BG1122" s="31"/>
      <c r="BH1122" s="31"/>
      <c r="BI1122" s="31"/>
      <c r="BJ1122" s="31"/>
      <c r="BK1122" s="31"/>
      <c r="BL1122" s="31"/>
      <c r="BM1122" s="31"/>
      <c r="BN1122" s="32"/>
      <c r="BO1122" s="31"/>
      <c r="BP1122" s="31"/>
      <c r="BQ1122" s="33"/>
    </row>
    <row r="1123" spans="1:69" x14ac:dyDescent="0.35">
      <c r="A1123"/>
      <c r="D1123"/>
      <c r="G1123"/>
      <c r="H1123" s="20"/>
      <c r="I1123" s="20"/>
      <c r="J1123" s="20"/>
      <c r="K1123" s="20"/>
      <c r="L1123" s="20"/>
      <c r="Q1123" s="83"/>
      <c r="Y1123" s="20"/>
      <c r="AP1123" s="92"/>
      <c r="AQ1123" s="67"/>
      <c r="AR1123" s="67"/>
      <c r="AS1123" s="73"/>
      <c r="AT1123" s="67"/>
      <c r="AU1123" s="67"/>
      <c r="AV1123" s="73"/>
      <c r="AW1123" s="68"/>
      <c r="AX1123" s="68"/>
      <c r="AY1123" s="68"/>
      <c r="AZ1123" s="68"/>
      <c r="BA1123" s="68"/>
      <c r="BB1123" s="67"/>
      <c r="BC1123" s="67"/>
      <c r="BD1123" s="67"/>
      <c r="BE1123" s="67"/>
      <c r="BF1123" s="95"/>
      <c r="BG1123" s="67"/>
      <c r="BH1123" s="67"/>
      <c r="BI1123" s="67"/>
      <c r="BJ1123" s="67"/>
      <c r="BK1123" s="67"/>
      <c r="BL1123" s="67"/>
      <c r="BM1123" s="67"/>
      <c r="BN1123" s="68"/>
      <c r="BO1123" s="67"/>
      <c r="BP1123" s="67"/>
      <c r="BQ1123" s="69"/>
    </row>
    <row r="1124" spans="1:69" x14ac:dyDescent="0.35">
      <c r="A1124"/>
      <c r="D1124"/>
      <c r="G1124"/>
      <c r="H1124" s="20"/>
      <c r="I1124" s="20"/>
      <c r="J1124" s="20"/>
      <c r="K1124" s="20"/>
      <c r="L1124" s="20"/>
      <c r="Q1124" s="83"/>
      <c r="Y1124" s="20"/>
      <c r="AP1124" s="93"/>
      <c r="AQ1124" s="31"/>
      <c r="AR1124" s="31"/>
      <c r="AS1124" s="94"/>
      <c r="AT1124" s="31"/>
      <c r="AU1124" s="31"/>
      <c r="AV1124" s="94"/>
      <c r="AW1124" s="32"/>
      <c r="AX1124" s="32"/>
      <c r="AY1124" s="32"/>
      <c r="AZ1124" s="32"/>
      <c r="BA1124" s="32"/>
      <c r="BB1124" s="31"/>
      <c r="BC1124" s="31"/>
      <c r="BD1124" s="31"/>
      <c r="BE1124" s="31"/>
      <c r="BF1124" s="96"/>
      <c r="BG1124" s="31"/>
      <c r="BH1124" s="31"/>
      <c r="BI1124" s="31"/>
      <c r="BJ1124" s="31"/>
      <c r="BK1124" s="31"/>
      <c r="BL1124" s="31"/>
      <c r="BM1124" s="31"/>
      <c r="BN1124" s="32"/>
      <c r="BO1124" s="31"/>
      <c r="BP1124" s="31"/>
      <c r="BQ1124" s="33"/>
    </row>
    <row r="1125" spans="1:69" x14ac:dyDescent="0.35">
      <c r="A1125"/>
      <c r="D1125"/>
      <c r="G1125"/>
      <c r="H1125" s="20"/>
      <c r="I1125" s="20"/>
      <c r="J1125" s="20"/>
      <c r="K1125" s="20"/>
      <c r="L1125" s="20"/>
      <c r="Q1125" s="83"/>
      <c r="Y1125" s="20"/>
      <c r="AP1125" s="92"/>
      <c r="AQ1125" s="67"/>
      <c r="AR1125" s="67"/>
      <c r="AS1125" s="73"/>
      <c r="AT1125" s="67"/>
      <c r="AU1125" s="67"/>
      <c r="AV1125" s="73"/>
      <c r="AW1125" s="68"/>
      <c r="AX1125" s="68"/>
      <c r="AY1125" s="68"/>
      <c r="AZ1125" s="68"/>
      <c r="BA1125" s="68"/>
      <c r="BB1125" s="67"/>
      <c r="BC1125" s="67"/>
      <c r="BD1125" s="67"/>
      <c r="BE1125" s="67"/>
      <c r="BF1125" s="95"/>
      <c r="BG1125" s="67"/>
      <c r="BH1125" s="67"/>
      <c r="BI1125" s="67"/>
      <c r="BJ1125" s="67"/>
      <c r="BK1125" s="67"/>
      <c r="BL1125" s="67"/>
      <c r="BM1125" s="67"/>
      <c r="BN1125" s="68"/>
      <c r="BO1125" s="67"/>
      <c r="BP1125" s="67"/>
      <c r="BQ1125" s="69"/>
    </row>
    <row r="1126" spans="1:69" x14ac:dyDescent="0.35">
      <c r="A1126"/>
      <c r="D1126"/>
      <c r="G1126"/>
      <c r="H1126" s="20"/>
      <c r="I1126" s="20"/>
      <c r="J1126" s="20"/>
      <c r="K1126" s="20"/>
      <c r="L1126" s="20"/>
      <c r="Q1126" s="83"/>
      <c r="Y1126" s="20"/>
      <c r="AP1126" s="93"/>
      <c r="AQ1126" s="31"/>
      <c r="AR1126" s="31"/>
      <c r="AS1126" s="94"/>
      <c r="AT1126" s="31"/>
      <c r="AU1126" s="31"/>
      <c r="AV1126" s="94"/>
      <c r="AW1126" s="32"/>
      <c r="AX1126" s="32"/>
      <c r="AY1126" s="32"/>
      <c r="AZ1126" s="32"/>
      <c r="BA1126" s="32"/>
      <c r="BB1126" s="31"/>
      <c r="BC1126" s="31"/>
      <c r="BD1126" s="31"/>
      <c r="BE1126" s="31"/>
      <c r="BF1126" s="96"/>
      <c r="BG1126" s="31"/>
      <c r="BH1126" s="31"/>
      <c r="BI1126" s="31"/>
      <c r="BJ1126" s="31"/>
      <c r="BK1126" s="31"/>
      <c r="BL1126" s="31"/>
      <c r="BM1126" s="31"/>
      <c r="BN1126" s="32"/>
      <c r="BO1126" s="31"/>
      <c r="BP1126" s="31"/>
      <c r="BQ1126" s="33"/>
    </row>
    <row r="1127" spans="1:69" x14ac:dyDescent="0.35">
      <c r="A1127"/>
      <c r="D1127"/>
      <c r="G1127"/>
      <c r="H1127" s="20"/>
      <c r="I1127" s="20"/>
      <c r="J1127" s="20"/>
      <c r="K1127" s="20"/>
      <c r="L1127" s="20"/>
      <c r="Q1127" s="83"/>
      <c r="Y1127" s="20"/>
      <c r="AP1127" s="92"/>
      <c r="AQ1127" s="67"/>
      <c r="AR1127" s="67"/>
      <c r="AS1127" s="73"/>
      <c r="AT1127" s="67"/>
      <c r="AU1127" s="67"/>
      <c r="AV1127" s="73"/>
      <c r="AW1127" s="68"/>
      <c r="AX1127" s="68"/>
      <c r="AY1127" s="68"/>
      <c r="AZ1127" s="68"/>
      <c r="BA1127" s="68"/>
      <c r="BB1127" s="67"/>
      <c r="BC1127" s="67"/>
      <c r="BD1127" s="67"/>
      <c r="BE1127" s="67"/>
      <c r="BF1127" s="95"/>
      <c r="BG1127" s="67"/>
      <c r="BH1127" s="67"/>
      <c r="BI1127" s="67"/>
      <c r="BJ1127" s="67"/>
      <c r="BK1127" s="67"/>
      <c r="BL1127" s="67"/>
      <c r="BM1127" s="67"/>
      <c r="BN1127" s="68"/>
      <c r="BO1127" s="67"/>
      <c r="BP1127" s="67"/>
      <c r="BQ1127" s="69"/>
    </row>
    <row r="1128" spans="1:69" x14ac:dyDescent="0.35">
      <c r="A1128"/>
      <c r="D1128"/>
      <c r="G1128"/>
      <c r="H1128" s="20"/>
      <c r="I1128" s="20"/>
      <c r="J1128" s="20"/>
      <c r="K1128" s="20"/>
      <c r="L1128" s="20"/>
      <c r="Q1128" s="83"/>
      <c r="Y1128" s="20"/>
      <c r="AP1128" s="93"/>
      <c r="AQ1128" s="31"/>
      <c r="AR1128" s="31"/>
      <c r="AS1128" s="94"/>
      <c r="AT1128" s="31"/>
      <c r="AU1128" s="31"/>
      <c r="AV1128" s="94"/>
      <c r="AW1128" s="32"/>
      <c r="AX1128" s="32"/>
      <c r="AY1128" s="32"/>
      <c r="AZ1128" s="32"/>
      <c r="BA1128" s="32"/>
      <c r="BB1128" s="31"/>
      <c r="BC1128" s="31"/>
      <c r="BD1128" s="31"/>
      <c r="BE1128" s="31"/>
      <c r="BF1128" s="96"/>
      <c r="BG1128" s="31"/>
      <c r="BH1128" s="31"/>
      <c r="BI1128" s="31"/>
      <c r="BJ1128" s="31"/>
      <c r="BK1128" s="31"/>
      <c r="BL1128" s="31"/>
      <c r="BM1128" s="31"/>
      <c r="BN1128" s="32"/>
      <c r="BO1128" s="31"/>
      <c r="BP1128" s="31"/>
      <c r="BQ1128" s="33"/>
    </row>
    <row r="1129" spans="1:69" x14ac:dyDescent="0.35">
      <c r="A1129"/>
      <c r="D1129"/>
      <c r="G1129"/>
      <c r="H1129" s="20"/>
      <c r="I1129" s="20"/>
      <c r="J1129" s="20"/>
      <c r="K1129" s="20"/>
      <c r="L1129" s="20"/>
      <c r="Q1129" s="83"/>
      <c r="Y1129" s="20"/>
      <c r="AP1129" s="92"/>
      <c r="AQ1129" s="67"/>
      <c r="AR1129" s="67"/>
      <c r="AS1129" s="73"/>
      <c r="AT1129" s="67"/>
      <c r="AU1129" s="67"/>
      <c r="AV1129" s="73"/>
      <c r="AW1129" s="68"/>
      <c r="AX1129" s="68"/>
      <c r="AY1129" s="68"/>
      <c r="AZ1129" s="68"/>
      <c r="BA1129" s="68"/>
      <c r="BB1129" s="67"/>
      <c r="BC1129" s="67"/>
      <c r="BD1129" s="67"/>
      <c r="BE1129" s="67"/>
      <c r="BF1129" s="95"/>
      <c r="BG1129" s="67"/>
      <c r="BH1129" s="67"/>
      <c r="BI1129" s="67"/>
      <c r="BJ1129" s="67"/>
      <c r="BK1129" s="67"/>
      <c r="BL1129" s="67"/>
      <c r="BM1129" s="67"/>
      <c r="BN1129" s="68"/>
      <c r="BO1129" s="67"/>
      <c r="BP1129" s="67"/>
      <c r="BQ1129" s="69"/>
    </row>
    <row r="1130" spans="1:69" x14ac:dyDescent="0.35">
      <c r="A1130"/>
      <c r="D1130"/>
      <c r="G1130"/>
      <c r="H1130" s="20"/>
      <c r="I1130" s="20"/>
      <c r="J1130" s="20"/>
      <c r="K1130" s="20"/>
      <c r="L1130" s="20"/>
      <c r="Q1130" s="83"/>
      <c r="Y1130" s="20"/>
      <c r="AP1130" s="93"/>
      <c r="AQ1130" s="31"/>
      <c r="AR1130" s="31"/>
      <c r="AS1130" s="94"/>
      <c r="AT1130" s="31"/>
      <c r="AU1130" s="31"/>
      <c r="AV1130" s="94"/>
      <c r="AW1130" s="32"/>
      <c r="AX1130" s="32"/>
      <c r="AY1130" s="32"/>
      <c r="AZ1130" s="32"/>
      <c r="BA1130" s="32"/>
      <c r="BB1130" s="31"/>
      <c r="BC1130" s="31"/>
      <c r="BD1130" s="31"/>
      <c r="BE1130" s="31"/>
      <c r="BF1130" s="96"/>
      <c r="BG1130" s="31"/>
      <c r="BH1130" s="31"/>
      <c r="BI1130" s="31"/>
      <c r="BJ1130" s="31"/>
      <c r="BK1130" s="31"/>
      <c r="BL1130" s="31"/>
      <c r="BM1130" s="31"/>
      <c r="BN1130" s="32"/>
      <c r="BO1130" s="31"/>
      <c r="BP1130" s="31"/>
      <c r="BQ1130" s="33"/>
    </row>
    <row r="1131" spans="1:69" x14ac:dyDescent="0.35">
      <c r="A1131"/>
      <c r="D1131"/>
      <c r="G1131"/>
      <c r="H1131" s="20"/>
      <c r="I1131" s="20"/>
      <c r="J1131" s="20"/>
      <c r="K1131" s="20"/>
      <c r="L1131" s="20"/>
      <c r="Q1131" s="83"/>
      <c r="Y1131" s="20"/>
      <c r="AP1131" s="92"/>
      <c r="AQ1131" s="67"/>
      <c r="AR1131" s="67"/>
      <c r="AS1131" s="73"/>
      <c r="AT1131" s="67"/>
      <c r="AU1131" s="67"/>
      <c r="AV1131" s="73"/>
      <c r="AW1131" s="68"/>
      <c r="AX1131" s="68"/>
      <c r="AY1131" s="68"/>
      <c r="AZ1131" s="68"/>
      <c r="BA1131" s="68"/>
      <c r="BB1131" s="67"/>
      <c r="BC1131" s="67"/>
      <c r="BD1131" s="67"/>
      <c r="BE1131" s="67"/>
      <c r="BF1131" s="95"/>
      <c r="BG1131" s="67"/>
      <c r="BH1131" s="67"/>
      <c r="BI1131" s="67"/>
      <c r="BJ1131" s="67"/>
      <c r="BK1131" s="67"/>
      <c r="BL1131" s="67"/>
      <c r="BM1131" s="67"/>
      <c r="BN1131" s="68"/>
      <c r="BO1131" s="67"/>
      <c r="BP1131" s="67"/>
      <c r="BQ1131" s="69"/>
    </row>
    <row r="1132" spans="1:69" x14ac:dyDescent="0.35">
      <c r="A1132"/>
      <c r="D1132"/>
      <c r="G1132"/>
      <c r="H1132" s="20"/>
      <c r="I1132" s="20"/>
      <c r="J1132" s="20"/>
      <c r="K1132" s="20"/>
      <c r="L1132" s="20"/>
      <c r="Q1132" s="83"/>
      <c r="Y1132" s="20"/>
      <c r="AP1132" s="93"/>
      <c r="AQ1132" s="31"/>
      <c r="AR1132" s="31"/>
      <c r="AS1132" s="94"/>
      <c r="AT1132" s="31"/>
      <c r="AU1132" s="31"/>
      <c r="AV1132" s="94"/>
      <c r="AW1132" s="32"/>
      <c r="AX1132" s="32"/>
      <c r="AY1132" s="32"/>
      <c r="AZ1132" s="32"/>
      <c r="BA1132" s="32"/>
      <c r="BB1132" s="31"/>
      <c r="BC1132" s="31"/>
      <c r="BD1132" s="31"/>
      <c r="BE1132" s="31"/>
      <c r="BF1132" s="96"/>
      <c r="BG1132" s="31"/>
      <c r="BH1132" s="31"/>
      <c r="BI1132" s="31"/>
      <c r="BJ1132" s="31"/>
      <c r="BK1132" s="31"/>
      <c r="BL1132" s="31"/>
      <c r="BM1132" s="31"/>
      <c r="BN1132" s="32"/>
      <c r="BO1132" s="31"/>
      <c r="BP1132" s="31"/>
      <c r="BQ1132" s="33"/>
    </row>
    <row r="1133" spans="1:69" x14ac:dyDescent="0.35">
      <c r="A1133"/>
      <c r="D1133"/>
      <c r="G1133"/>
      <c r="H1133" s="20"/>
      <c r="I1133" s="20"/>
      <c r="J1133" s="20"/>
      <c r="K1133" s="20"/>
      <c r="L1133" s="20"/>
      <c r="Q1133" s="83"/>
      <c r="Y1133" s="20"/>
      <c r="AP1133" s="92"/>
      <c r="AQ1133" s="67"/>
      <c r="AR1133" s="67"/>
      <c r="AS1133" s="73"/>
      <c r="AT1133" s="67"/>
      <c r="AU1133" s="67"/>
      <c r="AV1133" s="73"/>
      <c r="AW1133" s="68"/>
      <c r="AX1133" s="68"/>
      <c r="AY1133" s="68"/>
      <c r="AZ1133" s="68"/>
      <c r="BA1133" s="68"/>
      <c r="BB1133" s="67"/>
      <c r="BC1133" s="67"/>
      <c r="BD1133" s="67"/>
      <c r="BE1133" s="67"/>
      <c r="BF1133" s="95"/>
      <c r="BG1133" s="67"/>
      <c r="BH1133" s="67"/>
      <c r="BI1133" s="67"/>
      <c r="BJ1133" s="67"/>
      <c r="BK1133" s="67"/>
      <c r="BL1133" s="67"/>
      <c r="BM1133" s="67"/>
      <c r="BN1133" s="68"/>
      <c r="BO1133" s="67"/>
      <c r="BP1133" s="67"/>
      <c r="BQ1133" s="69"/>
    </row>
    <row r="1134" spans="1:69" x14ac:dyDescent="0.35">
      <c r="A1134"/>
      <c r="D1134"/>
      <c r="G1134"/>
      <c r="H1134" s="20"/>
      <c r="I1134" s="20"/>
      <c r="J1134" s="20"/>
      <c r="K1134" s="20"/>
      <c r="L1134" s="20"/>
      <c r="Q1134" s="83"/>
      <c r="Y1134" s="20"/>
      <c r="AP1134" s="93"/>
      <c r="AQ1134" s="31"/>
      <c r="AR1134" s="31"/>
      <c r="AS1134" s="94"/>
      <c r="AT1134" s="31"/>
      <c r="AU1134" s="31"/>
      <c r="AV1134" s="94"/>
      <c r="AW1134" s="32"/>
      <c r="AX1134" s="32"/>
      <c r="AY1134" s="32"/>
      <c r="AZ1134" s="32"/>
      <c r="BA1134" s="32"/>
      <c r="BB1134" s="31"/>
      <c r="BC1134" s="31"/>
      <c r="BD1134" s="31"/>
      <c r="BE1134" s="31"/>
      <c r="BF1134" s="96"/>
      <c r="BG1134" s="31"/>
      <c r="BH1134" s="31"/>
      <c r="BI1134" s="31"/>
      <c r="BJ1134" s="31"/>
      <c r="BK1134" s="31"/>
      <c r="BL1134" s="31"/>
      <c r="BM1134" s="31"/>
      <c r="BN1134" s="32"/>
      <c r="BO1134" s="31"/>
      <c r="BP1134" s="31"/>
      <c r="BQ1134" s="33"/>
    </row>
    <row r="1135" spans="1:69" ht="16" x14ac:dyDescent="0.35">
      <c r="A1135"/>
      <c r="D1135"/>
      <c r="G1135"/>
      <c r="H1135" s="20"/>
      <c r="I1135" s="20"/>
      <c r="J1135" s="20"/>
      <c r="K1135" s="20"/>
      <c r="L1135" s="20"/>
      <c r="Q1135" s="83"/>
      <c r="Y1135" s="20"/>
      <c r="AP1135" s="92"/>
      <c r="AQ1135" s="67"/>
      <c r="AR1135" s="67"/>
      <c r="AS1135" s="73"/>
      <c r="AT1135" s="67"/>
      <c r="AU1135" s="67"/>
      <c r="AV1135" s="73"/>
      <c r="AW1135" s="68"/>
      <c r="AX1135" s="68"/>
      <c r="AY1135" s="68"/>
      <c r="AZ1135" s="68"/>
      <c r="BA1135" s="68"/>
      <c r="BB1135" s="67"/>
      <c r="BC1135" s="67"/>
      <c r="BD1135" s="67"/>
      <c r="BE1135" s="67"/>
      <c r="BF1135" s="95"/>
      <c r="BG1135" s="48"/>
      <c r="BH1135" s="48"/>
      <c r="BI1135" s="48"/>
      <c r="BJ1135" s="48"/>
      <c r="BK1135" s="48"/>
      <c r="BL1135" s="48"/>
      <c r="BM1135" s="48"/>
      <c r="BN1135" s="49"/>
      <c r="BO1135" s="48"/>
      <c r="BP1135" s="48"/>
      <c r="BQ1135" s="50"/>
    </row>
    <row r="1136" spans="1:69" ht="16" x14ac:dyDescent="0.35">
      <c r="A1136"/>
      <c r="D1136"/>
      <c r="G1136"/>
      <c r="H1136" s="20"/>
      <c r="I1136" s="20"/>
      <c r="J1136" s="20"/>
      <c r="K1136" s="20"/>
      <c r="L1136" s="20"/>
      <c r="Q1136" s="83"/>
      <c r="Y1136" s="20"/>
      <c r="AP1136" s="93"/>
      <c r="AQ1136" s="31"/>
      <c r="AR1136" s="31"/>
      <c r="AS1136" s="94"/>
      <c r="AT1136" s="31"/>
      <c r="AU1136" s="31"/>
      <c r="AV1136" s="94"/>
      <c r="AW1136" s="32"/>
      <c r="AX1136" s="32"/>
      <c r="AY1136" s="32"/>
      <c r="AZ1136" s="32"/>
      <c r="BA1136" s="32"/>
      <c r="BB1136" s="31"/>
      <c r="BC1136" s="31"/>
      <c r="BD1136" s="31"/>
      <c r="BE1136" s="31"/>
      <c r="BF1136" s="96"/>
      <c r="BG1136" s="52"/>
      <c r="BH1136" s="52"/>
      <c r="BI1136" s="52"/>
      <c r="BJ1136" s="52"/>
      <c r="BK1136" s="52"/>
      <c r="BL1136" s="52"/>
      <c r="BM1136" s="52"/>
      <c r="BN1136" s="53"/>
      <c r="BO1136" s="52"/>
      <c r="BP1136" s="52"/>
      <c r="BQ1136" s="54"/>
    </row>
    <row r="1137" spans="1:69" ht="16" x14ac:dyDescent="0.35">
      <c r="A1137"/>
      <c r="D1137"/>
      <c r="G1137"/>
      <c r="H1137" s="20"/>
      <c r="I1137" s="20"/>
      <c r="J1137" s="20"/>
      <c r="K1137" s="20"/>
      <c r="L1137" s="20"/>
      <c r="Q1137" s="83"/>
      <c r="Y1137" s="20"/>
      <c r="AP1137" s="92"/>
      <c r="AQ1137" s="67"/>
      <c r="AR1137" s="67"/>
      <c r="AS1137" s="73"/>
      <c r="AT1137" s="67"/>
      <c r="AU1137" s="67"/>
      <c r="AV1137" s="73"/>
      <c r="AW1137" s="68"/>
      <c r="AX1137" s="68"/>
      <c r="AY1137" s="68"/>
      <c r="AZ1137" s="68"/>
      <c r="BA1137" s="68"/>
      <c r="BB1137" s="67"/>
      <c r="BC1137" s="67"/>
      <c r="BD1137" s="67"/>
      <c r="BE1137" s="67"/>
      <c r="BF1137" s="95"/>
      <c r="BG1137" s="48"/>
      <c r="BH1137" s="48"/>
      <c r="BI1137" s="48"/>
      <c r="BJ1137" s="48"/>
      <c r="BK1137" s="48"/>
      <c r="BL1137" s="48"/>
      <c r="BM1137" s="48"/>
      <c r="BN1137" s="49"/>
      <c r="BO1137" s="48"/>
      <c r="BP1137" s="48"/>
      <c r="BQ1137" s="50"/>
    </row>
    <row r="1138" spans="1:69" ht="16" x14ac:dyDescent="0.35">
      <c r="A1138"/>
      <c r="D1138"/>
      <c r="G1138"/>
      <c r="H1138" s="20"/>
      <c r="I1138" s="20"/>
      <c r="J1138" s="20"/>
      <c r="K1138" s="20"/>
      <c r="L1138" s="20"/>
      <c r="Q1138" s="83"/>
      <c r="Y1138" s="20"/>
      <c r="AP1138" s="93"/>
      <c r="AQ1138" s="31"/>
      <c r="AR1138" s="31"/>
      <c r="AS1138" s="94"/>
      <c r="AT1138" s="31"/>
      <c r="AU1138" s="31"/>
      <c r="AV1138" s="94"/>
      <c r="AW1138" s="32"/>
      <c r="AX1138" s="32"/>
      <c r="AY1138" s="32"/>
      <c r="AZ1138" s="32"/>
      <c r="BA1138" s="32"/>
      <c r="BB1138" s="31"/>
      <c r="BC1138" s="31"/>
      <c r="BD1138" s="31"/>
      <c r="BE1138" s="31"/>
      <c r="BF1138" s="96"/>
      <c r="BG1138" s="52"/>
      <c r="BH1138" s="52"/>
      <c r="BI1138" s="52"/>
      <c r="BJ1138" s="52"/>
      <c r="BK1138" s="52"/>
      <c r="BL1138" s="52"/>
      <c r="BM1138" s="52"/>
      <c r="BN1138" s="53"/>
      <c r="BO1138" s="52"/>
      <c r="BP1138" s="52"/>
      <c r="BQ1138" s="54"/>
    </row>
    <row r="1139" spans="1:69" ht="16" x14ac:dyDescent="0.35">
      <c r="A1139"/>
      <c r="D1139"/>
      <c r="G1139"/>
      <c r="H1139" s="20"/>
      <c r="I1139" s="20"/>
      <c r="J1139" s="20"/>
      <c r="K1139" s="20"/>
      <c r="L1139" s="20"/>
      <c r="Q1139" s="83"/>
      <c r="Y1139" s="20"/>
      <c r="AP1139" s="92"/>
      <c r="AQ1139" s="67"/>
      <c r="AR1139" s="67"/>
      <c r="AS1139" s="73"/>
      <c r="AT1139" s="67"/>
      <c r="AU1139" s="67"/>
      <c r="AV1139" s="73"/>
      <c r="AW1139" s="68"/>
      <c r="AX1139" s="68"/>
      <c r="AY1139" s="68"/>
      <c r="AZ1139" s="68"/>
      <c r="BA1139" s="68"/>
      <c r="BB1139" s="67"/>
      <c r="BC1139" s="67"/>
      <c r="BD1139" s="67"/>
      <c r="BE1139" s="67"/>
      <c r="BF1139" s="95"/>
      <c r="BG1139" s="48"/>
      <c r="BH1139" s="48"/>
      <c r="BI1139" s="48"/>
      <c r="BJ1139" s="48"/>
      <c r="BK1139" s="48"/>
      <c r="BL1139" s="48"/>
      <c r="BM1139" s="48"/>
      <c r="BN1139" s="49"/>
      <c r="BO1139" s="48"/>
      <c r="BP1139" s="48"/>
      <c r="BQ1139" s="50"/>
    </row>
    <row r="1140" spans="1:69" ht="16" x14ac:dyDescent="0.35">
      <c r="A1140"/>
      <c r="D1140"/>
      <c r="G1140"/>
      <c r="H1140" s="20"/>
      <c r="I1140" s="20"/>
      <c r="J1140" s="20"/>
      <c r="K1140" s="20"/>
      <c r="L1140" s="20"/>
      <c r="Q1140" s="83"/>
      <c r="Y1140" s="20"/>
      <c r="AP1140" s="93"/>
      <c r="AQ1140" s="31"/>
      <c r="AR1140" s="31"/>
      <c r="AS1140" s="94"/>
      <c r="AT1140" s="31"/>
      <c r="AU1140" s="31"/>
      <c r="AV1140" s="94"/>
      <c r="AW1140" s="32"/>
      <c r="AX1140" s="32"/>
      <c r="AY1140" s="32"/>
      <c r="AZ1140" s="32"/>
      <c r="BA1140" s="32"/>
      <c r="BB1140" s="31"/>
      <c r="BC1140" s="31"/>
      <c r="BD1140" s="31"/>
      <c r="BE1140" s="31"/>
      <c r="BF1140" s="96"/>
      <c r="BG1140" s="52"/>
      <c r="BH1140" s="52"/>
      <c r="BI1140" s="52"/>
      <c r="BJ1140" s="52"/>
      <c r="BK1140" s="52"/>
      <c r="BL1140" s="52"/>
      <c r="BM1140" s="52"/>
      <c r="BN1140" s="53"/>
      <c r="BO1140" s="52"/>
      <c r="BP1140" s="52"/>
      <c r="BQ1140" s="54"/>
    </row>
    <row r="1141" spans="1:69" ht="16" x14ac:dyDescent="0.35">
      <c r="A1141"/>
      <c r="D1141"/>
      <c r="G1141"/>
      <c r="H1141" s="20"/>
      <c r="I1141" s="20"/>
      <c r="J1141" s="20"/>
      <c r="K1141" s="20"/>
      <c r="L1141" s="20"/>
      <c r="Q1141" s="83"/>
      <c r="Y1141" s="20"/>
      <c r="AP1141" s="92"/>
      <c r="AQ1141" s="67"/>
      <c r="AR1141" s="67"/>
      <c r="AS1141" s="73"/>
      <c r="AT1141" s="67"/>
      <c r="AU1141" s="67"/>
      <c r="AV1141" s="73"/>
      <c r="AW1141" s="68"/>
      <c r="AX1141" s="68"/>
      <c r="AY1141" s="68"/>
      <c r="AZ1141" s="68"/>
      <c r="BA1141" s="68"/>
      <c r="BB1141" s="67"/>
      <c r="BC1141" s="67"/>
      <c r="BD1141" s="67"/>
      <c r="BE1141" s="67"/>
      <c r="BF1141" s="95"/>
      <c r="BG1141" s="48"/>
      <c r="BH1141" s="48"/>
      <c r="BI1141" s="48"/>
      <c r="BJ1141" s="48"/>
      <c r="BK1141" s="48"/>
      <c r="BL1141" s="48"/>
      <c r="BM1141" s="48"/>
      <c r="BN1141" s="49"/>
      <c r="BO1141" s="48"/>
      <c r="BP1141" s="48"/>
      <c r="BQ1141" s="50"/>
    </row>
    <row r="1142" spans="1:69" ht="16" x14ac:dyDescent="0.35">
      <c r="A1142"/>
      <c r="D1142"/>
      <c r="G1142"/>
      <c r="H1142" s="20"/>
      <c r="I1142" s="20"/>
      <c r="J1142" s="20"/>
      <c r="K1142" s="20"/>
      <c r="L1142" s="20"/>
      <c r="Q1142" s="83"/>
      <c r="Y1142" s="20"/>
      <c r="AP1142" s="93"/>
      <c r="AQ1142" s="31"/>
      <c r="AR1142" s="31"/>
      <c r="AS1142" s="94"/>
      <c r="AT1142" s="31"/>
      <c r="AU1142" s="31"/>
      <c r="AV1142" s="94"/>
      <c r="AW1142" s="32"/>
      <c r="AX1142" s="32"/>
      <c r="AY1142" s="32"/>
      <c r="AZ1142" s="32"/>
      <c r="BA1142" s="32"/>
      <c r="BB1142" s="31"/>
      <c r="BC1142" s="31"/>
      <c r="BD1142" s="31"/>
      <c r="BE1142" s="31"/>
      <c r="BF1142" s="96"/>
      <c r="BG1142" s="52"/>
      <c r="BH1142" s="52"/>
      <c r="BI1142" s="52"/>
      <c r="BJ1142" s="52"/>
      <c r="BK1142" s="52"/>
      <c r="BL1142" s="52"/>
      <c r="BM1142" s="52"/>
      <c r="BN1142" s="53"/>
      <c r="BO1142" s="52"/>
      <c r="BP1142" s="52"/>
      <c r="BQ1142" s="54"/>
    </row>
    <row r="1143" spans="1:69" ht="16" x14ac:dyDescent="0.35">
      <c r="A1143"/>
      <c r="D1143"/>
      <c r="G1143"/>
      <c r="H1143" s="20"/>
      <c r="I1143" s="20"/>
      <c r="J1143" s="20"/>
      <c r="K1143" s="20"/>
      <c r="L1143" s="20"/>
      <c r="Q1143" s="83"/>
      <c r="Y1143" s="20"/>
      <c r="AP1143" s="92"/>
      <c r="AQ1143" s="67"/>
      <c r="AR1143" s="67"/>
      <c r="AS1143" s="73"/>
      <c r="AT1143" s="67"/>
      <c r="AU1143" s="67"/>
      <c r="AV1143" s="73"/>
      <c r="AW1143" s="68"/>
      <c r="AX1143" s="68"/>
      <c r="AY1143" s="68"/>
      <c r="AZ1143" s="68"/>
      <c r="BA1143" s="68"/>
      <c r="BB1143" s="67"/>
      <c r="BC1143" s="67"/>
      <c r="BD1143" s="67"/>
      <c r="BE1143" s="67"/>
      <c r="BF1143" s="95"/>
      <c r="BG1143" s="48"/>
      <c r="BH1143" s="48"/>
      <c r="BI1143" s="48"/>
      <c r="BJ1143" s="48"/>
      <c r="BK1143" s="48"/>
      <c r="BL1143" s="48"/>
      <c r="BM1143" s="48"/>
      <c r="BN1143" s="49"/>
      <c r="BO1143" s="48"/>
      <c r="BP1143" s="48"/>
      <c r="BQ1143" s="50"/>
    </row>
    <row r="1144" spans="1:69" ht="16" x14ac:dyDescent="0.35">
      <c r="A1144"/>
      <c r="D1144"/>
      <c r="G1144"/>
      <c r="H1144" s="20"/>
      <c r="I1144" s="20"/>
      <c r="J1144" s="20"/>
      <c r="K1144" s="20"/>
      <c r="L1144" s="20"/>
      <c r="Q1144" s="83"/>
      <c r="Y1144" s="20"/>
      <c r="AP1144" s="93"/>
      <c r="AQ1144" s="31"/>
      <c r="AR1144" s="31"/>
      <c r="AS1144" s="94"/>
      <c r="AT1144" s="31"/>
      <c r="AU1144" s="31"/>
      <c r="AV1144" s="94"/>
      <c r="AW1144" s="32"/>
      <c r="AX1144" s="32"/>
      <c r="AY1144" s="32"/>
      <c r="AZ1144" s="32"/>
      <c r="BA1144" s="32"/>
      <c r="BB1144" s="31"/>
      <c r="BC1144" s="31"/>
      <c r="BD1144" s="31"/>
      <c r="BE1144" s="31"/>
      <c r="BF1144" s="96"/>
      <c r="BG1144" s="52"/>
      <c r="BH1144" s="52"/>
      <c r="BI1144" s="52"/>
      <c r="BJ1144" s="52"/>
      <c r="BK1144" s="52"/>
      <c r="BL1144" s="52"/>
      <c r="BM1144" s="52"/>
      <c r="BN1144" s="53"/>
      <c r="BO1144" s="52"/>
      <c r="BP1144" s="52"/>
      <c r="BQ1144" s="54"/>
    </row>
    <row r="1145" spans="1:69" ht="16" x14ac:dyDescent="0.35">
      <c r="A1145"/>
      <c r="D1145"/>
      <c r="G1145"/>
      <c r="H1145" s="20"/>
      <c r="I1145" s="20"/>
      <c r="J1145" s="20"/>
      <c r="K1145" s="20"/>
      <c r="L1145" s="20"/>
      <c r="Q1145" s="83"/>
      <c r="Y1145" s="20"/>
      <c r="AP1145" s="92"/>
      <c r="AQ1145" s="67"/>
      <c r="AR1145" s="67"/>
      <c r="AS1145" s="73"/>
      <c r="AT1145" s="67"/>
      <c r="AU1145" s="67"/>
      <c r="AV1145" s="73"/>
      <c r="AW1145" s="68"/>
      <c r="AX1145" s="68"/>
      <c r="AY1145" s="68"/>
      <c r="AZ1145" s="68"/>
      <c r="BA1145" s="68"/>
      <c r="BB1145" s="67"/>
      <c r="BC1145" s="67"/>
      <c r="BD1145" s="67"/>
      <c r="BE1145" s="67"/>
      <c r="BF1145" s="95"/>
      <c r="BG1145" s="48"/>
      <c r="BH1145" s="48"/>
      <c r="BI1145" s="48"/>
      <c r="BJ1145" s="48"/>
      <c r="BK1145" s="48"/>
      <c r="BL1145" s="48"/>
      <c r="BM1145" s="48"/>
      <c r="BN1145" s="49"/>
      <c r="BO1145" s="48"/>
      <c r="BP1145" s="48"/>
      <c r="BQ1145" s="50"/>
    </row>
    <row r="1146" spans="1:69" ht="16" x14ac:dyDescent="0.35">
      <c r="A1146"/>
      <c r="D1146"/>
      <c r="G1146"/>
      <c r="H1146" s="20"/>
      <c r="I1146" s="20"/>
      <c r="J1146" s="20"/>
      <c r="K1146" s="20"/>
      <c r="L1146" s="20"/>
      <c r="Q1146" s="83"/>
      <c r="Y1146" s="20"/>
      <c r="AP1146" s="93"/>
      <c r="AQ1146" s="31"/>
      <c r="AR1146" s="31"/>
      <c r="AS1146" s="94"/>
      <c r="AT1146" s="31"/>
      <c r="AU1146" s="31"/>
      <c r="AV1146" s="94"/>
      <c r="AW1146" s="32"/>
      <c r="AX1146" s="32"/>
      <c r="AY1146" s="32"/>
      <c r="AZ1146" s="32"/>
      <c r="BA1146" s="32"/>
      <c r="BB1146" s="31"/>
      <c r="BC1146" s="31"/>
      <c r="BD1146" s="31"/>
      <c r="BE1146" s="31"/>
      <c r="BF1146" s="96"/>
      <c r="BG1146" s="52"/>
      <c r="BH1146" s="52"/>
      <c r="BI1146" s="52"/>
      <c r="BJ1146" s="52"/>
      <c r="BK1146" s="52"/>
      <c r="BL1146" s="52"/>
      <c r="BM1146" s="52"/>
      <c r="BN1146" s="53"/>
      <c r="BO1146" s="52"/>
      <c r="BP1146" s="52"/>
      <c r="BQ1146" s="54"/>
    </row>
    <row r="1147" spans="1:69" ht="16" x14ac:dyDescent="0.35">
      <c r="A1147"/>
      <c r="D1147"/>
      <c r="G1147"/>
      <c r="H1147" s="20"/>
      <c r="I1147" s="20"/>
      <c r="J1147" s="20"/>
      <c r="K1147" s="20"/>
      <c r="L1147" s="20"/>
      <c r="Q1147" s="83"/>
      <c r="Y1147" s="20"/>
      <c r="AP1147" s="92"/>
      <c r="AQ1147" s="67"/>
      <c r="AR1147" s="67"/>
      <c r="AS1147" s="73"/>
      <c r="AT1147" s="67"/>
      <c r="AU1147" s="67"/>
      <c r="AV1147" s="73"/>
      <c r="AW1147" s="68"/>
      <c r="AX1147" s="68"/>
      <c r="AY1147" s="68"/>
      <c r="AZ1147" s="68"/>
      <c r="BA1147" s="68"/>
      <c r="BB1147" s="67"/>
      <c r="BC1147" s="67"/>
      <c r="BD1147" s="67"/>
      <c r="BE1147" s="67"/>
      <c r="BF1147" s="95"/>
      <c r="BG1147" s="48"/>
      <c r="BH1147" s="48"/>
      <c r="BI1147" s="48"/>
      <c r="BJ1147" s="48"/>
      <c r="BK1147" s="48"/>
      <c r="BL1147" s="48"/>
      <c r="BM1147" s="48"/>
      <c r="BN1147" s="49"/>
      <c r="BO1147" s="48"/>
      <c r="BP1147" s="48"/>
      <c r="BQ1147" s="50"/>
    </row>
    <row r="1148" spans="1:69" ht="16" x14ac:dyDescent="0.35">
      <c r="A1148"/>
      <c r="D1148"/>
      <c r="G1148"/>
      <c r="H1148" s="20"/>
      <c r="I1148" s="20"/>
      <c r="J1148" s="20"/>
      <c r="K1148" s="20"/>
      <c r="L1148" s="20"/>
      <c r="Q1148" s="83"/>
      <c r="Y1148" s="20"/>
      <c r="AP1148" s="93"/>
      <c r="AQ1148" s="31"/>
      <c r="AR1148" s="31"/>
      <c r="AS1148" s="94"/>
      <c r="AT1148" s="31"/>
      <c r="AU1148" s="31"/>
      <c r="AV1148" s="94"/>
      <c r="AW1148" s="32"/>
      <c r="AX1148" s="32"/>
      <c r="AY1148" s="32"/>
      <c r="AZ1148" s="32"/>
      <c r="BA1148" s="32"/>
      <c r="BB1148" s="31"/>
      <c r="BC1148" s="31"/>
      <c r="BD1148" s="31"/>
      <c r="BE1148" s="31"/>
      <c r="BF1148" s="96"/>
      <c r="BG1148" s="52"/>
      <c r="BH1148" s="52"/>
      <c r="BI1148" s="52"/>
      <c r="BJ1148" s="52"/>
      <c r="BK1148" s="52"/>
      <c r="BL1148" s="52"/>
      <c r="BM1148" s="52"/>
      <c r="BN1148" s="53"/>
      <c r="BO1148" s="52"/>
      <c r="BP1148" s="52"/>
      <c r="BQ1148" s="54"/>
    </row>
    <row r="1149" spans="1:69" ht="16" x14ac:dyDescent="0.35">
      <c r="A1149"/>
      <c r="D1149"/>
      <c r="G1149"/>
      <c r="H1149" s="20"/>
      <c r="I1149" s="20"/>
      <c r="J1149" s="20"/>
      <c r="K1149" s="20"/>
      <c r="L1149" s="20"/>
      <c r="Q1149" s="83"/>
      <c r="Y1149" s="20"/>
      <c r="AP1149" s="92"/>
      <c r="AQ1149" s="67"/>
      <c r="AR1149" s="67"/>
      <c r="AS1149" s="73"/>
      <c r="AT1149" s="67"/>
      <c r="AU1149" s="67"/>
      <c r="AV1149" s="73"/>
      <c r="AW1149" s="68"/>
      <c r="AX1149" s="68"/>
      <c r="AY1149" s="68"/>
      <c r="AZ1149" s="68"/>
      <c r="BA1149" s="68"/>
      <c r="BB1149" s="67"/>
      <c r="BC1149" s="67"/>
      <c r="BD1149" s="67"/>
      <c r="BE1149" s="67"/>
      <c r="BF1149" s="95"/>
      <c r="BG1149" s="48"/>
      <c r="BH1149" s="48"/>
      <c r="BI1149" s="48"/>
      <c r="BJ1149" s="48"/>
      <c r="BK1149" s="48"/>
      <c r="BL1149" s="48"/>
      <c r="BM1149" s="48"/>
      <c r="BN1149" s="49"/>
      <c r="BO1149" s="48"/>
      <c r="BP1149" s="48"/>
      <c r="BQ1149" s="50"/>
    </row>
    <row r="1150" spans="1:69" ht="16" x14ac:dyDescent="0.35">
      <c r="A1150"/>
      <c r="D1150"/>
      <c r="G1150"/>
      <c r="H1150" s="20"/>
      <c r="I1150" s="20"/>
      <c r="J1150" s="20"/>
      <c r="K1150" s="20"/>
      <c r="L1150" s="20"/>
      <c r="Q1150" s="83"/>
      <c r="Y1150" s="20"/>
      <c r="AP1150" s="93"/>
      <c r="AQ1150" s="31"/>
      <c r="AR1150" s="31"/>
      <c r="AS1150" s="94"/>
      <c r="AT1150" s="31"/>
      <c r="AU1150" s="31"/>
      <c r="AV1150" s="94"/>
      <c r="AW1150" s="32"/>
      <c r="AX1150" s="32"/>
      <c r="AY1150" s="32"/>
      <c r="AZ1150" s="32"/>
      <c r="BA1150" s="32"/>
      <c r="BB1150" s="31"/>
      <c r="BC1150" s="31"/>
      <c r="BD1150" s="31"/>
      <c r="BE1150" s="31"/>
      <c r="BF1150" s="96"/>
      <c r="BG1150" s="52"/>
      <c r="BH1150" s="52"/>
      <c r="BI1150" s="52"/>
      <c r="BJ1150" s="52"/>
      <c r="BK1150" s="52"/>
      <c r="BL1150" s="52"/>
      <c r="BM1150" s="52"/>
      <c r="BN1150" s="53"/>
      <c r="BO1150" s="52"/>
      <c r="BP1150" s="52"/>
      <c r="BQ1150" s="54"/>
    </row>
    <row r="1151" spans="1:69" ht="16" x14ac:dyDescent="0.35">
      <c r="A1151"/>
      <c r="D1151"/>
      <c r="G1151"/>
      <c r="H1151" s="20"/>
      <c r="I1151" s="20"/>
      <c r="J1151" s="20"/>
      <c r="K1151" s="20"/>
      <c r="L1151" s="20"/>
      <c r="Q1151" s="83"/>
      <c r="Y1151" s="20"/>
      <c r="AP1151" s="92"/>
      <c r="AQ1151" s="67"/>
      <c r="AR1151" s="67"/>
      <c r="AS1151" s="73"/>
      <c r="AT1151" s="67"/>
      <c r="AU1151" s="67"/>
      <c r="AV1151" s="73"/>
      <c r="AW1151" s="68"/>
      <c r="AX1151" s="68"/>
      <c r="AY1151" s="68"/>
      <c r="AZ1151" s="68"/>
      <c r="BA1151" s="68"/>
      <c r="BB1151" s="67"/>
      <c r="BC1151" s="67"/>
      <c r="BD1151" s="67"/>
      <c r="BE1151" s="67"/>
      <c r="BF1151" s="95"/>
      <c r="BG1151" s="48"/>
      <c r="BH1151" s="48"/>
      <c r="BI1151" s="48"/>
      <c r="BJ1151" s="48"/>
      <c r="BK1151" s="48"/>
      <c r="BL1151" s="48"/>
      <c r="BM1151" s="48"/>
      <c r="BN1151" s="49"/>
      <c r="BO1151" s="48"/>
      <c r="BP1151" s="48"/>
      <c r="BQ1151" s="50"/>
    </row>
    <row r="1152" spans="1:69" ht="16" x14ac:dyDescent="0.35">
      <c r="A1152"/>
      <c r="D1152"/>
      <c r="G1152"/>
      <c r="H1152" s="20"/>
      <c r="I1152" s="20"/>
      <c r="J1152" s="20"/>
      <c r="K1152" s="20"/>
      <c r="L1152" s="20"/>
      <c r="Q1152" s="83"/>
      <c r="Y1152" s="20"/>
      <c r="AP1152" s="93"/>
      <c r="AQ1152" s="31"/>
      <c r="AR1152" s="31"/>
      <c r="AS1152" s="94"/>
      <c r="AT1152" s="31"/>
      <c r="AU1152" s="31"/>
      <c r="AV1152" s="94"/>
      <c r="AW1152" s="32"/>
      <c r="AX1152" s="32"/>
      <c r="AY1152" s="32"/>
      <c r="AZ1152" s="32"/>
      <c r="BA1152" s="32"/>
      <c r="BB1152" s="31"/>
      <c r="BC1152" s="31"/>
      <c r="BD1152" s="31"/>
      <c r="BE1152" s="31"/>
      <c r="BF1152" s="96"/>
      <c r="BG1152" s="52"/>
      <c r="BH1152" s="52"/>
      <c r="BI1152" s="52"/>
      <c r="BJ1152" s="52"/>
      <c r="BK1152" s="52"/>
      <c r="BL1152" s="52"/>
      <c r="BM1152" s="52"/>
      <c r="BN1152" s="53"/>
      <c r="BO1152" s="52"/>
      <c r="BP1152" s="52"/>
      <c r="BQ1152" s="54"/>
    </row>
    <row r="1153" spans="1:69" ht="16" x14ac:dyDescent="0.35">
      <c r="A1153"/>
      <c r="D1153"/>
      <c r="G1153"/>
      <c r="H1153" s="20"/>
      <c r="I1153" s="20"/>
      <c r="J1153" s="20"/>
      <c r="K1153" s="20"/>
      <c r="L1153" s="20"/>
      <c r="Q1153" s="83"/>
      <c r="Y1153" s="20"/>
      <c r="AP1153" s="92"/>
      <c r="AQ1153" s="67"/>
      <c r="AR1153" s="67"/>
      <c r="AS1153" s="73"/>
      <c r="AT1153" s="67"/>
      <c r="AU1153" s="67"/>
      <c r="AV1153" s="73"/>
      <c r="AW1153" s="68"/>
      <c r="AX1153" s="68"/>
      <c r="AY1153" s="68"/>
      <c r="AZ1153" s="68"/>
      <c r="BA1153" s="68"/>
      <c r="BB1153" s="67"/>
      <c r="BC1153" s="67"/>
      <c r="BD1153" s="67"/>
      <c r="BE1153" s="67"/>
      <c r="BF1153" s="95"/>
      <c r="BG1153" s="48"/>
      <c r="BH1153" s="48"/>
      <c r="BI1153" s="48"/>
      <c r="BJ1153" s="48"/>
      <c r="BK1153" s="48"/>
      <c r="BL1153" s="48"/>
      <c r="BM1153" s="48"/>
      <c r="BN1153" s="49"/>
      <c r="BO1153" s="48"/>
      <c r="BP1153" s="48"/>
      <c r="BQ1153" s="50"/>
    </row>
    <row r="1154" spans="1:69" ht="16" x14ac:dyDescent="0.35">
      <c r="A1154"/>
      <c r="D1154"/>
      <c r="G1154"/>
      <c r="H1154" s="20"/>
      <c r="I1154" s="20"/>
      <c r="J1154" s="20"/>
      <c r="K1154" s="20"/>
      <c r="L1154" s="20"/>
      <c r="Q1154" s="83"/>
      <c r="Y1154" s="20"/>
      <c r="AP1154" s="93"/>
      <c r="AQ1154" s="31"/>
      <c r="AR1154" s="31"/>
      <c r="AS1154" s="94"/>
      <c r="AT1154" s="31"/>
      <c r="AU1154" s="31"/>
      <c r="AV1154" s="94"/>
      <c r="AW1154" s="32"/>
      <c r="AX1154" s="32"/>
      <c r="AY1154" s="32"/>
      <c r="AZ1154" s="32"/>
      <c r="BA1154" s="32"/>
      <c r="BB1154" s="31"/>
      <c r="BC1154" s="31"/>
      <c r="BD1154" s="31"/>
      <c r="BE1154" s="31"/>
      <c r="BF1154" s="96"/>
      <c r="BG1154" s="52"/>
      <c r="BH1154" s="52"/>
      <c r="BI1154" s="52"/>
      <c r="BJ1154" s="52"/>
      <c r="BK1154" s="52"/>
      <c r="BL1154" s="52"/>
      <c r="BM1154" s="52"/>
      <c r="BN1154" s="53"/>
      <c r="BO1154" s="52"/>
      <c r="BP1154" s="52"/>
      <c r="BQ1154" s="54"/>
    </row>
    <row r="1155" spans="1:69" ht="16" x14ac:dyDescent="0.35">
      <c r="A1155"/>
      <c r="D1155"/>
      <c r="G1155"/>
      <c r="H1155" s="20"/>
      <c r="I1155" s="20"/>
      <c r="J1155" s="20"/>
      <c r="K1155" s="20"/>
      <c r="L1155" s="20"/>
      <c r="Q1155" s="83"/>
      <c r="Y1155" s="20"/>
      <c r="AP1155" s="92"/>
      <c r="AQ1155" s="67"/>
      <c r="AR1155" s="67"/>
      <c r="AS1155" s="73"/>
      <c r="AT1155" s="67"/>
      <c r="AU1155" s="67"/>
      <c r="AV1155" s="73"/>
      <c r="AW1155" s="68"/>
      <c r="AX1155" s="68"/>
      <c r="AY1155" s="68"/>
      <c r="AZ1155" s="68"/>
      <c r="BA1155" s="68"/>
      <c r="BB1155" s="67"/>
      <c r="BC1155" s="67"/>
      <c r="BD1155" s="67"/>
      <c r="BE1155" s="67"/>
      <c r="BF1155" s="95"/>
      <c r="BG1155" s="48"/>
      <c r="BH1155" s="48"/>
      <c r="BI1155" s="48"/>
      <c r="BJ1155" s="48"/>
      <c r="BK1155" s="48"/>
      <c r="BL1155" s="48"/>
      <c r="BM1155" s="48"/>
      <c r="BN1155" s="49"/>
      <c r="BO1155" s="48"/>
      <c r="BP1155" s="48"/>
      <c r="BQ1155" s="50"/>
    </row>
    <row r="1156" spans="1:69" ht="16" x14ac:dyDescent="0.35">
      <c r="A1156"/>
      <c r="D1156"/>
      <c r="G1156"/>
      <c r="H1156" s="20"/>
      <c r="I1156" s="20"/>
      <c r="J1156" s="20"/>
      <c r="K1156" s="20"/>
      <c r="L1156" s="20"/>
      <c r="Q1156" s="83"/>
      <c r="Y1156" s="20"/>
      <c r="AP1156" s="93"/>
      <c r="AQ1156" s="31"/>
      <c r="AR1156" s="31"/>
      <c r="AS1156" s="94"/>
      <c r="AT1156" s="31"/>
      <c r="AU1156" s="31"/>
      <c r="AV1156" s="94"/>
      <c r="AW1156" s="32"/>
      <c r="AX1156" s="32"/>
      <c r="AY1156" s="32"/>
      <c r="AZ1156" s="32"/>
      <c r="BA1156" s="32"/>
      <c r="BB1156" s="31"/>
      <c r="BC1156" s="31"/>
      <c r="BD1156" s="31"/>
      <c r="BE1156" s="31"/>
      <c r="BF1156" s="96"/>
      <c r="BG1156" s="52"/>
      <c r="BH1156" s="52"/>
      <c r="BI1156" s="52"/>
      <c r="BJ1156" s="52"/>
      <c r="BK1156" s="52"/>
      <c r="BL1156" s="52"/>
      <c r="BM1156" s="52"/>
      <c r="BN1156" s="53"/>
      <c r="BO1156" s="52"/>
      <c r="BP1156" s="52"/>
      <c r="BQ1156" s="54"/>
    </row>
    <row r="1157" spans="1:69" ht="16" x14ac:dyDescent="0.35">
      <c r="A1157"/>
      <c r="D1157"/>
      <c r="G1157"/>
      <c r="H1157" s="20"/>
      <c r="I1157" s="20"/>
      <c r="J1157" s="20"/>
      <c r="K1157" s="20"/>
      <c r="L1157" s="20"/>
      <c r="Q1157" s="83"/>
      <c r="Y1157" s="20"/>
      <c r="AP1157" s="92"/>
      <c r="AQ1157" s="67"/>
      <c r="AR1157" s="67"/>
      <c r="AS1157" s="73"/>
      <c r="AT1157" s="67"/>
      <c r="AU1157" s="67"/>
      <c r="AV1157" s="73"/>
      <c r="AW1157" s="68"/>
      <c r="AX1157" s="68"/>
      <c r="AY1157" s="68"/>
      <c r="AZ1157" s="68"/>
      <c r="BA1157" s="68"/>
      <c r="BB1157" s="67"/>
      <c r="BC1157" s="67"/>
      <c r="BD1157" s="67"/>
      <c r="BE1157" s="67"/>
      <c r="BF1157" s="95"/>
      <c r="BG1157" s="48"/>
      <c r="BH1157" s="48"/>
      <c r="BI1157" s="48"/>
      <c r="BJ1157" s="48"/>
      <c r="BK1157" s="48"/>
      <c r="BL1157" s="48"/>
      <c r="BM1157" s="48"/>
      <c r="BN1157" s="49"/>
      <c r="BO1157" s="48"/>
      <c r="BP1157" s="48"/>
      <c r="BQ1157" s="50"/>
    </row>
    <row r="1158" spans="1:69" ht="16" x14ac:dyDescent="0.35">
      <c r="A1158"/>
      <c r="D1158"/>
      <c r="G1158"/>
      <c r="H1158" s="20"/>
      <c r="I1158" s="20"/>
      <c r="J1158" s="20"/>
      <c r="K1158" s="20"/>
      <c r="L1158" s="20"/>
      <c r="Q1158" s="83"/>
      <c r="Y1158" s="20"/>
      <c r="AP1158" s="93"/>
      <c r="AQ1158" s="31"/>
      <c r="AR1158" s="31"/>
      <c r="AS1158" s="94"/>
      <c r="AT1158" s="31"/>
      <c r="AU1158" s="31"/>
      <c r="AV1158" s="94"/>
      <c r="AW1158" s="32"/>
      <c r="AX1158" s="32"/>
      <c r="AY1158" s="32"/>
      <c r="AZ1158" s="32"/>
      <c r="BA1158" s="32"/>
      <c r="BB1158" s="31"/>
      <c r="BC1158" s="31"/>
      <c r="BD1158" s="31"/>
      <c r="BE1158" s="31"/>
      <c r="BF1158" s="96"/>
      <c r="BG1158" s="52"/>
      <c r="BH1158" s="52"/>
      <c r="BI1158" s="52"/>
      <c r="BJ1158" s="52"/>
      <c r="BK1158" s="52"/>
      <c r="BL1158" s="52"/>
      <c r="BM1158" s="52"/>
      <c r="BN1158" s="53"/>
      <c r="BO1158" s="52"/>
      <c r="BP1158" s="52"/>
      <c r="BQ1158" s="54"/>
    </row>
    <row r="1159" spans="1:69" ht="16" x14ac:dyDescent="0.35">
      <c r="A1159"/>
      <c r="D1159"/>
      <c r="G1159"/>
      <c r="H1159" s="20"/>
      <c r="I1159" s="20"/>
      <c r="J1159" s="20"/>
      <c r="K1159" s="20"/>
      <c r="L1159" s="20"/>
      <c r="Q1159" s="83"/>
      <c r="Y1159" s="20"/>
      <c r="AP1159" s="92"/>
      <c r="AQ1159" s="67"/>
      <c r="AR1159" s="67"/>
      <c r="AS1159" s="73"/>
      <c r="AT1159" s="67"/>
      <c r="AU1159" s="67"/>
      <c r="AV1159" s="73"/>
      <c r="AW1159" s="68"/>
      <c r="AX1159" s="68"/>
      <c r="AY1159" s="68"/>
      <c r="AZ1159" s="68"/>
      <c r="BA1159" s="68"/>
      <c r="BB1159" s="67"/>
      <c r="BC1159" s="67"/>
      <c r="BD1159" s="67"/>
      <c r="BE1159" s="67"/>
      <c r="BF1159" s="95"/>
      <c r="BG1159" s="48"/>
      <c r="BH1159" s="48"/>
      <c r="BI1159" s="48"/>
      <c r="BJ1159" s="48"/>
      <c r="BK1159" s="48"/>
      <c r="BL1159" s="48"/>
      <c r="BM1159" s="48"/>
      <c r="BN1159" s="49"/>
      <c r="BO1159" s="48"/>
      <c r="BP1159" s="48"/>
      <c r="BQ1159" s="50"/>
    </row>
    <row r="1160" spans="1:69" ht="16" x14ac:dyDescent="0.35">
      <c r="A1160"/>
      <c r="D1160"/>
      <c r="G1160"/>
      <c r="H1160" s="20"/>
      <c r="I1160" s="20"/>
      <c r="J1160" s="20"/>
      <c r="K1160" s="20"/>
      <c r="L1160" s="20"/>
      <c r="Q1160" s="83"/>
      <c r="Y1160" s="20"/>
      <c r="AP1160" s="93"/>
      <c r="AQ1160" s="31"/>
      <c r="AR1160" s="31"/>
      <c r="AS1160" s="94"/>
      <c r="AT1160" s="31"/>
      <c r="AU1160" s="31"/>
      <c r="AV1160" s="94"/>
      <c r="AW1160" s="32"/>
      <c r="AX1160" s="32"/>
      <c r="AY1160" s="32"/>
      <c r="AZ1160" s="32"/>
      <c r="BA1160" s="32"/>
      <c r="BB1160" s="31"/>
      <c r="BC1160" s="31"/>
      <c r="BD1160" s="31"/>
      <c r="BE1160" s="31"/>
      <c r="BF1160" s="96"/>
      <c r="BG1160" s="52"/>
      <c r="BH1160" s="52"/>
      <c r="BI1160" s="52"/>
      <c r="BJ1160" s="52"/>
      <c r="BK1160" s="52"/>
      <c r="BL1160" s="52"/>
      <c r="BM1160" s="52"/>
      <c r="BN1160" s="53"/>
      <c r="BO1160" s="52"/>
      <c r="BP1160" s="52"/>
      <c r="BQ1160" s="54"/>
    </row>
    <row r="1161" spans="1:69" ht="16" x14ac:dyDescent="0.35">
      <c r="A1161"/>
      <c r="D1161"/>
      <c r="G1161"/>
      <c r="H1161" s="20"/>
      <c r="I1161" s="20"/>
      <c r="J1161" s="20"/>
      <c r="K1161" s="20"/>
      <c r="L1161" s="20"/>
      <c r="Q1161" s="83"/>
      <c r="Y1161" s="20"/>
      <c r="AP1161" s="92"/>
      <c r="AQ1161" s="67"/>
      <c r="AR1161" s="67"/>
      <c r="AS1161" s="73"/>
      <c r="AT1161" s="67"/>
      <c r="AU1161" s="67"/>
      <c r="AV1161" s="73"/>
      <c r="AW1161" s="68"/>
      <c r="AX1161" s="68"/>
      <c r="AY1161" s="68"/>
      <c r="AZ1161" s="68"/>
      <c r="BA1161" s="68"/>
      <c r="BB1161" s="67"/>
      <c r="BC1161" s="67"/>
      <c r="BD1161" s="67"/>
      <c r="BE1161" s="67"/>
      <c r="BF1161" s="95"/>
      <c r="BG1161" s="48"/>
      <c r="BH1161" s="48"/>
      <c r="BI1161" s="48"/>
      <c r="BJ1161" s="48"/>
      <c r="BK1161" s="48"/>
      <c r="BL1161" s="48"/>
      <c r="BM1161" s="48"/>
      <c r="BN1161" s="49"/>
      <c r="BO1161" s="48"/>
      <c r="BP1161" s="48"/>
      <c r="BQ1161" s="50"/>
    </row>
    <row r="1162" spans="1:69" ht="16" x14ac:dyDescent="0.35">
      <c r="A1162"/>
      <c r="D1162"/>
      <c r="G1162"/>
      <c r="H1162" s="20"/>
      <c r="I1162" s="20"/>
      <c r="J1162" s="20"/>
      <c r="K1162" s="20"/>
      <c r="L1162" s="20"/>
      <c r="Q1162" s="83"/>
      <c r="Y1162" s="20"/>
      <c r="AP1162" s="93"/>
      <c r="AQ1162" s="31"/>
      <c r="AR1162" s="31"/>
      <c r="AS1162" s="94"/>
      <c r="AT1162" s="31"/>
      <c r="AU1162" s="31"/>
      <c r="AV1162" s="94"/>
      <c r="AW1162" s="32"/>
      <c r="AX1162" s="32"/>
      <c r="AY1162" s="32"/>
      <c r="AZ1162" s="32"/>
      <c r="BA1162" s="32"/>
      <c r="BB1162" s="31"/>
      <c r="BC1162" s="31"/>
      <c r="BD1162" s="31"/>
      <c r="BE1162" s="31"/>
      <c r="BF1162" s="96"/>
      <c r="BG1162" s="52"/>
      <c r="BH1162" s="52"/>
      <c r="BI1162" s="52"/>
      <c r="BJ1162" s="52"/>
      <c r="BK1162" s="52"/>
      <c r="BL1162" s="52"/>
      <c r="BM1162" s="52"/>
      <c r="BN1162" s="53"/>
      <c r="BO1162" s="52"/>
      <c r="BP1162" s="52"/>
      <c r="BQ1162" s="54"/>
    </row>
    <row r="1163" spans="1:69" ht="16" x14ac:dyDescent="0.35">
      <c r="A1163"/>
      <c r="D1163"/>
      <c r="G1163"/>
      <c r="H1163" s="20"/>
      <c r="I1163" s="20"/>
      <c r="J1163" s="20"/>
      <c r="K1163" s="20"/>
      <c r="L1163" s="20"/>
      <c r="Q1163" s="83"/>
      <c r="Y1163" s="20"/>
      <c r="AP1163" s="92"/>
      <c r="AQ1163" s="67"/>
      <c r="AR1163" s="67"/>
      <c r="AS1163" s="73"/>
      <c r="AT1163" s="67"/>
      <c r="AU1163" s="67"/>
      <c r="AV1163" s="73"/>
      <c r="AW1163" s="68"/>
      <c r="AX1163" s="68"/>
      <c r="AY1163" s="68"/>
      <c r="AZ1163" s="68"/>
      <c r="BA1163" s="68"/>
      <c r="BB1163" s="67"/>
      <c r="BC1163" s="67"/>
      <c r="BD1163" s="67"/>
      <c r="BE1163" s="67"/>
      <c r="BF1163" s="95"/>
      <c r="BG1163" s="48"/>
      <c r="BH1163" s="48"/>
      <c r="BI1163" s="48"/>
      <c r="BJ1163" s="48"/>
      <c r="BK1163" s="48"/>
      <c r="BL1163" s="48"/>
      <c r="BM1163" s="48"/>
      <c r="BN1163" s="49"/>
      <c r="BO1163" s="48"/>
      <c r="BP1163" s="48"/>
      <c r="BQ1163" s="50"/>
    </row>
    <row r="1164" spans="1:69" ht="16" x14ac:dyDescent="0.35">
      <c r="A1164"/>
      <c r="D1164"/>
      <c r="G1164"/>
      <c r="H1164" s="20"/>
      <c r="I1164" s="20"/>
      <c r="J1164" s="20"/>
      <c r="K1164" s="20"/>
      <c r="L1164" s="20"/>
      <c r="Q1164" s="83"/>
      <c r="Y1164" s="20"/>
      <c r="AP1164" s="93"/>
      <c r="AQ1164" s="31"/>
      <c r="AR1164" s="31"/>
      <c r="AS1164" s="94"/>
      <c r="AT1164" s="31"/>
      <c r="AU1164" s="31"/>
      <c r="AV1164" s="94"/>
      <c r="AW1164" s="32"/>
      <c r="AX1164" s="32"/>
      <c r="AY1164" s="32"/>
      <c r="AZ1164" s="32"/>
      <c r="BA1164" s="32"/>
      <c r="BB1164" s="31"/>
      <c r="BC1164" s="31"/>
      <c r="BD1164" s="31"/>
      <c r="BE1164" s="31"/>
      <c r="BF1164" s="96"/>
      <c r="BG1164" s="52"/>
      <c r="BH1164" s="52"/>
      <c r="BI1164" s="52"/>
      <c r="BJ1164" s="52"/>
      <c r="BK1164" s="52"/>
      <c r="BL1164" s="52"/>
      <c r="BM1164" s="52"/>
      <c r="BN1164" s="53"/>
      <c r="BO1164" s="52"/>
      <c r="BP1164" s="52"/>
      <c r="BQ1164" s="54"/>
    </row>
    <row r="1165" spans="1:69" ht="16" x14ac:dyDescent="0.35">
      <c r="A1165"/>
      <c r="D1165"/>
      <c r="G1165"/>
      <c r="H1165" s="20"/>
      <c r="I1165" s="20"/>
      <c r="J1165" s="20"/>
      <c r="K1165" s="20"/>
      <c r="L1165" s="20"/>
      <c r="Q1165" s="83"/>
      <c r="Y1165" s="20"/>
      <c r="AP1165" s="92"/>
      <c r="AQ1165" s="67"/>
      <c r="AR1165" s="67"/>
      <c r="AS1165" s="73"/>
      <c r="AT1165" s="67"/>
      <c r="AU1165" s="67"/>
      <c r="AV1165" s="73"/>
      <c r="AW1165" s="68"/>
      <c r="AX1165" s="68"/>
      <c r="AY1165" s="68"/>
      <c r="AZ1165" s="68"/>
      <c r="BA1165" s="68"/>
      <c r="BB1165" s="67"/>
      <c r="BC1165" s="67"/>
      <c r="BD1165" s="67"/>
      <c r="BE1165" s="67"/>
      <c r="BF1165" s="95"/>
      <c r="BG1165" s="48"/>
      <c r="BH1165" s="48"/>
      <c r="BI1165" s="48"/>
      <c r="BJ1165" s="48"/>
      <c r="BK1165" s="48"/>
      <c r="BL1165" s="48"/>
      <c r="BM1165" s="48"/>
      <c r="BN1165" s="49"/>
      <c r="BO1165" s="48"/>
      <c r="BP1165" s="48"/>
      <c r="BQ1165" s="50"/>
    </row>
    <row r="1166" spans="1:69" ht="16" x14ac:dyDescent="0.35">
      <c r="A1166"/>
      <c r="D1166"/>
      <c r="G1166"/>
      <c r="H1166" s="20"/>
      <c r="I1166" s="20"/>
      <c r="J1166" s="20"/>
      <c r="K1166" s="20"/>
      <c r="L1166" s="20"/>
      <c r="Q1166" s="83"/>
      <c r="Y1166" s="20"/>
      <c r="AP1166" s="93"/>
      <c r="AQ1166" s="31"/>
      <c r="AR1166" s="31"/>
      <c r="AS1166" s="94"/>
      <c r="AT1166" s="31"/>
      <c r="AU1166" s="31"/>
      <c r="AV1166" s="94"/>
      <c r="AW1166" s="32"/>
      <c r="AX1166" s="32"/>
      <c r="AY1166" s="32"/>
      <c r="AZ1166" s="32"/>
      <c r="BA1166" s="32"/>
      <c r="BB1166" s="31"/>
      <c r="BC1166" s="31"/>
      <c r="BD1166" s="31"/>
      <c r="BE1166" s="31"/>
      <c r="BF1166" s="96"/>
      <c r="BG1166" s="52"/>
      <c r="BH1166" s="52"/>
      <c r="BI1166" s="52"/>
      <c r="BJ1166" s="52"/>
      <c r="BK1166" s="52"/>
      <c r="BL1166" s="52"/>
      <c r="BM1166" s="52"/>
      <c r="BN1166" s="53"/>
      <c r="BO1166" s="52"/>
      <c r="BP1166" s="52"/>
      <c r="BQ1166" s="54"/>
    </row>
    <row r="1167" spans="1:69" ht="16" x14ac:dyDescent="0.35">
      <c r="A1167"/>
      <c r="D1167"/>
      <c r="G1167"/>
      <c r="H1167" s="20"/>
      <c r="I1167" s="20"/>
      <c r="J1167" s="20"/>
      <c r="K1167" s="20"/>
      <c r="L1167" s="20"/>
      <c r="Q1167" s="83"/>
      <c r="Y1167" s="20"/>
      <c r="AP1167" s="92"/>
      <c r="AQ1167" s="67"/>
      <c r="AR1167" s="67"/>
      <c r="AS1167" s="73"/>
      <c r="AT1167" s="67"/>
      <c r="AU1167" s="67"/>
      <c r="AV1167" s="73"/>
      <c r="AW1167" s="68"/>
      <c r="AX1167" s="68"/>
      <c r="AY1167" s="68"/>
      <c r="AZ1167" s="68"/>
      <c r="BA1167" s="68"/>
      <c r="BB1167" s="67"/>
      <c r="BC1167" s="67"/>
      <c r="BD1167" s="67"/>
      <c r="BE1167" s="67"/>
      <c r="BF1167" s="95"/>
      <c r="BG1167" s="48"/>
      <c r="BH1167" s="48"/>
      <c r="BI1167" s="48"/>
      <c r="BJ1167" s="48"/>
      <c r="BK1167" s="48"/>
      <c r="BL1167" s="48"/>
      <c r="BM1167" s="48"/>
      <c r="BN1167" s="49"/>
      <c r="BO1167" s="48"/>
      <c r="BP1167" s="48"/>
      <c r="BQ1167" s="50"/>
    </row>
    <row r="1168" spans="1:69" ht="16" x14ac:dyDescent="0.35">
      <c r="A1168"/>
      <c r="D1168"/>
      <c r="G1168"/>
      <c r="H1168" s="20"/>
      <c r="I1168" s="20"/>
      <c r="J1168" s="20"/>
      <c r="K1168" s="20"/>
      <c r="L1168" s="20"/>
      <c r="Q1168" s="83"/>
      <c r="Y1168" s="20"/>
      <c r="AP1168" s="93"/>
      <c r="AQ1168" s="31"/>
      <c r="AR1168" s="31"/>
      <c r="AS1168" s="94"/>
      <c r="AT1168" s="31"/>
      <c r="AU1168" s="31"/>
      <c r="AV1168" s="94"/>
      <c r="AW1168" s="32"/>
      <c r="AX1168" s="32"/>
      <c r="AY1168" s="32"/>
      <c r="AZ1168" s="32"/>
      <c r="BA1168" s="32"/>
      <c r="BB1168" s="31"/>
      <c r="BC1168" s="31"/>
      <c r="BD1168" s="31"/>
      <c r="BE1168" s="31"/>
      <c r="BF1168" s="96"/>
      <c r="BG1168" s="52"/>
      <c r="BH1168" s="52"/>
      <c r="BI1168" s="52"/>
      <c r="BJ1168" s="52"/>
      <c r="BK1168" s="52"/>
      <c r="BL1168" s="52"/>
      <c r="BM1168" s="52"/>
      <c r="BN1168" s="53"/>
      <c r="BO1168" s="52"/>
      <c r="BP1168" s="52"/>
      <c r="BQ1168" s="54"/>
    </row>
    <row r="1169" spans="1:69" ht="16" x14ac:dyDescent="0.35">
      <c r="A1169"/>
      <c r="D1169"/>
      <c r="G1169"/>
      <c r="H1169" s="20"/>
      <c r="I1169" s="20"/>
      <c r="J1169" s="20"/>
      <c r="K1169" s="20"/>
      <c r="L1169" s="20"/>
      <c r="Q1169" s="83"/>
      <c r="Y1169" s="20"/>
      <c r="AP1169" s="92"/>
      <c r="AQ1169" s="67"/>
      <c r="AR1169" s="67"/>
      <c r="AS1169" s="73"/>
      <c r="AT1169" s="67"/>
      <c r="AU1169" s="67"/>
      <c r="AV1169" s="73"/>
      <c r="AW1169" s="68"/>
      <c r="AX1169" s="68"/>
      <c r="AY1169" s="68"/>
      <c r="AZ1169" s="68"/>
      <c r="BA1169" s="68"/>
      <c r="BB1169" s="67"/>
      <c r="BC1169" s="67"/>
      <c r="BD1169" s="67"/>
      <c r="BE1169" s="67"/>
      <c r="BF1169" s="95"/>
      <c r="BG1169" s="48"/>
      <c r="BH1169" s="48"/>
      <c r="BI1169" s="48"/>
      <c r="BJ1169" s="48"/>
      <c r="BK1169" s="48"/>
      <c r="BL1169" s="48"/>
      <c r="BM1169" s="48"/>
      <c r="BN1169" s="49"/>
      <c r="BO1169" s="48"/>
      <c r="BP1169" s="48"/>
      <c r="BQ1169" s="50"/>
    </row>
    <row r="1170" spans="1:69" ht="16" x14ac:dyDescent="0.35">
      <c r="A1170"/>
      <c r="D1170"/>
      <c r="G1170"/>
      <c r="H1170" s="20"/>
      <c r="I1170" s="20"/>
      <c r="J1170" s="20"/>
      <c r="K1170" s="20"/>
      <c r="L1170" s="20"/>
      <c r="Q1170" s="83"/>
      <c r="Y1170" s="20"/>
      <c r="AP1170" s="93"/>
      <c r="AQ1170" s="31"/>
      <c r="AR1170" s="31"/>
      <c r="AS1170" s="94"/>
      <c r="AT1170" s="31"/>
      <c r="AU1170" s="31"/>
      <c r="AV1170" s="94"/>
      <c r="AW1170" s="32"/>
      <c r="AX1170" s="32"/>
      <c r="AY1170" s="32"/>
      <c r="AZ1170" s="32"/>
      <c r="BA1170" s="32"/>
      <c r="BB1170" s="31"/>
      <c r="BC1170" s="31"/>
      <c r="BD1170" s="31"/>
      <c r="BE1170" s="31"/>
      <c r="BF1170" s="96"/>
      <c r="BG1170" s="52"/>
      <c r="BH1170" s="52"/>
      <c r="BI1170" s="52"/>
      <c r="BJ1170" s="52"/>
      <c r="BK1170" s="52"/>
      <c r="BL1170" s="52"/>
      <c r="BM1170" s="52"/>
      <c r="BN1170" s="53"/>
      <c r="BO1170" s="52"/>
      <c r="BP1170" s="52"/>
      <c r="BQ1170" s="54"/>
    </row>
    <row r="1171" spans="1:69" ht="16" x14ac:dyDescent="0.35">
      <c r="A1171"/>
      <c r="D1171"/>
      <c r="G1171"/>
      <c r="H1171" s="20"/>
      <c r="I1171" s="20"/>
      <c r="J1171" s="20"/>
      <c r="K1171" s="20"/>
      <c r="L1171" s="20"/>
      <c r="Q1171" s="83"/>
      <c r="Y1171" s="20"/>
      <c r="AP1171" s="92"/>
      <c r="AQ1171" s="67"/>
      <c r="AR1171" s="67"/>
      <c r="AS1171" s="73"/>
      <c r="AT1171" s="67"/>
      <c r="AU1171" s="67"/>
      <c r="AV1171" s="73"/>
      <c r="AW1171" s="68"/>
      <c r="AX1171" s="68"/>
      <c r="AY1171" s="68"/>
      <c r="AZ1171" s="68"/>
      <c r="BA1171" s="68"/>
      <c r="BB1171" s="67"/>
      <c r="BC1171" s="67"/>
      <c r="BD1171" s="67"/>
      <c r="BE1171" s="67"/>
      <c r="BF1171" s="95"/>
      <c r="BG1171" s="48"/>
      <c r="BH1171" s="48"/>
      <c r="BI1171" s="48"/>
      <c r="BJ1171" s="48"/>
      <c r="BK1171" s="48"/>
      <c r="BL1171" s="48"/>
      <c r="BM1171" s="48"/>
      <c r="BN1171" s="49"/>
      <c r="BO1171" s="48"/>
      <c r="BP1171" s="48"/>
      <c r="BQ1171" s="50"/>
    </row>
    <row r="1172" spans="1:69" ht="16" x14ac:dyDescent="0.35">
      <c r="A1172"/>
      <c r="D1172"/>
      <c r="G1172"/>
      <c r="H1172" s="20"/>
      <c r="I1172" s="20"/>
      <c r="J1172" s="20"/>
      <c r="K1172" s="20"/>
      <c r="L1172" s="20"/>
      <c r="Q1172" s="83"/>
      <c r="Y1172" s="20"/>
      <c r="AP1172" s="93"/>
      <c r="AQ1172" s="31"/>
      <c r="AR1172" s="31"/>
      <c r="AS1172" s="94"/>
      <c r="AT1172" s="31"/>
      <c r="AU1172" s="31"/>
      <c r="AV1172" s="94"/>
      <c r="AW1172" s="32"/>
      <c r="AX1172" s="32"/>
      <c r="AY1172" s="32"/>
      <c r="AZ1172" s="32"/>
      <c r="BA1172" s="32"/>
      <c r="BB1172" s="31"/>
      <c r="BC1172" s="31"/>
      <c r="BD1172" s="31"/>
      <c r="BE1172" s="31"/>
      <c r="BF1172" s="96"/>
      <c r="BG1172" s="52"/>
      <c r="BH1172" s="52"/>
      <c r="BI1172" s="52"/>
      <c r="BJ1172" s="52"/>
      <c r="BK1172" s="52"/>
      <c r="BL1172" s="52"/>
      <c r="BM1172" s="52"/>
      <c r="BN1172" s="53"/>
      <c r="BO1172" s="52"/>
      <c r="BP1172" s="52"/>
      <c r="BQ1172" s="54"/>
    </row>
    <row r="1173" spans="1:69" ht="16" x14ac:dyDescent="0.35">
      <c r="A1173"/>
      <c r="D1173"/>
      <c r="G1173"/>
      <c r="H1173" s="20"/>
      <c r="I1173" s="20"/>
      <c r="J1173" s="20"/>
      <c r="K1173" s="20"/>
      <c r="L1173" s="20"/>
      <c r="Q1173" s="83"/>
      <c r="Y1173" s="20"/>
      <c r="AP1173" s="92"/>
      <c r="AQ1173" s="67"/>
      <c r="AR1173" s="67"/>
      <c r="AS1173" s="73"/>
      <c r="AT1173" s="67"/>
      <c r="AU1173" s="67"/>
      <c r="AV1173" s="73"/>
      <c r="AW1173" s="68"/>
      <c r="AX1173" s="68"/>
      <c r="AY1173" s="68"/>
      <c r="AZ1173" s="68"/>
      <c r="BA1173" s="68"/>
      <c r="BB1173" s="67"/>
      <c r="BC1173" s="67"/>
      <c r="BD1173" s="67"/>
      <c r="BE1173" s="67"/>
      <c r="BF1173" s="95"/>
      <c r="BG1173" s="48"/>
      <c r="BH1173" s="48"/>
      <c r="BI1173" s="48"/>
      <c r="BJ1173" s="48"/>
      <c r="BK1173" s="48"/>
      <c r="BL1173" s="48"/>
      <c r="BM1173" s="48"/>
      <c r="BN1173" s="49"/>
      <c r="BO1173" s="48"/>
      <c r="BP1173" s="48"/>
      <c r="BQ1173" s="50"/>
    </row>
    <row r="1174" spans="1:69" ht="16" x14ac:dyDescent="0.35">
      <c r="A1174"/>
      <c r="D1174"/>
      <c r="G1174"/>
      <c r="H1174" s="20"/>
      <c r="I1174" s="20"/>
      <c r="J1174" s="20"/>
      <c r="K1174" s="20"/>
      <c r="L1174" s="20"/>
      <c r="Q1174" s="83"/>
      <c r="Y1174" s="20"/>
      <c r="AP1174" s="93"/>
      <c r="AQ1174" s="31"/>
      <c r="AR1174" s="31"/>
      <c r="AS1174" s="94"/>
      <c r="AT1174" s="31"/>
      <c r="AU1174" s="31"/>
      <c r="AV1174" s="94"/>
      <c r="AW1174" s="32"/>
      <c r="AX1174" s="32"/>
      <c r="AY1174" s="32"/>
      <c r="AZ1174" s="32"/>
      <c r="BA1174" s="32"/>
      <c r="BB1174" s="31"/>
      <c r="BC1174" s="31"/>
      <c r="BD1174" s="31"/>
      <c r="BE1174" s="31"/>
      <c r="BF1174" s="96"/>
      <c r="BG1174" s="52"/>
      <c r="BH1174" s="52"/>
      <c r="BI1174" s="52"/>
      <c r="BJ1174" s="52"/>
      <c r="BK1174" s="52"/>
      <c r="BL1174" s="52"/>
      <c r="BM1174" s="52"/>
      <c r="BN1174" s="53"/>
      <c r="BO1174" s="52"/>
      <c r="BP1174" s="52"/>
      <c r="BQ1174" s="54"/>
    </row>
    <row r="1175" spans="1:69" ht="16" x14ac:dyDescent="0.35">
      <c r="A1175"/>
      <c r="D1175"/>
      <c r="G1175"/>
      <c r="H1175" s="20"/>
      <c r="I1175" s="20"/>
      <c r="J1175" s="20"/>
      <c r="K1175" s="20"/>
      <c r="L1175" s="20"/>
      <c r="Q1175" s="83"/>
      <c r="Y1175" s="20"/>
      <c r="AP1175" s="92"/>
      <c r="AQ1175" s="67"/>
      <c r="AR1175" s="67"/>
      <c r="AS1175" s="73"/>
      <c r="AT1175" s="67"/>
      <c r="AU1175" s="67"/>
      <c r="AV1175" s="73"/>
      <c r="AW1175" s="68"/>
      <c r="AX1175" s="68"/>
      <c r="AY1175" s="68"/>
      <c r="AZ1175" s="68"/>
      <c r="BA1175" s="68"/>
      <c r="BB1175" s="67"/>
      <c r="BC1175" s="67"/>
      <c r="BD1175" s="67"/>
      <c r="BE1175" s="67"/>
      <c r="BF1175" s="95"/>
      <c r="BG1175" s="48"/>
      <c r="BH1175" s="48"/>
      <c r="BI1175" s="48"/>
      <c r="BJ1175" s="48"/>
      <c r="BK1175" s="48"/>
      <c r="BL1175" s="48"/>
      <c r="BM1175" s="48"/>
      <c r="BN1175" s="49"/>
      <c r="BO1175" s="48"/>
      <c r="BP1175" s="48"/>
      <c r="BQ1175" s="50"/>
    </row>
    <row r="1176" spans="1:69" ht="16" x14ac:dyDescent="0.35">
      <c r="A1176"/>
      <c r="D1176"/>
      <c r="G1176"/>
      <c r="H1176" s="20"/>
      <c r="I1176" s="20"/>
      <c r="J1176" s="20"/>
      <c r="K1176" s="20"/>
      <c r="L1176" s="20"/>
      <c r="Q1176" s="83"/>
      <c r="Y1176" s="20"/>
      <c r="AP1176" s="93"/>
      <c r="AQ1176" s="31"/>
      <c r="AR1176" s="31"/>
      <c r="AS1176" s="94"/>
      <c r="AT1176" s="31"/>
      <c r="AU1176" s="31"/>
      <c r="AV1176" s="94"/>
      <c r="AW1176" s="32"/>
      <c r="AX1176" s="32"/>
      <c r="AY1176" s="32"/>
      <c r="AZ1176" s="32"/>
      <c r="BA1176" s="32"/>
      <c r="BB1176" s="31"/>
      <c r="BC1176" s="31"/>
      <c r="BD1176" s="31"/>
      <c r="BE1176" s="31"/>
      <c r="BF1176" s="96"/>
      <c r="BG1176" s="52"/>
      <c r="BH1176" s="52"/>
      <c r="BI1176" s="52"/>
      <c r="BJ1176" s="52"/>
      <c r="BK1176" s="52"/>
      <c r="BL1176" s="52"/>
      <c r="BM1176" s="52"/>
      <c r="BN1176" s="53"/>
      <c r="BO1176" s="52"/>
      <c r="BP1176" s="52"/>
      <c r="BQ1176" s="54"/>
    </row>
    <row r="1177" spans="1:69" ht="16" x14ac:dyDescent="0.35">
      <c r="A1177"/>
      <c r="D1177"/>
      <c r="G1177"/>
      <c r="H1177" s="20"/>
      <c r="I1177" s="20"/>
      <c r="J1177" s="20"/>
      <c r="K1177" s="20"/>
      <c r="L1177" s="20"/>
      <c r="Q1177" s="83"/>
      <c r="Y1177" s="20"/>
      <c r="AP1177" s="92"/>
      <c r="AQ1177" s="67"/>
      <c r="AR1177" s="67"/>
      <c r="AS1177" s="73"/>
      <c r="AT1177" s="67"/>
      <c r="AU1177" s="67"/>
      <c r="AV1177" s="73"/>
      <c r="AW1177" s="68"/>
      <c r="AX1177" s="68"/>
      <c r="AY1177" s="68"/>
      <c r="AZ1177" s="68"/>
      <c r="BA1177" s="68"/>
      <c r="BB1177" s="67"/>
      <c r="BC1177" s="67"/>
      <c r="BD1177" s="67"/>
      <c r="BE1177" s="67"/>
      <c r="BF1177" s="95"/>
      <c r="BG1177" s="48"/>
      <c r="BH1177" s="48"/>
      <c r="BI1177" s="48"/>
      <c r="BJ1177" s="48"/>
      <c r="BK1177" s="48"/>
      <c r="BL1177" s="48"/>
      <c r="BM1177" s="48"/>
      <c r="BN1177" s="49"/>
      <c r="BO1177" s="48"/>
      <c r="BP1177" s="48"/>
      <c r="BQ1177" s="50"/>
    </row>
    <row r="1178" spans="1:69" ht="16" x14ac:dyDescent="0.35">
      <c r="A1178"/>
      <c r="D1178"/>
      <c r="G1178"/>
      <c r="H1178" s="20"/>
      <c r="I1178" s="20"/>
      <c r="J1178" s="20"/>
      <c r="K1178" s="20"/>
      <c r="L1178" s="20"/>
      <c r="Q1178" s="83"/>
      <c r="Y1178" s="20"/>
      <c r="AP1178" s="93"/>
      <c r="AQ1178" s="31"/>
      <c r="AR1178" s="31"/>
      <c r="AS1178" s="94"/>
      <c r="AT1178" s="31"/>
      <c r="AU1178" s="31"/>
      <c r="AV1178" s="94"/>
      <c r="AW1178" s="32"/>
      <c r="AX1178" s="32"/>
      <c r="AY1178" s="32"/>
      <c r="AZ1178" s="32"/>
      <c r="BA1178" s="32"/>
      <c r="BB1178" s="31"/>
      <c r="BC1178" s="31"/>
      <c r="BD1178" s="31"/>
      <c r="BE1178" s="31"/>
      <c r="BF1178" s="96"/>
      <c r="BG1178" s="52"/>
      <c r="BH1178" s="52"/>
      <c r="BI1178" s="52"/>
      <c r="BJ1178" s="52"/>
      <c r="BK1178" s="52"/>
      <c r="BL1178" s="52"/>
      <c r="BM1178" s="52"/>
      <c r="BN1178" s="53"/>
      <c r="BO1178" s="52"/>
      <c r="BP1178" s="52"/>
      <c r="BQ1178" s="54"/>
    </row>
    <row r="1179" spans="1:69" ht="16" x14ac:dyDescent="0.35">
      <c r="A1179"/>
      <c r="D1179"/>
      <c r="G1179"/>
      <c r="H1179" s="20"/>
      <c r="I1179" s="20"/>
      <c r="J1179" s="20"/>
      <c r="K1179" s="20"/>
      <c r="L1179" s="20"/>
      <c r="Q1179" s="83"/>
      <c r="Y1179" s="20"/>
      <c r="AP1179" s="92"/>
      <c r="AQ1179" s="67"/>
      <c r="AR1179" s="67"/>
      <c r="AS1179" s="73"/>
      <c r="AT1179" s="67"/>
      <c r="AU1179" s="67"/>
      <c r="AV1179" s="73"/>
      <c r="AW1179" s="68"/>
      <c r="AX1179" s="68"/>
      <c r="AY1179" s="68"/>
      <c r="AZ1179" s="68"/>
      <c r="BA1179" s="68"/>
      <c r="BB1179" s="67"/>
      <c r="BC1179" s="67"/>
      <c r="BD1179" s="67"/>
      <c r="BE1179" s="67"/>
      <c r="BF1179" s="95"/>
      <c r="BG1179" s="48"/>
      <c r="BH1179" s="48"/>
      <c r="BI1179" s="48"/>
      <c r="BJ1179" s="48"/>
      <c r="BK1179" s="48"/>
      <c r="BL1179" s="48"/>
      <c r="BM1179" s="48"/>
      <c r="BN1179" s="49"/>
      <c r="BO1179" s="48"/>
      <c r="BP1179" s="48"/>
      <c r="BQ1179" s="50"/>
    </row>
    <row r="1180" spans="1:69" ht="16" x14ac:dyDescent="0.35">
      <c r="A1180"/>
      <c r="D1180"/>
      <c r="G1180"/>
      <c r="H1180" s="20"/>
      <c r="I1180" s="20"/>
      <c r="J1180" s="20"/>
      <c r="K1180" s="20"/>
      <c r="L1180" s="20"/>
      <c r="Q1180" s="83"/>
      <c r="Y1180" s="20"/>
      <c r="AP1180" s="93"/>
      <c r="AQ1180" s="31"/>
      <c r="AR1180" s="31"/>
      <c r="AS1180" s="94"/>
      <c r="AT1180" s="31"/>
      <c r="AU1180" s="31"/>
      <c r="AV1180" s="94"/>
      <c r="AW1180" s="32"/>
      <c r="AX1180" s="32"/>
      <c r="AY1180" s="32"/>
      <c r="AZ1180" s="32"/>
      <c r="BA1180" s="32"/>
      <c r="BB1180" s="31"/>
      <c r="BC1180" s="31"/>
      <c r="BD1180" s="31"/>
      <c r="BE1180" s="31"/>
      <c r="BF1180" s="96"/>
      <c r="BG1180" s="52"/>
      <c r="BH1180" s="52"/>
      <c r="BI1180" s="52"/>
      <c r="BJ1180" s="52"/>
      <c r="BK1180" s="52"/>
      <c r="BL1180" s="52"/>
      <c r="BM1180" s="52"/>
      <c r="BN1180" s="53"/>
      <c r="BO1180" s="52"/>
      <c r="BP1180" s="52"/>
      <c r="BQ1180" s="54"/>
    </row>
    <row r="1181" spans="1:69" ht="16" x14ac:dyDescent="0.35">
      <c r="A1181"/>
      <c r="D1181"/>
      <c r="G1181"/>
      <c r="H1181" s="20"/>
      <c r="I1181" s="20"/>
      <c r="J1181" s="20"/>
      <c r="K1181" s="20"/>
      <c r="L1181" s="20"/>
      <c r="Q1181" s="83"/>
      <c r="Y1181" s="20"/>
      <c r="AP1181" s="92"/>
      <c r="AQ1181" s="67"/>
      <c r="AR1181" s="67"/>
      <c r="AS1181" s="73"/>
      <c r="AT1181" s="67"/>
      <c r="AU1181" s="67"/>
      <c r="AV1181" s="73"/>
      <c r="AW1181" s="68"/>
      <c r="AX1181" s="68"/>
      <c r="AY1181" s="68"/>
      <c r="AZ1181" s="68"/>
      <c r="BA1181" s="68"/>
      <c r="BB1181" s="67"/>
      <c r="BC1181" s="67"/>
      <c r="BD1181" s="67"/>
      <c r="BE1181" s="67"/>
      <c r="BF1181" s="95"/>
      <c r="BG1181" s="48"/>
      <c r="BH1181" s="48"/>
      <c r="BI1181" s="48"/>
      <c r="BJ1181" s="48"/>
      <c r="BK1181" s="48"/>
      <c r="BL1181" s="48"/>
      <c r="BM1181" s="48"/>
      <c r="BN1181" s="49"/>
      <c r="BO1181" s="48"/>
      <c r="BP1181" s="48"/>
      <c r="BQ1181" s="50"/>
    </row>
    <row r="1182" spans="1:69" ht="16" x14ac:dyDescent="0.35">
      <c r="A1182"/>
      <c r="D1182"/>
      <c r="G1182"/>
      <c r="H1182" s="20"/>
      <c r="I1182" s="20"/>
      <c r="J1182" s="20"/>
      <c r="K1182" s="20"/>
      <c r="L1182" s="20"/>
      <c r="Q1182" s="83"/>
      <c r="Y1182" s="20"/>
      <c r="AP1182" s="93"/>
      <c r="AQ1182" s="31"/>
      <c r="AR1182" s="31"/>
      <c r="AS1182" s="94"/>
      <c r="AT1182" s="31"/>
      <c r="AU1182" s="31"/>
      <c r="AV1182" s="94"/>
      <c r="AW1182" s="32"/>
      <c r="AX1182" s="32"/>
      <c r="AY1182" s="32"/>
      <c r="AZ1182" s="32"/>
      <c r="BA1182" s="32"/>
      <c r="BB1182" s="31"/>
      <c r="BC1182" s="31"/>
      <c r="BD1182" s="31"/>
      <c r="BE1182" s="31"/>
      <c r="BF1182" s="96"/>
      <c r="BG1182" s="52"/>
      <c r="BH1182" s="52"/>
      <c r="BI1182" s="52"/>
      <c r="BJ1182" s="52"/>
      <c r="BK1182" s="52"/>
      <c r="BL1182" s="52"/>
      <c r="BM1182" s="52"/>
      <c r="BN1182" s="53"/>
      <c r="BO1182" s="52"/>
      <c r="BP1182" s="52"/>
      <c r="BQ1182" s="54"/>
    </row>
    <row r="1183" spans="1:69" ht="16" x14ac:dyDescent="0.35">
      <c r="A1183"/>
      <c r="D1183"/>
      <c r="G1183"/>
      <c r="H1183" s="20"/>
      <c r="I1183" s="20"/>
      <c r="J1183" s="20"/>
      <c r="K1183" s="20"/>
      <c r="L1183" s="20"/>
      <c r="Q1183" s="83"/>
      <c r="Y1183" s="20"/>
      <c r="AP1183" s="92"/>
      <c r="AQ1183" s="67"/>
      <c r="AR1183" s="67"/>
      <c r="AS1183" s="73"/>
      <c r="AT1183" s="67"/>
      <c r="AU1183" s="67"/>
      <c r="AV1183" s="73"/>
      <c r="AW1183" s="68"/>
      <c r="AX1183" s="68"/>
      <c r="AY1183" s="68"/>
      <c r="AZ1183" s="68"/>
      <c r="BA1183" s="68"/>
      <c r="BB1183" s="67"/>
      <c r="BC1183" s="67"/>
      <c r="BD1183" s="67"/>
      <c r="BE1183" s="67"/>
      <c r="BF1183" s="95"/>
      <c r="BG1183" s="48"/>
      <c r="BH1183" s="48"/>
      <c r="BI1183" s="48"/>
      <c r="BJ1183" s="48"/>
      <c r="BK1183" s="48"/>
      <c r="BL1183" s="48"/>
      <c r="BM1183" s="48"/>
      <c r="BN1183" s="49"/>
      <c r="BO1183" s="48"/>
      <c r="BP1183" s="48"/>
      <c r="BQ1183" s="50"/>
    </row>
    <row r="1184" spans="1:69" ht="16" x14ac:dyDescent="0.35">
      <c r="A1184"/>
      <c r="D1184"/>
      <c r="G1184"/>
      <c r="H1184" s="20"/>
      <c r="I1184" s="20"/>
      <c r="J1184" s="20"/>
      <c r="K1184" s="20"/>
      <c r="L1184" s="20"/>
      <c r="Q1184" s="83"/>
      <c r="Y1184" s="20"/>
      <c r="AP1184" s="93"/>
      <c r="AQ1184" s="31"/>
      <c r="AR1184" s="31"/>
      <c r="AS1184" s="94"/>
      <c r="AT1184" s="31"/>
      <c r="AU1184" s="31"/>
      <c r="AV1184" s="94"/>
      <c r="AW1184" s="32"/>
      <c r="AX1184" s="32"/>
      <c r="AY1184" s="32"/>
      <c r="AZ1184" s="32"/>
      <c r="BA1184" s="32"/>
      <c r="BB1184" s="31"/>
      <c r="BC1184" s="31"/>
      <c r="BD1184" s="31"/>
      <c r="BE1184" s="31"/>
      <c r="BF1184" s="96"/>
      <c r="BG1184" s="52"/>
      <c r="BH1184" s="52"/>
      <c r="BI1184" s="52"/>
      <c r="BJ1184" s="52"/>
      <c r="BK1184" s="52"/>
      <c r="BL1184" s="52"/>
      <c r="BM1184" s="52"/>
      <c r="BN1184" s="53"/>
      <c r="BO1184" s="52"/>
      <c r="BP1184" s="52"/>
      <c r="BQ1184" s="54"/>
    </row>
    <row r="1185" spans="1:69" ht="16" x14ac:dyDescent="0.35">
      <c r="A1185"/>
      <c r="D1185"/>
      <c r="G1185"/>
      <c r="H1185" s="20"/>
      <c r="I1185" s="20"/>
      <c r="J1185" s="20"/>
      <c r="K1185" s="20"/>
      <c r="L1185" s="20"/>
      <c r="Q1185" s="83"/>
      <c r="Y1185" s="20"/>
      <c r="AP1185" s="92"/>
      <c r="AQ1185" s="67"/>
      <c r="AR1185" s="67"/>
      <c r="AS1185" s="73"/>
      <c r="AT1185" s="67"/>
      <c r="AU1185" s="67"/>
      <c r="AV1185" s="73"/>
      <c r="AW1185" s="68"/>
      <c r="AX1185" s="68"/>
      <c r="AY1185" s="68"/>
      <c r="AZ1185" s="68"/>
      <c r="BA1185" s="68"/>
      <c r="BB1185" s="67"/>
      <c r="BC1185" s="67"/>
      <c r="BD1185" s="67"/>
      <c r="BE1185" s="67"/>
      <c r="BF1185" s="95"/>
      <c r="BG1185" s="48"/>
      <c r="BH1185" s="48"/>
      <c r="BI1185" s="48"/>
      <c r="BJ1185" s="48"/>
      <c r="BK1185" s="48"/>
      <c r="BL1185" s="48"/>
      <c r="BM1185" s="48"/>
      <c r="BN1185" s="49"/>
      <c r="BO1185" s="48"/>
      <c r="BP1185" s="48"/>
      <c r="BQ1185" s="50"/>
    </row>
    <row r="1186" spans="1:69" ht="16" x14ac:dyDescent="0.35">
      <c r="A1186"/>
      <c r="D1186"/>
      <c r="G1186"/>
      <c r="H1186" s="20"/>
      <c r="I1186" s="20"/>
      <c r="J1186" s="20"/>
      <c r="K1186" s="20"/>
      <c r="L1186" s="20"/>
      <c r="Q1186" s="83"/>
      <c r="Y1186" s="20"/>
      <c r="AP1186" s="93"/>
      <c r="AQ1186" s="31"/>
      <c r="AR1186" s="31"/>
      <c r="AS1186" s="94"/>
      <c r="AT1186" s="31"/>
      <c r="AU1186" s="31"/>
      <c r="AV1186" s="94"/>
      <c r="AW1186" s="32"/>
      <c r="AX1186" s="32"/>
      <c r="AY1186" s="32"/>
      <c r="AZ1186" s="32"/>
      <c r="BA1186" s="32"/>
      <c r="BB1186" s="31"/>
      <c r="BC1186" s="31"/>
      <c r="BD1186" s="31"/>
      <c r="BE1186" s="31"/>
      <c r="BF1186" s="96"/>
      <c r="BG1186" s="52"/>
      <c r="BH1186" s="52"/>
      <c r="BI1186" s="52"/>
      <c r="BJ1186" s="52"/>
      <c r="BK1186" s="52"/>
      <c r="BL1186" s="52"/>
      <c r="BM1186" s="52"/>
      <c r="BN1186" s="53"/>
      <c r="BO1186" s="52"/>
      <c r="BP1186" s="52"/>
      <c r="BQ1186" s="54"/>
    </row>
    <row r="1187" spans="1:69" ht="16" x14ac:dyDescent="0.35">
      <c r="A1187"/>
      <c r="D1187"/>
      <c r="G1187"/>
      <c r="H1187" s="20"/>
      <c r="I1187" s="20"/>
      <c r="J1187" s="20"/>
      <c r="K1187" s="20"/>
      <c r="L1187" s="20"/>
      <c r="Q1187" s="83"/>
      <c r="Y1187" s="20"/>
      <c r="AP1187" s="92"/>
      <c r="AQ1187" s="67"/>
      <c r="AR1187" s="67"/>
      <c r="AS1187" s="73"/>
      <c r="AT1187" s="67"/>
      <c r="AU1187" s="67"/>
      <c r="AV1187" s="73"/>
      <c r="AW1187" s="68"/>
      <c r="AX1187" s="68"/>
      <c r="AY1187" s="68"/>
      <c r="AZ1187" s="68"/>
      <c r="BA1187" s="68"/>
      <c r="BB1187" s="67"/>
      <c r="BC1187" s="67"/>
      <c r="BD1187" s="67"/>
      <c r="BE1187" s="67"/>
      <c r="BF1187" s="95"/>
      <c r="BG1187" s="48"/>
      <c r="BH1187" s="48"/>
      <c r="BI1187" s="48"/>
      <c r="BJ1187" s="48"/>
      <c r="BK1187" s="48"/>
      <c r="BL1187" s="48"/>
      <c r="BM1187" s="48"/>
      <c r="BN1187" s="49"/>
      <c r="BO1187" s="48"/>
      <c r="BP1187" s="48"/>
      <c r="BQ1187" s="50"/>
    </row>
    <row r="1188" spans="1:69" ht="16" x14ac:dyDescent="0.35">
      <c r="A1188"/>
      <c r="D1188"/>
      <c r="G1188"/>
      <c r="H1188" s="20"/>
      <c r="I1188" s="20"/>
      <c r="J1188" s="20"/>
      <c r="K1188" s="20"/>
      <c r="L1188" s="20"/>
      <c r="Q1188" s="83"/>
      <c r="Y1188" s="20"/>
      <c r="AP1188" s="93"/>
      <c r="AQ1188" s="31"/>
      <c r="AR1188" s="31"/>
      <c r="AS1188" s="94"/>
      <c r="AT1188" s="31"/>
      <c r="AU1188" s="31"/>
      <c r="AV1188" s="94"/>
      <c r="AW1188" s="32"/>
      <c r="AX1188" s="32"/>
      <c r="AY1188" s="32"/>
      <c r="AZ1188" s="32"/>
      <c r="BA1188" s="32"/>
      <c r="BB1188" s="31"/>
      <c r="BC1188" s="31"/>
      <c r="BD1188" s="31"/>
      <c r="BE1188" s="31"/>
      <c r="BF1188" s="96"/>
      <c r="BG1188" s="52"/>
      <c r="BH1188" s="52"/>
      <c r="BI1188" s="52"/>
      <c r="BJ1188" s="52"/>
      <c r="BK1188" s="52"/>
      <c r="BL1188" s="52"/>
      <c r="BM1188" s="52"/>
      <c r="BN1188" s="53"/>
      <c r="BO1188" s="52"/>
      <c r="BP1188" s="52"/>
      <c r="BQ1188" s="54"/>
    </row>
    <row r="1189" spans="1:69" ht="16" x14ac:dyDescent="0.35">
      <c r="A1189"/>
      <c r="D1189"/>
      <c r="G1189"/>
      <c r="H1189" s="20"/>
      <c r="I1189" s="20"/>
      <c r="J1189" s="20"/>
      <c r="K1189" s="20"/>
      <c r="L1189" s="20"/>
      <c r="Q1189" s="83"/>
      <c r="Y1189" s="20"/>
      <c r="AP1189" s="92"/>
      <c r="AQ1189" s="67"/>
      <c r="AR1189" s="67"/>
      <c r="AS1189" s="73"/>
      <c r="AT1189" s="67"/>
      <c r="AU1189" s="67"/>
      <c r="AV1189" s="73"/>
      <c r="AW1189" s="68"/>
      <c r="AX1189" s="68"/>
      <c r="AY1189" s="68"/>
      <c r="AZ1189" s="68"/>
      <c r="BA1189" s="68"/>
      <c r="BB1189" s="67"/>
      <c r="BC1189" s="67"/>
      <c r="BD1189" s="67"/>
      <c r="BE1189" s="67"/>
      <c r="BF1189" s="95"/>
      <c r="BG1189" s="48"/>
      <c r="BH1189" s="48"/>
      <c r="BI1189" s="48"/>
      <c r="BJ1189" s="48"/>
      <c r="BK1189" s="48"/>
      <c r="BL1189" s="48"/>
      <c r="BM1189" s="48"/>
      <c r="BN1189" s="49"/>
      <c r="BO1189" s="48"/>
      <c r="BP1189" s="48"/>
      <c r="BQ1189" s="50"/>
    </row>
    <row r="1190" spans="1:69" ht="16" x14ac:dyDescent="0.35">
      <c r="A1190"/>
      <c r="D1190"/>
      <c r="G1190"/>
      <c r="H1190" s="20"/>
      <c r="I1190" s="20"/>
      <c r="J1190" s="20"/>
      <c r="K1190" s="20"/>
      <c r="L1190" s="20"/>
      <c r="Q1190" s="83"/>
      <c r="Y1190" s="20"/>
      <c r="AP1190" s="93"/>
      <c r="AQ1190" s="31"/>
      <c r="AR1190" s="31"/>
      <c r="AS1190" s="94"/>
      <c r="AT1190" s="31"/>
      <c r="AU1190" s="31"/>
      <c r="AV1190" s="94"/>
      <c r="AW1190" s="32"/>
      <c r="AX1190" s="32"/>
      <c r="AY1190" s="32"/>
      <c r="AZ1190" s="32"/>
      <c r="BA1190" s="32"/>
      <c r="BB1190" s="31"/>
      <c r="BC1190" s="31"/>
      <c r="BD1190" s="31"/>
      <c r="BE1190" s="31"/>
      <c r="BF1190" s="96"/>
      <c r="BG1190" s="52"/>
      <c r="BH1190" s="52"/>
      <c r="BI1190" s="52"/>
      <c r="BJ1190" s="52"/>
      <c r="BK1190" s="52"/>
      <c r="BL1190" s="52"/>
      <c r="BM1190" s="52"/>
      <c r="BN1190" s="53"/>
      <c r="BO1190" s="52"/>
      <c r="BP1190" s="52"/>
      <c r="BQ1190" s="54"/>
    </row>
    <row r="1191" spans="1:69" ht="16" x14ac:dyDescent="0.35">
      <c r="A1191"/>
      <c r="D1191"/>
      <c r="G1191"/>
      <c r="H1191" s="20"/>
      <c r="I1191" s="20"/>
      <c r="J1191" s="20"/>
      <c r="K1191" s="20"/>
      <c r="L1191" s="20"/>
      <c r="Q1191" s="83"/>
      <c r="Y1191" s="20"/>
      <c r="AP1191" s="92"/>
      <c r="AQ1191" s="67"/>
      <c r="AR1191" s="67"/>
      <c r="AS1191" s="73"/>
      <c r="AT1191" s="67"/>
      <c r="AU1191" s="67"/>
      <c r="AV1191" s="73"/>
      <c r="AW1191" s="68"/>
      <c r="AX1191" s="68"/>
      <c r="AY1191" s="68"/>
      <c r="AZ1191" s="68"/>
      <c r="BA1191" s="68"/>
      <c r="BB1191" s="67"/>
      <c r="BC1191" s="67"/>
      <c r="BD1191" s="67"/>
      <c r="BE1191" s="67"/>
      <c r="BF1191" s="95"/>
      <c r="BG1191" s="48"/>
      <c r="BH1191" s="48"/>
      <c r="BI1191" s="48"/>
      <c r="BJ1191" s="48"/>
      <c r="BK1191" s="48"/>
      <c r="BL1191" s="48"/>
      <c r="BM1191" s="48"/>
      <c r="BN1191" s="49"/>
      <c r="BO1191" s="48"/>
      <c r="BP1191" s="48"/>
      <c r="BQ1191" s="50"/>
    </row>
    <row r="1192" spans="1:69" ht="16" x14ac:dyDescent="0.35">
      <c r="A1192"/>
      <c r="D1192"/>
      <c r="G1192"/>
      <c r="H1192" s="20"/>
      <c r="I1192" s="20"/>
      <c r="J1192" s="20"/>
      <c r="K1192" s="20"/>
      <c r="L1192" s="20"/>
      <c r="Q1192" s="83"/>
      <c r="Y1192" s="20"/>
      <c r="AP1192" s="93"/>
      <c r="AQ1192" s="31"/>
      <c r="AR1192" s="31"/>
      <c r="AS1192" s="94"/>
      <c r="AT1192" s="31"/>
      <c r="AU1192" s="31"/>
      <c r="AV1192" s="94"/>
      <c r="AW1192" s="32"/>
      <c r="AX1192" s="32"/>
      <c r="AY1192" s="32"/>
      <c r="AZ1192" s="32"/>
      <c r="BA1192" s="32"/>
      <c r="BB1192" s="31"/>
      <c r="BC1192" s="31"/>
      <c r="BD1192" s="31"/>
      <c r="BE1192" s="31"/>
      <c r="BF1192" s="96"/>
      <c r="BG1192" s="52"/>
      <c r="BH1192" s="52"/>
      <c r="BI1192" s="52"/>
      <c r="BJ1192" s="52"/>
      <c r="BK1192" s="52"/>
      <c r="BL1192" s="52"/>
      <c r="BM1192" s="52"/>
      <c r="BN1192" s="53"/>
      <c r="BO1192" s="52"/>
      <c r="BP1192" s="52"/>
      <c r="BQ1192" s="54"/>
    </row>
    <row r="1193" spans="1:69" ht="16" x14ac:dyDescent="0.35">
      <c r="A1193"/>
      <c r="D1193"/>
      <c r="G1193"/>
      <c r="H1193" s="20"/>
      <c r="I1193" s="20"/>
      <c r="J1193" s="20"/>
      <c r="K1193" s="20"/>
      <c r="L1193" s="20"/>
      <c r="Q1193" s="83"/>
      <c r="Y1193" s="20"/>
      <c r="AP1193" s="92"/>
      <c r="AQ1193" s="67"/>
      <c r="AR1193" s="67"/>
      <c r="AS1193" s="73"/>
      <c r="AT1193" s="67"/>
      <c r="AU1193" s="67"/>
      <c r="AV1193" s="73"/>
      <c r="AW1193" s="68"/>
      <c r="AX1193" s="68"/>
      <c r="AY1193" s="68"/>
      <c r="AZ1193" s="68"/>
      <c r="BA1193" s="68"/>
      <c r="BB1193" s="67"/>
      <c r="BC1193" s="67"/>
      <c r="BD1193" s="67"/>
      <c r="BE1193" s="67"/>
      <c r="BF1193" s="95"/>
      <c r="BG1193" s="48"/>
      <c r="BH1193" s="48"/>
      <c r="BI1193" s="48"/>
      <c r="BJ1193" s="48"/>
      <c r="BK1193" s="48"/>
      <c r="BL1193" s="48"/>
      <c r="BM1193" s="48"/>
      <c r="BN1193" s="49"/>
      <c r="BO1193" s="48"/>
      <c r="BP1193" s="48"/>
      <c r="BQ1193" s="50"/>
    </row>
    <row r="1194" spans="1:69" ht="16" x14ac:dyDescent="0.35">
      <c r="A1194"/>
      <c r="D1194"/>
      <c r="G1194"/>
      <c r="H1194" s="20"/>
      <c r="I1194" s="20"/>
      <c r="J1194" s="20"/>
      <c r="K1194" s="20"/>
      <c r="L1194" s="20"/>
      <c r="Q1194" s="83"/>
      <c r="Y1194" s="20"/>
      <c r="AP1194" s="93"/>
      <c r="AQ1194" s="31"/>
      <c r="AR1194" s="31"/>
      <c r="AS1194" s="94"/>
      <c r="AT1194" s="31"/>
      <c r="AU1194" s="31"/>
      <c r="AV1194" s="94"/>
      <c r="AW1194" s="32"/>
      <c r="AX1194" s="32"/>
      <c r="AY1194" s="32"/>
      <c r="AZ1194" s="32"/>
      <c r="BA1194" s="32"/>
      <c r="BB1194" s="31"/>
      <c r="BC1194" s="31"/>
      <c r="BD1194" s="31"/>
      <c r="BE1194" s="31"/>
      <c r="BF1194" s="96"/>
      <c r="BG1194" s="52"/>
      <c r="BH1194" s="52"/>
      <c r="BI1194" s="52"/>
      <c r="BJ1194" s="52"/>
      <c r="BK1194" s="52"/>
      <c r="BL1194" s="52"/>
      <c r="BM1194" s="52"/>
      <c r="BN1194" s="53"/>
      <c r="BO1194" s="52"/>
      <c r="BP1194" s="52"/>
      <c r="BQ1194" s="54"/>
    </row>
    <row r="1195" spans="1:69" ht="16" x14ac:dyDescent="0.35">
      <c r="A1195"/>
      <c r="D1195"/>
      <c r="G1195"/>
      <c r="H1195" s="20"/>
      <c r="I1195" s="20"/>
      <c r="J1195" s="20"/>
      <c r="K1195" s="20"/>
      <c r="L1195" s="20"/>
      <c r="Q1195" s="83"/>
      <c r="Y1195" s="20"/>
      <c r="AP1195" s="92"/>
      <c r="AQ1195" s="67"/>
      <c r="AR1195" s="67"/>
      <c r="AS1195" s="73"/>
      <c r="AT1195" s="67"/>
      <c r="AU1195" s="67"/>
      <c r="AV1195" s="73"/>
      <c r="AW1195" s="68"/>
      <c r="AX1195" s="68"/>
      <c r="AY1195" s="68"/>
      <c r="AZ1195" s="68"/>
      <c r="BA1195" s="68"/>
      <c r="BB1195" s="67"/>
      <c r="BC1195" s="67"/>
      <c r="BD1195" s="67"/>
      <c r="BE1195" s="67"/>
      <c r="BF1195" s="95"/>
      <c r="BG1195" s="48"/>
      <c r="BH1195" s="48"/>
      <c r="BI1195" s="48"/>
      <c r="BJ1195" s="48"/>
      <c r="BK1195" s="48"/>
      <c r="BL1195" s="48"/>
      <c r="BM1195" s="48"/>
      <c r="BN1195" s="49"/>
      <c r="BO1195" s="48"/>
      <c r="BP1195" s="48"/>
      <c r="BQ1195" s="50"/>
    </row>
    <row r="1196" spans="1:69" ht="16" x14ac:dyDescent="0.35">
      <c r="A1196"/>
      <c r="D1196"/>
      <c r="G1196"/>
      <c r="H1196" s="20"/>
      <c r="I1196" s="20"/>
      <c r="J1196" s="20"/>
      <c r="K1196" s="20"/>
      <c r="L1196" s="20"/>
      <c r="Q1196" s="83"/>
      <c r="Y1196" s="20"/>
      <c r="AP1196" s="93"/>
      <c r="AQ1196" s="31"/>
      <c r="AR1196" s="31"/>
      <c r="AS1196" s="94"/>
      <c r="AT1196" s="31"/>
      <c r="AU1196" s="31"/>
      <c r="AV1196" s="94"/>
      <c r="AW1196" s="32"/>
      <c r="AX1196" s="32"/>
      <c r="AY1196" s="32"/>
      <c r="AZ1196" s="32"/>
      <c r="BA1196" s="32"/>
      <c r="BB1196" s="31"/>
      <c r="BC1196" s="31"/>
      <c r="BD1196" s="31"/>
      <c r="BE1196" s="31"/>
      <c r="BF1196" s="96"/>
      <c r="BG1196" s="52"/>
      <c r="BH1196" s="52"/>
      <c r="BI1196" s="52"/>
      <c r="BJ1196" s="52"/>
      <c r="BK1196" s="52"/>
      <c r="BL1196" s="52"/>
      <c r="BM1196" s="52"/>
      <c r="BN1196" s="53"/>
      <c r="BO1196" s="52"/>
      <c r="BP1196" s="52"/>
      <c r="BQ1196" s="54"/>
    </row>
    <row r="1197" spans="1:69" ht="16" x14ac:dyDescent="0.35">
      <c r="A1197"/>
      <c r="D1197"/>
      <c r="G1197"/>
      <c r="H1197" s="20"/>
      <c r="I1197" s="20"/>
      <c r="J1197" s="20"/>
      <c r="K1197" s="20"/>
      <c r="L1197" s="20"/>
      <c r="Q1197" s="83"/>
      <c r="Y1197" s="20"/>
      <c r="AP1197" s="92"/>
      <c r="AQ1197" s="67"/>
      <c r="AR1197" s="67"/>
      <c r="AS1197" s="73"/>
      <c r="AT1197" s="67"/>
      <c r="AU1197" s="67"/>
      <c r="AV1197" s="73"/>
      <c r="AW1197" s="68"/>
      <c r="AX1197" s="68"/>
      <c r="AY1197" s="68"/>
      <c r="AZ1197" s="68"/>
      <c r="BA1197" s="68"/>
      <c r="BB1197" s="67"/>
      <c r="BC1197" s="67"/>
      <c r="BD1197" s="67"/>
      <c r="BE1197" s="67"/>
      <c r="BF1197" s="95"/>
      <c r="BG1197" s="48"/>
      <c r="BH1197" s="48"/>
      <c r="BI1197" s="48"/>
      <c r="BJ1197" s="48"/>
      <c r="BK1197" s="48"/>
      <c r="BL1197" s="48"/>
      <c r="BM1197" s="48"/>
      <c r="BN1197" s="49"/>
      <c r="BO1197" s="48"/>
      <c r="BP1197" s="48"/>
      <c r="BQ1197" s="50"/>
    </row>
    <row r="1198" spans="1:69" ht="16" x14ac:dyDescent="0.35">
      <c r="A1198"/>
      <c r="D1198"/>
      <c r="G1198"/>
      <c r="H1198" s="20"/>
      <c r="I1198" s="20"/>
      <c r="J1198" s="20"/>
      <c r="K1198" s="20"/>
      <c r="L1198" s="20"/>
      <c r="Q1198" s="83"/>
      <c r="Y1198" s="20"/>
      <c r="AP1198" s="93"/>
      <c r="AQ1198" s="31"/>
      <c r="AR1198" s="31"/>
      <c r="AS1198" s="94"/>
      <c r="AT1198" s="31"/>
      <c r="AU1198" s="31"/>
      <c r="AV1198" s="94"/>
      <c r="AW1198" s="32"/>
      <c r="AX1198" s="32"/>
      <c r="AY1198" s="32"/>
      <c r="AZ1198" s="32"/>
      <c r="BA1198" s="32"/>
      <c r="BB1198" s="31"/>
      <c r="BC1198" s="31"/>
      <c r="BD1198" s="31"/>
      <c r="BE1198" s="31"/>
      <c r="BF1198" s="96"/>
      <c r="BG1198" s="52"/>
      <c r="BH1198" s="52"/>
      <c r="BI1198" s="52"/>
      <c r="BJ1198" s="52"/>
      <c r="BK1198" s="52"/>
      <c r="BL1198" s="52"/>
      <c r="BM1198" s="52"/>
      <c r="BN1198" s="53"/>
      <c r="BO1198" s="52"/>
      <c r="BP1198" s="52"/>
      <c r="BQ1198" s="54"/>
    </row>
    <row r="1199" spans="1:69" ht="16" x14ac:dyDescent="0.35">
      <c r="A1199"/>
      <c r="D1199"/>
      <c r="G1199"/>
      <c r="H1199" s="20"/>
      <c r="I1199" s="20"/>
      <c r="J1199" s="20"/>
      <c r="K1199" s="20"/>
      <c r="L1199" s="20"/>
      <c r="Q1199" s="83"/>
      <c r="Y1199" s="20"/>
      <c r="AP1199" s="92"/>
      <c r="AQ1199" s="67"/>
      <c r="AR1199" s="67"/>
      <c r="AS1199" s="73"/>
      <c r="AT1199" s="67"/>
      <c r="AU1199" s="67"/>
      <c r="AV1199" s="73"/>
      <c r="AW1199" s="68"/>
      <c r="AX1199" s="68"/>
      <c r="AY1199" s="68"/>
      <c r="AZ1199" s="68"/>
      <c r="BA1199" s="68"/>
      <c r="BB1199" s="67"/>
      <c r="BC1199" s="67"/>
      <c r="BD1199" s="67"/>
      <c r="BE1199" s="67"/>
      <c r="BF1199" s="95"/>
      <c r="BG1199" s="48"/>
      <c r="BH1199" s="48"/>
      <c r="BI1199" s="48"/>
      <c r="BJ1199" s="48"/>
      <c r="BK1199" s="48"/>
      <c r="BL1199" s="48"/>
      <c r="BM1199" s="48"/>
      <c r="BN1199" s="49"/>
      <c r="BO1199" s="48"/>
      <c r="BP1199" s="48"/>
      <c r="BQ1199" s="50"/>
    </row>
    <row r="1200" spans="1:69" ht="16" x14ac:dyDescent="0.35">
      <c r="A1200"/>
      <c r="D1200"/>
      <c r="G1200"/>
      <c r="H1200" s="20"/>
      <c r="I1200" s="20"/>
      <c r="J1200" s="20"/>
      <c r="K1200" s="20"/>
      <c r="L1200" s="20"/>
      <c r="Q1200" s="83"/>
      <c r="Y1200" s="20"/>
      <c r="AP1200" s="93"/>
      <c r="AQ1200" s="31"/>
      <c r="AR1200" s="31"/>
      <c r="AS1200" s="94"/>
      <c r="AT1200" s="31"/>
      <c r="AU1200" s="31"/>
      <c r="AV1200" s="94"/>
      <c r="AW1200" s="32"/>
      <c r="AX1200" s="32"/>
      <c r="AY1200" s="32"/>
      <c r="AZ1200" s="32"/>
      <c r="BA1200" s="32"/>
      <c r="BB1200" s="31"/>
      <c r="BC1200" s="31"/>
      <c r="BD1200" s="31"/>
      <c r="BE1200" s="31"/>
      <c r="BF1200" s="96"/>
      <c r="BG1200" s="52"/>
      <c r="BH1200" s="52"/>
      <c r="BI1200" s="52"/>
      <c r="BJ1200" s="52"/>
      <c r="BK1200" s="52"/>
      <c r="BL1200" s="52"/>
      <c r="BM1200" s="52"/>
      <c r="BN1200" s="53"/>
      <c r="BO1200" s="52"/>
      <c r="BP1200" s="52"/>
      <c r="BQ1200" s="54"/>
    </row>
    <row r="1201" spans="1:69" ht="16" x14ac:dyDescent="0.35">
      <c r="A1201"/>
      <c r="D1201"/>
      <c r="G1201"/>
      <c r="H1201" s="20"/>
      <c r="I1201" s="20"/>
      <c r="J1201" s="20"/>
      <c r="K1201" s="20"/>
      <c r="L1201" s="20"/>
      <c r="Q1201" s="83"/>
      <c r="Y1201" s="20"/>
      <c r="AP1201" s="92"/>
      <c r="AQ1201" s="67"/>
      <c r="AR1201" s="67"/>
      <c r="AS1201" s="73"/>
      <c r="AT1201" s="67"/>
      <c r="AU1201" s="67"/>
      <c r="AV1201" s="73"/>
      <c r="AW1201" s="68"/>
      <c r="AX1201" s="68"/>
      <c r="AY1201" s="68"/>
      <c r="AZ1201" s="68"/>
      <c r="BA1201" s="68"/>
      <c r="BB1201" s="67"/>
      <c r="BC1201" s="67"/>
      <c r="BD1201" s="67"/>
      <c r="BE1201" s="67"/>
      <c r="BF1201" s="95"/>
      <c r="BG1201" s="48"/>
      <c r="BH1201" s="48"/>
      <c r="BI1201" s="48"/>
      <c r="BJ1201" s="48"/>
      <c r="BK1201" s="48"/>
      <c r="BL1201" s="48"/>
      <c r="BM1201" s="48"/>
      <c r="BN1201" s="49"/>
      <c r="BO1201" s="48"/>
      <c r="BP1201" s="48"/>
      <c r="BQ1201" s="50"/>
    </row>
    <row r="1202" spans="1:69" ht="16" x14ac:dyDescent="0.35">
      <c r="A1202"/>
      <c r="D1202"/>
      <c r="G1202"/>
      <c r="H1202" s="20"/>
      <c r="I1202" s="20"/>
      <c r="J1202" s="20"/>
      <c r="K1202" s="20"/>
      <c r="L1202" s="20"/>
      <c r="Q1202" s="83"/>
      <c r="Y1202" s="20"/>
      <c r="AP1202" s="93"/>
      <c r="AQ1202" s="31"/>
      <c r="AR1202" s="31"/>
      <c r="AS1202" s="94"/>
      <c r="AT1202" s="31"/>
      <c r="AU1202" s="31"/>
      <c r="AV1202" s="94"/>
      <c r="AW1202" s="32"/>
      <c r="AX1202" s="32"/>
      <c r="AY1202" s="32"/>
      <c r="AZ1202" s="32"/>
      <c r="BA1202" s="32"/>
      <c r="BB1202" s="31"/>
      <c r="BC1202" s="31"/>
      <c r="BD1202" s="31"/>
      <c r="BE1202" s="31"/>
      <c r="BF1202" s="96"/>
      <c r="BG1202" s="52"/>
      <c r="BH1202" s="52"/>
      <c r="BI1202" s="52"/>
      <c r="BJ1202" s="52"/>
      <c r="BK1202" s="52"/>
      <c r="BL1202" s="52"/>
      <c r="BM1202" s="52"/>
      <c r="BN1202" s="53"/>
      <c r="BO1202" s="52"/>
      <c r="BP1202" s="52"/>
      <c r="BQ1202" s="54"/>
    </row>
    <row r="1203" spans="1:69" ht="16" x14ac:dyDescent="0.35">
      <c r="A1203"/>
      <c r="D1203"/>
      <c r="G1203"/>
      <c r="H1203" s="20"/>
      <c r="I1203" s="20"/>
      <c r="J1203" s="20"/>
      <c r="K1203" s="20"/>
      <c r="L1203" s="20"/>
      <c r="Q1203" s="83"/>
      <c r="Y1203" s="20"/>
      <c r="AP1203" s="92"/>
      <c r="AQ1203" s="67"/>
      <c r="AR1203" s="67"/>
      <c r="AS1203" s="73"/>
      <c r="AT1203" s="67"/>
      <c r="AU1203" s="67"/>
      <c r="AV1203" s="73"/>
      <c r="AW1203" s="68"/>
      <c r="AX1203" s="68"/>
      <c r="AY1203" s="68"/>
      <c r="AZ1203" s="68"/>
      <c r="BA1203" s="68"/>
      <c r="BB1203" s="67"/>
      <c r="BC1203" s="67"/>
      <c r="BD1203" s="67"/>
      <c r="BE1203" s="67"/>
      <c r="BF1203" s="95"/>
      <c r="BG1203" s="48"/>
      <c r="BH1203" s="48"/>
      <c r="BI1203" s="48"/>
      <c r="BJ1203" s="48"/>
      <c r="BK1203" s="48"/>
      <c r="BL1203" s="48"/>
      <c r="BM1203" s="48"/>
      <c r="BN1203" s="49"/>
      <c r="BO1203" s="48"/>
      <c r="BP1203" s="48"/>
      <c r="BQ1203" s="50"/>
    </row>
    <row r="1204" spans="1:69" ht="16" x14ac:dyDescent="0.35">
      <c r="A1204"/>
      <c r="D1204"/>
      <c r="G1204"/>
      <c r="H1204" s="20"/>
      <c r="I1204" s="20"/>
      <c r="J1204" s="20"/>
      <c r="K1204" s="20"/>
      <c r="L1204" s="20"/>
      <c r="Q1204" s="83"/>
      <c r="Y1204" s="20"/>
      <c r="AP1204" s="93"/>
      <c r="AQ1204" s="31"/>
      <c r="AR1204" s="31"/>
      <c r="AS1204" s="94"/>
      <c r="AT1204" s="31"/>
      <c r="AU1204" s="31"/>
      <c r="AV1204" s="94"/>
      <c r="AW1204" s="32"/>
      <c r="AX1204" s="32"/>
      <c r="AY1204" s="32"/>
      <c r="AZ1204" s="32"/>
      <c r="BA1204" s="32"/>
      <c r="BB1204" s="31"/>
      <c r="BC1204" s="31"/>
      <c r="BD1204" s="31"/>
      <c r="BE1204" s="31"/>
      <c r="BF1204" s="96"/>
      <c r="BG1204" s="52"/>
      <c r="BH1204" s="52"/>
      <c r="BI1204" s="52"/>
      <c r="BJ1204" s="52"/>
      <c r="BK1204" s="52"/>
      <c r="BL1204" s="52"/>
      <c r="BM1204" s="52"/>
      <c r="BN1204" s="53"/>
      <c r="BO1204" s="52"/>
      <c r="BP1204" s="52"/>
      <c r="BQ1204" s="54"/>
    </row>
    <row r="1205" spans="1:69" ht="16" x14ac:dyDescent="0.35">
      <c r="A1205"/>
      <c r="D1205"/>
      <c r="G1205"/>
      <c r="H1205" s="20"/>
      <c r="I1205" s="20"/>
      <c r="J1205" s="20"/>
      <c r="K1205" s="20"/>
      <c r="L1205" s="20"/>
      <c r="Q1205" s="83"/>
      <c r="Y1205" s="20"/>
      <c r="AP1205" s="92"/>
      <c r="AQ1205" s="67"/>
      <c r="AR1205" s="67"/>
      <c r="AS1205" s="73"/>
      <c r="AT1205" s="67"/>
      <c r="AU1205" s="67"/>
      <c r="AV1205" s="73"/>
      <c r="AW1205" s="68"/>
      <c r="AX1205" s="68"/>
      <c r="AY1205" s="68"/>
      <c r="AZ1205" s="68"/>
      <c r="BA1205" s="68"/>
      <c r="BB1205" s="67"/>
      <c r="BC1205" s="67"/>
      <c r="BD1205" s="67"/>
      <c r="BE1205" s="67"/>
      <c r="BF1205" s="95"/>
      <c r="BG1205" s="48"/>
      <c r="BH1205" s="48"/>
      <c r="BI1205" s="48"/>
      <c r="BJ1205" s="48"/>
      <c r="BK1205" s="48"/>
      <c r="BL1205" s="48"/>
      <c r="BM1205" s="48"/>
      <c r="BN1205" s="49"/>
      <c r="BO1205" s="48"/>
      <c r="BP1205" s="48"/>
      <c r="BQ1205" s="50"/>
    </row>
    <row r="1206" spans="1:69" ht="16" x14ac:dyDescent="0.35">
      <c r="A1206"/>
      <c r="D1206"/>
      <c r="G1206"/>
      <c r="H1206" s="20"/>
      <c r="I1206" s="20"/>
      <c r="J1206" s="20"/>
      <c r="K1206" s="20"/>
      <c r="L1206" s="20"/>
      <c r="Q1206" s="83"/>
      <c r="Y1206" s="20"/>
      <c r="AP1206" s="93"/>
      <c r="AQ1206" s="31"/>
      <c r="AR1206" s="31"/>
      <c r="AS1206" s="94"/>
      <c r="AT1206" s="31"/>
      <c r="AU1206" s="31"/>
      <c r="AV1206" s="94"/>
      <c r="AW1206" s="32"/>
      <c r="AX1206" s="32"/>
      <c r="AY1206" s="32"/>
      <c r="AZ1206" s="32"/>
      <c r="BA1206" s="32"/>
      <c r="BB1206" s="31"/>
      <c r="BC1206" s="31"/>
      <c r="BD1206" s="31"/>
      <c r="BE1206" s="31"/>
      <c r="BF1206" s="96"/>
      <c r="BG1206" s="52"/>
      <c r="BH1206" s="52"/>
      <c r="BI1206" s="52"/>
      <c r="BJ1206" s="52"/>
      <c r="BK1206" s="52"/>
      <c r="BL1206" s="52"/>
      <c r="BM1206" s="52"/>
      <c r="BN1206" s="53"/>
      <c r="BO1206" s="52"/>
      <c r="BP1206" s="52"/>
      <c r="BQ1206" s="54"/>
    </row>
    <row r="1207" spans="1:69" ht="16" x14ac:dyDescent="0.35">
      <c r="A1207"/>
      <c r="D1207"/>
      <c r="G1207"/>
      <c r="H1207" s="20"/>
      <c r="I1207" s="20"/>
      <c r="J1207" s="20"/>
      <c r="K1207" s="20"/>
      <c r="L1207" s="20"/>
      <c r="Q1207" s="83"/>
      <c r="Y1207" s="20"/>
      <c r="AP1207" s="92"/>
      <c r="AQ1207" s="67"/>
      <c r="AR1207" s="67"/>
      <c r="AS1207" s="73"/>
      <c r="AT1207" s="67"/>
      <c r="AU1207" s="67"/>
      <c r="AV1207" s="73"/>
      <c r="AW1207" s="68"/>
      <c r="AX1207" s="68"/>
      <c r="AY1207" s="68"/>
      <c r="AZ1207" s="68"/>
      <c r="BA1207" s="68"/>
      <c r="BB1207" s="67"/>
      <c r="BC1207" s="67"/>
      <c r="BD1207" s="67"/>
      <c r="BE1207" s="67"/>
      <c r="BF1207" s="95"/>
      <c r="BG1207" s="48"/>
      <c r="BH1207" s="48"/>
      <c r="BI1207" s="48"/>
      <c r="BJ1207" s="48"/>
      <c r="BK1207" s="48"/>
      <c r="BL1207" s="48"/>
      <c r="BM1207" s="48"/>
      <c r="BN1207" s="49"/>
      <c r="BO1207" s="48"/>
      <c r="BP1207" s="48"/>
      <c r="BQ1207" s="50"/>
    </row>
    <row r="1208" spans="1:69" ht="16" x14ac:dyDescent="0.35">
      <c r="A1208"/>
      <c r="D1208"/>
      <c r="G1208"/>
      <c r="H1208" s="20"/>
      <c r="I1208" s="20"/>
      <c r="J1208" s="20"/>
      <c r="K1208" s="20"/>
      <c r="L1208" s="20"/>
      <c r="Q1208" s="83"/>
      <c r="Y1208" s="20"/>
      <c r="AP1208" s="93"/>
      <c r="AQ1208" s="31"/>
      <c r="AR1208" s="31"/>
      <c r="AS1208" s="94"/>
      <c r="AT1208" s="31"/>
      <c r="AU1208" s="31"/>
      <c r="AV1208" s="94"/>
      <c r="AW1208" s="32"/>
      <c r="AX1208" s="32"/>
      <c r="AY1208" s="32"/>
      <c r="AZ1208" s="32"/>
      <c r="BA1208" s="32"/>
      <c r="BB1208" s="31"/>
      <c r="BC1208" s="31"/>
      <c r="BD1208" s="31"/>
      <c r="BE1208" s="31"/>
      <c r="BF1208" s="96"/>
      <c r="BG1208" s="52"/>
      <c r="BH1208" s="52"/>
      <c r="BI1208" s="52"/>
      <c r="BJ1208" s="52"/>
      <c r="BK1208" s="52"/>
      <c r="BL1208" s="52"/>
      <c r="BM1208" s="52"/>
      <c r="BN1208" s="53"/>
      <c r="BO1208" s="52"/>
      <c r="BP1208" s="52"/>
      <c r="BQ1208" s="54"/>
    </row>
    <row r="1209" spans="1:69" ht="16" x14ac:dyDescent="0.35">
      <c r="A1209"/>
      <c r="D1209"/>
      <c r="G1209"/>
      <c r="H1209" s="20"/>
      <c r="I1209" s="20"/>
      <c r="J1209" s="20"/>
      <c r="K1209" s="20"/>
      <c r="L1209" s="20"/>
      <c r="Q1209" s="83"/>
      <c r="Y1209" s="20"/>
      <c r="AP1209" s="92"/>
      <c r="AQ1209" s="67"/>
      <c r="AR1209" s="67"/>
      <c r="AS1209" s="73"/>
      <c r="AT1209" s="67"/>
      <c r="AU1209" s="67"/>
      <c r="AV1209" s="73"/>
      <c r="AW1209" s="68"/>
      <c r="AX1209" s="68"/>
      <c r="AY1209" s="68"/>
      <c r="AZ1209" s="68"/>
      <c r="BA1209" s="68"/>
      <c r="BB1209" s="67"/>
      <c r="BC1209" s="67"/>
      <c r="BD1209" s="67"/>
      <c r="BE1209" s="67"/>
      <c r="BF1209" s="95"/>
      <c r="BG1209" s="48"/>
      <c r="BH1209" s="48"/>
      <c r="BI1209" s="48"/>
      <c r="BJ1209" s="48"/>
      <c r="BK1209" s="48"/>
      <c r="BL1209" s="48"/>
      <c r="BM1209" s="48"/>
      <c r="BN1209" s="49"/>
      <c r="BO1209" s="48"/>
      <c r="BP1209" s="48"/>
      <c r="BQ1209" s="50"/>
    </row>
    <row r="1210" spans="1:69" ht="16" x14ac:dyDescent="0.35">
      <c r="A1210"/>
      <c r="D1210"/>
      <c r="G1210"/>
      <c r="H1210" s="20"/>
      <c r="I1210" s="20"/>
      <c r="J1210" s="20"/>
      <c r="K1210" s="20"/>
      <c r="L1210" s="20"/>
      <c r="Q1210" s="83"/>
      <c r="Y1210" s="20"/>
      <c r="AP1210" s="93"/>
      <c r="AQ1210" s="31"/>
      <c r="AR1210" s="31"/>
      <c r="AS1210" s="94"/>
      <c r="AT1210" s="31"/>
      <c r="AU1210" s="31"/>
      <c r="AV1210" s="94"/>
      <c r="AW1210" s="32"/>
      <c r="AX1210" s="32"/>
      <c r="AY1210" s="32"/>
      <c r="AZ1210" s="32"/>
      <c r="BA1210" s="32"/>
      <c r="BB1210" s="31"/>
      <c r="BC1210" s="31"/>
      <c r="BD1210" s="31"/>
      <c r="BE1210" s="31"/>
      <c r="BF1210" s="96"/>
      <c r="BG1210" s="52"/>
      <c r="BH1210" s="52"/>
      <c r="BI1210" s="52"/>
      <c r="BJ1210" s="52"/>
      <c r="BK1210" s="52"/>
      <c r="BL1210" s="52"/>
      <c r="BM1210" s="52"/>
      <c r="BN1210" s="53"/>
      <c r="BO1210" s="52"/>
      <c r="BP1210" s="52"/>
      <c r="BQ1210" s="54"/>
    </row>
    <row r="1211" spans="1:69" ht="16" x14ac:dyDescent="0.35">
      <c r="A1211"/>
      <c r="D1211"/>
      <c r="G1211"/>
      <c r="H1211" s="20"/>
      <c r="I1211" s="20"/>
      <c r="J1211" s="20"/>
      <c r="K1211" s="20"/>
      <c r="L1211" s="20"/>
      <c r="Q1211" s="83"/>
      <c r="Y1211" s="20"/>
      <c r="AP1211" s="92"/>
      <c r="AQ1211" s="67"/>
      <c r="AR1211" s="67"/>
      <c r="AS1211" s="73"/>
      <c r="AT1211" s="67"/>
      <c r="AU1211" s="67"/>
      <c r="AV1211" s="73"/>
      <c r="AW1211" s="68"/>
      <c r="AX1211" s="68"/>
      <c r="AY1211" s="68"/>
      <c r="AZ1211" s="68"/>
      <c r="BA1211" s="68"/>
      <c r="BB1211" s="67"/>
      <c r="BC1211" s="67"/>
      <c r="BD1211" s="67"/>
      <c r="BE1211" s="67"/>
      <c r="BF1211" s="95"/>
      <c r="BG1211" s="48"/>
      <c r="BH1211" s="48"/>
      <c r="BI1211" s="48"/>
      <c r="BJ1211" s="48"/>
      <c r="BK1211" s="48"/>
      <c r="BL1211" s="48"/>
      <c r="BM1211" s="48"/>
      <c r="BN1211" s="49"/>
      <c r="BO1211" s="48"/>
      <c r="BP1211" s="48"/>
      <c r="BQ1211" s="50"/>
    </row>
    <row r="1212" spans="1:69" ht="16" x14ac:dyDescent="0.35">
      <c r="A1212"/>
      <c r="D1212"/>
      <c r="G1212"/>
      <c r="H1212" s="20"/>
      <c r="I1212" s="20"/>
      <c r="J1212" s="20"/>
      <c r="K1212" s="20"/>
      <c r="L1212" s="20"/>
      <c r="Q1212" s="83"/>
      <c r="Y1212" s="20"/>
      <c r="AP1212" s="93"/>
      <c r="AQ1212" s="31"/>
      <c r="AR1212" s="31"/>
      <c r="AS1212" s="94"/>
      <c r="AT1212" s="31"/>
      <c r="AU1212" s="31"/>
      <c r="AV1212" s="94"/>
      <c r="AW1212" s="32"/>
      <c r="AX1212" s="32"/>
      <c r="AY1212" s="32"/>
      <c r="AZ1212" s="32"/>
      <c r="BA1212" s="32"/>
      <c r="BB1212" s="31"/>
      <c r="BC1212" s="31"/>
      <c r="BD1212" s="31"/>
      <c r="BE1212" s="31"/>
      <c r="BF1212" s="96"/>
      <c r="BG1212" s="52"/>
      <c r="BH1212" s="52"/>
      <c r="BI1212" s="52"/>
      <c r="BJ1212" s="52"/>
      <c r="BK1212" s="52"/>
      <c r="BL1212" s="52"/>
      <c r="BM1212" s="52"/>
      <c r="BN1212" s="53"/>
      <c r="BO1212" s="52"/>
      <c r="BP1212" s="52"/>
      <c r="BQ1212" s="54"/>
    </row>
    <row r="1213" spans="1:69" ht="16" x14ac:dyDescent="0.35">
      <c r="A1213"/>
      <c r="D1213"/>
      <c r="G1213"/>
      <c r="H1213" s="20"/>
      <c r="I1213" s="20"/>
      <c r="J1213" s="20"/>
      <c r="K1213" s="20"/>
      <c r="L1213" s="20"/>
      <c r="Q1213" s="83"/>
      <c r="Y1213" s="20"/>
      <c r="AP1213" s="92"/>
      <c r="AQ1213" s="67"/>
      <c r="AR1213" s="67"/>
      <c r="AS1213" s="73"/>
      <c r="AT1213" s="67"/>
      <c r="AU1213" s="67"/>
      <c r="AV1213" s="73"/>
      <c r="AW1213" s="68"/>
      <c r="AX1213" s="68"/>
      <c r="AY1213" s="68"/>
      <c r="AZ1213" s="68"/>
      <c r="BA1213" s="68"/>
      <c r="BB1213" s="67"/>
      <c r="BC1213" s="67"/>
      <c r="BD1213" s="67"/>
      <c r="BE1213" s="67"/>
      <c r="BF1213" s="95"/>
      <c r="BG1213" s="48"/>
      <c r="BH1213" s="48"/>
      <c r="BI1213" s="48"/>
      <c r="BJ1213" s="48"/>
      <c r="BK1213" s="48"/>
      <c r="BL1213" s="48"/>
      <c r="BM1213" s="48"/>
      <c r="BN1213" s="49"/>
      <c r="BO1213" s="48"/>
      <c r="BP1213" s="48"/>
      <c r="BQ1213" s="50"/>
    </row>
    <row r="1214" spans="1:69" ht="16" x14ac:dyDescent="0.35">
      <c r="A1214"/>
      <c r="D1214"/>
      <c r="G1214"/>
      <c r="H1214" s="20"/>
      <c r="I1214" s="20"/>
      <c r="J1214" s="20"/>
      <c r="K1214" s="20"/>
      <c r="L1214" s="20"/>
      <c r="Q1214" s="83"/>
      <c r="Y1214" s="20"/>
      <c r="AP1214" s="93"/>
      <c r="AQ1214" s="31"/>
      <c r="AR1214" s="31"/>
      <c r="AS1214" s="94"/>
      <c r="AT1214" s="31"/>
      <c r="AU1214" s="31"/>
      <c r="AV1214" s="94"/>
      <c r="AW1214" s="32"/>
      <c r="AX1214" s="32"/>
      <c r="AY1214" s="32"/>
      <c r="AZ1214" s="32"/>
      <c r="BA1214" s="32"/>
      <c r="BB1214" s="31"/>
      <c r="BC1214" s="31"/>
      <c r="BD1214" s="31"/>
      <c r="BE1214" s="31"/>
      <c r="BF1214" s="96"/>
      <c r="BG1214" s="52"/>
      <c r="BH1214" s="52"/>
      <c r="BI1214" s="52"/>
      <c r="BJ1214" s="52"/>
      <c r="BK1214" s="52"/>
      <c r="BL1214" s="52"/>
      <c r="BM1214" s="52"/>
      <c r="BN1214" s="53"/>
      <c r="BO1214" s="52"/>
      <c r="BP1214" s="52"/>
      <c r="BQ1214" s="54"/>
    </row>
    <row r="1215" spans="1:69" ht="16" x14ac:dyDescent="0.35">
      <c r="A1215"/>
      <c r="D1215"/>
      <c r="G1215"/>
      <c r="H1215" s="20"/>
      <c r="I1215" s="20"/>
      <c r="J1215" s="20"/>
      <c r="K1215" s="20"/>
      <c r="L1215" s="20"/>
      <c r="Q1215" s="83"/>
      <c r="Y1215" s="20"/>
      <c r="AP1215" s="92"/>
      <c r="AQ1215" s="67"/>
      <c r="AR1215" s="67"/>
      <c r="AS1215" s="73"/>
      <c r="AT1215" s="67"/>
      <c r="AU1215" s="67"/>
      <c r="AV1215" s="73"/>
      <c r="AW1215" s="68"/>
      <c r="AX1215" s="68"/>
      <c r="AY1215" s="68"/>
      <c r="AZ1215" s="68"/>
      <c r="BA1215" s="68"/>
      <c r="BB1215" s="67"/>
      <c r="BC1215" s="67"/>
      <c r="BD1215" s="67"/>
      <c r="BE1215" s="67"/>
      <c r="BF1215" s="95"/>
      <c r="BG1215" s="48"/>
      <c r="BH1215" s="48"/>
      <c r="BI1215" s="48"/>
      <c r="BJ1215" s="48"/>
      <c r="BK1215" s="48"/>
      <c r="BL1215" s="48"/>
      <c r="BM1215" s="48"/>
      <c r="BN1215" s="49"/>
      <c r="BO1215" s="48"/>
      <c r="BP1215" s="48"/>
      <c r="BQ1215" s="50"/>
    </row>
    <row r="1216" spans="1:69" ht="16" x14ac:dyDescent="0.35">
      <c r="A1216"/>
      <c r="D1216"/>
      <c r="G1216"/>
      <c r="H1216" s="20"/>
      <c r="I1216" s="20"/>
      <c r="J1216" s="20"/>
      <c r="K1216" s="20"/>
      <c r="L1216" s="20"/>
      <c r="Q1216" s="83"/>
      <c r="Y1216" s="20"/>
      <c r="AP1216" s="93"/>
      <c r="AQ1216" s="31"/>
      <c r="AR1216" s="31"/>
      <c r="AS1216" s="94"/>
      <c r="AT1216" s="31"/>
      <c r="AU1216" s="31"/>
      <c r="AV1216" s="94"/>
      <c r="AW1216" s="32"/>
      <c r="AX1216" s="32"/>
      <c r="AY1216" s="32"/>
      <c r="AZ1216" s="32"/>
      <c r="BA1216" s="32"/>
      <c r="BB1216" s="31"/>
      <c r="BC1216" s="31"/>
      <c r="BD1216" s="31"/>
      <c r="BE1216" s="31"/>
      <c r="BF1216" s="96"/>
      <c r="BG1216" s="52"/>
      <c r="BH1216" s="52"/>
      <c r="BI1216" s="52"/>
      <c r="BJ1216" s="52"/>
      <c r="BK1216" s="52"/>
      <c r="BL1216" s="52"/>
      <c r="BM1216" s="52"/>
      <c r="BN1216" s="53"/>
      <c r="BO1216" s="52"/>
      <c r="BP1216" s="52"/>
      <c r="BQ1216" s="54"/>
    </row>
    <row r="1217" spans="1:69" ht="16" x14ac:dyDescent="0.35">
      <c r="A1217"/>
      <c r="D1217"/>
      <c r="G1217"/>
      <c r="H1217" s="20"/>
      <c r="I1217" s="20"/>
      <c r="J1217" s="20"/>
      <c r="K1217" s="20"/>
      <c r="L1217" s="20"/>
      <c r="Q1217" s="83"/>
      <c r="Y1217" s="20"/>
      <c r="AP1217" s="92"/>
      <c r="AQ1217" s="67"/>
      <c r="AR1217" s="67"/>
      <c r="AS1217" s="73"/>
      <c r="AT1217" s="67"/>
      <c r="AU1217" s="67"/>
      <c r="AV1217" s="73"/>
      <c r="AW1217" s="68"/>
      <c r="AX1217" s="68"/>
      <c r="AY1217" s="68"/>
      <c r="AZ1217" s="68"/>
      <c r="BA1217" s="68"/>
      <c r="BB1217" s="67"/>
      <c r="BC1217" s="67"/>
      <c r="BD1217" s="67"/>
      <c r="BE1217" s="67"/>
      <c r="BF1217" s="95"/>
      <c r="BG1217" s="48"/>
      <c r="BH1217" s="48"/>
      <c r="BI1217" s="48"/>
      <c r="BJ1217" s="48"/>
      <c r="BK1217" s="48"/>
      <c r="BL1217" s="48"/>
      <c r="BM1217" s="48"/>
      <c r="BN1217" s="49"/>
      <c r="BO1217" s="48"/>
      <c r="BP1217" s="48"/>
      <c r="BQ1217" s="50"/>
    </row>
    <row r="1218" spans="1:69" ht="16" x14ac:dyDescent="0.35">
      <c r="A1218"/>
      <c r="D1218"/>
      <c r="G1218"/>
      <c r="H1218" s="20"/>
      <c r="I1218" s="20"/>
      <c r="J1218" s="20"/>
      <c r="K1218" s="20"/>
      <c r="L1218" s="20"/>
      <c r="Q1218" s="83"/>
      <c r="Y1218" s="20"/>
      <c r="AP1218" s="93"/>
      <c r="AQ1218" s="31"/>
      <c r="AR1218" s="31"/>
      <c r="AS1218" s="94"/>
      <c r="AT1218" s="31"/>
      <c r="AU1218" s="31"/>
      <c r="AV1218" s="94"/>
      <c r="AW1218" s="32"/>
      <c r="AX1218" s="32"/>
      <c r="AY1218" s="32"/>
      <c r="AZ1218" s="32"/>
      <c r="BA1218" s="32"/>
      <c r="BB1218" s="31"/>
      <c r="BC1218" s="31"/>
      <c r="BD1218" s="31"/>
      <c r="BE1218" s="31"/>
      <c r="BF1218" s="96"/>
      <c r="BG1218" s="52"/>
      <c r="BH1218" s="52"/>
      <c r="BI1218" s="52"/>
      <c r="BJ1218" s="52"/>
      <c r="BK1218" s="52"/>
      <c r="BL1218" s="52"/>
      <c r="BM1218" s="52"/>
      <c r="BN1218" s="53"/>
      <c r="BO1218" s="52"/>
      <c r="BP1218" s="52"/>
      <c r="BQ1218" s="54"/>
    </row>
    <row r="1219" spans="1:69" ht="16" x14ac:dyDescent="0.35">
      <c r="A1219"/>
      <c r="D1219"/>
      <c r="G1219"/>
      <c r="H1219" s="20"/>
      <c r="I1219" s="20"/>
      <c r="J1219" s="20"/>
      <c r="K1219" s="20"/>
      <c r="L1219" s="20"/>
      <c r="Q1219" s="83"/>
      <c r="Y1219" s="20"/>
      <c r="AP1219" s="92"/>
      <c r="AQ1219" s="67"/>
      <c r="AR1219" s="67"/>
      <c r="AS1219" s="73"/>
      <c r="AT1219" s="67"/>
      <c r="AU1219" s="67"/>
      <c r="AV1219" s="73"/>
      <c r="AW1219" s="68"/>
      <c r="AX1219" s="68"/>
      <c r="AY1219" s="68"/>
      <c r="AZ1219" s="68"/>
      <c r="BA1219" s="68"/>
      <c r="BB1219" s="67"/>
      <c r="BC1219" s="67"/>
      <c r="BD1219" s="67"/>
      <c r="BE1219" s="67"/>
      <c r="BF1219" s="95"/>
      <c r="BG1219" s="48"/>
      <c r="BH1219" s="48"/>
      <c r="BI1219" s="48"/>
      <c r="BJ1219" s="48"/>
      <c r="BK1219" s="48"/>
      <c r="BL1219" s="48"/>
      <c r="BM1219" s="48"/>
      <c r="BN1219" s="49"/>
      <c r="BO1219" s="48"/>
      <c r="BP1219" s="48"/>
      <c r="BQ1219" s="50"/>
    </row>
    <row r="1220" spans="1:69" ht="16" x14ac:dyDescent="0.35">
      <c r="A1220"/>
      <c r="D1220"/>
      <c r="G1220"/>
      <c r="H1220" s="20"/>
      <c r="I1220" s="20"/>
      <c r="J1220" s="20"/>
      <c r="K1220" s="20"/>
      <c r="L1220" s="20"/>
      <c r="Q1220" s="83"/>
      <c r="Y1220" s="20"/>
      <c r="AP1220" s="93"/>
      <c r="AQ1220" s="31"/>
      <c r="AR1220" s="31"/>
      <c r="AS1220" s="94"/>
      <c r="AT1220" s="31"/>
      <c r="AU1220" s="31"/>
      <c r="AV1220" s="94"/>
      <c r="AW1220" s="32"/>
      <c r="AX1220" s="32"/>
      <c r="AY1220" s="32"/>
      <c r="AZ1220" s="32"/>
      <c r="BA1220" s="32"/>
      <c r="BB1220" s="31"/>
      <c r="BC1220" s="31"/>
      <c r="BD1220" s="31"/>
      <c r="BE1220" s="31"/>
      <c r="BF1220" s="96"/>
      <c r="BG1220" s="52"/>
      <c r="BH1220" s="52"/>
      <c r="BI1220" s="52"/>
      <c r="BJ1220" s="52"/>
      <c r="BK1220" s="52"/>
      <c r="BL1220" s="52"/>
      <c r="BM1220" s="52"/>
      <c r="BN1220" s="53"/>
      <c r="BO1220" s="52"/>
      <c r="BP1220" s="52"/>
      <c r="BQ1220" s="54"/>
    </row>
    <row r="1221" spans="1:69" ht="16" x14ac:dyDescent="0.35">
      <c r="A1221"/>
      <c r="D1221"/>
      <c r="G1221"/>
      <c r="H1221" s="20"/>
      <c r="I1221" s="20"/>
      <c r="J1221" s="20"/>
      <c r="K1221" s="20"/>
      <c r="L1221" s="20"/>
      <c r="Q1221" s="83"/>
      <c r="Y1221" s="20"/>
      <c r="AP1221" s="92"/>
      <c r="AQ1221" s="67"/>
      <c r="AR1221" s="67"/>
      <c r="AS1221" s="73"/>
      <c r="AT1221" s="67"/>
      <c r="AU1221" s="67"/>
      <c r="AV1221" s="73"/>
      <c r="AW1221" s="68"/>
      <c r="AX1221" s="68"/>
      <c r="AY1221" s="68"/>
      <c r="AZ1221" s="68"/>
      <c r="BA1221" s="68"/>
      <c r="BB1221" s="67"/>
      <c r="BC1221" s="67"/>
      <c r="BD1221" s="67"/>
      <c r="BE1221" s="67"/>
      <c r="BF1221" s="95"/>
      <c r="BG1221" s="48"/>
      <c r="BH1221" s="48"/>
      <c r="BI1221" s="48"/>
      <c r="BJ1221" s="48"/>
      <c r="BK1221" s="48"/>
      <c r="BL1221" s="48"/>
      <c r="BM1221" s="48"/>
      <c r="BN1221" s="49"/>
      <c r="BO1221" s="48"/>
      <c r="BP1221" s="48"/>
      <c r="BQ1221" s="50"/>
    </row>
    <row r="1222" spans="1:69" ht="16" x14ac:dyDescent="0.35">
      <c r="A1222"/>
      <c r="D1222"/>
      <c r="G1222"/>
      <c r="H1222" s="20"/>
      <c r="I1222" s="20"/>
      <c r="J1222" s="20"/>
      <c r="K1222" s="20"/>
      <c r="L1222" s="20"/>
      <c r="Q1222" s="83"/>
      <c r="Y1222" s="20"/>
      <c r="AP1222" s="93"/>
      <c r="AQ1222" s="31"/>
      <c r="AR1222" s="31"/>
      <c r="AS1222" s="94"/>
      <c r="AT1222" s="31"/>
      <c r="AU1222" s="31"/>
      <c r="AV1222" s="94"/>
      <c r="AW1222" s="32"/>
      <c r="AX1222" s="32"/>
      <c r="AY1222" s="32"/>
      <c r="AZ1222" s="32"/>
      <c r="BA1222" s="32"/>
      <c r="BB1222" s="31"/>
      <c r="BC1222" s="31"/>
      <c r="BD1222" s="31"/>
      <c r="BE1222" s="31"/>
      <c r="BF1222" s="96"/>
      <c r="BG1222" s="52"/>
      <c r="BH1222" s="52"/>
      <c r="BI1222" s="52"/>
      <c r="BJ1222" s="52"/>
      <c r="BK1222" s="52"/>
      <c r="BL1222" s="52"/>
      <c r="BM1222" s="52"/>
      <c r="BN1222" s="53"/>
      <c r="BO1222" s="52"/>
      <c r="BP1222" s="52"/>
      <c r="BQ1222" s="54"/>
    </row>
    <row r="1223" spans="1:69" ht="16" x14ac:dyDescent="0.35">
      <c r="A1223"/>
      <c r="D1223"/>
      <c r="G1223"/>
      <c r="H1223" s="20"/>
      <c r="I1223" s="20"/>
      <c r="J1223" s="20"/>
      <c r="K1223" s="20"/>
      <c r="L1223" s="20"/>
      <c r="Q1223" s="83"/>
      <c r="Y1223" s="20"/>
      <c r="AP1223" s="92"/>
      <c r="AQ1223" s="67"/>
      <c r="AR1223" s="67"/>
      <c r="AS1223" s="73"/>
      <c r="AT1223" s="67"/>
      <c r="AU1223" s="67"/>
      <c r="AV1223" s="73"/>
      <c r="AW1223" s="68"/>
      <c r="AX1223" s="68"/>
      <c r="AY1223" s="68"/>
      <c r="AZ1223" s="68"/>
      <c r="BA1223" s="68"/>
      <c r="BB1223" s="67"/>
      <c r="BC1223" s="67"/>
      <c r="BD1223" s="67"/>
      <c r="BE1223" s="67"/>
      <c r="BF1223" s="95"/>
      <c r="BG1223" s="48"/>
      <c r="BH1223" s="48"/>
      <c r="BI1223" s="48"/>
      <c r="BJ1223" s="48"/>
      <c r="BK1223" s="48"/>
      <c r="BL1223" s="48"/>
      <c r="BM1223" s="48"/>
      <c r="BN1223" s="49"/>
      <c r="BO1223" s="48"/>
      <c r="BP1223" s="48"/>
      <c r="BQ1223" s="50"/>
    </row>
    <row r="1224" spans="1:69" ht="16" x14ac:dyDescent="0.35">
      <c r="A1224"/>
      <c r="D1224"/>
      <c r="G1224"/>
      <c r="H1224" s="20"/>
      <c r="I1224" s="20"/>
      <c r="J1224" s="20"/>
      <c r="K1224" s="20"/>
      <c r="L1224" s="20"/>
      <c r="Q1224" s="83"/>
      <c r="Y1224" s="20"/>
      <c r="AP1224" s="93"/>
      <c r="AQ1224" s="31"/>
      <c r="AR1224" s="31"/>
      <c r="AS1224" s="94"/>
      <c r="AT1224" s="31"/>
      <c r="AU1224" s="31"/>
      <c r="AV1224" s="94"/>
      <c r="AW1224" s="32"/>
      <c r="AX1224" s="32"/>
      <c r="AY1224" s="32"/>
      <c r="AZ1224" s="32"/>
      <c r="BA1224" s="32"/>
      <c r="BB1224" s="31"/>
      <c r="BC1224" s="31"/>
      <c r="BD1224" s="31"/>
      <c r="BE1224" s="31"/>
      <c r="BF1224" s="96"/>
      <c r="BG1224" s="52"/>
      <c r="BH1224" s="52"/>
      <c r="BI1224" s="52"/>
      <c r="BJ1224" s="52"/>
      <c r="BK1224" s="52"/>
      <c r="BL1224" s="52"/>
      <c r="BM1224" s="52"/>
      <c r="BN1224" s="53"/>
      <c r="BO1224" s="52"/>
      <c r="BP1224" s="52"/>
      <c r="BQ1224" s="54"/>
    </row>
    <row r="1225" spans="1:69" ht="16" x14ac:dyDescent="0.35">
      <c r="A1225"/>
      <c r="D1225"/>
      <c r="G1225"/>
      <c r="H1225" s="20"/>
      <c r="I1225" s="20"/>
      <c r="J1225" s="20"/>
      <c r="K1225" s="20"/>
      <c r="L1225" s="20"/>
      <c r="Q1225" s="83"/>
      <c r="Y1225" s="20"/>
      <c r="AP1225" s="92"/>
      <c r="AQ1225" s="67"/>
      <c r="AR1225" s="67"/>
      <c r="AS1225" s="73"/>
      <c r="AT1225" s="67"/>
      <c r="AU1225" s="67"/>
      <c r="AV1225" s="73"/>
      <c r="AW1225" s="68"/>
      <c r="AX1225" s="68"/>
      <c r="AY1225" s="68"/>
      <c r="AZ1225" s="68"/>
      <c r="BA1225" s="68"/>
      <c r="BB1225" s="67"/>
      <c r="BC1225" s="67"/>
      <c r="BD1225" s="67"/>
      <c r="BE1225" s="67"/>
      <c r="BF1225" s="95"/>
      <c r="BG1225" s="48"/>
      <c r="BH1225" s="48"/>
      <c r="BI1225" s="48"/>
      <c r="BJ1225" s="48"/>
      <c r="BK1225" s="48"/>
      <c r="BL1225" s="48"/>
      <c r="BM1225" s="48"/>
      <c r="BN1225" s="49"/>
      <c r="BO1225" s="48"/>
      <c r="BP1225" s="48"/>
      <c r="BQ1225" s="50"/>
    </row>
    <row r="1226" spans="1:69" ht="16" x14ac:dyDescent="0.35">
      <c r="A1226"/>
      <c r="D1226"/>
      <c r="G1226"/>
      <c r="H1226" s="20"/>
      <c r="I1226" s="20"/>
      <c r="J1226" s="20"/>
      <c r="K1226" s="20"/>
      <c r="L1226" s="20"/>
      <c r="Q1226" s="83"/>
      <c r="Y1226" s="20"/>
      <c r="AP1226" s="93"/>
      <c r="AQ1226" s="31"/>
      <c r="AR1226" s="31"/>
      <c r="AS1226" s="94"/>
      <c r="AT1226" s="31"/>
      <c r="AU1226" s="31"/>
      <c r="AV1226" s="94"/>
      <c r="AW1226" s="32"/>
      <c r="AX1226" s="32"/>
      <c r="AY1226" s="32"/>
      <c r="AZ1226" s="32"/>
      <c r="BA1226" s="32"/>
      <c r="BB1226" s="31"/>
      <c r="BC1226" s="31"/>
      <c r="BD1226" s="31"/>
      <c r="BE1226" s="31"/>
      <c r="BF1226" s="96"/>
      <c r="BG1226" s="52"/>
      <c r="BH1226" s="52"/>
      <c r="BI1226" s="52"/>
      <c r="BJ1226" s="52"/>
      <c r="BK1226" s="52"/>
      <c r="BL1226" s="52"/>
      <c r="BM1226" s="52"/>
      <c r="BN1226" s="53"/>
      <c r="BO1226" s="52"/>
      <c r="BP1226" s="52"/>
      <c r="BQ1226" s="54"/>
    </row>
    <row r="1227" spans="1:69" ht="16" x14ac:dyDescent="0.35">
      <c r="A1227"/>
      <c r="D1227"/>
      <c r="G1227"/>
      <c r="H1227" s="20"/>
      <c r="I1227" s="20"/>
      <c r="J1227" s="20"/>
      <c r="K1227" s="20"/>
      <c r="L1227" s="20"/>
      <c r="Q1227" s="83"/>
      <c r="Y1227" s="20"/>
      <c r="AP1227" s="92"/>
      <c r="AQ1227" s="67"/>
      <c r="AR1227" s="67"/>
      <c r="AS1227" s="73"/>
      <c r="AT1227" s="67"/>
      <c r="AU1227" s="67"/>
      <c r="AV1227" s="73"/>
      <c r="AW1227" s="68"/>
      <c r="AX1227" s="68"/>
      <c r="AY1227" s="68"/>
      <c r="AZ1227" s="68"/>
      <c r="BA1227" s="68"/>
      <c r="BB1227" s="67"/>
      <c r="BC1227" s="67"/>
      <c r="BD1227" s="67"/>
      <c r="BE1227" s="67"/>
      <c r="BF1227" s="95"/>
      <c r="BG1227" s="48"/>
      <c r="BH1227" s="48"/>
      <c r="BI1227" s="48"/>
      <c r="BJ1227" s="48"/>
      <c r="BK1227" s="48"/>
      <c r="BL1227" s="48"/>
      <c r="BM1227" s="48"/>
      <c r="BN1227" s="49"/>
      <c r="BO1227" s="48"/>
      <c r="BP1227" s="48"/>
      <c r="BQ1227" s="50"/>
    </row>
    <row r="1228" spans="1:69" ht="16" x14ac:dyDescent="0.35">
      <c r="A1228"/>
      <c r="D1228"/>
      <c r="G1228"/>
      <c r="H1228" s="20"/>
      <c r="I1228" s="20"/>
      <c r="J1228" s="20"/>
      <c r="K1228" s="20"/>
      <c r="L1228" s="20"/>
      <c r="Q1228" s="83"/>
      <c r="Y1228" s="20"/>
      <c r="AP1228" s="93"/>
      <c r="AQ1228" s="31"/>
      <c r="AR1228" s="31"/>
      <c r="AS1228" s="94"/>
      <c r="AT1228" s="31"/>
      <c r="AU1228" s="31"/>
      <c r="AV1228" s="94"/>
      <c r="AW1228" s="32"/>
      <c r="AX1228" s="32"/>
      <c r="AY1228" s="32"/>
      <c r="AZ1228" s="32"/>
      <c r="BA1228" s="32"/>
      <c r="BB1228" s="31"/>
      <c r="BC1228" s="31"/>
      <c r="BD1228" s="31"/>
      <c r="BE1228" s="31"/>
      <c r="BF1228" s="96"/>
      <c r="BG1228" s="52"/>
      <c r="BH1228" s="52"/>
      <c r="BI1228" s="52"/>
      <c r="BJ1228" s="52"/>
      <c r="BK1228" s="52"/>
      <c r="BL1228" s="52"/>
      <c r="BM1228" s="52"/>
      <c r="BN1228" s="53"/>
      <c r="BO1228" s="52"/>
      <c r="BP1228" s="52"/>
      <c r="BQ1228" s="54"/>
    </row>
    <row r="1229" spans="1:69" ht="16" x14ac:dyDescent="0.35">
      <c r="A1229"/>
      <c r="D1229"/>
      <c r="G1229"/>
      <c r="H1229" s="20"/>
      <c r="I1229" s="20"/>
      <c r="J1229" s="20"/>
      <c r="K1229" s="20"/>
      <c r="L1229" s="20"/>
      <c r="Q1229" s="83"/>
      <c r="Y1229" s="20"/>
      <c r="AP1229" s="92"/>
      <c r="AQ1229" s="67"/>
      <c r="AR1229" s="67"/>
      <c r="AS1229" s="73"/>
      <c r="AT1229" s="67"/>
      <c r="AU1229" s="67"/>
      <c r="AV1229" s="73"/>
      <c r="AW1229" s="68"/>
      <c r="AX1229" s="68"/>
      <c r="AY1229" s="68"/>
      <c r="AZ1229" s="68"/>
      <c r="BA1229" s="68"/>
      <c r="BB1229" s="67"/>
      <c r="BC1229" s="67"/>
      <c r="BD1229" s="67"/>
      <c r="BE1229" s="67"/>
      <c r="BF1229" s="95"/>
      <c r="BG1229" s="48"/>
      <c r="BH1229" s="48"/>
      <c r="BI1229" s="48"/>
      <c r="BJ1229" s="48"/>
      <c r="BK1229" s="48"/>
      <c r="BL1229" s="48"/>
      <c r="BM1229" s="48"/>
      <c r="BN1229" s="49"/>
      <c r="BO1229" s="48"/>
      <c r="BP1229" s="48"/>
      <c r="BQ1229" s="50"/>
    </row>
    <row r="1230" spans="1:69" ht="16" x14ac:dyDescent="0.35">
      <c r="A1230"/>
      <c r="D1230"/>
      <c r="G1230"/>
      <c r="H1230" s="20"/>
      <c r="I1230" s="20"/>
      <c r="J1230" s="20"/>
      <c r="K1230" s="20"/>
      <c r="L1230" s="20"/>
      <c r="Q1230" s="83"/>
      <c r="Y1230" s="20"/>
      <c r="AP1230" s="93"/>
      <c r="AQ1230" s="31"/>
      <c r="AR1230" s="31"/>
      <c r="AS1230" s="94"/>
      <c r="AT1230" s="31"/>
      <c r="AU1230" s="31"/>
      <c r="AV1230" s="94"/>
      <c r="AW1230" s="32"/>
      <c r="AX1230" s="32"/>
      <c r="AY1230" s="32"/>
      <c r="AZ1230" s="32"/>
      <c r="BA1230" s="32"/>
      <c r="BB1230" s="31"/>
      <c r="BC1230" s="31"/>
      <c r="BD1230" s="31"/>
      <c r="BE1230" s="31"/>
      <c r="BF1230" s="96"/>
      <c r="BG1230" s="52"/>
      <c r="BH1230" s="52"/>
      <c r="BI1230" s="52"/>
      <c r="BJ1230" s="52"/>
      <c r="BK1230" s="52"/>
      <c r="BL1230" s="52"/>
      <c r="BM1230" s="52"/>
      <c r="BN1230" s="53"/>
      <c r="BO1230" s="52"/>
      <c r="BP1230" s="52"/>
      <c r="BQ1230" s="54"/>
    </row>
    <row r="1231" spans="1:69" ht="16" x14ac:dyDescent="0.35">
      <c r="A1231"/>
      <c r="D1231"/>
      <c r="G1231"/>
      <c r="H1231" s="20"/>
      <c r="I1231" s="20"/>
      <c r="J1231" s="20"/>
      <c r="K1231" s="20"/>
      <c r="L1231" s="20"/>
      <c r="Q1231" s="83"/>
      <c r="Y1231" s="20"/>
      <c r="AP1231" s="92"/>
      <c r="AQ1231" s="67"/>
      <c r="AR1231" s="67"/>
      <c r="AS1231" s="73"/>
      <c r="AT1231" s="67"/>
      <c r="AU1231" s="67"/>
      <c r="AV1231" s="73"/>
      <c r="AW1231" s="68"/>
      <c r="AX1231" s="68"/>
      <c r="AY1231" s="68"/>
      <c r="AZ1231" s="68"/>
      <c r="BA1231" s="68"/>
      <c r="BB1231" s="67"/>
      <c r="BC1231" s="67"/>
      <c r="BD1231" s="67"/>
      <c r="BE1231" s="67"/>
      <c r="BF1231" s="95"/>
      <c r="BG1231" s="48"/>
      <c r="BH1231" s="48"/>
      <c r="BI1231" s="48"/>
      <c r="BJ1231" s="48"/>
      <c r="BK1231" s="48"/>
      <c r="BL1231" s="48"/>
      <c r="BM1231" s="48"/>
      <c r="BN1231" s="49"/>
      <c r="BO1231" s="48"/>
      <c r="BP1231" s="48"/>
      <c r="BQ1231" s="50"/>
    </row>
    <row r="1232" spans="1:69" ht="16" x14ac:dyDescent="0.35">
      <c r="A1232"/>
      <c r="D1232"/>
      <c r="G1232"/>
      <c r="H1232" s="20"/>
      <c r="I1232" s="20"/>
      <c r="J1232" s="20"/>
      <c r="K1232" s="20"/>
      <c r="L1232" s="20"/>
      <c r="Q1232" s="83"/>
      <c r="Y1232" s="20"/>
      <c r="AP1232" s="93"/>
      <c r="AQ1232" s="31"/>
      <c r="AR1232" s="31"/>
      <c r="AS1232" s="94"/>
      <c r="AT1232" s="31"/>
      <c r="AU1232" s="31"/>
      <c r="AV1232" s="94"/>
      <c r="AW1232" s="32"/>
      <c r="AX1232" s="32"/>
      <c r="AY1232" s="32"/>
      <c r="AZ1232" s="32"/>
      <c r="BA1232" s="32"/>
      <c r="BB1232" s="31"/>
      <c r="BC1232" s="31"/>
      <c r="BD1232" s="31"/>
      <c r="BE1232" s="31"/>
      <c r="BF1232" s="96"/>
      <c r="BG1232" s="52"/>
      <c r="BH1232" s="52"/>
      <c r="BI1232" s="52"/>
      <c r="BJ1232" s="52"/>
      <c r="BK1232" s="52"/>
      <c r="BL1232" s="52"/>
      <c r="BM1232" s="52"/>
      <c r="BN1232" s="53"/>
      <c r="BO1232" s="52"/>
      <c r="BP1232" s="52"/>
      <c r="BQ1232" s="54"/>
    </row>
    <row r="1233" spans="1:69" ht="16" x14ac:dyDescent="0.35">
      <c r="A1233"/>
      <c r="D1233"/>
      <c r="G1233"/>
      <c r="H1233" s="20"/>
      <c r="I1233" s="20"/>
      <c r="J1233" s="20"/>
      <c r="K1233" s="20"/>
      <c r="L1233" s="20"/>
      <c r="Q1233" s="83"/>
      <c r="Y1233" s="20"/>
      <c r="AP1233" s="92"/>
      <c r="AQ1233" s="67"/>
      <c r="AR1233" s="67"/>
      <c r="AS1233" s="73"/>
      <c r="AT1233" s="67"/>
      <c r="AU1233" s="67"/>
      <c r="AV1233" s="73"/>
      <c r="AW1233" s="68"/>
      <c r="AX1233" s="68"/>
      <c r="AY1233" s="68"/>
      <c r="AZ1233" s="68"/>
      <c r="BA1233" s="68"/>
      <c r="BB1233" s="67"/>
      <c r="BC1233" s="67"/>
      <c r="BD1233" s="67"/>
      <c r="BE1233" s="67"/>
      <c r="BF1233" s="95"/>
      <c r="BG1233" s="48"/>
      <c r="BH1233" s="48"/>
      <c r="BI1233" s="48"/>
      <c r="BJ1233" s="48"/>
      <c r="BK1233" s="48"/>
      <c r="BL1233" s="48"/>
      <c r="BM1233" s="48"/>
      <c r="BN1233" s="49"/>
      <c r="BO1233" s="48"/>
      <c r="BP1233" s="48"/>
      <c r="BQ1233" s="50"/>
    </row>
    <row r="1234" spans="1:69" ht="16" x14ac:dyDescent="0.35">
      <c r="A1234"/>
      <c r="D1234"/>
      <c r="G1234"/>
      <c r="H1234" s="20"/>
      <c r="I1234" s="20"/>
      <c r="J1234" s="20"/>
      <c r="K1234" s="20"/>
      <c r="L1234" s="20"/>
      <c r="Q1234" s="83"/>
      <c r="Y1234" s="20"/>
      <c r="AP1234" s="93"/>
      <c r="AQ1234" s="31"/>
      <c r="AR1234" s="31"/>
      <c r="AS1234" s="94"/>
      <c r="AT1234" s="31"/>
      <c r="AU1234" s="31"/>
      <c r="AV1234" s="94"/>
      <c r="AW1234" s="32"/>
      <c r="AX1234" s="32"/>
      <c r="AY1234" s="32"/>
      <c r="AZ1234" s="32"/>
      <c r="BA1234" s="32"/>
      <c r="BB1234" s="31"/>
      <c r="BC1234" s="31"/>
      <c r="BD1234" s="31"/>
      <c r="BE1234" s="31"/>
      <c r="BF1234" s="96"/>
      <c r="BG1234" s="52"/>
      <c r="BH1234" s="52"/>
      <c r="BI1234" s="52"/>
      <c r="BJ1234" s="52"/>
      <c r="BK1234" s="52"/>
      <c r="BL1234" s="52"/>
      <c r="BM1234" s="52"/>
      <c r="BN1234" s="53"/>
      <c r="BO1234" s="52"/>
      <c r="BP1234" s="52"/>
      <c r="BQ1234" s="54"/>
    </row>
    <row r="1235" spans="1:69" ht="16" x14ac:dyDescent="0.35">
      <c r="A1235"/>
      <c r="D1235"/>
      <c r="G1235"/>
      <c r="H1235" s="20"/>
      <c r="I1235" s="20"/>
      <c r="J1235" s="20"/>
      <c r="K1235" s="20"/>
      <c r="L1235" s="20"/>
      <c r="Q1235" s="83"/>
      <c r="Y1235" s="20"/>
      <c r="AP1235" s="92"/>
      <c r="AQ1235" s="67"/>
      <c r="AR1235" s="67"/>
      <c r="AS1235" s="73"/>
      <c r="AT1235" s="67"/>
      <c r="AU1235" s="67"/>
      <c r="AV1235" s="73"/>
      <c r="AW1235" s="68"/>
      <c r="AX1235" s="68"/>
      <c r="AY1235" s="68"/>
      <c r="AZ1235" s="68"/>
      <c r="BA1235" s="68"/>
      <c r="BB1235" s="67"/>
      <c r="BC1235" s="67"/>
      <c r="BD1235" s="67"/>
      <c r="BE1235" s="67"/>
      <c r="BF1235" s="95"/>
      <c r="BG1235" s="48"/>
      <c r="BH1235" s="48"/>
      <c r="BI1235" s="48"/>
      <c r="BJ1235" s="48"/>
      <c r="BK1235" s="48"/>
      <c r="BL1235" s="48"/>
      <c r="BM1235" s="48"/>
      <c r="BN1235" s="49"/>
      <c r="BO1235" s="48"/>
      <c r="BP1235" s="48"/>
      <c r="BQ1235" s="50"/>
    </row>
    <row r="1236" spans="1:69" ht="16" x14ac:dyDescent="0.35">
      <c r="A1236"/>
      <c r="D1236"/>
      <c r="G1236"/>
      <c r="H1236" s="20"/>
      <c r="I1236" s="20"/>
      <c r="J1236" s="20"/>
      <c r="K1236" s="20"/>
      <c r="L1236" s="20"/>
      <c r="Q1236" s="83"/>
      <c r="Y1236" s="20"/>
      <c r="AP1236" s="93"/>
      <c r="AQ1236" s="31"/>
      <c r="AR1236" s="31"/>
      <c r="AS1236" s="94"/>
      <c r="AT1236" s="31"/>
      <c r="AU1236" s="31"/>
      <c r="AV1236" s="94"/>
      <c r="AW1236" s="32"/>
      <c r="AX1236" s="32"/>
      <c r="AY1236" s="32"/>
      <c r="AZ1236" s="32"/>
      <c r="BA1236" s="32"/>
      <c r="BB1236" s="31"/>
      <c r="BC1236" s="31"/>
      <c r="BD1236" s="31"/>
      <c r="BE1236" s="31"/>
      <c r="BF1236" s="96"/>
      <c r="BG1236" s="48"/>
      <c r="BH1236" s="48"/>
      <c r="BI1236" s="48"/>
      <c r="BJ1236" s="48"/>
      <c r="BK1236" s="48"/>
      <c r="BL1236" s="48"/>
      <c r="BM1236" s="48"/>
      <c r="BN1236" s="49"/>
      <c r="BO1236" s="48"/>
      <c r="BP1236" s="48"/>
      <c r="BQ1236" s="50"/>
    </row>
    <row r="1237" spans="1:69" ht="16" x14ac:dyDescent="0.35">
      <c r="A1237"/>
      <c r="D1237"/>
      <c r="G1237"/>
      <c r="H1237" s="20"/>
      <c r="I1237" s="20"/>
      <c r="J1237" s="20"/>
      <c r="K1237" s="20"/>
      <c r="L1237" s="20"/>
      <c r="Q1237" s="83"/>
      <c r="Y1237" s="20"/>
      <c r="AP1237" s="92"/>
      <c r="AQ1237" s="67"/>
      <c r="AR1237" s="67"/>
      <c r="AS1237" s="73"/>
      <c r="AT1237" s="67"/>
      <c r="AU1237" s="67"/>
      <c r="AV1237" s="73"/>
      <c r="AW1237" s="68"/>
      <c r="AX1237" s="68"/>
      <c r="AY1237" s="68"/>
      <c r="AZ1237" s="68"/>
      <c r="BA1237" s="68"/>
      <c r="BB1237" s="67"/>
      <c r="BC1237" s="67"/>
      <c r="BD1237" s="67"/>
      <c r="BE1237" s="67"/>
      <c r="BF1237" s="95"/>
      <c r="BG1237" s="52"/>
      <c r="BH1237" s="52"/>
      <c r="BI1237" s="52"/>
      <c r="BJ1237" s="52"/>
      <c r="BK1237" s="52"/>
      <c r="BL1237" s="52"/>
      <c r="BM1237" s="52"/>
      <c r="BN1237" s="53"/>
      <c r="BO1237" s="52"/>
      <c r="BP1237" s="52"/>
      <c r="BQ1237" s="54"/>
    </row>
    <row r="1238" spans="1:69" ht="16" x14ac:dyDescent="0.35">
      <c r="A1238"/>
      <c r="D1238"/>
      <c r="G1238"/>
      <c r="H1238" s="20"/>
      <c r="I1238" s="20"/>
      <c r="J1238" s="20"/>
      <c r="K1238" s="20"/>
      <c r="L1238" s="20"/>
      <c r="Q1238" s="83"/>
      <c r="Y1238" s="20"/>
      <c r="AP1238" s="93"/>
      <c r="AQ1238" s="31"/>
      <c r="AR1238" s="31"/>
      <c r="AS1238" s="94"/>
      <c r="AT1238" s="31"/>
      <c r="AU1238" s="31"/>
      <c r="AV1238" s="94"/>
      <c r="AW1238" s="32"/>
      <c r="AX1238" s="32"/>
      <c r="AY1238" s="32"/>
      <c r="AZ1238" s="32"/>
      <c r="BA1238" s="32"/>
      <c r="BB1238" s="31"/>
      <c r="BC1238" s="31"/>
      <c r="BD1238" s="31"/>
      <c r="BE1238" s="31"/>
      <c r="BF1238" s="96"/>
      <c r="BG1238" s="48"/>
      <c r="BH1238" s="48"/>
      <c r="BI1238" s="48"/>
      <c r="BJ1238" s="48"/>
      <c r="BK1238" s="48"/>
      <c r="BL1238" s="48"/>
      <c r="BM1238" s="48"/>
      <c r="BN1238" s="49"/>
      <c r="BO1238" s="48"/>
      <c r="BP1238" s="48"/>
      <c r="BQ1238" s="50"/>
    </row>
    <row r="1239" spans="1:69" ht="16" x14ac:dyDescent="0.35">
      <c r="A1239"/>
      <c r="D1239"/>
      <c r="G1239"/>
      <c r="H1239" s="20"/>
      <c r="I1239" s="20"/>
      <c r="J1239" s="20"/>
      <c r="K1239" s="20"/>
      <c r="L1239" s="20"/>
      <c r="Q1239" s="83"/>
      <c r="Y1239" s="20"/>
      <c r="AP1239" s="92"/>
      <c r="AQ1239" s="67"/>
      <c r="AR1239" s="67"/>
      <c r="AS1239" s="73"/>
      <c r="AT1239" s="67"/>
      <c r="AU1239" s="67"/>
      <c r="AV1239" s="73"/>
      <c r="AW1239" s="68"/>
      <c r="AX1239" s="68"/>
      <c r="AY1239" s="68"/>
      <c r="AZ1239" s="68"/>
      <c r="BA1239" s="68"/>
      <c r="BB1239" s="67"/>
      <c r="BC1239" s="67"/>
      <c r="BD1239" s="67"/>
      <c r="BE1239" s="67"/>
      <c r="BF1239" s="95"/>
      <c r="BG1239" s="52"/>
      <c r="BH1239" s="52"/>
      <c r="BI1239" s="52"/>
      <c r="BJ1239" s="52"/>
      <c r="BK1239" s="52"/>
      <c r="BL1239" s="52"/>
      <c r="BM1239" s="52"/>
      <c r="BN1239" s="53"/>
      <c r="BO1239" s="52"/>
      <c r="BP1239" s="52"/>
      <c r="BQ1239" s="54"/>
    </row>
    <row r="1240" spans="1:69" ht="16" x14ac:dyDescent="0.35">
      <c r="A1240"/>
      <c r="D1240"/>
      <c r="G1240"/>
      <c r="H1240" s="20"/>
      <c r="I1240" s="20"/>
      <c r="J1240" s="20"/>
      <c r="K1240" s="20"/>
      <c r="L1240" s="20"/>
      <c r="Q1240" s="83"/>
      <c r="Y1240" s="20"/>
      <c r="AP1240" s="93"/>
      <c r="AQ1240" s="31"/>
      <c r="AR1240" s="31"/>
      <c r="AS1240" s="94"/>
      <c r="AT1240" s="31"/>
      <c r="AU1240" s="31"/>
      <c r="AV1240" s="94"/>
      <c r="AW1240" s="32"/>
      <c r="AX1240" s="32"/>
      <c r="AY1240" s="32"/>
      <c r="AZ1240" s="32"/>
      <c r="BA1240" s="32"/>
      <c r="BB1240" s="31"/>
      <c r="BC1240" s="31"/>
      <c r="BD1240" s="31"/>
      <c r="BE1240" s="31"/>
      <c r="BF1240" s="96"/>
      <c r="BG1240" s="48"/>
      <c r="BH1240" s="48"/>
      <c r="BI1240" s="48"/>
      <c r="BJ1240" s="48"/>
      <c r="BK1240" s="48"/>
      <c r="BL1240" s="48"/>
      <c r="BM1240" s="48"/>
      <c r="BN1240" s="49"/>
      <c r="BO1240" s="48"/>
      <c r="BP1240" s="48"/>
      <c r="BQ1240" s="50"/>
    </row>
    <row r="1241" spans="1:69" ht="16" x14ac:dyDescent="0.35">
      <c r="A1241"/>
      <c r="D1241"/>
      <c r="G1241"/>
      <c r="H1241" s="20"/>
      <c r="I1241" s="20"/>
      <c r="J1241" s="20"/>
      <c r="K1241" s="20"/>
      <c r="L1241" s="20"/>
      <c r="Q1241" s="83"/>
      <c r="Y1241" s="20"/>
      <c r="AP1241" s="92"/>
      <c r="AQ1241" s="67"/>
      <c r="AR1241" s="67"/>
      <c r="AS1241" s="73"/>
      <c r="AT1241" s="67"/>
      <c r="AU1241" s="67"/>
      <c r="AV1241" s="73"/>
      <c r="AW1241" s="68"/>
      <c r="AX1241" s="68"/>
      <c r="AY1241" s="68"/>
      <c r="AZ1241" s="68"/>
      <c r="BA1241" s="68"/>
      <c r="BB1241" s="67"/>
      <c r="BC1241" s="67"/>
      <c r="BD1241" s="67"/>
      <c r="BE1241" s="67"/>
      <c r="BF1241" s="95"/>
      <c r="BG1241" s="52"/>
      <c r="BH1241" s="52"/>
      <c r="BI1241" s="52"/>
      <c r="BJ1241" s="52"/>
      <c r="BK1241" s="52"/>
      <c r="BL1241" s="52"/>
      <c r="BM1241" s="52"/>
      <c r="BN1241" s="53"/>
      <c r="BO1241" s="52"/>
      <c r="BP1241" s="52"/>
      <c r="BQ1241" s="54"/>
    </row>
    <row r="1242" spans="1:69" ht="16" x14ac:dyDescent="0.35">
      <c r="A1242"/>
      <c r="D1242"/>
      <c r="G1242"/>
      <c r="H1242" s="20"/>
      <c r="I1242" s="20"/>
      <c r="J1242" s="20"/>
      <c r="K1242" s="20"/>
      <c r="L1242" s="20"/>
      <c r="Q1242" s="83"/>
      <c r="Y1242" s="20"/>
      <c r="AP1242" s="93"/>
      <c r="AQ1242" s="31"/>
      <c r="AR1242" s="31"/>
      <c r="AS1242" s="94"/>
      <c r="AT1242" s="31"/>
      <c r="AU1242" s="31"/>
      <c r="AV1242" s="94"/>
      <c r="AW1242" s="32"/>
      <c r="AX1242" s="32"/>
      <c r="AY1242" s="32"/>
      <c r="AZ1242" s="32"/>
      <c r="BA1242" s="32"/>
      <c r="BB1242" s="31"/>
      <c r="BC1242" s="31"/>
      <c r="BD1242" s="31"/>
      <c r="BE1242" s="31"/>
      <c r="BF1242" s="96"/>
      <c r="BG1242" s="48"/>
      <c r="BH1242" s="48"/>
      <c r="BI1242" s="48"/>
      <c r="BJ1242" s="48"/>
      <c r="BK1242" s="48"/>
      <c r="BL1242" s="48"/>
      <c r="BM1242" s="48"/>
      <c r="BN1242" s="49"/>
      <c r="BO1242" s="48"/>
      <c r="BP1242" s="48"/>
      <c r="BQ1242" s="50"/>
    </row>
    <row r="1243" spans="1:69" ht="16" x14ac:dyDescent="0.35">
      <c r="A1243"/>
      <c r="D1243"/>
      <c r="G1243"/>
      <c r="H1243" s="20"/>
      <c r="I1243" s="20"/>
      <c r="J1243" s="20"/>
      <c r="K1243" s="20"/>
      <c r="L1243" s="20"/>
      <c r="Q1243" s="83"/>
      <c r="Y1243" s="20"/>
      <c r="AP1243" s="92"/>
      <c r="AQ1243" s="67"/>
      <c r="AR1243" s="67"/>
      <c r="AS1243" s="73"/>
      <c r="AT1243" s="67"/>
      <c r="AU1243" s="67"/>
      <c r="AV1243" s="73"/>
      <c r="AW1243" s="68"/>
      <c r="AX1243" s="68"/>
      <c r="AY1243" s="68"/>
      <c r="AZ1243" s="68"/>
      <c r="BA1243" s="68"/>
      <c r="BB1243" s="67"/>
      <c r="BC1243" s="67"/>
      <c r="BD1243" s="67"/>
      <c r="BE1243" s="67"/>
      <c r="BF1243" s="95"/>
      <c r="BG1243" s="52"/>
      <c r="BH1243" s="52"/>
      <c r="BI1243" s="52"/>
      <c r="BJ1243" s="52"/>
      <c r="BK1243" s="52"/>
      <c r="BL1243" s="52"/>
      <c r="BM1243" s="52"/>
      <c r="BN1243" s="53"/>
      <c r="BO1243" s="52"/>
      <c r="BP1243" s="52"/>
      <c r="BQ1243" s="54"/>
    </row>
    <row r="1244" spans="1:69" ht="16" x14ac:dyDescent="0.35">
      <c r="A1244"/>
      <c r="D1244"/>
      <c r="G1244"/>
      <c r="H1244" s="20"/>
      <c r="I1244" s="20"/>
      <c r="J1244" s="20"/>
      <c r="K1244" s="20"/>
      <c r="L1244" s="20"/>
      <c r="Q1244" s="83"/>
      <c r="Y1244" s="20"/>
      <c r="AP1244" s="93"/>
      <c r="AQ1244" s="31"/>
      <c r="AR1244" s="31"/>
      <c r="AS1244" s="94"/>
      <c r="AT1244" s="31"/>
      <c r="AU1244" s="31"/>
      <c r="AV1244" s="94"/>
      <c r="AW1244" s="32"/>
      <c r="AX1244" s="32"/>
      <c r="AY1244" s="32"/>
      <c r="AZ1244" s="32"/>
      <c r="BA1244" s="32"/>
      <c r="BB1244" s="31"/>
      <c r="BC1244" s="31"/>
      <c r="BD1244" s="31"/>
      <c r="BE1244" s="31"/>
      <c r="BF1244" s="96"/>
      <c r="BG1244" s="48"/>
      <c r="BH1244" s="48"/>
      <c r="BI1244" s="48"/>
      <c r="BJ1244" s="48"/>
      <c r="BK1244" s="48"/>
      <c r="BL1244" s="48"/>
      <c r="BM1244" s="48"/>
      <c r="BN1244" s="49"/>
      <c r="BO1244" s="48"/>
      <c r="BP1244" s="48"/>
      <c r="BQ1244" s="50"/>
    </row>
    <row r="1245" spans="1:69" ht="16" x14ac:dyDescent="0.35">
      <c r="A1245"/>
      <c r="D1245"/>
      <c r="G1245"/>
      <c r="H1245" s="20"/>
      <c r="I1245" s="20"/>
      <c r="J1245" s="20"/>
      <c r="K1245" s="20"/>
      <c r="L1245" s="20"/>
      <c r="Q1245" s="83"/>
      <c r="Y1245" s="20"/>
      <c r="AP1245" s="92"/>
      <c r="AQ1245" s="67"/>
      <c r="AR1245" s="67"/>
      <c r="AS1245" s="73"/>
      <c r="AT1245" s="67"/>
      <c r="AU1245" s="67"/>
      <c r="AV1245" s="73"/>
      <c r="AW1245" s="68"/>
      <c r="AX1245" s="68"/>
      <c r="AY1245" s="68"/>
      <c r="AZ1245" s="68"/>
      <c r="BA1245" s="68"/>
      <c r="BB1245" s="67"/>
      <c r="BC1245" s="67"/>
      <c r="BD1245" s="67"/>
      <c r="BE1245" s="67"/>
      <c r="BF1245" s="95"/>
      <c r="BG1245" s="52"/>
      <c r="BH1245" s="52"/>
      <c r="BI1245" s="52"/>
      <c r="BJ1245" s="52"/>
      <c r="BK1245" s="52"/>
      <c r="BL1245" s="52"/>
      <c r="BM1245" s="52"/>
      <c r="BN1245" s="53"/>
      <c r="BO1245" s="52"/>
      <c r="BP1245" s="52"/>
      <c r="BQ1245" s="54"/>
    </row>
    <row r="1246" spans="1:69" ht="16" x14ac:dyDescent="0.35">
      <c r="A1246"/>
      <c r="D1246"/>
      <c r="G1246"/>
      <c r="H1246" s="20"/>
      <c r="I1246" s="20"/>
      <c r="J1246" s="20"/>
      <c r="K1246" s="20"/>
      <c r="L1246" s="20"/>
      <c r="Q1246" s="83"/>
      <c r="Y1246" s="20"/>
      <c r="AP1246" s="93"/>
      <c r="AQ1246" s="31"/>
      <c r="AR1246" s="31"/>
      <c r="AS1246" s="94"/>
      <c r="AT1246" s="31"/>
      <c r="AU1246" s="31"/>
      <c r="AV1246" s="94"/>
      <c r="AW1246" s="32"/>
      <c r="AX1246" s="32"/>
      <c r="AY1246" s="32"/>
      <c r="AZ1246" s="32"/>
      <c r="BA1246" s="32"/>
      <c r="BB1246" s="31"/>
      <c r="BC1246" s="31"/>
      <c r="BD1246" s="31"/>
      <c r="BE1246" s="31"/>
      <c r="BF1246" s="96"/>
      <c r="BG1246" s="48"/>
      <c r="BH1246" s="48"/>
      <c r="BI1246" s="48"/>
      <c r="BJ1246" s="48"/>
      <c r="BK1246" s="48"/>
      <c r="BL1246" s="48"/>
      <c r="BM1246" s="48"/>
      <c r="BN1246" s="49"/>
      <c r="BO1246" s="48"/>
      <c r="BP1246" s="48"/>
      <c r="BQ1246" s="50"/>
    </row>
    <row r="1247" spans="1:69" ht="16" x14ac:dyDescent="0.35">
      <c r="A1247"/>
      <c r="D1247"/>
      <c r="G1247"/>
      <c r="H1247" s="20"/>
      <c r="I1247" s="20"/>
      <c r="J1247" s="20"/>
      <c r="K1247" s="20"/>
      <c r="L1247" s="20"/>
      <c r="Q1247" s="83"/>
      <c r="Y1247" s="20"/>
      <c r="AP1247" s="92"/>
      <c r="AQ1247" s="67"/>
      <c r="AR1247" s="67"/>
      <c r="AS1247" s="73"/>
      <c r="AT1247" s="67"/>
      <c r="AU1247" s="67"/>
      <c r="AV1247" s="73"/>
      <c r="AW1247" s="68"/>
      <c r="AX1247" s="68"/>
      <c r="AY1247" s="68"/>
      <c r="AZ1247" s="68"/>
      <c r="BA1247" s="68"/>
      <c r="BB1247" s="67"/>
      <c r="BC1247" s="67"/>
      <c r="BD1247" s="67"/>
      <c r="BE1247" s="67"/>
      <c r="BF1247" s="95"/>
      <c r="BG1247" s="52"/>
      <c r="BH1247" s="52"/>
      <c r="BI1247" s="52"/>
      <c r="BJ1247" s="52"/>
      <c r="BK1247" s="52"/>
      <c r="BL1247" s="52"/>
      <c r="BM1247" s="52"/>
      <c r="BN1247" s="53"/>
      <c r="BO1247" s="52"/>
      <c r="BP1247" s="52"/>
      <c r="BQ1247" s="54"/>
    </row>
    <row r="1248" spans="1:69" ht="16" x14ac:dyDescent="0.35">
      <c r="A1248"/>
      <c r="D1248"/>
      <c r="G1248"/>
      <c r="H1248" s="20"/>
      <c r="I1248" s="20"/>
      <c r="J1248" s="20"/>
      <c r="K1248" s="20"/>
      <c r="L1248" s="20"/>
      <c r="Q1248" s="83"/>
      <c r="Y1248" s="20"/>
      <c r="AP1248" s="93"/>
      <c r="AQ1248" s="31"/>
      <c r="AR1248" s="31"/>
      <c r="AS1248" s="94"/>
      <c r="AT1248" s="31"/>
      <c r="AU1248" s="31"/>
      <c r="AV1248" s="94"/>
      <c r="AW1248" s="32"/>
      <c r="AX1248" s="32"/>
      <c r="AY1248" s="32"/>
      <c r="AZ1248" s="32"/>
      <c r="BA1248" s="32"/>
      <c r="BB1248" s="31"/>
      <c r="BC1248" s="31"/>
      <c r="BD1248" s="31"/>
      <c r="BE1248" s="31"/>
      <c r="BF1248" s="96"/>
      <c r="BG1248" s="48"/>
      <c r="BH1248" s="48"/>
      <c r="BI1248" s="48"/>
      <c r="BJ1248" s="48"/>
      <c r="BK1248" s="48"/>
      <c r="BL1248" s="48"/>
      <c r="BM1248" s="48"/>
      <c r="BN1248" s="49"/>
      <c r="BO1248" s="48"/>
      <c r="BP1248" s="48"/>
      <c r="BQ1248" s="50"/>
    </row>
    <row r="1249" spans="1:69" ht="16" x14ac:dyDescent="0.35">
      <c r="A1249"/>
      <c r="D1249"/>
      <c r="G1249"/>
      <c r="H1249" s="20"/>
      <c r="I1249" s="20"/>
      <c r="J1249" s="20"/>
      <c r="K1249" s="20"/>
      <c r="L1249" s="20"/>
      <c r="Q1249" s="83"/>
      <c r="Y1249" s="20"/>
      <c r="AP1249" s="92"/>
      <c r="AQ1249" s="67"/>
      <c r="AR1249" s="67"/>
      <c r="AS1249" s="73"/>
      <c r="AT1249" s="67"/>
      <c r="AU1249" s="67"/>
      <c r="AV1249" s="73"/>
      <c r="AW1249" s="68"/>
      <c r="AX1249" s="68"/>
      <c r="AY1249" s="68"/>
      <c r="AZ1249" s="68"/>
      <c r="BA1249" s="68"/>
      <c r="BB1249" s="67"/>
      <c r="BC1249" s="67"/>
      <c r="BD1249" s="67"/>
      <c r="BE1249" s="67"/>
      <c r="BF1249" s="95"/>
      <c r="BG1249" s="52"/>
      <c r="BH1249" s="52"/>
      <c r="BI1249" s="52"/>
      <c r="BJ1249" s="52"/>
      <c r="BK1249" s="52"/>
      <c r="BL1249" s="52"/>
      <c r="BM1249" s="52"/>
      <c r="BN1249" s="53"/>
      <c r="BO1249" s="52"/>
      <c r="BP1249" s="52"/>
      <c r="BQ1249" s="54"/>
    </row>
    <row r="1250" spans="1:69" ht="16" x14ac:dyDescent="0.35">
      <c r="A1250"/>
      <c r="D1250"/>
      <c r="G1250"/>
      <c r="H1250" s="20"/>
      <c r="I1250" s="20"/>
      <c r="J1250" s="20"/>
      <c r="K1250" s="20"/>
      <c r="L1250" s="20"/>
      <c r="Q1250" s="83"/>
      <c r="Y1250" s="20"/>
      <c r="AP1250" s="93"/>
      <c r="AQ1250" s="31"/>
      <c r="AR1250" s="31"/>
      <c r="AS1250" s="94"/>
      <c r="AT1250" s="31"/>
      <c r="AU1250" s="31"/>
      <c r="AV1250" s="94"/>
      <c r="AW1250" s="32"/>
      <c r="AX1250" s="32"/>
      <c r="AY1250" s="32"/>
      <c r="AZ1250" s="32"/>
      <c r="BA1250" s="32"/>
      <c r="BB1250" s="31"/>
      <c r="BC1250" s="31"/>
      <c r="BD1250" s="31"/>
      <c r="BE1250" s="31"/>
      <c r="BF1250" s="96"/>
      <c r="BG1250" s="48"/>
      <c r="BH1250" s="48"/>
      <c r="BI1250" s="48"/>
      <c r="BJ1250" s="48"/>
      <c r="BK1250" s="48"/>
      <c r="BL1250" s="48"/>
      <c r="BM1250" s="48"/>
      <c r="BN1250" s="49"/>
      <c r="BO1250" s="48"/>
      <c r="BP1250" s="48"/>
      <c r="BQ1250" s="50"/>
    </row>
    <row r="1251" spans="1:69" ht="16" x14ac:dyDescent="0.35">
      <c r="A1251"/>
      <c r="D1251"/>
      <c r="G1251"/>
      <c r="H1251" s="20"/>
      <c r="I1251" s="20"/>
      <c r="J1251" s="20"/>
      <c r="K1251" s="20"/>
      <c r="L1251" s="20"/>
      <c r="Q1251" s="83"/>
      <c r="Y1251" s="20"/>
      <c r="AP1251" s="92"/>
      <c r="AQ1251" s="67"/>
      <c r="AR1251" s="67"/>
      <c r="AS1251" s="73"/>
      <c r="AT1251" s="67"/>
      <c r="AU1251" s="67"/>
      <c r="AV1251" s="73"/>
      <c r="AW1251" s="68"/>
      <c r="AX1251" s="68"/>
      <c r="AY1251" s="68"/>
      <c r="AZ1251" s="68"/>
      <c r="BA1251" s="68"/>
      <c r="BB1251" s="67"/>
      <c r="BC1251" s="67"/>
      <c r="BD1251" s="67"/>
      <c r="BE1251" s="67"/>
      <c r="BF1251" s="95"/>
      <c r="BG1251" s="52"/>
      <c r="BH1251" s="52"/>
      <c r="BI1251" s="52"/>
      <c r="BJ1251" s="52"/>
      <c r="BK1251" s="52"/>
      <c r="BL1251" s="52"/>
      <c r="BM1251" s="52"/>
      <c r="BN1251" s="53"/>
      <c r="BO1251" s="52"/>
      <c r="BP1251" s="52"/>
      <c r="BQ1251" s="54"/>
    </row>
    <row r="1252" spans="1:69" ht="16" x14ac:dyDescent="0.35">
      <c r="A1252"/>
      <c r="D1252"/>
      <c r="G1252"/>
      <c r="H1252" s="20"/>
      <c r="I1252" s="20"/>
      <c r="J1252" s="20"/>
      <c r="K1252" s="20"/>
      <c r="L1252" s="20"/>
      <c r="Q1252" s="83"/>
      <c r="Y1252" s="20"/>
      <c r="AP1252" s="93"/>
      <c r="AQ1252" s="31"/>
      <c r="AR1252" s="31"/>
      <c r="AS1252" s="94"/>
      <c r="AT1252" s="31"/>
      <c r="AU1252" s="31"/>
      <c r="AV1252" s="94"/>
      <c r="AW1252" s="32"/>
      <c r="AX1252" s="32"/>
      <c r="AY1252" s="32"/>
      <c r="AZ1252" s="32"/>
      <c r="BA1252" s="32"/>
      <c r="BB1252" s="31"/>
      <c r="BC1252" s="31"/>
      <c r="BD1252" s="31"/>
      <c r="BE1252" s="31"/>
      <c r="BF1252" s="96"/>
      <c r="BG1252" s="48"/>
      <c r="BH1252" s="48"/>
      <c r="BI1252" s="48"/>
      <c r="BJ1252" s="48"/>
      <c r="BK1252" s="48"/>
      <c r="BL1252" s="48"/>
      <c r="BM1252" s="48"/>
      <c r="BN1252" s="49"/>
      <c r="BO1252" s="48"/>
      <c r="BP1252" s="48"/>
      <c r="BQ1252" s="50"/>
    </row>
    <row r="1253" spans="1:69" ht="16" x14ac:dyDescent="0.35">
      <c r="A1253"/>
      <c r="D1253"/>
      <c r="G1253"/>
      <c r="H1253" s="20"/>
      <c r="I1253" s="20"/>
      <c r="J1253" s="20"/>
      <c r="K1253" s="20"/>
      <c r="L1253" s="20"/>
      <c r="Q1253" s="83"/>
      <c r="Y1253" s="20"/>
      <c r="AP1253" s="92"/>
      <c r="AQ1253" s="67"/>
      <c r="AR1253" s="67"/>
      <c r="AS1253" s="73"/>
      <c r="AT1253" s="67"/>
      <c r="AU1253" s="67"/>
      <c r="AV1253" s="73"/>
      <c r="AW1253" s="68"/>
      <c r="AX1253" s="68"/>
      <c r="AY1253" s="68"/>
      <c r="AZ1253" s="68"/>
      <c r="BA1253" s="68"/>
      <c r="BB1253" s="67"/>
      <c r="BC1253" s="67"/>
      <c r="BD1253" s="67"/>
      <c r="BE1253" s="67"/>
      <c r="BF1253" s="95"/>
      <c r="BG1253" s="52"/>
      <c r="BH1253" s="52"/>
      <c r="BI1253" s="52"/>
      <c r="BJ1253" s="52"/>
      <c r="BK1253" s="52"/>
      <c r="BL1253" s="52"/>
      <c r="BM1253" s="52"/>
      <c r="BN1253" s="53"/>
      <c r="BO1253" s="52"/>
      <c r="BP1253" s="52"/>
      <c r="BQ1253" s="54"/>
    </row>
    <row r="1254" spans="1:69" ht="16" x14ac:dyDescent="0.35">
      <c r="A1254"/>
      <c r="D1254"/>
      <c r="G1254"/>
      <c r="H1254" s="20"/>
      <c r="I1254" s="20"/>
      <c r="J1254" s="20"/>
      <c r="K1254" s="20"/>
      <c r="L1254" s="20"/>
      <c r="Q1254" s="83"/>
      <c r="Y1254" s="20"/>
      <c r="AP1254" s="93"/>
      <c r="AQ1254" s="31"/>
      <c r="AR1254" s="31"/>
      <c r="AS1254" s="94"/>
      <c r="AT1254" s="31"/>
      <c r="AU1254" s="31"/>
      <c r="AV1254" s="94"/>
      <c r="AW1254" s="32"/>
      <c r="AX1254" s="32"/>
      <c r="AY1254" s="32"/>
      <c r="AZ1254" s="32"/>
      <c r="BA1254" s="32"/>
      <c r="BB1254" s="31"/>
      <c r="BC1254" s="31"/>
      <c r="BD1254" s="31"/>
      <c r="BE1254" s="31"/>
      <c r="BF1254" s="96"/>
      <c r="BG1254" s="48"/>
      <c r="BH1254" s="48"/>
      <c r="BI1254" s="48"/>
      <c r="BJ1254" s="48"/>
      <c r="BK1254" s="48"/>
      <c r="BL1254" s="48"/>
      <c r="BM1254" s="48"/>
      <c r="BN1254" s="49"/>
      <c r="BO1254" s="48"/>
      <c r="BP1254" s="48"/>
      <c r="BQ1254" s="50"/>
    </row>
    <row r="1255" spans="1:69" ht="16" x14ac:dyDescent="0.35">
      <c r="A1255"/>
      <c r="D1255"/>
      <c r="G1255"/>
      <c r="H1255" s="20"/>
      <c r="I1255" s="20"/>
      <c r="J1255" s="20"/>
      <c r="K1255" s="20"/>
      <c r="L1255" s="20"/>
      <c r="Q1255" s="83"/>
      <c r="Y1255" s="20"/>
      <c r="AP1255" s="92"/>
      <c r="AQ1255" s="67"/>
      <c r="AR1255" s="67"/>
      <c r="AS1255" s="73"/>
      <c r="AT1255" s="67"/>
      <c r="AU1255" s="67"/>
      <c r="AV1255" s="73"/>
      <c r="AW1255" s="68"/>
      <c r="AX1255" s="68"/>
      <c r="AY1255" s="68"/>
      <c r="AZ1255" s="68"/>
      <c r="BA1255" s="68"/>
      <c r="BB1255" s="67"/>
      <c r="BC1255" s="67"/>
      <c r="BD1255" s="67"/>
      <c r="BE1255" s="67"/>
      <c r="BF1255" s="95"/>
      <c r="BG1255" s="52"/>
      <c r="BH1255" s="52"/>
      <c r="BI1255" s="52"/>
      <c r="BJ1255" s="52"/>
      <c r="BK1255" s="52"/>
      <c r="BL1255" s="52"/>
      <c r="BM1255" s="52"/>
      <c r="BN1255" s="53"/>
      <c r="BO1255" s="52"/>
      <c r="BP1255" s="52"/>
      <c r="BQ1255" s="54"/>
    </row>
    <row r="1256" spans="1:69" ht="16" x14ac:dyDescent="0.35">
      <c r="A1256"/>
      <c r="D1256"/>
      <c r="G1256"/>
      <c r="H1256" s="20"/>
      <c r="I1256" s="20"/>
      <c r="J1256" s="20"/>
      <c r="K1256" s="20"/>
      <c r="L1256" s="20"/>
      <c r="Q1256" s="83"/>
      <c r="Y1256" s="20"/>
      <c r="AP1256" s="93"/>
      <c r="AQ1256" s="31"/>
      <c r="AR1256" s="31"/>
      <c r="AS1256" s="94"/>
      <c r="AT1256" s="31"/>
      <c r="AU1256" s="31"/>
      <c r="AV1256" s="94"/>
      <c r="AW1256" s="32"/>
      <c r="AX1256" s="32"/>
      <c r="AY1256" s="32"/>
      <c r="AZ1256" s="32"/>
      <c r="BA1256" s="32"/>
      <c r="BB1256" s="31"/>
      <c r="BC1256" s="31"/>
      <c r="BD1256" s="31"/>
      <c r="BE1256" s="31"/>
      <c r="BF1256" s="96"/>
      <c r="BG1256" s="48"/>
      <c r="BH1256" s="48"/>
      <c r="BI1256" s="48"/>
      <c r="BJ1256" s="48"/>
      <c r="BK1256" s="48"/>
      <c r="BL1256" s="48"/>
      <c r="BM1256" s="48"/>
      <c r="BN1256" s="49"/>
      <c r="BO1256" s="48"/>
      <c r="BP1256" s="48"/>
      <c r="BQ1256" s="50"/>
    </row>
    <row r="1257" spans="1:69" ht="16" x14ac:dyDescent="0.35">
      <c r="A1257"/>
      <c r="D1257"/>
      <c r="G1257"/>
      <c r="H1257" s="20"/>
      <c r="I1257" s="20"/>
      <c r="J1257" s="20"/>
      <c r="K1257" s="20"/>
      <c r="L1257" s="20"/>
      <c r="Q1257" s="83"/>
      <c r="Y1257" s="20"/>
      <c r="AP1257" s="92"/>
      <c r="AQ1257" s="67"/>
      <c r="AR1257" s="67"/>
      <c r="AS1257" s="73"/>
      <c r="AT1257" s="67"/>
      <c r="AU1257" s="67"/>
      <c r="AV1257" s="73"/>
      <c r="AW1257" s="68"/>
      <c r="AX1257" s="68"/>
      <c r="AY1257" s="68"/>
      <c r="AZ1257" s="68"/>
      <c r="BA1257" s="68"/>
      <c r="BB1257" s="67"/>
      <c r="BC1257" s="67"/>
      <c r="BD1257" s="67"/>
      <c r="BE1257" s="67"/>
      <c r="BF1257" s="95"/>
      <c r="BG1257" s="52"/>
      <c r="BH1257" s="52"/>
      <c r="BI1257" s="52"/>
      <c r="BJ1257" s="52"/>
      <c r="BK1257" s="52"/>
      <c r="BL1257" s="52"/>
      <c r="BM1257" s="52"/>
      <c r="BN1257" s="53"/>
      <c r="BO1257" s="52"/>
      <c r="BP1257" s="52"/>
      <c r="BQ1257" s="54"/>
    </row>
    <row r="1258" spans="1:69" ht="16" x14ac:dyDescent="0.35">
      <c r="A1258"/>
      <c r="D1258"/>
      <c r="G1258"/>
      <c r="H1258" s="20"/>
      <c r="I1258" s="20"/>
      <c r="J1258" s="20"/>
      <c r="K1258" s="20"/>
      <c r="L1258" s="20"/>
      <c r="Q1258" s="83"/>
      <c r="Y1258" s="20"/>
      <c r="AP1258" s="93"/>
      <c r="AQ1258" s="31"/>
      <c r="AR1258" s="31"/>
      <c r="AS1258" s="94"/>
      <c r="AT1258" s="31"/>
      <c r="AU1258" s="31"/>
      <c r="AV1258" s="94"/>
      <c r="AW1258" s="32"/>
      <c r="AX1258" s="32"/>
      <c r="AY1258" s="32"/>
      <c r="AZ1258" s="32"/>
      <c r="BA1258" s="32"/>
      <c r="BB1258" s="31"/>
      <c r="BC1258" s="31"/>
      <c r="BD1258" s="31"/>
      <c r="BE1258" s="31"/>
      <c r="BF1258" s="96"/>
      <c r="BG1258" s="48"/>
      <c r="BH1258" s="48"/>
      <c r="BI1258" s="48"/>
      <c r="BJ1258" s="48"/>
      <c r="BK1258" s="48"/>
      <c r="BL1258" s="48"/>
      <c r="BM1258" s="48"/>
      <c r="BN1258" s="49"/>
      <c r="BO1258" s="48"/>
      <c r="BP1258" s="48"/>
      <c r="BQ1258" s="50"/>
    </row>
    <row r="1259" spans="1:69" ht="16" x14ac:dyDescent="0.35">
      <c r="A1259"/>
      <c r="D1259"/>
      <c r="G1259"/>
      <c r="H1259" s="20"/>
      <c r="I1259" s="20"/>
      <c r="J1259" s="20"/>
      <c r="K1259" s="20"/>
      <c r="L1259" s="20"/>
      <c r="Q1259" s="83"/>
      <c r="Y1259" s="20"/>
      <c r="AP1259" s="92"/>
      <c r="AQ1259" s="67"/>
      <c r="AR1259" s="67"/>
      <c r="AS1259" s="73"/>
      <c r="AT1259" s="67"/>
      <c r="AU1259" s="67"/>
      <c r="AV1259" s="73"/>
      <c r="AW1259" s="68"/>
      <c r="AX1259" s="68"/>
      <c r="AY1259" s="68"/>
      <c r="AZ1259" s="68"/>
      <c r="BA1259" s="68"/>
      <c r="BB1259" s="67"/>
      <c r="BC1259" s="67"/>
      <c r="BD1259" s="67"/>
      <c r="BE1259" s="67"/>
      <c r="BF1259" s="95"/>
      <c r="BG1259" s="52"/>
      <c r="BH1259" s="52"/>
      <c r="BI1259" s="52"/>
      <c r="BJ1259" s="52"/>
      <c r="BK1259" s="52"/>
      <c r="BL1259" s="52"/>
      <c r="BM1259" s="52"/>
      <c r="BN1259" s="53"/>
      <c r="BO1259" s="52"/>
      <c r="BP1259" s="52"/>
      <c r="BQ1259" s="54"/>
    </row>
    <row r="1260" spans="1:69" ht="16" x14ac:dyDescent="0.35">
      <c r="A1260"/>
      <c r="D1260"/>
      <c r="G1260"/>
      <c r="H1260" s="20"/>
      <c r="I1260" s="20"/>
      <c r="J1260" s="20"/>
      <c r="K1260" s="20"/>
      <c r="L1260" s="20"/>
      <c r="Q1260" s="83"/>
      <c r="Y1260" s="20"/>
      <c r="AP1260" s="93"/>
      <c r="AQ1260" s="31"/>
      <c r="AR1260" s="31"/>
      <c r="AS1260" s="94"/>
      <c r="AT1260" s="31"/>
      <c r="AU1260" s="31"/>
      <c r="AV1260" s="94"/>
      <c r="AW1260" s="32"/>
      <c r="AX1260" s="32"/>
      <c r="AY1260" s="32"/>
      <c r="AZ1260" s="32"/>
      <c r="BA1260" s="32"/>
      <c r="BB1260" s="31"/>
      <c r="BC1260" s="31"/>
      <c r="BD1260" s="31"/>
      <c r="BE1260" s="31"/>
      <c r="BF1260" s="96"/>
      <c r="BG1260" s="48"/>
      <c r="BH1260" s="48"/>
      <c r="BI1260" s="48"/>
      <c r="BJ1260" s="48"/>
      <c r="BK1260" s="48"/>
      <c r="BL1260" s="48"/>
      <c r="BM1260" s="48"/>
      <c r="BN1260" s="49"/>
      <c r="BO1260" s="48"/>
      <c r="BP1260" s="48"/>
      <c r="BQ1260" s="50"/>
    </row>
    <row r="1261" spans="1:69" ht="16" x14ac:dyDescent="0.35">
      <c r="A1261"/>
      <c r="D1261"/>
      <c r="G1261"/>
      <c r="H1261" s="20"/>
      <c r="I1261" s="20"/>
      <c r="J1261" s="20"/>
      <c r="K1261" s="20"/>
      <c r="L1261" s="20"/>
      <c r="Q1261" s="83"/>
      <c r="Y1261" s="20"/>
      <c r="AP1261" s="92"/>
      <c r="AQ1261" s="67"/>
      <c r="AR1261" s="67"/>
      <c r="AS1261" s="73"/>
      <c r="AT1261" s="67"/>
      <c r="AU1261" s="67"/>
      <c r="AV1261" s="73"/>
      <c r="AW1261" s="68"/>
      <c r="AX1261" s="68"/>
      <c r="AY1261" s="68"/>
      <c r="AZ1261" s="68"/>
      <c r="BA1261" s="68"/>
      <c r="BB1261" s="67"/>
      <c r="BC1261" s="67"/>
      <c r="BD1261" s="67"/>
      <c r="BE1261" s="67"/>
      <c r="BF1261" s="95"/>
      <c r="BG1261" s="52"/>
      <c r="BH1261" s="52"/>
      <c r="BI1261" s="52"/>
      <c r="BJ1261" s="52"/>
      <c r="BK1261" s="52"/>
      <c r="BL1261" s="52"/>
      <c r="BM1261" s="52"/>
      <c r="BN1261" s="53"/>
      <c r="BO1261" s="52"/>
      <c r="BP1261" s="52"/>
      <c r="BQ1261" s="54"/>
    </row>
    <row r="1262" spans="1:69" ht="16" x14ac:dyDescent="0.35">
      <c r="A1262"/>
      <c r="D1262"/>
      <c r="G1262"/>
      <c r="H1262" s="20"/>
      <c r="I1262" s="20"/>
      <c r="J1262" s="20"/>
      <c r="K1262" s="20"/>
      <c r="L1262" s="20"/>
      <c r="Q1262" s="83"/>
      <c r="Y1262" s="20"/>
      <c r="AP1262" s="93"/>
      <c r="AQ1262" s="31"/>
      <c r="AR1262" s="31"/>
      <c r="AS1262" s="94"/>
      <c r="AT1262" s="31"/>
      <c r="AU1262" s="31"/>
      <c r="AV1262" s="94"/>
      <c r="AW1262" s="32"/>
      <c r="AX1262" s="32"/>
      <c r="AY1262" s="32"/>
      <c r="AZ1262" s="32"/>
      <c r="BA1262" s="32"/>
      <c r="BB1262" s="31"/>
      <c r="BC1262" s="31"/>
      <c r="BD1262" s="31"/>
      <c r="BE1262" s="31"/>
      <c r="BF1262" s="96"/>
      <c r="BG1262" s="48"/>
      <c r="BH1262" s="48"/>
      <c r="BI1262" s="48"/>
      <c r="BJ1262" s="48"/>
      <c r="BK1262" s="48"/>
      <c r="BL1262" s="48"/>
      <c r="BM1262" s="48"/>
      <c r="BN1262" s="49"/>
      <c r="BO1262" s="48"/>
      <c r="BP1262" s="48"/>
      <c r="BQ1262" s="50"/>
    </row>
    <row r="1263" spans="1:69" ht="16" x14ac:dyDescent="0.35">
      <c r="A1263"/>
      <c r="D1263"/>
      <c r="G1263"/>
      <c r="H1263" s="20"/>
      <c r="I1263" s="20"/>
      <c r="J1263" s="20"/>
      <c r="K1263" s="20"/>
      <c r="L1263" s="20"/>
      <c r="Q1263" s="83"/>
      <c r="Y1263" s="20"/>
      <c r="AP1263" s="92"/>
      <c r="AQ1263" s="67"/>
      <c r="AR1263" s="67"/>
      <c r="AS1263" s="73"/>
      <c r="AT1263" s="67"/>
      <c r="AU1263" s="67"/>
      <c r="AV1263" s="73"/>
      <c r="AW1263" s="68"/>
      <c r="AX1263" s="68"/>
      <c r="AY1263" s="68"/>
      <c r="AZ1263" s="68"/>
      <c r="BA1263" s="68"/>
      <c r="BB1263" s="67"/>
      <c r="BC1263" s="67"/>
      <c r="BD1263" s="67"/>
      <c r="BE1263" s="67"/>
      <c r="BF1263" s="95"/>
      <c r="BG1263" s="52"/>
      <c r="BH1263" s="52"/>
      <c r="BI1263" s="52"/>
      <c r="BJ1263" s="52"/>
      <c r="BK1263" s="52"/>
      <c r="BL1263" s="52"/>
      <c r="BM1263" s="52"/>
      <c r="BN1263" s="53"/>
      <c r="BO1263" s="52"/>
      <c r="BP1263" s="52"/>
      <c r="BQ1263" s="54"/>
    </row>
    <row r="1264" spans="1:69" ht="16" x14ac:dyDescent="0.35">
      <c r="A1264"/>
      <c r="D1264"/>
      <c r="G1264"/>
      <c r="H1264" s="20"/>
      <c r="I1264" s="20"/>
      <c r="J1264" s="20"/>
      <c r="K1264" s="20"/>
      <c r="L1264" s="20"/>
      <c r="Q1264" s="83"/>
      <c r="Y1264" s="20"/>
      <c r="AP1264" s="93"/>
      <c r="AQ1264" s="31"/>
      <c r="AR1264" s="31"/>
      <c r="AS1264" s="94"/>
      <c r="AT1264" s="31"/>
      <c r="AU1264" s="31"/>
      <c r="AV1264" s="94"/>
      <c r="AW1264" s="32"/>
      <c r="AX1264" s="32"/>
      <c r="AY1264" s="32"/>
      <c r="AZ1264" s="32"/>
      <c r="BA1264" s="32"/>
      <c r="BB1264" s="31"/>
      <c r="BC1264" s="31"/>
      <c r="BD1264" s="31"/>
      <c r="BE1264" s="31"/>
      <c r="BF1264" s="96"/>
      <c r="BG1264" s="48"/>
      <c r="BH1264" s="48"/>
      <c r="BI1264" s="48"/>
      <c r="BJ1264" s="48"/>
      <c r="BK1264" s="48"/>
      <c r="BL1264" s="48"/>
      <c r="BM1264" s="48"/>
      <c r="BN1264" s="49"/>
      <c r="BO1264" s="48"/>
      <c r="BP1264" s="48"/>
      <c r="BQ1264" s="50"/>
    </row>
    <row r="1265" spans="1:69" ht="16" x14ac:dyDescent="0.35">
      <c r="A1265"/>
      <c r="D1265"/>
      <c r="G1265"/>
      <c r="H1265" s="20"/>
      <c r="I1265" s="20"/>
      <c r="J1265" s="20"/>
      <c r="K1265" s="20"/>
      <c r="L1265" s="20"/>
      <c r="Q1265" s="83"/>
      <c r="Y1265" s="20"/>
      <c r="AP1265" s="92"/>
      <c r="AQ1265" s="67"/>
      <c r="AR1265" s="67"/>
      <c r="AS1265" s="73"/>
      <c r="AT1265" s="67"/>
      <c r="AU1265" s="67"/>
      <c r="AV1265" s="73"/>
      <c r="AW1265" s="68"/>
      <c r="AX1265" s="68"/>
      <c r="AY1265" s="68"/>
      <c r="AZ1265" s="68"/>
      <c r="BA1265" s="68"/>
      <c r="BB1265" s="67"/>
      <c r="BC1265" s="67"/>
      <c r="BD1265" s="67"/>
      <c r="BE1265" s="67"/>
      <c r="BF1265" s="95"/>
      <c r="BG1265" s="52"/>
      <c r="BH1265" s="52"/>
      <c r="BI1265" s="52"/>
      <c r="BJ1265" s="52"/>
      <c r="BK1265" s="52"/>
      <c r="BL1265" s="52"/>
      <c r="BM1265" s="52"/>
      <c r="BN1265" s="53"/>
      <c r="BO1265" s="52"/>
      <c r="BP1265" s="52"/>
      <c r="BQ1265" s="54"/>
    </row>
    <row r="1266" spans="1:69" ht="16" x14ac:dyDescent="0.35">
      <c r="A1266"/>
      <c r="D1266"/>
      <c r="G1266"/>
      <c r="H1266" s="20"/>
      <c r="I1266" s="20"/>
      <c r="J1266" s="20"/>
      <c r="K1266" s="20"/>
      <c r="L1266" s="20"/>
      <c r="Q1266" s="83"/>
      <c r="Y1266" s="20"/>
      <c r="AP1266" s="93"/>
      <c r="AQ1266" s="31"/>
      <c r="AR1266" s="31"/>
      <c r="AS1266" s="94"/>
      <c r="AT1266" s="31"/>
      <c r="AU1266" s="31"/>
      <c r="AV1266" s="94"/>
      <c r="AW1266" s="32"/>
      <c r="AX1266" s="32"/>
      <c r="AY1266" s="32"/>
      <c r="AZ1266" s="32"/>
      <c r="BA1266" s="32"/>
      <c r="BB1266" s="31"/>
      <c r="BC1266" s="31"/>
      <c r="BD1266" s="31"/>
      <c r="BE1266" s="31"/>
      <c r="BF1266" s="96"/>
      <c r="BG1266" s="48"/>
      <c r="BH1266" s="48"/>
      <c r="BI1266" s="48"/>
      <c r="BJ1266" s="48"/>
      <c r="BK1266" s="48"/>
      <c r="BL1266" s="48"/>
      <c r="BM1266" s="48"/>
      <c r="BN1266" s="49"/>
      <c r="BO1266" s="48"/>
      <c r="BP1266" s="48"/>
      <c r="BQ1266" s="50"/>
    </row>
    <row r="1267" spans="1:69" ht="16" x14ac:dyDescent="0.35">
      <c r="A1267"/>
      <c r="D1267"/>
      <c r="G1267"/>
      <c r="H1267" s="20"/>
      <c r="I1267" s="20"/>
      <c r="J1267" s="20"/>
      <c r="K1267" s="20"/>
      <c r="L1267" s="20"/>
      <c r="Q1267" s="83"/>
      <c r="Y1267" s="20"/>
      <c r="AP1267" s="92"/>
      <c r="AQ1267" s="67"/>
      <c r="AR1267" s="67"/>
      <c r="AS1267" s="73"/>
      <c r="AT1267" s="67"/>
      <c r="AU1267" s="67"/>
      <c r="AV1267" s="73"/>
      <c r="AW1267" s="68"/>
      <c r="AX1267" s="68"/>
      <c r="AY1267" s="68"/>
      <c r="AZ1267" s="68"/>
      <c r="BA1267" s="68"/>
      <c r="BB1267" s="67"/>
      <c r="BC1267" s="67"/>
      <c r="BD1267" s="67"/>
      <c r="BE1267" s="67"/>
      <c r="BF1267" s="95"/>
      <c r="BG1267" s="52"/>
      <c r="BH1267" s="52"/>
      <c r="BI1267" s="52"/>
      <c r="BJ1267" s="52"/>
      <c r="BK1267" s="52"/>
      <c r="BL1267" s="52"/>
      <c r="BM1267" s="52"/>
      <c r="BN1267" s="53"/>
      <c r="BO1267" s="52"/>
      <c r="BP1267" s="52"/>
      <c r="BQ1267" s="54"/>
    </row>
    <row r="1268" spans="1:69" ht="16" x14ac:dyDescent="0.35">
      <c r="A1268"/>
      <c r="D1268"/>
      <c r="G1268"/>
      <c r="H1268" s="20"/>
      <c r="I1268" s="20"/>
      <c r="J1268" s="20"/>
      <c r="K1268" s="20"/>
      <c r="L1268" s="20"/>
      <c r="Q1268" s="83"/>
      <c r="Y1268" s="20"/>
      <c r="AP1268" s="93"/>
      <c r="AQ1268" s="31"/>
      <c r="AR1268" s="31"/>
      <c r="AS1268" s="94"/>
      <c r="AT1268" s="31"/>
      <c r="AU1268" s="31"/>
      <c r="AV1268" s="94"/>
      <c r="AW1268" s="32"/>
      <c r="AX1268" s="32"/>
      <c r="AY1268" s="32"/>
      <c r="AZ1268" s="32"/>
      <c r="BA1268" s="32"/>
      <c r="BB1268" s="31"/>
      <c r="BC1268" s="31"/>
      <c r="BD1268" s="31"/>
      <c r="BE1268" s="31"/>
      <c r="BF1268" s="96"/>
      <c r="BG1268" s="48"/>
      <c r="BH1268" s="48"/>
      <c r="BI1268" s="48"/>
      <c r="BJ1268" s="48"/>
      <c r="BK1268" s="48"/>
      <c r="BL1268" s="48"/>
      <c r="BM1268" s="48"/>
      <c r="BN1268" s="49"/>
      <c r="BO1268" s="48"/>
      <c r="BP1268" s="48"/>
      <c r="BQ1268" s="50"/>
    </row>
    <row r="1269" spans="1:69" ht="16" x14ac:dyDescent="0.35">
      <c r="A1269"/>
      <c r="D1269"/>
      <c r="G1269"/>
      <c r="H1269" s="20"/>
      <c r="I1269" s="20"/>
      <c r="J1269" s="20"/>
      <c r="K1269" s="20"/>
      <c r="L1269" s="20"/>
      <c r="Q1269" s="83"/>
      <c r="Y1269" s="20"/>
      <c r="AP1269" s="92"/>
      <c r="AQ1269" s="67"/>
      <c r="AR1269" s="67"/>
      <c r="AS1269" s="73"/>
      <c r="AT1269" s="67"/>
      <c r="AU1269" s="67"/>
      <c r="AV1269" s="73"/>
      <c r="AW1269" s="68"/>
      <c r="AX1269" s="68"/>
      <c r="AY1269" s="68"/>
      <c r="AZ1269" s="68"/>
      <c r="BA1269" s="68"/>
      <c r="BB1269" s="67"/>
      <c r="BC1269" s="67"/>
      <c r="BD1269" s="67"/>
      <c r="BE1269" s="67"/>
      <c r="BF1269" s="95"/>
      <c r="BG1269" s="52"/>
      <c r="BH1269" s="52"/>
      <c r="BI1269" s="52"/>
      <c r="BJ1269" s="52"/>
      <c r="BK1269" s="52"/>
      <c r="BL1269" s="52"/>
      <c r="BM1269" s="52"/>
      <c r="BN1269" s="53"/>
      <c r="BO1269" s="52"/>
      <c r="BP1269" s="52"/>
      <c r="BQ1269" s="54"/>
    </row>
    <row r="1270" spans="1:69" ht="16" x14ac:dyDescent="0.35">
      <c r="A1270"/>
      <c r="D1270"/>
      <c r="G1270"/>
      <c r="H1270" s="20"/>
      <c r="I1270" s="20"/>
      <c r="J1270" s="20"/>
      <c r="K1270" s="20"/>
      <c r="L1270" s="20"/>
      <c r="Q1270" s="83"/>
      <c r="Y1270" s="20"/>
      <c r="AP1270" s="93"/>
      <c r="AQ1270" s="31"/>
      <c r="AR1270" s="31"/>
      <c r="AS1270" s="94"/>
      <c r="AT1270" s="31"/>
      <c r="AU1270" s="31"/>
      <c r="AV1270" s="94"/>
      <c r="AW1270" s="32"/>
      <c r="AX1270" s="32"/>
      <c r="AY1270" s="32"/>
      <c r="AZ1270" s="32"/>
      <c r="BA1270" s="32"/>
      <c r="BB1270" s="31"/>
      <c r="BC1270" s="31"/>
      <c r="BD1270" s="31"/>
      <c r="BE1270" s="31"/>
      <c r="BF1270" s="96"/>
      <c r="BG1270" s="48"/>
      <c r="BH1270" s="48"/>
      <c r="BI1270" s="48"/>
      <c r="BJ1270" s="48"/>
      <c r="BK1270" s="48"/>
      <c r="BL1270" s="48"/>
      <c r="BM1270" s="48"/>
      <c r="BN1270" s="49"/>
      <c r="BO1270" s="48"/>
      <c r="BP1270" s="48"/>
      <c r="BQ1270" s="50"/>
    </row>
    <row r="1271" spans="1:69" ht="16" x14ac:dyDescent="0.35">
      <c r="A1271"/>
      <c r="D1271"/>
      <c r="G1271"/>
      <c r="H1271" s="20"/>
      <c r="I1271" s="20"/>
      <c r="J1271" s="20"/>
      <c r="K1271" s="20"/>
      <c r="L1271" s="20"/>
      <c r="Q1271" s="83"/>
      <c r="Y1271" s="20"/>
      <c r="AP1271" s="92"/>
      <c r="AQ1271" s="67"/>
      <c r="AR1271" s="67"/>
      <c r="AS1271" s="73"/>
      <c r="AT1271" s="67"/>
      <c r="AU1271" s="67"/>
      <c r="AV1271" s="73"/>
      <c r="AW1271" s="68"/>
      <c r="AX1271" s="68"/>
      <c r="AY1271" s="68"/>
      <c r="AZ1271" s="68"/>
      <c r="BA1271" s="68"/>
      <c r="BB1271" s="67"/>
      <c r="BC1271" s="67"/>
      <c r="BD1271" s="67"/>
      <c r="BE1271" s="67"/>
      <c r="BF1271" s="95"/>
      <c r="BG1271" s="52"/>
      <c r="BH1271" s="52"/>
      <c r="BI1271" s="52"/>
      <c r="BJ1271" s="52"/>
      <c r="BK1271" s="52"/>
      <c r="BL1271" s="52"/>
      <c r="BM1271" s="52"/>
      <c r="BN1271" s="53"/>
      <c r="BO1271" s="52"/>
      <c r="BP1271" s="52"/>
      <c r="BQ1271" s="54"/>
    </row>
    <row r="1272" spans="1:69" ht="16" x14ac:dyDescent="0.35">
      <c r="A1272"/>
      <c r="D1272"/>
      <c r="G1272"/>
      <c r="H1272" s="20"/>
      <c r="I1272" s="20"/>
      <c r="J1272" s="20"/>
      <c r="K1272" s="20"/>
      <c r="L1272" s="20"/>
      <c r="Q1272" s="83"/>
      <c r="Y1272" s="20"/>
      <c r="AP1272" s="93"/>
      <c r="AQ1272" s="31"/>
      <c r="AR1272" s="31"/>
      <c r="AS1272" s="94"/>
      <c r="AT1272" s="31"/>
      <c r="AU1272" s="31"/>
      <c r="AV1272" s="94"/>
      <c r="AW1272" s="32"/>
      <c r="AX1272" s="32"/>
      <c r="AY1272" s="32"/>
      <c r="AZ1272" s="32"/>
      <c r="BA1272" s="32"/>
      <c r="BB1272" s="31"/>
      <c r="BC1272" s="31"/>
      <c r="BD1272" s="31"/>
      <c r="BE1272" s="31"/>
      <c r="BF1272" s="96"/>
      <c r="BG1272" s="48"/>
      <c r="BH1272" s="48"/>
      <c r="BI1272" s="48"/>
      <c r="BJ1272" s="48"/>
      <c r="BK1272" s="48"/>
      <c r="BL1272" s="48"/>
      <c r="BM1272" s="48"/>
      <c r="BN1272" s="49"/>
      <c r="BO1272" s="48"/>
      <c r="BP1272" s="48"/>
      <c r="BQ1272" s="50"/>
    </row>
    <row r="1273" spans="1:69" ht="16" x14ac:dyDescent="0.35">
      <c r="A1273"/>
      <c r="D1273"/>
      <c r="G1273"/>
      <c r="H1273" s="20"/>
      <c r="I1273" s="20"/>
      <c r="J1273" s="20"/>
      <c r="K1273" s="20"/>
      <c r="L1273" s="20"/>
      <c r="Q1273" s="83"/>
      <c r="Y1273" s="20"/>
      <c r="AP1273" s="92"/>
      <c r="AQ1273" s="67"/>
      <c r="AR1273" s="67"/>
      <c r="AS1273" s="73"/>
      <c r="AT1273" s="67"/>
      <c r="AU1273" s="67"/>
      <c r="AV1273" s="73"/>
      <c r="AW1273" s="68"/>
      <c r="AX1273" s="68"/>
      <c r="AY1273" s="68"/>
      <c r="AZ1273" s="68"/>
      <c r="BA1273" s="68"/>
      <c r="BB1273" s="67"/>
      <c r="BC1273" s="67"/>
      <c r="BD1273" s="67"/>
      <c r="BE1273" s="67"/>
      <c r="BF1273" s="95"/>
      <c r="BG1273" s="52"/>
      <c r="BH1273" s="52"/>
      <c r="BI1273" s="52"/>
      <c r="BJ1273" s="52"/>
      <c r="BK1273" s="52"/>
      <c r="BL1273" s="52"/>
      <c r="BM1273" s="52"/>
      <c r="BN1273" s="53"/>
      <c r="BO1273" s="52"/>
      <c r="BP1273" s="52"/>
      <c r="BQ1273" s="54"/>
    </row>
    <row r="1274" spans="1:69" ht="16" x14ac:dyDescent="0.35">
      <c r="A1274"/>
      <c r="D1274"/>
      <c r="G1274"/>
      <c r="H1274" s="20"/>
      <c r="I1274" s="20"/>
      <c r="J1274" s="20"/>
      <c r="K1274" s="20"/>
      <c r="L1274" s="20"/>
      <c r="Q1274" s="83"/>
      <c r="Y1274" s="20"/>
      <c r="AP1274" s="93"/>
      <c r="AQ1274" s="31"/>
      <c r="AR1274" s="31"/>
      <c r="AS1274" s="94"/>
      <c r="AT1274" s="31"/>
      <c r="AU1274" s="31"/>
      <c r="AV1274" s="94"/>
      <c r="AW1274" s="32"/>
      <c r="AX1274" s="32"/>
      <c r="AY1274" s="32"/>
      <c r="AZ1274" s="32"/>
      <c r="BA1274" s="32"/>
      <c r="BB1274" s="31"/>
      <c r="BC1274" s="31"/>
      <c r="BD1274" s="31"/>
      <c r="BE1274" s="31"/>
      <c r="BF1274" s="96"/>
      <c r="BG1274" s="48"/>
      <c r="BH1274" s="48"/>
      <c r="BI1274" s="48"/>
      <c r="BJ1274" s="48"/>
      <c r="BK1274" s="48"/>
      <c r="BL1274" s="48"/>
      <c r="BM1274" s="48"/>
      <c r="BN1274" s="49"/>
      <c r="BO1274" s="48"/>
      <c r="BP1274" s="48"/>
      <c r="BQ1274" s="50"/>
    </row>
    <row r="1275" spans="1:69" ht="16" x14ac:dyDescent="0.35">
      <c r="A1275"/>
      <c r="D1275"/>
      <c r="G1275"/>
      <c r="H1275" s="20"/>
      <c r="I1275" s="20"/>
      <c r="J1275" s="20"/>
      <c r="K1275" s="20"/>
      <c r="L1275" s="20"/>
      <c r="Q1275" s="83"/>
      <c r="Y1275" s="20"/>
      <c r="AP1275" s="92"/>
      <c r="AQ1275" s="67"/>
      <c r="AR1275" s="67"/>
      <c r="AS1275" s="73"/>
      <c r="AT1275" s="67"/>
      <c r="AU1275" s="67"/>
      <c r="AV1275" s="73"/>
      <c r="AW1275" s="68"/>
      <c r="AX1275" s="68"/>
      <c r="AY1275" s="68"/>
      <c r="AZ1275" s="68"/>
      <c r="BA1275" s="68"/>
      <c r="BB1275" s="67"/>
      <c r="BC1275" s="67"/>
      <c r="BD1275" s="67"/>
      <c r="BE1275" s="67"/>
      <c r="BF1275" s="95"/>
      <c r="BG1275" s="52"/>
      <c r="BH1275" s="52"/>
      <c r="BI1275" s="52"/>
      <c r="BJ1275" s="52"/>
      <c r="BK1275" s="52"/>
      <c r="BL1275" s="52"/>
      <c r="BM1275" s="52"/>
      <c r="BN1275" s="53"/>
      <c r="BO1275" s="52"/>
      <c r="BP1275" s="52"/>
      <c r="BQ1275" s="54"/>
    </row>
    <row r="1276" spans="1:69" ht="16" x14ac:dyDescent="0.35">
      <c r="A1276"/>
      <c r="D1276"/>
      <c r="G1276"/>
      <c r="H1276" s="20"/>
      <c r="I1276" s="20"/>
      <c r="J1276" s="20"/>
      <c r="K1276" s="20"/>
      <c r="L1276" s="20"/>
      <c r="Q1276" s="83"/>
      <c r="Y1276" s="20"/>
      <c r="AP1276" s="93"/>
      <c r="AQ1276" s="31"/>
      <c r="AR1276" s="31"/>
      <c r="AS1276" s="94"/>
      <c r="AT1276" s="31"/>
      <c r="AU1276" s="31"/>
      <c r="AV1276" s="94"/>
      <c r="AW1276" s="32"/>
      <c r="AX1276" s="32"/>
      <c r="AY1276" s="32"/>
      <c r="AZ1276" s="32"/>
      <c r="BA1276" s="32"/>
      <c r="BB1276" s="31"/>
      <c r="BC1276" s="31"/>
      <c r="BD1276" s="31"/>
      <c r="BE1276" s="31"/>
      <c r="BF1276" s="96"/>
      <c r="BG1276" s="48"/>
      <c r="BH1276" s="48"/>
      <c r="BI1276" s="48"/>
      <c r="BJ1276" s="48"/>
      <c r="BK1276" s="48"/>
      <c r="BL1276" s="48"/>
      <c r="BM1276" s="48"/>
      <c r="BN1276" s="49"/>
      <c r="BO1276" s="48"/>
      <c r="BP1276" s="48"/>
      <c r="BQ1276" s="50"/>
    </row>
    <row r="1277" spans="1:69" ht="16" x14ac:dyDescent="0.35">
      <c r="A1277"/>
      <c r="D1277"/>
      <c r="G1277"/>
      <c r="H1277" s="20"/>
      <c r="I1277" s="20"/>
      <c r="J1277" s="20"/>
      <c r="K1277" s="20"/>
      <c r="L1277" s="20"/>
      <c r="Q1277" s="83"/>
      <c r="Y1277" s="20"/>
      <c r="AP1277" s="92"/>
      <c r="AQ1277" s="67"/>
      <c r="AR1277" s="67"/>
      <c r="AS1277" s="73"/>
      <c r="AT1277" s="67"/>
      <c r="AU1277" s="67"/>
      <c r="AV1277" s="73"/>
      <c r="AW1277" s="68"/>
      <c r="AX1277" s="68"/>
      <c r="AY1277" s="68"/>
      <c r="AZ1277" s="68"/>
      <c r="BA1277" s="68"/>
      <c r="BB1277" s="67"/>
      <c r="BC1277" s="67"/>
      <c r="BD1277" s="67"/>
      <c r="BE1277" s="67"/>
      <c r="BF1277" s="95"/>
      <c r="BG1277" s="52"/>
      <c r="BH1277" s="52"/>
      <c r="BI1277" s="52"/>
      <c r="BJ1277" s="52"/>
      <c r="BK1277" s="52"/>
      <c r="BL1277" s="52"/>
      <c r="BM1277" s="52"/>
      <c r="BN1277" s="53"/>
      <c r="BO1277" s="52"/>
      <c r="BP1277" s="52"/>
      <c r="BQ1277" s="54"/>
    </row>
    <row r="1278" spans="1:69" ht="16" x14ac:dyDescent="0.35">
      <c r="A1278"/>
      <c r="D1278"/>
      <c r="G1278"/>
      <c r="H1278" s="20"/>
      <c r="I1278" s="20"/>
      <c r="J1278" s="20"/>
      <c r="K1278" s="20"/>
      <c r="L1278" s="20"/>
      <c r="Q1278" s="83"/>
      <c r="Y1278" s="20"/>
      <c r="AP1278" s="93"/>
      <c r="AQ1278" s="31"/>
      <c r="AR1278" s="31"/>
      <c r="AS1278" s="94"/>
      <c r="AT1278" s="31"/>
      <c r="AU1278" s="31"/>
      <c r="AV1278" s="94"/>
      <c r="AW1278" s="32"/>
      <c r="AX1278" s="32"/>
      <c r="AY1278" s="32"/>
      <c r="AZ1278" s="32"/>
      <c r="BA1278" s="32"/>
      <c r="BB1278" s="31"/>
      <c r="BC1278" s="31"/>
      <c r="BD1278" s="31"/>
      <c r="BE1278" s="31"/>
      <c r="BF1278" s="96"/>
      <c r="BG1278" s="48"/>
      <c r="BH1278" s="48"/>
      <c r="BI1278" s="48"/>
      <c r="BJ1278" s="48"/>
      <c r="BK1278" s="48"/>
      <c r="BL1278" s="48"/>
      <c r="BM1278" s="48"/>
      <c r="BN1278" s="49"/>
      <c r="BO1278" s="48"/>
      <c r="BP1278" s="48"/>
      <c r="BQ1278" s="50"/>
    </row>
    <row r="1279" spans="1:69" ht="16" x14ac:dyDescent="0.35">
      <c r="A1279"/>
      <c r="D1279"/>
      <c r="G1279"/>
      <c r="H1279" s="20"/>
      <c r="I1279" s="20"/>
      <c r="J1279" s="20"/>
      <c r="K1279" s="20"/>
      <c r="L1279" s="20"/>
      <c r="Q1279" s="83"/>
      <c r="Y1279" s="20"/>
      <c r="AP1279" s="92"/>
      <c r="AQ1279" s="67"/>
      <c r="AR1279" s="67"/>
      <c r="AS1279" s="73"/>
      <c r="AT1279" s="67"/>
      <c r="AU1279" s="67"/>
      <c r="AV1279" s="73"/>
      <c r="AW1279" s="68"/>
      <c r="AX1279" s="68"/>
      <c r="AY1279" s="68"/>
      <c r="AZ1279" s="68"/>
      <c r="BA1279" s="68"/>
      <c r="BB1279" s="67"/>
      <c r="BC1279" s="67"/>
      <c r="BD1279" s="67"/>
      <c r="BE1279" s="67"/>
      <c r="BF1279" s="95"/>
      <c r="BG1279" s="52"/>
      <c r="BH1279" s="52"/>
      <c r="BI1279" s="52"/>
      <c r="BJ1279" s="52"/>
      <c r="BK1279" s="52"/>
      <c r="BL1279" s="52"/>
      <c r="BM1279" s="52"/>
      <c r="BN1279" s="53"/>
      <c r="BO1279" s="52"/>
      <c r="BP1279" s="52"/>
      <c r="BQ1279" s="54"/>
    </row>
    <row r="1280" spans="1:69" ht="16" x14ac:dyDescent="0.35">
      <c r="A1280"/>
      <c r="D1280"/>
      <c r="G1280"/>
      <c r="H1280" s="20"/>
      <c r="I1280" s="20"/>
      <c r="J1280" s="20"/>
      <c r="K1280" s="20"/>
      <c r="L1280" s="20"/>
      <c r="Q1280" s="83"/>
      <c r="Y1280" s="20"/>
      <c r="AP1280" s="93"/>
      <c r="AQ1280" s="31"/>
      <c r="AR1280" s="31"/>
      <c r="AS1280" s="94"/>
      <c r="AT1280" s="31"/>
      <c r="AU1280" s="31"/>
      <c r="AV1280" s="94"/>
      <c r="AW1280" s="32"/>
      <c r="AX1280" s="32"/>
      <c r="AY1280" s="32"/>
      <c r="AZ1280" s="32"/>
      <c r="BA1280" s="32"/>
      <c r="BB1280" s="31"/>
      <c r="BC1280" s="31"/>
      <c r="BD1280" s="31"/>
      <c r="BE1280" s="31"/>
      <c r="BF1280" s="96"/>
      <c r="BG1280" s="48"/>
      <c r="BH1280" s="48"/>
      <c r="BI1280" s="48"/>
      <c r="BJ1280" s="48"/>
      <c r="BK1280" s="48"/>
      <c r="BL1280" s="48"/>
      <c r="BM1280" s="48"/>
      <c r="BN1280" s="49"/>
      <c r="BO1280" s="48"/>
      <c r="BP1280" s="48"/>
      <c r="BQ1280" s="50"/>
    </row>
    <row r="1281" spans="1:69" ht="16" x14ac:dyDescent="0.35">
      <c r="A1281"/>
      <c r="D1281"/>
      <c r="G1281"/>
      <c r="H1281" s="20"/>
      <c r="I1281" s="20"/>
      <c r="J1281" s="20"/>
      <c r="K1281" s="20"/>
      <c r="L1281" s="20"/>
      <c r="Q1281" s="83"/>
      <c r="Y1281" s="20"/>
      <c r="AP1281" s="92"/>
      <c r="AQ1281" s="67"/>
      <c r="AR1281" s="67"/>
      <c r="AS1281" s="73"/>
      <c r="AT1281" s="67"/>
      <c r="AU1281" s="67"/>
      <c r="AV1281" s="73"/>
      <c r="AW1281" s="68"/>
      <c r="AX1281" s="68"/>
      <c r="AY1281" s="68"/>
      <c r="AZ1281" s="68"/>
      <c r="BA1281" s="68"/>
      <c r="BB1281" s="67"/>
      <c r="BC1281" s="67"/>
      <c r="BD1281" s="67"/>
      <c r="BE1281" s="67"/>
      <c r="BF1281" s="95"/>
      <c r="BG1281" s="52"/>
      <c r="BH1281" s="52"/>
      <c r="BI1281" s="52"/>
      <c r="BJ1281" s="52"/>
      <c r="BK1281" s="52"/>
      <c r="BL1281" s="52"/>
      <c r="BM1281" s="52"/>
      <c r="BN1281" s="53"/>
      <c r="BO1281" s="52"/>
      <c r="BP1281" s="52"/>
      <c r="BQ1281" s="54"/>
    </row>
    <row r="1282" spans="1:69" ht="16" x14ac:dyDescent="0.35">
      <c r="A1282"/>
      <c r="D1282"/>
      <c r="G1282"/>
      <c r="H1282" s="20"/>
      <c r="I1282" s="20"/>
      <c r="J1282" s="20"/>
      <c r="K1282" s="20"/>
      <c r="L1282" s="20"/>
      <c r="Q1282" s="83"/>
      <c r="Y1282" s="20"/>
      <c r="AP1282" s="93"/>
      <c r="AQ1282" s="31"/>
      <c r="AR1282" s="31"/>
      <c r="AS1282" s="94"/>
      <c r="AT1282" s="31"/>
      <c r="AU1282" s="31"/>
      <c r="AV1282" s="94"/>
      <c r="AW1282" s="32"/>
      <c r="AX1282" s="32"/>
      <c r="AY1282" s="32"/>
      <c r="AZ1282" s="32"/>
      <c r="BA1282" s="32"/>
      <c r="BB1282" s="31"/>
      <c r="BC1282" s="31"/>
      <c r="BD1282" s="31"/>
      <c r="BE1282" s="31"/>
      <c r="BF1282" s="96"/>
      <c r="BG1282" s="48"/>
      <c r="BH1282" s="48"/>
      <c r="BI1282" s="48"/>
      <c r="BJ1282" s="48"/>
      <c r="BK1282" s="48"/>
      <c r="BL1282" s="48"/>
      <c r="BM1282" s="48"/>
      <c r="BN1282" s="49"/>
      <c r="BO1282" s="48"/>
      <c r="BP1282" s="48"/>
      <c r="BQ1282" s="50"/>
    </row>
    <row r="1283" spans="1:69" ht="16" x14ac:dyDescent="0.35">
      <c r="A1283"/>
      <c r="D1283"/>
      <c r="G1283"/>
      <c r="H1283" s="20"/>
      <c r="I1283" s="20"/>
      <c r="J1283" s="20"/>
      <c r="K1283" s="20"/>
      <c r="L1283" s="20"/>
      <c r="Q1283" s="83"/>
      <c r="Y1283" s="20"/>
      <c r="AP1283" s="92"/>
      <c r="AQ1283" s="67"/>
      <c r="AR1283" s="67"/>
      <c r="AS1283" s="73"/>
      <c r="AT1283" s="67"/>
      <c r="AU1283" s="67"/>
      <c r="AV1283" s="73"/>
      <c r="AW1283" s="68"/>
      <c r="AX1283" s="68"/>
      <c r="AY1283" s="68"/>
      <c r="AZ1283" s="68"/>
      <c r="BA1283" s="68"/>
      <c r="BB1283" s="67"/>
      <c r="BC1283" s="67"/>
      <c r="BD1283" s="67"/>
      <c r="BE1283" s="67"/>
      <c r="BF1283" s="95"/>
      <c r="BG1283" s="52"/>
      <c r="BH1283" s="52"/>
      <c r="BI1283" s="52"/>
      <c r="BJ1283" s="52"/>
      <c r="BK1283" s="52"/>
      <c r="BL1283" s="52"/>
      <c r="BM1283" s="52"/>
      <c r="BN1283" s="53"/>
      <c r="BO1283" s="52"/>
      <c r="BP1283" s="52"/>
      <c r="BQ1283" s="54"/>
    </row>
    <row r="1284" spans="1:69" ht="16" x14ac:dyDescent="0.35">
      <c r="A1284"/>
      <c r="D1284"/>
      <c r="G1284"/>
      <c r="H1284" s="20"/>
      <c r="I1284" s="20"/>
      <c r="J1284" s="20"/>
      <c r="K1284" s="20"/>
      <c r="L1284" s="20"/>
      <c r="Q1284" s="83"/>
      <c r="Y1284" s="20"/>
      <c r="AP1284" s="93"/>
      <c r="AQ1284" s="31"/>
      <c r="AR1284" s="31"/>
      <c r="AS1284" s="94"/>
      <c r="AT1284" s="31"/>
      <c r="AU1284" s="31"/>
      <c r="AV1284" s="94"/>
      <c r="AW1284" s="32"/>
      <c r="AX1284" s="32"/>
      <c r="AY1284" s="32"/>
      <c r="AZ1284" s="32"/>
      <c r="BA1284" s="32"/>
      <c r="BB1284" s="31"/>
      <c r="BC1284" s="31"/>
      <c r="BD1284" s="31"/>
      <c r="BE1284" s="31"/>
      <c r="BF1284" s="96"/>
      <c r="BG1284" s="48"/>
      <c r="BH1284" s="48"/>
      <c r="BI1284" s="48"/>
      <c r="BJ1284" s="48"/>
      <c r="BK1284" s="48"/>
      <c r="BL1284" s="48"/>
      <c r="BM1284" s="48"/>
      <c r="BN1284" s="49"/>
      <c r="BO1284" s="48"/>
      <c r="BP1284" s="48"/>
      <c r="BQ1284" s="50"/>
    </row>
    <row r="1285" spans="1:69" ht="16" x14ac:dyDescent="0.35">
      <c r="A1285"/>
      <c r="D1285"/>
      <c r="G1285"/>
      <c r="H1285" s="20"/>
      <c r="I1285" s="20"/>
      <c r="J1285" s="20"/>
      <c r="K1285" s="20"/>
      <c r="L1285" s="20"/>
      <c r="Q1285" s="83"/>
      <c r="Y1285" s="20"/>
      <c r="AP1285" s="92"/>
      <c r="AQ1285" s="67"/>
      <c r="AR1285" s="67"/>
      <c r="AS1285" s="73"/>
      <c r="AT1285" s="67"/>
      <c r="AU1285" s="67"/>
      <c r="AV1285" s="73"/>
      <c r="AW1285" s="68"/>
      <c r="AX1285" s="68"/>
      <c r="AY1285" s="68"/>
      <c r="AZ1285" s="68"/>
      <c r="BA1285" s="68"/>
      <c r="BB1285" s="67"/>
      <c r="BC1285" s="67"/>
      <c r="BD1285" s="67"/>
      <c r="BE1285" s="67"/>
      <c r="BF1285" s="95"/>
      <c r="BG1285" s="52"/>
      <c r="BH1285" s="52"/>
      <c r="BI1285" s="52"/>
      <c r="BJ1285" s="52"/>
      <c r="BK1285" s="52"/>
      <c r="BL1285" s="52"/>
      <c r="BM1285" s="52"/>
      <c r="BN1285" s="53"/>
      <c r="BO1285" s="52"/>
      <c r="BP1285" s="52"/>
      <c r="BQ1285" s="54"/>
    </row>
    <row r="1286" spans="1:69" ht="16" x14ac:dyDescent="0.35">
      <c r="A1286"/>
      <c r="D1286"/>
      <c r="G1286"/>
      <c r="H1286" s="20"/>
      <c r="I1286" s="20"/>
      <c r="J1286" s="20"/>
      <c r="K1286" s="20"/>
      <c r="L1286" s="20"/>
      <c r="Q1286" s="83"/>
      <c r="Y1286" s="20"/>
      <c r="AP1286" s="93"/>
      <c r="AQ1286" s="31"/>
      <c r="AR1286" s="31"/>
      <c r="AS1286" s="94"/>
      <c r="AT1286" s="31"/>
      <c r="AU1286" s="31"/>
      <c r="AV1286" s="94"/>
      <c r="AW1286" s="32"/>
      <c r="AX1286" s="32"/>
      <c r="AY1286" s="32"/>
      <c r="AZ1286" s="32"/>
      <c r="BA1286" s="32"/>
      <c r="BB1286" s="31"/>
      <c r="BC1286" s="31"/>
      <c r="BD1286" s="31"/>
      <c r="BE1286" s="31"/>
      <c r="BF1286" s="96"/>
      <c r="BG1286" s="48"/>
      <c r="BH1286" s="48"/>
      <c r="BI1286" s="48"/>
      <c r="BJ1286" s="48"/>
      <c r="BK1286" s="48"/>
      <c r="BL1286" s="48"/>
      <c r="BM1286" s="48"/>
      <c r="BN1286" s="49"/>
      <c r="BO1286" s="48"/>
      <c r="BP1286" s="48"/>
      <c r="BQ1286" s="50"/>
    </row>
    <row r="1287" spans="1:69" ht="16" x14ac:dyDescent="0.35">
      <c r="A1287"/>
      <c r="D1287"/>
      <c r="G1287"/>
      <c r="H1287" s="20"/>
      <c r="I1287" s="20"/>
      <c r="J1287" s="20"/>
      <c r="K1287" s="20"/>
      <c r="L1287" s="20"/>
      <c r="Q1287" s="83"/>
      <c r="Y1287" s="20"/>
      <c r="AP1287" s="92"/>
      <c r="AQ1287" s="67"/>
      <c r="AR1287" s="67"/>
      <c r="AS1287" s="73"/>
      <c r="AT1287" s="67"/>
      <c r="AU1287" s="67"/>
      <c r="AV1287" s="73"/>
      <c r="AW1287" s="68"/>
      <c r="AX1287" s="68"/>
      <c r="AY1287" s="68"/>
      <c r="AZ1287" s="68"/>
      <c r="BA1287" s="68"/>
      <c r="BB1287" s="67"/>
      <c r="BC1287" s="67"/>
      <c r="BD1287" s="67"/>
      <c r="BE1287" s="67"/>
      <c r="BF1287" s="95"/>
      <c r="BG1287" s="52"/>
      <c r="BH1287" s="52"/>
      <c r="BI1287" s="52"/>
      <c r="BJ1287" s="52"/>
      <c r="BK1287" s="52"/>
      <c r="BL1287" s="52"/>
      <c r="BM1287" s="52"/>
      <c r="BN1287" s="53"/>
      <c r="BO1287" s="52"/>
      <c r="BP1287" s="52"/>
      <c r="BQ1287" s="54"/>
    </row>
    <row r="1288" spans="1:69" ht="16" x14ac:dyDescent="0.35">
      <c r="A1288"/>
      <c r="D1288"/>
      <c r="G1288"/>
      <c r="H1288" s="20"/>
      <c r="I1288" s="20"/>
      <c r="J1288" s="20"/>
      <c r="K1288" s="20"/>
      <c r="L1288" s="20"/>
      <c r="Q1288" s="83"/>
      <c r="Y1288" s="20"/>
      <c r="AP1288" s="93"/>
      <c r="AQ1288" s="31"/>
      <c r="AR1288" s="31"/>
      <c r="AS1288" s="94"/>
      <c r="AT1288" s="31"/>
      <c r="AU1288" s="31"/>
      <c r="AV1288" s="94"/>
      <c r="AW1288" s="32"/>
      <c r="AX1288" s="32"/>
      <c r="AY1288" s="32"/>
      <c r="AZ1288" s="32"/>
      <c r="BA1288" s="32"/>
      <c r="BB1288" s="31"/>
      <c r="BC1288" s="31"/>
      <c r="BD1288" s="31"/>
      <c r="BE1288" s="31"/>
      <c r="BF1288" s="96"/>
      <c r="BG1288" s="48"/>
      <c r="BH1288" s="48"/>
      <c r="BI1288" s="48"/>
      <c r="BJ1288" s="48"/>
      <c r="BK1288" s="48"/>
      <c r="BL1288" s="48"/>
      <c r="BM1288" s="48"/>
      <c r="BN1288" s="49"/>
      <c r="BO1288" s="48"/>
      <c r="BP1288" s="48"/>
      <c r="BQ1288" s="50"/>
    </row>
    <row r="1289" spans="1:69" ht="16" x14ac:dyDescent="0.35">
      <c r="A1289"/>
      <c r="D1289"/>
      <c r="G1289"/>
      <c r="H1289" s="20"/>
      <c r="I1289" s="20"/>
      <c r="J1289" s="20"/>
      <c r="K1289" s="20"/>
      <c r="L1289" s="20"/>
      <c r="Q1289" s="83"/>
      <c r="Y1289" s="20"/>
      <c r="AP1289" s="92"/>
      <c r="AQ1289" s="67"/>
      <c r="AR1289" s="67"/>
      <c r="AS1289" s="73"/>
      <c r="AT1289" s="67"/>
      <c r="AU1289" s="67"/>
      <c r="AV1289" s="73"/>
      <c r="AW1289" s="68"/>
      <c r="AX1289" s="68"/>
      <c r="AY1289" s="68"/>
      <c r="AZ1289" s="68"/>
      <c r="BA1289" s="68"/>
      <c r="BB1289" s="67"/>
      <c r="BC1289" s="67"/>
      <c r="BD1289" s="67"/>
      <c r="BE1289" s="67"/>
      <c r="BF1289" s="95"/>
      <c r="BG1289" s="52"/>
      <c r="BH1289" s="52"/>
      <c r="BI1289" s="52"/>
      <c r="BJ1289" s="52"/>
      <c r="BK1289" s="52"/>
      <c r="BL1289" s="52"/>
      <c r="BM1289" s="52"/>
      <c r="BN1289" s="53"/>
      <c r="BO1289" s="52"/>
      <c r="BP1289" s="52"/>
      <c r="BQ1289" s="54"/>
    </row>
    <row r="1290" spans="1:69" ht="16" x14ac:dyDescent="0.35">
      <c r="A1290"/>
      <c r="D1290"/>
      <c r="G1290"/>
      <c r="H1290" s="20"/>
      <c r="I1290" s="20"/>
      <c r="J1290" s="20"/>
      <c r="K1290" s="20"/>
      <c r="L1290" s="20"/>
      <c r="Q1290" s="83"/>
      <c r="Y1290" s="20"/>
      <c r="AP1290" s="93"/>
      <c r="AQ1290" s="31"/>
      <c r="AR1290" s="31"/>
      <c r="AS1290" s="94"/>
      <c r="AT1290" s="31"/>
      <c r="AU1290" s="31"/>
      <c r="AV1290" s="94"/>
      <c r="AW1290" s="32"/>
      <c r="AX1290" s="32"/>
      <c r="AY1290" s="32"/>
      <c r="AZ1290" s="32"/>
      <c r="BA1290" s="32"/>
      <c r="BB1290" s="31"/>
      <c r="BC1290" s="31"/>
      <c r="BD1290" s="31"/>
      <c r="BE1290" s="31"/>
      <c r="BF1290" s="96"/>
      <c r="BG1290" s="48"/>
      <c r="BH1290" s="48"/>
      <c r="BI1290" s="48"/>
      <c r="BJ1290" s="48"/>
      <c r="BK1290" s="48"/>
      <c r="BL1290" s="48"/>
      <c r="BM1290" s="48"/>
      <c r="BN1290" s="49"/>
      <c r="BO1290" s="48"/>
      <c r="BP1290" s="48"/>
      <c r="BQ1290" s="50"/>
    </row>
    <row r="1291" spans="1:69" ht="16" x14ac:dyDescent="0.35">
      <c r="A1291"/>
      <c r="D1291"/>
      <c r="G1291"/>
      <c r="H1291" s="20"/>
      <c r="I1291" s="20"/>
      <c r="J1291" s="20"/>
      <c r="K1291" s="20"/>
      <c r="L1291" s="20"/>
      <c r="Q1291" s="83"/>
      <c r="Y1291" s="20"/>
      <c r="AP1291" s="92"/>
      <c r="AQ1291" s="67"/>
      <c r="AR1291" s="67"/>
      <c r="AS1291" s="73"/>
      <c r="AT1291" s="67"/>
      <c r="AU1291" s="67"/>
      <c r="AV1291" s="73"/>
      <c r="AW1291" s="68"/>
      <c r="AX1291" s="68"/>
      <c r="AY1291" s="68"/>
      <c r="AZ1291" s="68"/>
      <c r="BA1291" s="68"/>
      <c r="BB1291" s="67"/>
      <c r="BC1291" s="67"/>
      <c r="BD1291" s="67"/>
      <c r="BE1291" s="67"/>
      <c r="BF1291" s="95"/>
      <c r="BG1291" s="52"/>
      <c r="BH1291" s="52"/>
      <c r="BI1291" s="52"/>
      <c r="BJ1291" s="52"/>
      <c r="BK1291" s="52"/>
      <c r="BL1291" s="52"/>
      <c r="BM1291" s="52"/>
      <c r="BN1291" s="53"/>
      <c r="BO1291" s="52"/>
      <c r="BP1291" s="52"/>
      <c r="BQ1291" s="54"/>
    </row>
    <row r="1292" spans="1:69" ht="16" x14ac:dyDescent="0.35">
      <c r="A1292"/>
      <c r="D1292"/>
      <c r="G1292"/>
      <c r="H1292" s="20"/>
      <c r="I1292" s="20"/>
      <c r="J1292" s="20"/>
      <c r="K1292" s="20"/>
      <c r="L1292" s="20"/>
      <c r="Q1292" s="83"/>
      <c r="Y1292" s="20"/>
      <c r="AP1292" s="93"/>
      <c r="AQ1292" s="31"/>
      <c r="AR1292" s="31"/>
      <c r="AS1292" s="94"/>
      <c r="AT1292" s="31"/>
      <c r="AU1292" s="31"/>
      <c r="AV1292" s="94"/>
      <c r="AW1292" s="32"/>
      <c r="AX1292" s="32"/>
      <c r="AY1292" s="32"/>
      <c r="AZ1292" s="32"/>
      <c r="BA1292" s="32"/>
      <c r="BB1292" s="31"/>
      <c r="BC1292" s="31"/>
      <c r="BD1292" s="31"/>
      <c r="BE1292" s="31"/>
      <c r="BF1292" s="96"/>
      <c r="BG1292" s="48"/>
      <c r="BH1292" s="48"/>
      <c r="BI1292" s="48"/>
      <c r="BJ1292" s="48"/>
      <c r="BK1292" s="48"/>
      <c r="BL1292" s="48"/>
      <c r="BM1292" s="48"/>
      <c r="BN1292" s="49"/>
      <c r="BO1292" s="48"/>
      <c r="BP1292" s="48"/>
      <c r="BQ1292" s="50"/>
    </row>
    <row r="1293" spans="1:69" ht="16" x14ac:dyDescent="0.35">
      <c r="A1293"/>
      <c r="D1293"/>
      <c r="G1293"/>
      <c r="H1293" s="20"/>
      <c r="I1293" s="20"/>
      <c r="J1293" s="20"/>
      <c r="K1293" s="20"/>
      <c r="L1293" s="20"/>
      <c r="Q1293" s="83"/>
      <c r="Y1293" s="20"/>
      <c r="AP1293" s="92"/>
      <c r="AQ1293" s="67"/>
      <c r="AR1293" s="67"/>
      <c r="AS1293" s="73"/>
      <c r="AT1293" s="67"/>
      <c r="AU1293" s="67"/>
      <c r="AV1293" s="73"/>
      <c r="AW1293" s="68"/>
      <c r="AX1293" s="68"/>
      <c r="AY1293" s="68"/>
      <c r="AZ1293" s="68"/>
      <c r="BA1293" s="68"/>
      <c r="BB1293" s="67"/>
      <c r="BC1293" s="67"/>
      <c r="BD1293" s="67"/>
      <c r="BE1293" s="67"/>
      <c r="BF1293" s="95"/>
      <c r="BG1293" s="52"/>
      <c r="BH1293" s="52"/>
      <c r="BI1293" s="52"/>
      <c r="BJ1293" s="52"/>
      <c r="BK1293" s="52"/>
      <c r="BL1293" s="52"/>
      <c r="BM1293" s="52"/>
      <c r="BN1293" s="53"/>
      <c r="BO1293" s="52"/>
      <c r="BP1293" s="52"/>
      <c r="BQ1293" s="54"/>
    </row>
    <row r="1294" spans="1:69" ht="16" x14ac:dyDescent="0.35">
      <c r="A1294"/>
      <c r="D1294"/>
      <c r="G1294"/>
      <c r="H1294" s="20"/>
      <c r="I1294" s="20"/>
      <c r="J1294" s="20"/>
      <c r="K1294" s="20"/>
      <c r="L1294" s="20"/>
      <c r="Q1294" s="83"/>
      <c r="Y1294" s="20"/>
      <c r="AP1294" s="93"/>
      <c r="AQ1294" s="31"/>
      <c r="AR1294" s="31"/>
      <c r="AS1294" s="94"/>
      <c r="AT1294" s="31"/>
      <c r="AU1294" s="31"/>
      <c r="AV1294" s="94"/>
      <c r="AW1294" s="32"/>
      <c r="AX1294" s="32"/>
      <c r="AY1294" s="32"/>
      <c r="AZ1294" s="32"/>
      <c r="BA1294" s="32"/>
      <c r="BB1294" s="31"/>
      <c r="BC1294" s="31"/>
      <c r="BD1294" s="31"/>
      <c r="BE1294" s="31"/>
      <c r="BF1294" s="96"/>
      <c r="BG1294" s="48"/>
      <c r="BH1294" s="48"/>
      <c r="BI1294" s="48"/>
      <c r="BJ1294" s="48"/>
      <c r="BK1294" s="48"/>
      <c r="BL1294" s="48"/>
      <c r="BM1294" s="48"/>
      <c r="BN1294" s="49"/>
      <c r="BO1294" s="48"/>
      <c r="BP1294" s="48"/>
      <c r="BQ1294" s="50"/>
    </row>
    <row r="1295" spans="1:69" ht="16" x14ac:dyDescent="0.35">
      <c r="A1295"/>
      <c r="D1295"/>
      <c r="G1295"/>
      <c r="H1295" s="20"/>
      <c r="I1295" s="20"/>
      <c r="J1295" s="20"/>
      <c r="K1295" s="20"/>
      <c r="L1295" s="20"/>
      <c r="Q1295" s="83"/>
      <c r="Y1295" s="20"/>
      <c r="AP1295" s="92"/>
      <c r="AQ1295" s="67"/>
      <c r="AR1295" s="67"/>
      <c r="AS1295" s="73"/>
      <c r="AT1295" s="67"/>
      <c r="AU1295" s="67"/>
      <c r="AV1295" s="73"/>
      <c r="AW1295" s="68"/>
      <c r="AX1295" s="68"/>
      <c r="AY1295" s="68"/>
      <c r="AZ1295" s="68"/>
      <c r="BA1295" s="68"/>
      <c r="BB1295" s="67"/>
      <c r="BC1295" s="67"/>
      <c r="BD1295" s="67"/>
      <c r="BE1295" s="67"/>
      <c r="BF1295" s="95"/>
      <c r="BG1295" s="52"/>
      <c r="BH1295" s="52"/>
      <c r="BI1295" s="52"/>
      <c r="BJ1295" s="52"/>
      <c r="BK1295" s="52"/>
      <c r="BL1295" s="52"/>
      <c r="BM1295" s="52"/>
      <c r="BN1295" s="53"/>
      <c r="BO1295" s="52"/>
      <c r="BP1295" s="52"/>
      <c r="BQ1295" s="54"/>
    </row>
    <row r="1296" spans="1:69" ht="16" x14ac:dyDescent="0.35">
      <c r="A1296"/>
      <c r="D1296"/>
      <c r="G1296"/>
      <c r="H1296" s="20"/>
      <c r="I1296" s="20"/>
      <c r="J1296" s="20"/>
      <c r="K1296" s="20"/>
      <c r="L1296" s="20"/>
      <c r="Q1296" s="83"/>
      <c r="Y1296" s="20"/>
      <c r="AP1296" s="93"/>
      <c r="AQ1296" s="31"/>
      <c r="AR1296" s="31"/>
      <c r="AS1296" s="94"/>
      <c r="AT1296" s="31"/>
      <c r="AU1296" s="31"/>
      <c r="AV1296" s="94"/>
      <c r="AW1296" s="32"/>
      <c r="AX1296" s="32"/>
      <c r="AY1296" s="32"/>
      <c r="AZ1296" s="32"/>
      <c r="BA1296" s="32"/>
      <c r="BB1296" s="31"/>
      <c r="BC1296" s="31"/>
      <c r="BD1296" s="31"/>
      <c r="BE1296" s="31"/>
      <c r="BF1296" s="96"/>
      <c r="BG1296" s="48"/>
      <c r="BH1296" s="48"/>
      <c r="BI1296" s="48"/>
      <c r="BJ1296" s="48"/>
      <c r="BK1296" s="48"/>
      <c r="BL1296" s="48"/>
      <c r="BM1296" s="48"/>
      <c r="BN1296" s="49"/>
      <c r="BO1296" s="48"/>
      <c r="BP1296" s="48"/>
      <c r="BQ1296" s="50"/>
    </row>
    <row r="1297" spans="1:69" ht="16" x14ac:dyDescent="0.35">
      <c r="A1297"/>
      <c r="D1297"/>
      <c r="G1297"/>
      <c r="H1297" s="20"/>
      <c r="I1297" s="20"/>
      <c r="J1297" s="20"/>
      <c r="K1297" s="20"/>
      <c r="L1297" s="20"/>
      <c r="Q1297" s="83"/>
      <c r="Y1297" s="20"/>
      <c r="AP1297" s="92"/>
      <c r="AQ1297" s="67"/>
      <c r="AR1297" s="67"/>
      <c r="AS1297" s="73"/>
      <c r="AT1297" s="67"/>
      <c r="AU1297" s="67"/>
      <c r="AV1297" s="73"/>
      <c r="AW1297" s="68"/>
      <c r="AX1297" s="68"/>
      <c r="AY1297" s="68"/>
      <c r="AZ1297" s="68"/>
      <c r="BA1297" s="68"/>
      <c r="BB1297" s="67"/>
      <c r="BC1297" s="67"/>
      <c r="BD1297" s="67"/>
      <c r="BE1297" s="67"/>
      <c r="BF1297" s="95"/>
      <c r="BG1297" s="52"/>
      <c r="BH1297" s="52"/>
      <c r="BI1297" s="52"/>
      <c r="BJ1297" s="52"/>
      <c r="BK1297" s="52"/>
      <c r="BL1297" s="52"/>
      <c r="BM1297" s="52"/>
      <c r="BN1297" s="53"/>
      <c r="BO1297" s="52"/>
      <c r="BP1297" s="52"/>
      <c r="BQ1297" s="54"/>
    </row>
    <row r="1298" spans="1:69" ht="16" x14ac:dyDescent="0.35">
      <c r="A1298"/>
      <c r="D1298"/>
      <c r="G1298"/>
      <c r="H1298" s="20"/>
      <c r="I1298" s="20"/>
      <c r="J1298" s="20"/>
      <c r="K1298" s="20"/>
      <c r="L1298" s="20"/>
      <c r="Q1298" s="83"/>
      <c r="Y1298" s="20"/>
      <c r="AP1298" s="93"/>
      <c r="AQ1298" s="31"/>
      <c r="AR1298" s="31"/>
      <c r="AS1298" s="94"/>
      <c r="AT1298" s="31"/>
      <c r="AU1298" s="31"/>
      <c r="AV1298" s="94"/>
      <c r="AW1298" s="32"/>
      <c r="AX1298" s="32"/>
      <c r="AY1298" s="32"/>
      <c r="AZ1298" s="32"/>
      <c r="BA1298" s="32"/>
      <c r="BB1298" s="31"/>
      <c r="BC1298" s="31"/>
      <c r="BD1298" s="31"/>
      <c r="BE1298" s="31"/>
      <c r="BF1298" s="96"/>
      <c r="BG1298" s="48"/>
      <c r="BH1298" s="48"/>
      <c r="BI1298" s="48"/>
      <c r="BJ1298" s="48"/>
      <c r="BK1298" s="48"/>
      <c r="BL1298" s="48"/>
      <c r="BM1298" s="48"/>
      <c r="BN1298" s="49"/>
      <c r="BO1298" s="48"/>
      <c r="BP1298" s="48"/>
      <c r="BQ1298" s="50"/>
    </row>
    <row r="1299" spans="1:69" ht="16" x14ac:dyDescent="0.35">
      <c r="A1299"/>
      <c r="D1299"/>
      <c r="G1299"/>
      <c r="H1299" s="20"/>
      <c r="I1299" s="20"/>
      <c r="J1299" s="20"/>
      <c r="K1299" s="20"/>
      <c r="L1299" s="20"/>
      <c r="Q1299" s="83"/>
      <c r="Y1299" s="20"/>
      <c r="AP1299" s="92"/>
      <c r="AQ1299" s="67"/>
      <c r="AR1299" s="67"/>
      <c r="AS1299" s="73"/>
      <c r="AT1299" s="67"/>
      <c r="AU1299" s="67"/>
      <c r="AV1299" s="73"/>
      <c r="AW1299" s="68"/>
      <c r="AX1299" s="68"/>
      <c r="AY1299" s="68"/>
      <c r="AZ1299" s="68"/>
      <c r="BA1299" s="68"/>
      <c r="BB1299" s="67"/>
      <c r="BC1299" s="67"/>
      <c r="BD1299" s="67"/>
      <c r="BE1299" s="67"/>
      <c r="BF1299" s="95"/>
      <c r="BG1299" s="52"/>
      <c r="BH1299" s="52"/>
      <c r="BI1299" s="52"/>
      <c r="BJ1299" s="52"/>
      <c r="BK1299" s="52"/>
      <c r="BL1299" s="52"/>
      <c r="BM1299" s="52"/>
      <c r="BN1299" s="53"/>
      <c r="BO1299" s="52"/>
      <c r="BP1299" s="52"/>
      <c r="BQ1299" s="54"/>
    </row>
    <row r="1300" spans="1:69" ht="16" x14ac:dyDescent="0.35">
      <c r="A1300"/>
      <c r="D1300"/>
      <c r="G1300"/>
      <c r="H1300" s="20"/>
      <c r="I1300" s="20"/>
      <c r="J1300" s="20"/>
      <c r="K1300" s="20"/>
      <c r="L1300" s="20"/>
      <c r="Q1300" s="83"/>
      <c r="Y1300" s="20"/>
      <c r="AP1300" s="93"/>
      <c r="AQ1300" s="31"/>
      <c r="AR1300" s="31"/>
      <c r="AS1300" s="94"/>
      <c r="AT1300" s="31"/>
      <c r="AU1300" s="31"/>
      <c r="AV1300" s="94"/>
      <c r="AW1300" s="32"/>
      <c r="AX1300" s="32"/>
      <c r="AY1300" s="32"/>
      <c r="AZ1300" s="32"/>
      <c r="BA1300" s="32"/>
      <c r="BB1300" s="31"/>
      <c r="BC1300" s="31"/>
      <c r="BD1300" s="31"/>
      <c r="BE1300" s="31"/>
      <c r="BF1300" s="96"/>
      <c r="BG1300" s="48"/>
      <c r="BH1300" s="48"/>
      <c r="BI1300" s="48"/>
      <c r="BJ1300" s="48"/>
      <c r="BK1300" s="48"/>
      <c r="BL1300" s="48"/>
      <c r="BM1300" s="48"/>
      <c r="BN1300" s="49"/>
      <c r="BO1300" s="48"/>
      <c r="BP1300" s="48"/>
      <c r="BQ1300" s="50"/>
    </row>
    <row r="1301" spans="1:69" ht="16" x14ac:dyDescent="0.35">
      <c r="A1301"/>
      <c r="D1301"/>
      <c r="G1301"/>
      <c r="H1301" s="20"/>
      <c r="I1301" s="20"/>
      <c r="J1301" s="20"/>
      <c r="K1301" s="20"/>
      <c r="L1301" s="20"/>
      <c r="Q1301" s="83"/>
      <c r="Y1301" s="20"/>
      <c r="AP1301" s="92"/>
      <c r="AQ1301" s="67"/>
      <c r="AR1301" s="67"/>
      <c r="AS1301" s="73"/>
      <c r="AT1301" s="67"/>
      <c r="AU1301" s="67"/>
      <c r="AV1301" s="73"/>
      <c r="AW1301" s="68"/>
      <c r="AX1301" s="68"/>
      <c r="AY1301" s="68"/>
      <c r="AZ1301" s="68"/>
      <c r="BA1301" s="68"/>
      <c r="BB1301" s="67"/>
      <c r="BC1301" s="67"/>
      <c r="BD1301" s="67"/>
      <c r="BE1301" s="67"/>
      <c r="BF1301" s="95"/>
      <c r="BG1301" s="52"/>
      <c r="BH1301" s="52"/>
      <c r="BI1301" s="52"/>
      <c r="BJ1301" s="52"/>
      <c r="BK1301" s="52"/>
      <c r="BL1301" s="52"/>
      <c r="BM1301" s="52"/>
      <c r="BN1301" s="53"/>
      <c r="BO1301" s="52"/>
      <c r="BP1301" s="52"/>
      <c r="BQ1301" s="54"/>
    </row>
    <row r="1302" spans="1:69" ht="16" x14ac:dyDescent="0.35">
      <c r="A1302"/>
      <c r="D1302"/>
      <c r="G1302"/>
      <c r="H1302" s="20"/>
      <c r="I1302" s="20"/>
      <c r="J1302" s="20"/>
      <c r="K1302" s="20"/>
      <c r="L1302" s="20"/>
      <c r="Q1302" s="83"/>
      <c r="Y1302" s="20"/>
      <c r="AP1302" s="93"/>
      <c r="AQ1302" s="31"/>
      <c r="AR1302" s="31"/>
      <c r="AS1302" s="94"/>
      <c r="AT1302" s="31"/>
      <c r="AU1302" s="31"/>
      <c r="AV1302" s="94"/>
      <c r="AW1302" s="32"/>
      <c r="AX1302" s="32"/>
      <c r="AY1302" s="32"/>
      <c r="AZ1302" s="32"/>
      <c r="BA1302" s="32"/>
      <c r="BB1302" s="31"/>
      <c r="BC1302" s="31"/>
      <c r="BD1302" s="31"/>
      <c r="BE1302" s="31"/>
      <c r="BF1302" s="96"/>
      <c r="BG1302" s="48"/>
      <c r="BH1302" s="48"/>
      <c r="BI1302" s="48"/>
      <c r="BJ1302" s="48"/>
      <c r="BK1302" s="48"/>
      <c r="BL1302" s="48"/>
      <c r="BM1302" s="48"/>
      <c r="BN1302" s="49"/>
      <c r="BO1302" s="48"/>
      <c r="BP1302" s="48"/>
      <c r="BQ1302" s="50"/>
    </row>
    <row r="1303" spans="1:69" ht="16" x14ac:dyDescent="0.35">
      <c r="A1303"/>
      <c r="D1303"/>
      <c r="G1303"/>
      <c r="H1303" s="20"/>
      <c r="I1303" s="20"/>
      <c r="J1303" s="20"/>
      <c r="K1303" s="20"/>
      <c r="L1303" s="20"/>
      <c r="Q1303" s="83"/>
      <c r="Y1303" s="20"/>
      <c r="AP1303" s="92"/>
      <c r="AQ1303" s="67"/>
      <c r="AR1303" s="67"/>
      <c r="AS1303" s="73"/>
      <c r="AT1303" s="67"/>
      <c r="AU1303" s="67"/>
      <c r="AV1303" s="73"/>
      <c r="AW1303" s="68"/>
      <c r="AX1303" s="68"/>
      <c r="AY1303" s="68"/>
      <c r="AZ1303" s="68"/>
      <c r="BA1303" s="68"/>
      <c r="BB1303" s="67"/>
      <c r="BC1303" s="67"/>
      <c r="BD1303" s="67"/>
      <c r="BE1303" s="67"/>
      <c r="BF1303" s="95"/>
      <c r="BG1303" s="52"/>
      <c r="BH1303" s="52"/>
      <c r="BI1303" s="52"/>
      <c r="BJ1303" s="52"/>
      <c r="BK1303" s="52"/>
      <c r="BL1303" s="52"/>
      <c r="BM1303" s="52"/>
      <c r="BN1303" s="53"/>
      <c r="BO1303" s="52"/>
      <c r="BP1303" s="52"/>
      <c r="BQ1303" s="54"/>
    </row>
    <row r="1304" spans="1:69" ht="16" x14ac:dyDescent="0.35">
      <c r="A1304"/>
      <c r="D1304"/>
      <c r="G1304"/>
      <c r="H1304" s="20"/>
      <c r="I1304" s="20"/>
      <c r="J1304" s="20"/>
      <c r="K1304" s="20"/>
      <c r="L1304" s="20"/>
      <c r="Q1304" s="83"/>
      <c r="Y1304" s="20"/>
      <c r="AP1304" s="93"/>
      <c r="AQ1304" s="31"/>
      <c r="AR1304" s="31"/>
      <c r="AS1304" s="94"/>
      <c r="AT1304" s="31"/>
      <c r="AU1304" s="31"/>
      <c r="AV1304" s="94"/>
      <c r="AW1304" s="32"/>
      <c r="AX1304" s="32"/>
      <c r="AY1304" s="32"/>
      <c r="AZ1304" s="32"/>
      <c r="BA1304" s="32"/>
      <c r="BB1304" s="31"/>
      <c r="BC1304" s="31"/>
      <c r="BD1304" s="31"/>
      <c r="BE1304" s="31"/>
      <c r="BF1304" s="96"/>
      <c r="BG1304" s="48"/>
      <c r="BH1304" s="48"/>
      <c r="BI1304" s="48"/>
      <c r="BJ1304" s="48"/>
      <c r="BK1304" s="48"/>
      <c r="BL1304" s="48"/>
      <c r="BM1304" s="48"/>
      <c r="BN1304" s="49"/>
      <c r="BO1304" s="48"/>
      <c r="BP1304" s="48"/>
      <c r="BQ1304" s="50"/>
    </row>
    <row r="1305" spans="1:69" ht="16" x14ac:dyDescent="0.35">
      <c r="A1305"/>
      <c r="D1305"/>
      <c r="G1305"/>
      <c r="H1305" s="20"/>
      <c r="I1305" s="20"/>
      <c r="J1305" s="20"/>
      <c r="K1305" s="20"/>
      <c r="L1305" s="20"/>
      <c r="Q1305" s="83"/>
      <c r="Y1305" s="20"/>
      <c r="AP1305" s="92"/>
      <c r="AQ1305" s="67"/>
      <c r="AR1305" s="67"/>
      <c r="AS1305" s="73"/>
      <c r="AT1305" s="67"/>
      <c r="AU1305" s="67"/>
      <c r="AV1305" s="73"/>
      <c r="AW1305" s="68"/>
      <c r="AX1305" s="68"/>
      <c r="AY1305" s="68"/>
      <c r="AZ1305" s="68"/>
      <c r="BA1305" s="68"/>
      <c r="BB1305" s="67"/>
      <c r="BC1305" s="67"/>
      <c r="BD1305" s="67"/>
      <c r="BE1305" s="67"/>
      <c r="BF1305" s="95"/>
      <c r="BG1305" s="52"/>
      <c r="BH1305" s="52"/>
      <c r="BI1305" s="52"/>
      <c r="BJ1305" s="52"/>
      <c r="BK1305" s="52"/>
      <c r="BL1305" s="52"/>
      <c r="BM1305" s="52"/>
      <c r="BN1305" s="53"/>
      <c r="BO1305" s="52"/>
      <c r="BP1305" s="52"/>
      <c r="BQ1305" s="54"/>
    </row>
    <row r="1306" spans="1:69" ht="16" x14ac:dyDescent="0.35">
      <c r="A1306"/>
      <c r="D1306"/>
      <c r="G1306"/>
      <c r="H1306" s="20"/>
      <c r="I1306" s="20"/>
      <c r="J1306" s="20"/>
      <c r="K1306" s="20"/>
      <c r="L1306" s="20"/>
      <c r="Q1306" s="83"/>
      <c r="Y1306" s="20"/>
      <c r="AP1306" s="93"/>
      <c r="AQ1306" s="31"/>
      <c r="AR1306" s="31"/>
      <c r="AS1306" s="94"/>
      <c r="AT1306" s="31"/>
      <c r="AU1306" s="31"/>
      <c r="AV1306" s="94"/>
      <c r="AW1306" s="32"/>
      <c r="AX1306" s="32"/>
      <c r="AY1306" s="32"/>
      <c r="AZ1306" s="32"/>
      <c r="BA1306" s="32"/>
      <c r="BB1306" s="31"/>
      <c r="BC1306" s="31"/>
      <c r="BD1306" s="31"/>
      <c r="BE1306" s="31"/>
      <c r="BF1306" s="96"/>
      <c r="BG1306" s="48"/>
      <c r="BH1306" s="48"/>
      <c r="BI1306" s="48"/>
      <c r="BJ1306" s="48"/>
      <c r="BK1306" s="48"/>
      <c r="BL1306" s="48"/>
      <c r="BM1306" s="48"/>
      <c r="BN1306" s="49"/>
      <c r="BO1306" s="48"/>
      <c r="BP1306" s="48"/>
      <c r="BQ1306" s="50"/>
    </row>
    <row r="1307" spans="1:69" ht="16" x14ac:dyDescent="0.35">
      <c r="A1307"/>
      <c r="D1307"/>
      <c r="G1307"/>
      <c r="H1307" s="20"/>
      <c r="I1307" s="20"/>
      <c r="J1307" s="20"/>
      <c r="K1307" s="20"/>
      <c r="L1307" s="20"/>
      <c r="Q1307" s="83"/>
      <c r="Y1307" s="20"/>
      <c r="AP1307" s="92"/>
      <c r="AQ1307" s="67"/>
      <c r="AR1307" s="67"/>
      <c r="AS1307" s="73"/>
      <c r="AT1307" s="67"/>
      <c r="AU1307" s="67"/>
      <c r="AV1307" s="73"/>
      <c r="AW1307" s="68"/>
      <c r="AX1307" s="68"/>
      <c r="AY1307" s="68"/>
      <c r="AZ1307" s="68"/>
      <c r="BA1307" s="68"/>
      <c r="BB1307" s="67"/>
      <c r="BC1307" s="67"/>
      <c r="BD1307" s="67"/>
      <c r="BE1307" s="67"/>
      <c r="BF1307" s="95"/>
      <c r="BG1307" s="52"/>
      <c r="BH1307" s="52"/>
      <c r="BI1307" s="52"/>
      <c r="BJ1307" s="52"/>
      <c r="BK1307" s="52"/>
      <c r="BL1307" s="52"/>
      <c r="BM1307" s="52"/>
      <c r="BN1307" s="53"/>
      <c r="BO1307" s="52"/>
      <c r="BP1307" s="52"/>
      <c r="BQ1307" s="54"/>
    </row>
    <row r="1308" spans="1:69" ht="16" x14ac:dyDescent="0.35">
      <c r="A1308"/>
      <c r="D1308"/>
      <c r="G1308"/>
      <c r="H1308" s="20"/>
      <c r="I1308" s="20"/>
      <c r="J1308" s="20"/>
      <c r="K1308" s="20"/>
      <c r="L1308" s="20"/>
      <c r="Q1308" s="83"/>
      <c r="Y1308" s="20"/>
      <c r="AP1308" s="93"/>
      <c r="AQ1308" s="31"/>
      <c r="AR1308" s="31"/>
      <c r="AS1308" s="94"/>
      <c r="AT1308" s="31"/>
      <c r="AU1308" s="31"/>
      <c r="AV1308" s="94"/>
      <c r="AW1308" s="32"/>
      <c r="AX1308" s="32"/>
      <c r="AY1308" s="32"/>
      <c r="AZ1308" s="32"/>
      <c r="BA1308" s="32"/>
      <c r="BB1308" s="31"/>
      <c r="BC1308" s="31"/>
      <c r="BD1308" s="31"/>
      <c r="BE1308" s="31"/>
      <c r="BF1308" s="96"/>
      <c r="BG1308" s="48"/>
      <c r="BH1308" s="48"/>
      <c r="BI1308" s="48"/>
      <c r="BJ1308" s="48"/>
      <c r="BK1308" s="48"/>
      <c r="BL1308" s="48"/>
      <c r="BM1308" s="48"/>
      <c r="BN1308" s="49"/>
      <c r="BO1308" s="48"/>
      <c r="BP1308" s="48"/>
      <c r="BQ1308" s="50"/>
    </row>
    <row r="1309" spans="1:69" ht="16" x14ac:dyDescent="0.35">
      <c r="A1309"/>
      <c r="D1309"/>
      <c r="G1309"/>
      <c r="H1309" s="20"/>
      <c r="I1309" s="20"/>
      <c r="J1309" s="20"/>
      <c r="K1309" s="20"/>
      <c r="L1309" s="20"/>
      <c r="Q1309" s="83"/>
      <c r="Y1309" s="20"/>
      <c r="AP1309" s="92"/>
      <c r="AQ1309" s="67"/>
      <c r="AR1309" s="67"/>
      <c r="AS1309" s="73"/>
      <c r="AT1309" s="67"/>
      <c r="AU1309" s="67"/>
      <c r="AV1309" s="73"/>
      <c r="AW1309" s="68"/>
      <c r="AX1309" s="68"/>
      <c r="AY1309" s="68"/>
      <c r="AZ1309" s="68"/>
      <c r="BA1309" s="68"/>
      <c r="BB1309" s="67"/>
      <c r="BC1309" s="67"/>
      <c r="BD1309" s="67"/>
      <c r="BE1309" s="67"/>
      <c r="BF1309" s="95"/>
      <c r="BG1309" s="52"/>
      <c r="BH1309" s="52"/>
      <c r="BI1309" s="52"/>
      <c r="BJ1309" s="52"/>
      <c r="BK1309" s="52"/>
      <c r="BL1309" s="52"/>
      <c r="BM1309" s="52"/>
      <c r="BN1309" s="53"/>
      <c r="BO1309" s="52"/>
      <c r="BP1309" s="52"/>
      <c r="BQ1309" s="54"/>
    </row>
    <row r="1310" spans="1:69" ht="16" x14ac:dyDescent="0.35">
      <c r="A1310"/>
      <c r="D1310"/>
      <c r="G1310"/>
      <c r="H1310" s="20"/>
      <c r="I1310" s="20"/>
      <c r="J1310" s="20"/>
      <c r="K1310" s="20"/>
      <c r="L1310" s="20"/>
      <c r="Q1310" s="83"/>
      <c r="Y1310" s="20"/>
      <c r="AP1310" s="93"/>
      <c r="AQ1310" s="31"/>
      <c r="AR1310" s="31"/>
      <c r="AS1310" s="94"/>
      <c r="AT1310" s="31"/>
      <c r="AU1310" s="31"/>
      <c r="AV1310" s="94"/>
      <c r="AW1310" s="32"/>
      <c r="AX1310" s="32"/>
      <c r="AY1310" s="32"/>
      <c r="AZ1310" s="32"/>
      <c r="BA1310" s="32"/>
      <c r="BB1310" s="31"/>
      <c r="BC1310" s="31"/>
      <c r="BD1310" s="31"/>
      <c r="BE1310" s="31"/>
      <c r="BF1310" s="96"/>
      <c r="BG1310" s="48"/>
      <c r="BH1310" s="48"/>
      <c r="BI1310" s="48"/>
      <c r="BJ1310" s="48"/>
      <c r="BK1310" s="48"/>
      <c r="BL1310" s="48"/>
      <c r="BM1310" s="48"/>
      <c r="BN1310" s="49"/>
      <c r="BO1310" s="48"/>
      <c r="BP1310" s="48"/>
      <c r="BQ1310" s="50"/>
    </row>
    <row r="1311" spans="1:69" ht="16" x14ac:dyDescent="0.35">
      <c r="A1311"/>
      <c r="D1311"/>
      <c r="G1311"/>
      <c r="H1311" s="20"/>
      <c r="I1311" s="20"/>
      <c r="J1311" s="20"/>
      <c r="K1311" s="20"/>
      <c r="L1311" s="20"/>
      <c r="Q1311" s="83"/>
      <c r="Y1311" s="20"/>
      <c r="AP1311" s="92"/>
      <c r="AQ1311" s="67"/>
      <c r="AR1311" s="67"/>
      <c r="AS1311" s="73"/>
      <c r="AT1311" s="67"/>
      <c r="AU1311" s="67"/>
      <c r="AV1311" s="73"/>
      <c r="AW1311" s="68"/>
      <c r="AX1311" s="68"/>
      <c r="AY1311" s="68"/>
      <c r="AZ1311" s="68"/>
      <c r="BA1311" s="68"/>
      <c r="BB1311" s="67"/>
      <c r="BC1311" s="67"/>
      <c r="BD1311" s="67"/>
      <c r="BE1311" s="67"/>
      <c r="BF1311" s="95"/>
      <c r="BG1311" s="52"/>
      <c r="BH1311" s="52"/>
      <c r="BI1311" s="52"/>
      <c r="BJ1311" s="52"/>
      <c r="BK1311" s="52"/>
      <c r="BL1311" s="52"/>
      <c r="BM1311" s="52"/>
      <c r="BN1311" s="53"/>
      <c r="BO1311" s="52"/>
      <c r="BP1311" s="52"/>
      <c r="BQ1311" s="54"/>
    </row>
    <row r="1312" spans="1:69" ht="16" x14ac:dyDescent="0.35">
      <c r="A1312"/>
      <c r="D1312"/>
      <c r="G1312"/>
      <c r="H1312" s="20"/>
      <c r="I1312" s="20"/>
      <c r="J1312" s="20"/>
      <c r="K1312" s="20"/>
      <c r="L1312" s="20"/>
      <c r="Q1312" s="83"/>
      <c r="Y1312" s="20"/>
      <c r="AP1312" s="93"/>
      <c r="AQ1312" s="31"/>
      <c r="AR1312" s="31"/>
      <c r="AS1312" s="94"/>
      <c r="AT1312" s="31"/>
      <c r="AU1312" s="31"/>
      <c r="AV1312" s="94"/>
      <c r="AW1312" s="32"/>
      <c r="AX1312" s="32"/>
      <c r="AY1312" s="32"/>
      <c r="AZ1312" s="32"/>
      <c r="BA1312" s="32"/>
      <c r="BB1312" s="31"/>
      <c r="BC1312" s="31"/>
      <c r="BD1312" s="31"/>
      <c r="BE1312" s="31"/>
      <c r="BF1312" s="96"/>
      <c r="BG1312" s="48"/>
      <c r="BH1312" s="48"/>
      <c r="BI1312" s="48"/>
      <c r="BJ1312" s="48"/>
      <c r="BK1312" s="48"/>
      <c r="BL1312" s="48"/>
      <c r="BM1312" s="48"/>
      <c r="BN1312" s="49"/>
      <c r="BO1312" s="48"/>
      <c r="BP1312" s="48"/>
      <c r="BQ1312" s="50"/>
    </row>
    <row r="1313" spans="1:69" ht="16" x14ac:dyDescent="0.35">
      <c r="A1313"/>
      <c r="D1313"/>
      <c r="G1313"/>
      <c r="H1313" s="20"/>
      <c r="I1313" s="20"/>
      <c r="J1313" s="20"/>
      <c r="K1313" s="20"/>
      <c r="L1313" s="20"/>
      <c r="Q1313" s="83"/>
      <c r="Y1313" s="20"/>
      <c r="AP1313" s="92"/>
      <c r="AQ1313" s="67"/>
      <c r="AR1313" s="67"/>
      <c r="AS1313" s="73"/>
      <c r="AT1313" s="67"/>
      <c r="AU1313" s="67"/>
      <c r="AV1313" s="73"/>
      <c r="AW1313" s="68"/>
      <c r="AX1313" s="68"/>
      <c r="AY1313" s="68"/>
      <c r="AZ1313" s="68"/>
      <c r="BA1313" s="68"/>
      <c r="BB1313" s="67"/>
      <c r="BC1313" s="67"/>
      <c r="BD1313" s="67"/>
      <c r="BE1313" s="67"/>
      <c r="BF1313" s="95"/>
      <c r="BG1313" s="52"/>
      <c r="BH1313" s="52"/>
      <c r="BI1313" s="52"/>
      <c r="BJ1313" s="52"/>
      <c r="BK1313" s="52"/>
      <c r="BL1313" s="52"/>
      <c r="BM1313" s="52"/>
      <c r="BN1313" s="53"/>
      <c r="BO1313" s="52"/>
      <c r="BP1313" s="52"/>
      <c r="BQ1313" s="54"/>
    </row>
    <row r="1314" spans="1:69" ht="16" x14ac:dyDescent="0.35">
      <c r="A1314"/>
      <c r="D1314"/>
      <c r="G1314"/>
      <c r="H1314" s="20"/>
      <c r="I1314" s="20"/>
      <c r="J1314" s="20"/>
      <c r="K1314" s="20"/>
      <c r="L1314" s="20"/>
      <c r="Q1314" s="83"/>
      <c r="Y1314" s="20"/>
      <c r="AP1314" s="93"/>
      <c r="AQ1314" s="31"/>
      <c r="AR1314" s="31"/>
      <c r="AS1314" s="94"/>
      <c r="AT1314" s="31"/>
      <c r="AU1314" s="31"/>
      <c r="AV1314" s="94"/>
      <c r="AW1314" s="32"/>
      <c r="AX1314" s="32"/>
      <c r="AY1314" s="32"/>
      <c r="AZ1314" s="32"/>
      <c r="BA1314" s="32"/>
      <c r="BB1314" s="31"/>
      <c r="BC1314" s="31"/>
      <c r="BD1314" s="31"/>
      <c r="BE1314" s="31"/>
      <c r="BF1314" s="96"/>
      <c r="BG1314" s="48"/>
      <c r="BH1314" s="48"/>
      <c r="BI1314" s="48"/>
      <c r="BJ1314" s="48"/>
      <c r="BK1314" s="48"/>
      <c r="BL1314" s="48"/>
      <c r="BM1314" s="48"/>
      <c r="BN1314" s="49"/>
      <c r="BO1314" s="48"/>
      <c r="BP1314" s="48"/>
      <c r="BQ1314" s="50"/>
    </row>
    <row r="1315" spans="1:69" ht="16" x14ac:dyDescent="0.35">
      <c r="A1315"/>
      <c r="D1315"/>
      <c r="G1315"/>
      <c r="H1315" s="20"/>
      <c r="I1315" s="20"/>
      <c r="J1315" s="20"/>
      <c r="K1315" s="20"/>
      <c r="L1315" s="20"/>
      <c r="Q1315" s="83"/>
      <c r="Y1315" s="20"/>
      <c r="AP1315" s="92"/>
      <c r="AQ1315" s="67"/>
      <c r="AR1315" s="67"/>
      <c r="AS1315" s="73"/>
      <c r="AT1315" s="67"/>
      <c r="AU1315" s="67"/>
      <c r="AV1315" s="73"/>
      <c r="AW1315" s="68"/>
      <c r="AX1315" s="68"/>
      <c r="AY1315" s="68"/>
      <c r="AZ1315" s="68"/>
      <c r="BA1315" s="68"/>
      <c r="BB1315" s="67"/>
      <c r="BC1315" s="67"/>
      <c r="BD1315" s="67"/>
      <c r="BE1315" s="67"/>
      <c r="BF1315" s="95"/>
      <c r="BG1315" s="52"/>
      <c r="BH1315" s="52"/>
      <c r="BI1315" s="52"/>
      <c r="BJ1315" s="52"/>
      <c r="BK1315" s="52"/>
      <c r="BL1315" s="52"/>
      <c r="BM1315" s="52"/>
      <c r="BN1315" s="53"/>
      <c r="BO1315" s="52"/>
      <c r="BP1315" s="52"/>
      <c r="BQ1315" s="54"/>
    </row>
    <row r="1316" spans="1:69" ht="16" x14ac:dyDescent="0.35">
      <c r="A1316"/>
      <c r="D1316"/>
      <c r="G1316"/>
      <c r="H1316" s="20"/>
      <c r="I1316" s="20"/>
      <c r="J1316" s="20"/>
      <c r="K1316" s="20"/>
      <c r="L1316" s="20"/>
      <c r="Q1316" s="83"/>
      <c r="Y1316" s="20"/>
      <c r="AP1316" s="93"/>
      <c r="AQ1316" s="31"/>
      <c r="AR1316" s="31"/>
      <c r="AS1316" s="94"/>
      <c r="AT1316" s="31"/>
      <c r="AU1316" s="31"/>
      <c r="AV1316" s="94"/>
      <c r="AW1316" s="32"/>
      <c r="AX1316" s="32"/>
      <c r="AY1316" s="32"/>
      <c r="AZ1316" s="32"/>
      <c r="BA1316" s="32"/>
      <c r="BB1316" s="31"/>
      <c r="BC1316" s="31"/>
      <c r="BD1316" s="31"/>
      <c r="BE1316" s="31"/>
      <c r="BF1316" s="96"/>
      <c r="BG1316" s="48"/>
      <c r="BH1316" s="48"/>
      <c r="BI1316" s="48"/>
      <c r="BJ1316" s="48"/>
      <c r="BK1316" s="48"/>
      <c r="BL1316" s="48"/>
      <c r="BM1316" s="48"/>
      <c r="BN1316" s="49"/>
      <c r="BO1316" s="48"/>
      <c r="BP1316" s="48"/>
      <c r="BQ1316" s="50"/>
    </row>
    <row r="1317" spans="1:69" ht="16" x14ac:dyDescent="0.35">
      <c r="A1317"/>
      <c r="D1317"/>
      <c r="G1317"/>
      <c r="H1317" s="20"/>
      <c r="I1317" s="20"/>
      <c r="J1317" s="20"/>
      <c r="K1317" s="20"/>
      <c r="L1317" s="20"/>
      <c r="Q1317" s="83"/>
      <c r="Y1317" s="20"/>
      <c r="AP1317" s="92"/>
      <c r="AQ1317" s="67"/>
      <c r="AR1317" s="67"/>
      <c r="AS1317" s="73"/>
      <c r="AT1317" s="67"/>
      <c r="AU1317" s="67"/>
      <c r="AV1317" s="73"/>
      <c r="AW1317" s="68"/>
      <c r="AX1317" s="68"/>
      <c r="AY1317" s="68"/>
      <c r="AZ1317" s="68"/>
      <c r="BA1317" s="68"/>
      <c r="BB1317" s="67"/>
      <c r="BC1317" s="67"/>
      <c r="BD1317" s="67"/>
      <c r="BE1317" s="67"/>
      <c r="BF1317" s="95"/>
      <c r="BG1317" s="52"/>
      <c r="BH1317" s="52"/>
      <c r="BI1317" s="52"/>
      <c r="BJ1317" s="52"/>
      <c r="BK1317" s="52"/>
      <c r="BL1317" s="52"/>
      <c r="BM1317" s="52"/>
      <c r="BN1317" s="53"/>
      <c r="BO1317" s="52"/>
      <c r="BP1317" s="52"/>
      <c r="BQ1317" s="54"/>
    </row>
    <row r="1318" spans="1:69" ht="16" x14ac:dyDescent="0.35">
      <c r="A1318"/>
      <c r="D1318"/>
      <c r="G1318"/>
      <c r="H1318" s="20"/>
      <c r="I1318" s="20"/>
      <c r="J1318" s="20"/>
      <c r="K1318" s="20"/>
      <c r="L1318" s="20"/>
      <c r="Q1318" s="83"/>
      <c r="Y1318" s="20"/>
      <c r="AP1318" s="93"/>
      <c r="AQ1318" s="31"/>
      <c r="AR1318" s="31"/>
      <c r="AS1318" s="94"/>
      <c r="AT1318" s="31"/>
      <c r="AU1318" s="31"/>
      <c r="AV1318" s="94"/>
      <c r="AW1318" s="32"/>
      <c r="AX1318" s="32"/>
      <c r="AY1318" s="32"/>
      <c r="AZ1318" s="32"/>
      <c r="BA1318" s="32"/>
      <c r="BB1318" s="31"/>
      <c r="BC1318" s="31"/>
      <c r="BD1318" s="31"/>
      <c r="BE1318" s="31"/>
      <c r="BF1318" s="96"/>
      <c r="BG1318" s="48"/>
      <c r="BH1318" s="48"/>
      <c r="BI1318" s="48"/>
      <c r="BJ1318" s="48"/>
      <c r="BK1318" s="48"/>
      <c r="BL1318" s="48"/>
      <c r="BM1318" s="48"/>
      <c r="BN1318" s="49"/>
      <c r="BO1318" s="48"/>
      <c r="BP1318" s="48"/>
      <c r="BQ1318" s="50"/>
    </row>
    <row r="1319" spans="1:69" ht="16" x14ac:dyDescent="0.35">
      <c r="A1319"/>
      <c r="D1319"/>
      <c r="G1319"/>
      <c r="H1319" s="20"/>
      <c r="I1319" s="20"/>
      <c r="J1319" s="20"/>
      <c r="K1319" s="20"/>
      <c r="L1319" s="20"/>
      <c r="Q1319" s="83"/>
      <c r="Y1319" s="20"/>
      <c r="AP1319" s="92"/>
      <c r="AQ1319" s="67"/>
      <c r="AR1319" s="67"/>
      <c r="AS1319" s="73"/>
      <c r="AT1319" s="67"/>
      <c r="AU1319" s="67"/>
      <c r="AV1319" s="73"/>
      <c r="AW1319" s="68"/>
      <c r="AX1319" s="68"/>
      <c r="AY1319" s="68"/>
      <c r="AZ1319" s="68"/>
      <c r="BA1319" s="68"/>
      <c r="BB1319" s="67"/>
      <c r="BC1319" s="67"/>
      <c r="BD1319" s="67"/>
      <c r="BE1319" s="67"/>
      <c r="BF1319" s="95"/>
      <c r="BG1319" s="52"/>
      <c r="BH1319" s="52"/>
      <c r="BI1319" s="52"/>
      <c r="BJ1319" s="52"/>
      <c r="BK1319" s="52"/>
      <c r="BL1319" s="52"/>
      <c r="BM1319" s="52"/>
      <c r="BN1319" s="53"/>
      <c r="BO1319" s="52"/>
      <c r="BP1319" s="52"/>
      <c r="BQ1319" s="54"/>
    </row>
    <row r="1320" spans="1:69" ht="16" x14ac:dyDescent="0.35">
      <c r="A1320"/>
      <c r="D1320"/>
      <c r="G1320"/>
      <c r="H1320" s="20"/>
      <c r="I1320" s="20"/>
      <c r="J1320" s="20"/>
      <c r="K1320" s="20"/>
      <c r="L1320" s="20"/>
      <c r="Q1320" s="83"/>
      <c r="Y1320" s="20"/>
      <c r="AP1320" s="93"/>
      <c r="AQ1320" s="31"/>
      <c r="AR1320" s="31"/>
      <c r="AS1320" s="94"/>
      <c r="AT1320" s="31"/>
      <c r="AU1320" s="31"/>
      <c r="AV1320" s="94"/>
      <c r="AW1320" s="32"/>
      <c r="AX1320" s="32"/>
      <c r="AY1320" s="32"/>
      <c r="AZ1320" s="32"/>
      <c r="BA1320" s="32"/>
      <c r="BB1320" s="31"/>
      <c r="BC1320" s="31"/>
      <c r="BD1320" s="31"/>
      <c r="BE1320" s="31"/>
      <c r="BF1320" s="96"/>
      <c r="BG1320" s="48"/>
      <c r="BH1320" s="48"/>
      <c r="BI1320" s="48"/>
      <c r="BJ1320" s="48"/>
      <c r="BK1320" s="48"/>
      <c r="BL1320" s="48"/>
      <c r="BM1320" s="48"/>
      <c r="BN1320" s="49"/>
      <c r="BO1320" s="48"/>
      <c r="BP1320" s="48"/>
      <c r="BQ1320" s="50"/>
    </row>
    <row r="1321" spans="1:69" ht="16" x14ac:dyDescent="0.35">
      <c r="A1321"/>
      <c r="D1321"/>
      <c r="G1321"/>
      <c r="H1321" s="20"/>
      <c r="I1321" s="20"/>
      <c r="J1321" s="20"/>
      <c r="K1321" s="20"/>
      <c r="L1321" s="20"/>
      <c r="Q1321" s="83"/>
      <c r="Y1321" s="20"/>
      <c r="AP1321" s="92"/>
      <c r="AQ1321" s="67"/>
      <c r="AR1321" s="67"/>
      <c r="AS1321" s="73"/>
      <c r="AT1321" s="67"/>
      <c r="AU1321" s="67"/>
      <c r="AV1321" s="73"/>
      <c r="AW1321" s="68"/>
      <c r="AX1321" s="68"/>
      <c r="AY1321" s="68"/>
      <c r="AZ1321" s="68"/>
      <c r="BA1321" s="68"/>
      <c r="BB1321" s="67"/>
      <c r="BC1321" s="67"/>
      <c r="BD1321" s="67"/>
      <c r="BE1321" s="67"/>
      <c r="BF1321" s="95"/>
      <c r="BG1321" s="52"/>
      <c r="BH1321" s="52"/>
      <c r="BI1321" s="52"/>
      <c r="BJ1321" s="52"/>
      <c r="BK1321" s="52"/>
      <c r="BL1321" s="52"/>
      <c r="BM1321" s="52"/>
      <c r="BN1321" s="53"/>
      <c r="BO1321" s="52"/>
      <c r="BP1321" s="52"/>
      <c r="BQ1321" s="54"/>
    </row>
    <row r="1322" spans="1:69" ht="16" x14ac:dyDescent="0.35">
      <c r="A1322"/>
      <c r="D1322"/>
      <c r="G1322"/>
      <c r="H1322" s="20"/>
      <c r="I1322" s="20"/>
      <c r="J1322" s="20"/>
      <c r="K1322" s="20"/>
      <c r="L1322" s="20"/>
      <c r="Q1322" s="83"/>
      <c r="Y1322" s="20"/>
      <c r="AP1322" s="93"/>
      <c r="AQ1322" s="31"/>
      <c r="AR1322" s="31"/>
      <c r="AS1322" s="94"/>
      <c r="AT1322" s="31"/>
      <c r="AU1322" s="31"/>
      <c r="AV1322" s="94"/>
      <c r="AW1322" s="32"/>
      <c r="AX1322" s="32"/>
      <c r="AY1322" s="32"/>
      <c r="AZ1322" s="32"/>
      <c r="BA1322" s="32"/>
      <c r="BB1322" s="31"/>
      <c r="BC1322" s="31"/>
      <c r="BD1322" s="31"/>
      <c r="BE1322" s="31"/>
      <c r="BF1322" s="96"/>
      <c r="BG1322" s="48"/>
      <c r="BH1322" s="48"/>
      <c r="BI1322" s="48"/>
      <c r="BJ1322" s="48"/>
      <c r="BK1322" s="48"/>
      <c r="BL1322" s="48"/>
      <c r="BM1322" s="48"/>
      <c r="BN1322" s="49"/>
      <c r="BO1322" s="48"/>
      <c r="BP1322" s="48"/>
      <c r="BQ1322" s="50"/>
    </row>
    <row r="1323" spans="1:69" ht="16" x14ac:dyDescent="0.35">
      <c r="A1323"/>
      <c r="D1323"/>
      <c r="G1323"/>
      <c r="H1323" s="20"/>
      <c r="I1323" s="20"/>
      <c r="J1323" s="20"/>
      <c r="K1323" s="20"/>
      <c r="L1323" s="20"/>
      <c r="Q1323" s="83"/>
      <c r="Y1323" s="20"/>
      <c r="AP1323" s="92"/>
      <c r="AQ1323" s="67"/>
      <c r="AR1323" s="67"/>
      <c r="AS1323" s="73"/>
      <c r="AT1323" s="67"/>
      <c r="AU1323" s="67"/>
      <c r="AV1323" s="73"/>
      <c r="AW1323" s="68"/>
      <c r="AX1323" s="68"/>
      <c r="AY1323" s="68"/>
      <c r="AZ1323" s="68"/>
      <c r="BA1323" s="68"/>
      <c r="BB1323" s="67"/>
      <c r="BC1323" s="67"/>
      <c r="BD1323" s="67"/>
      <c r="BE1323" s="67"/>
      <c r="BF1323" s="95"/>
      <c r="BG1323" s="52"/>
      <c r="BH1323" s="52"/>
      <c r="BI1323" s="52"/>
      <c r="BJ1323" s="52"/>
      <c r="BK1323" s="52"/>
      <c r="BL1323" s="52"/>
      <c r="BM1323" s="52"/>
      <c r="BN1323" s="53"/>
      <c r="BO1323" s="52"/>
      <c r="BP1323" s="52"/>
      <c r="BQ1323" s="54"/>
    </row>
    <row r="1324" spans="1:69" ht="16" x14ac:dyDescent="0.35">
      <c r="A1324"/>
      <c r="D1324"/>
      <c r="G1324"/>
      <c r="H1324" s="20"/>
      <c r="I1324" s="20"/>
      <c r="J1324" s="20"/>
      <c r="K1324" s="20"/>
      <c r="L1324" s="20"/>
      <c r="Q1324" s="83"/>
      <c r="Y1324" s="20"/>
      <c r="AP1324" s="93"/>
      <c r="AQ1324" s="31"/>
      <c r="AR1324" s="31"/>
      <c r="AS1324" s="94"/>
      <c r="AT1324" s="31"/>
      <c r="AU1324" s="31"/>
      <c r="AV1324" s="94"/>
      <c r="AW1324" s="32"/>
      <c r="AX1324" s="32"/>
      <c r="AY1324" s="32"/>
      <c r="AZ1324" s="32"/>
      <c r="BA1324" s="32"/>
      <c r="BB1324" s="31"/>
      <c r="BC1324" s="31"/>
      <c r="BD1324" s="31"/>
      <c r="BE1324" s="31"/>
      <c r="BF1324" s="96"/>
      <c r="BG1324" s="48"/>
      <c r="BH1324" s="48"/>
      <c r="BI1324" s="48"/>
      <c r="BJ1324" s="48"/>
      <c r="BK1324" s="48"/>
      <c r="BL1324" s="48"/>
      <c r="BM1324" s="48"/>
      <c r="BN1324" s="49"/>
      <c r="BO1324" s="48"/>
      <c r="BP1324" s="48"/>
      <c r="BQ1324" s="50"/>
    </row>
    <row r="1325" spans="1:69" ht="16" x14ac:dyDescent="0.35">
      <c r="A1325"/>
      <c r="D1325"/>
      <c r="G1325"/>
      <c r="H1325" s="20"/>
      <c r="I1325" s="20"/>
      <c r="J1325" s="20"/>
      <c r="K1325" s="20"/>
      <c r="L1325" s="20"/>
      <c r="Q1325" s="83"/>
      <c r="Y1325" s="20"/>
      <c r="AP1325" s="92"/>
      <c r="AQ1325" s="67"/>
      <c r="AR1325" s="67"/>
      <c r="AS1325" s="73"/>
      <c r="AT1325" s="67"/>
      <c r="AU1325" s="67"/>
      <c r="AV1325" s="73"/>
      <c r="AW1325" s="68"/>
      <c r="AX1325" s="68"/>
      <c r="AY1325" s="68"/>
      <c r="AZ1325" s="68"/>
      <c r="BA1325" s="68"/>
      <c r="BB1325" s="67"/>
      <c r="BC1325" s="67"/>
      <c r="BD1325" s="67"/>
      <c r="BE1325" s="67"/>
      <c r="BF1325" s="95"/>
      <c r="BG1325" s="52"/>
      <c r="BH1325" s="52"/>
      <c r="BI1325" s="52"/>
      <c r="BJ1325" s="52"/>
      <c r="BK1325" s="52"/>
      <c r="BL1325" s="52"/>
      <c r="BM1325" s="52"/>
      <c r="BN1325" s="53"/>
      <c r="BO1325" s="52"/>
      <c r="BP1325" s="52"/>
      <c r="BQ1325" s="54"/>
    </row>
    <row r="1326" spans="1:69" ht="16" x14ac:dyDescent="0.35">
      <c r="A1326"/>
      <c r="D1326"/>
      <c r="G1326"/>
      <c r="H1326" s="20"/>
      <c r="I1326" s="20"/>
      <c r="J1326" s="20"/>
      <c r="K1326" s="20"/>
      <c r="L1326" s="20"/>
      <c r="Q1326" s="83"/>
      <c r="Y1326" s="20"/>
      <c r="AP1326" s="93"/>
      <c r="AQ1326" s="31"/>
      <c r="AR1326" s="31"/>
      <c r="AS1326" s="94"/>
      <c r="AT1326" s="31"/>
      <c r="AU1326" s="31"/>
      <c r="AV1326" s="94"/>
      <c r="AW1326" s="32"/>
      <c r="AX1326" s="32"/>
      <c r="AY1326" s="32"/>
      <c r="AZ1326" s="32"/>
      <c r="BA1326" s="32"/>
      <c r="BB1326" s="31"/>
      <c r="BC1326" s="31"/>
      <c r="BD1326" s="31"/>
      <c r="BE1326" s="31"/>
      <c r="BF1326" s="96"/>
      <c r="BG1326" s="48"/>
      <c r="BH1326" s="48"/>
      <c r="BI1326" s="48"/>
      <c r="BJ1326" s="48"/>
      <c r="BK1326" s="48"/>
      <c r="BL1326" s="48"/>
      <c r="BM1326" s="48"/>
      <c r="BN1326" s="49"/>
      <c r="BO1326" s="48"/>
      <c r="BP1326" s="48"/>
      <c r="BQ1326" s="50"/>
    </row>
    <row r="1327" spans="1:69" ht="16" x14ac:dyDescent="0.35">
      <c r="A1327"/>
      <c r="D1327"/>
      <c r="G1327"/>
      <c r="H1327" s="20"/>
      <c r="I1327" s="20"/>
      <c r="J1327" s="20"/>
      <c r="K1327" s="20"/>
      <c r="L1327" s="20"/>
      <c r="Q1327" s="83"/>
      <c r="Y1327" s="20"/>
      <c r="AP1327" s="92"/>
      <c r="AQ1327" s="67"/>
      <c r="AR1327" s="67"/>
      <c r="AS1327" s="73"/>
      <c r="AT1327" s="67"/>
      <c r="AU1327" s="67"/>
      <c r="AV1327" s="73"/>
      <c r="AW1327" s="68"/>
      <c r="AX1327" s="68"/>
      <c r="AY1327" s="68"/>
      <c r="AZ1327" s="68"/>
      <c r="BA1327" s="68"/>
      <c r="BB1327" s="67"/>
      <c r="BC1327" s="67"/>
      <c r="BD1327" s="67"/>
      <c r="BE1327" s="67"/>
      <c r="BF1327" s="95"/>
      <c r="BG1327" s="52"/>
      <c r="BH1327" s="52"/>
      <c r="BI1327" s="52"/>
      <c r="BJ1327" s="52"/>
      <c r="BK1327" s="52"/>
      <c r="BL1327" s="52"/>
      <c r="BM1327" s="52"/>
      <c r="BN1327" s="53"/>
      <c r="BO1327" s="52"/>
      <c r="BP1327" s="52"/>
      <c r="BQ1327" s="54"/>
    </row>
    <row r="1328" spans="1:69" ht="16" x14ac:dyDescent="0.35">
      <c r="A1328"/>
      <c r="D1328"/>
      <c r="G1328"/>
      <c r="H1328" s="20"/>
      <c r="I1328" s="20"/>
      <c r="J1328" s="20"/>
      <c r="K1328" s="20"/>
      <c r="L1328" s="20"/>
      <c r="Q1328" s="83"/>
      <c r="Y1328" s="20"/>
      <c r="AP1328" s="93"/>
      <c r="AQ1328" s="31"/>
      <c r="AR1328" s="31"/>
      <c r="AS1328" s="94"/>
      <c r="AT1328" s="31"/>
      <c r="AU1328" s="31"/>
      <c r="AV1328" s="94"/>
      <c r="AW1328" s="32"/>
      <c r="AX1328" s="32"/>
      <c r="AY1328" s="32"/>
      <c r="AZ1328" s="32"/>
      <c r="BA1328" s="32"/>
      <c r="BB1328" s="31"/>
      <c r="BC1328" s="31"/>
      <c r="BD1328" s="31"/>
      <c r="BE1328" s="31"/>
      <c r="BF1328" s="96"/>
      <c r="BG1328" s="48"/>
      <c r="BH1328" s="48"/>
      <c r="BI1328" s="48"/>
      <c r="BJ1328" s="48"/>
      <c r="BK1328" s="48"/>
      <c r="BL1328" s="48"/>
      <c r="BM1328" s="48"/>
      <c r="BN1328" s="49"/>
      <c r="BO1328" s="48"/>
      <c r="BP1328" s="48"/>
      <c r="BQ1328" s="50"/>
    </row>
    <row r="1329" spans="1:69" ht="16" x14ac:dyDescent="0.35">
      <c r="A1329"/>
      <c r="D1329"/>
      <c r="G1329"/>
      <c r="H1329" s="20"/>
      <c r="I1329" s="20"/>
      <c r="J1329" s="20"/>
      <c r="K1329" s="20"/>
      <c r="L1329" s="20"/>
      <c r="Q1329" s="83"/>
      <c r="Y1329" s="20"/>
      <c r="AP1329" s="92"/>
      <c r="AQ1329" s="67"/>
      <c r="AR1329" s="67"/>
      <c r="AS1329" s="73"/>
      <c r="AT1329" s="67"/>
      <c r="AU1329" s="67"/>
      <c r="AV1329" s="73"/>
      <c r="AW1329" s="68"/>
      <c r="AX1329" s="68"/>
      <c r="AY1329" s="68"/>
      <c r="AZ1329" s="68"/>
      <c r="BA1329" s="68"/>
      <c r="BB1329" s="67"/>
      <c r="BC1329" s="67"/>
      <c r="BD1329" s="67"/>
      <c r="BE1329" s="67"/>
      <c r="BF1329" s="95"/>
      <c r="BG1329" s="52"/>
      <c r="BH1329" s="52"/>
      <c r="BI1329" s="52"/>
      <c r="BJ1329" s="52"/>
      <c r="BK1329" s="52"/>
      <c r="BL1329" s="52"/>
      <c r="BM1329" s="52"/>
      <c r="BN1329" s="53"/>
      <c r="BO1329" s="52"/>
      <c r="BP1329" s="52"/>
      <c r="BQ1329" s="54"/>
    </row>
    <row r="1330" spans="1:69" ht="16" x14ac:dyDescent="0.35">
      <c r="A1330"/>
      <c r="D1330"/>
      <c r="G1330"/>
      <c r="H1330" s="20"/>
      <c r="I1330" s="20"/>
      <c r="J1330" s="20"/>
      <c r="K1330" s="20"/>
      <c r="L1330" s="20"/>
      <c r="Q1330" s="83"/>
      <c r="Y1330" s="20"/>
      <c r="AP1330" s="93"/>
      <c r="AQ1330" s="31"/>
      <c r="AR1330" s="31"/>
      <c r="AS1330" s="94"/>
      <c r="AT1330" s="31"/>
      <c r="AU1330" s="31"/>
      <c r="AV1330" s="94"/>
      <c r="AW1330" s="32"/>
      <c r="AX1330" s="32"/>
      <c r="AY1330" s="32"/>
      <c r="AZ1330" s="32"/>
      <c r="BA1330" s="32"/>
      <c r="BB1330" s="31"/>
      <c r="BC1330" s="31"/>
      <c r="BD1330" s="31"/>
      <c r="BE1330" s="31"/>
      <c r="BF1330" s="96"/>
      <c r="BG1330" s="48"/>
      <c r="BH1330" s="48"/>
      <c r="BI1330" s="48"/>
      <c r="BJ1330" s="48"/>
      <c r="BK1330" s="48"/>
      <c r="BL1330" s="48"/>
      <c r="BM1330" s="48"/>
      <c r="BN1330" s="49"/>
      <c r="BO1330" s="48"/>
      <c r="BP1330" s="48"/>
      <c r="BQ1330" s="50"/>
    </row>
    <row r="1331" spans="1:69" ht="16" x14ac:dyDescent="0.35">
      <c r="A1331"/>
      <c r="D1331"/>
      <c r="G1331"/>
      <c r="H1331" s="20"/>
      <c r="I1331" s="20"/>
      <c r="J1331" s="20"/>
      <c r="K1331" s="20"/>
      <c r="L1331" s="20"/>
      <c r="Q1331" s="83"/>
      <c r="Y1331" s="20"/>
      <c r="AP1331" s="92"/>
      <c r="AQ1331" s="67"/>
      <c r="AR1331" s="67"/>
      <c r="AS1331" s="73"/>
      <c r="AT1331" s="67"/>
      <c r="AU1331" s="67"/>
      <c r="AV1331" s="73"/>
      <c r="AW1331" s="68"/>
      <c r="AX1331" s="68"/>
      <c r="AY1331" s="68"/>
      <c r="AZ1331" s="68"/>
      <c r="BA1331" s="68"/>
      <c r="BB1331" s="67"/>
      <c r="BC1331" s="67"/>
      <c r="BD1331" s="67"/>
      <c r="BE1331" s="67"/>
      <c r="BF1331" s="95"/>
      <c r="BG1331" s="52"/>
      <c r="BH1331" s="52"/>
      <c r="BI1331" s="52"/>
      <c r="BJ1331" s="52"/>
      <c r="BK1331" s="52"/>
      <c r="BL1331" s="52"/>
      <c r="BM1331" s="52"/>
      <c r="BN1331" s="53"/>
      <c r="BO1331" s="52"/>
      <c r="BP1331" s="52"/>
      <c r="BQ1331" s="54"/>
    </row>
    <row r="1332" spans="1:69" ht="16" x14ac:dyDescent="0.35">
      <c r="A1332"/>
      <c r="D1332"/>
      <c r="G1332"/>
      <c r="H1332" s="20"/>
      <c r="I1332" s="20"/>
      <c r="J1332" s="20"/>
      <c r="K1332" s="20"/>
      <c r="L1332" s="20"/>
      <c r="Q1332" s="83"/>
      <c r="Y1332" s="20"/>
      <c r="AP1332" s="93"/>
      <c r="AQ1332" s="31"/>
      <c r="AR1332" s="31"/>
      <c r="AS1332" s="94"/>
      <c r="AT1332" s="31"/>
      <c r="AU1332" s="31"/>
      <c r="AV1332" s="94"/>
      <c r="AW1332" s="32"/>
      <c r="AX1332" s="32"/>
      <c r="AY1332" s="32"/>
      <c r="AZ1332" s="32"/>
      <c r="BA1332" s="32"/>
      <c r="BB1332" s="31"/>
      <c r="BC1332" s="31"/>
      <c r="BD1332" s="31"/>
      <c r="BE1332" s="31"/>
      <c r="BF1332" s="96"/>
      <c r="BG1332" s="48"/>
      <c r="BH1332" s="48"/>
      <c r="BI1332" s="48"/>
      <c r="BJ1332" s="48"/>
      <c r="BK1332" s="48"/>
      <c r="BL1332" s="48"/>
      <c r="BM1332" s="48"/>
      <c r="BN1332" s="49"/>
      <c r="BO1332" s="48"/>
      <c r="BP1332" s="48"/>
      <c r="BQ1332" s="50"/>
    </row>
    <row r="1333" spans="1:69" ht="16" x14ac:dyDescent="0.35">
      <c r="A1333"/>
      <c r="D1333"/>
      <c r="G1333"/>
      <c r="H1333" s="20"/>
      <c r="I1333" s="20"/>
      <c r="J1333" s="20"/>
      <c r="K1333" s="20"/>
      <c r="L1333" s="20"/>
      <c r="Q1333" s="83"/>
      <c r="Y1333" s="20"/>
      <c r="AP1333" s="92"/>
      <c r="AQ1333" s="67"/>
      <c r="AR1333" s="67"/>
      <c r="AS1333" s="73"/>
      <c r="AT1333" s="67"/>
      <c r="AU1333" s="67"/>
      <c r="AV1333" s="73"/>
      <c r="AW1333" s="68"/>
      <c r="AX1333" s="68"/>
      <c r="AY1333" s="68"/>
      <c r="AZ1333" s="68"/>
      <c r="BA1333" s="68"/>
      <c r="BB1333" s="67"/>
      <c r="BC1333" s="67"/>
      <c r="BD1333" s="67"/>
      <c r="BE1333" s="67"/>
      <c r="BF1333" s="95"/>
      <c r="BG1333" s="52"/>
      <c r="BH1333" s="52"/>
      <c r="BI1333" s="52"/>
      <c r="BJ1333" s="52"/>
      <c r="BK1333" s="52"/>
      <c r="BL1333" s="52"/>
      <c r="BM1333" s="52"/>
      <c r="BN1333" s="53"/>
      <c r="BO1333" s="52"/>
      <c r="BP1333" s="52"/>
      <c r="BQ1333" s="54"/>
    </row>
    <row r="1334" spans="1:69" ht="16" x14ac:dyDescent="0.35">
      <c r="A1334"/>
      <c r="D1334"/>
      <c r="G1334"/>
      <c r="H1334" s="20"/>
      <c r="I1334" s="20"/>
      <c r="J1334" s="20"/>
      <c r="K1334" s="20"/>
      <c r="L1334" s="20"/>
      <c r="Q1334" s="83"/>
      <c r="Y1334" s="20"/>
      <c r="AP1334" s="93"/>
      <c r="AQ1334" s="31"/>
      <c r="AR1334" s="31"/>
      <c r="AS1334" s="94"/>
      <c r="AT1334" s="31"/>
      <c r="AU1334" s="31"/>
      <c r="AV1334" s="94"/>
      <c r="AW1334" s="32"/>
      <c r="AX1334" s="32"/>
      <c r="AY1334" s="32"/>
      <c r="AZ1334" s="32"/>
      <c r="BA1334" s="32"/>
      <c r="BB1334" s="31"/>
      <c r="BC1334" s="31"/>
      <c r="BD1334" s="31"/>
      <c r="BE1334" s="31"/>
      <c r="BF1334" s="96"/>
      <c r="BG1334" s="48"/>
      <c r="BH1334" s="48"/>
      <c r="BI1334" s="48"/>
      <c r="BJ1334" s="48"/>
      <c r="BK1334" s="48"/>
      <c r="BL1334" s="48"/>
      <c r="BM1334" s="48"/>
      <c r="BN1334" s="49"/>
      <c r="BO1334" s="48"/>
      <c r="BP1334" s="48"/>
      <c r="BQ1334" s="50"/>
    </row>
    <row r="1335" spans="1:69" ht="16" x14ac:dyDescent="0.35">
      <c r="A1335"/>
      <c r="D1335"/>
      <c r="G1335"/>
      <c r="H1335" s="20"/>
      <c r="I1335" s="20"/>
      <c r="J1335" s="20"/>
      <c r="K1335" s="20"/>
      <c r="L1335" s="20"/>
      <c r="Q1335" s="83"/>
      <c r="Y1335" s="20"/>
      <c r="AP1335" s="92"/>
      <c r="AQ1335" s="67"/>
      <c r="AR1335" s="67"/>
      <c r="AS1335" s="73"/>
      <c r="AT1335" s="67"/>
      <c r="AU1335" s="67"/>
      <c r="AV1335" s="73"/>
      <c r="AW1335" s="68"/>
      <c r="AX1335" s="68"/>
      <c r="AY1335" s="68"/>
      <c r="AZ1335" s="68"/>
      <c r="BA1335" s="68"/>
      <c r="BB1335" s="67"/>
      <c r="BC1335" s="67"/>
      <c r="BD1335" s="67"/>
      <c r="BE1335" s="67"/>
      <c r="BF1335" s="95"/>
      <c r="BG1335" s="52"/>
      <c r="BH1335" s="52"/>
      <c r="BI1335" s="52"/>
      <c r="BJ1335" s="52"/>
      <c r="BK1335" s="52"/>
      <c r="BL1335" s="52"/>
      <c r="BM1335" s="52"/>
      <c r="BN1335" s="53"/>
      <c r="BO1335" s="52"/>
      <c r="BP1335" s="52"/>
      <c r="BQ1335" s="54"/>
    </row>
    <row r="1336" spans="1:69" ht="16" x14ac:dyDescent="0.35">
      <c r="A1336"/>
      <c r="D1336"/>
      <c r="G1336"/>
      <c r="H1336" s="20"/>
      <c r="I1336" s="20"/>
      <c r="J1336" s="20"/>
      <c r="K1336" s="20"/>
      <c r="L1336" s="20"/>
      <c r="Q1336" s="83"/>
      <c r="Y1336" s="20"/>
      <c r="AP1336" s="93"/>
      <c r="AQ1336" s="31"/>
      <c r="AR1336" s="31"/>
      <c r="AS1336" s="94"/>
      <c r="AT1336" s="31"/>
      <c r="AU1336" s="31"/>
      <c r="AV1336" s="94"/>
      <c r="AW1336" s="32"/>
      <c r="AX1336" s="32"/>
      <c r="AY1336" s="32"/>
      <c r="AZ1336" s="32"/>
      <c r="BA1336" s="32"/>
      <c r="BB1336" s="31"/>
      <c r="BC1336" s="31"/>
      <c r="BD1336" s="31"/>
      <c r="BE1336" s="31"/>
      <c r="BF1336" s="96"/>
      <c r="BG1336" s="48"/>
      <c r="BH1336" s="48"/>
      <c r="BI1336" s="48"/>
      <c r="BJ1336" s="48"/>
      <c r="BK1336" s="48"/>
      <c r="BL1336" s="48"/>
      <c r="BM1336" s="48"/>
      <c r="BN1336" s="49"/>
      <c r="BO1336" s="48"/>
      <c r="BP1336" s="48"/>
      <c r="BQ1336" s="50"/>
    </row>
    <row r="1337" spans="1:69" ht="16" x14ac:dyDescent="0.35">
      <c r="A1337"/>
      <c r="D1337"/>
      <c r="G1337"/>
      <c r="H1337" s="20"/>
      <c r="I1337" s="20"/>
      <c r="J1337" s="20"/>
      <c r="K1337" s="20"/>
      <c r="L1337" s="20"/>
      <c r="Q1337" s="83"/>
      <c r="Y1337" s="20"/>
      <c r="AP1337" s="92"/>
      <c r="AQ1337" s="67"/>
      <c r="AR1337" s="67"/>
      <c r="AS1337" s="73"/>
      <c r="AT1337" s="67"/>
      <c r="AU1337" s="67"/>
      <c r="AV1337" s="73"/>
      <c r="AW1337" s="68"/>
      <c r="AX1337" s="68"/>
      <c r="AY1337" s="68"/>
      <c r="AZ1337" s="68"/>
      <c r="BA1337" s="68"/>
      <c r="BB1337" s="67"/>
      <c r="BC1337" s="67"/>
      <c r="BD1337" s="67"/>
      <c r="BE1337" s="67"/>
      <c r="BF1337" s="95"/>
      <c r="BG1337" s="52"/>
      <c r="BH1337" s="52"/>
      <c r="BI1337" s="52"/>
      <c r="BJ1337" s="52"/>
      <c r="BK1337" s="52"/>
      <c r="BL1337" s="52"/>
      <c r="BM1337" s="52"/>
      <c r="BN1337" s="53"/>
      <c r="BO1337" s="52"/>
      <c r="BP1337" s="52"/>
      <c r="BQ1337" s="54"/>
    </row>
    <row r="1338" spans="1:69" ht="16" x14ac:dyDescent="0.35">
      <c r="A1338"/>
      <c r="D1338"/>
      <c r="G1338"/>
      <c r="H1338" s="20"/>
      <c r="I1338" s="20"/>
      <c r="J1338" s="20"/>
      <c r="K1338" s="20"/>
      <c r="L1338" s="20"/>
      <c r="Q1338" s="83"/>
      <c r="Y1338" s="20"/>
      <c r="AP1338" s="93"/>
      <c r="AQ1338" s="31"/>
      <c r="AR1338" s="31"/>
      <c r="AS1338" s="94"/>
      <c r="AT1338" s="31"/>
      <c r="AU1338" s="31"/>
      <c r="AV1338" s="94"/>
      <c r="AW1338" s="32"/>
      <c r="AX1338" s="32"/>
      <c r="AY1338" s="32"/>
      <c r="AZ1338" s="32"/>
      <c r="BA1338" s="32"/>
      <c r="BB1338" s="31"/>
      <c r="BC1338" s="31"/>
      <c r="BD1338" s="31"/>
      <c r="BE1338" s="31"/>
      <c r="BF1338" s="96"/>
      <c r="BG1338" s="48"/>
      <c r="BH1338" s="48"/>
      <c r="BI1338" s="48"/>
      <c r="BJ1338" s="48"/>
      <c r="BK1338" s="48"/>
      <c r="BL1338" s="48"/>
      <c r="BM1338" s="48"/>
      <c r="BN1338" s="49"/>
      <c r="BO1338" s="48"/>
      <c r="BP1338" s="48"/>
      <c r="BQ1338" s="50"/>
    </row>
    <row r="1339" spans="1:69" ht="16" x14ac:dyDescent="0.35">
      <c r="A1339"/>
      <c r="D1339"/>
      <c r="G1339"/>
      <c r="H1339" s="20"/>
      <c r="I1339" s="20"/>
      <c r="J1339" s="20"/>
      <c r="K1339" s="20"/>
      <c r="L1339" s="20"/>
      <c r="Q1339" s="83"/>
      <c r="Y1339" s="20"/>
      <c r="AP1339" s="92"/>
      <c r="AQ1339" s="67"/>
      <c r="AR1339" s="67"/>
      <c r="AS1339" s="73"/>
      <c r="AT1339" s="67"/>
      <c r="AU1339" s="67"/>
      <c r="AV1339" s="73"/>
      <c r="AW1339" s="68"/>
      <c r="AX1339" s="68"/>
      <c r="AY1339" s="68"/>
      <c r="AZ1339" s="68"/>
      <c r="BA1339" s="68"/>
      <c r="BB1339" s="67"/>
      <c r="BC1339" s="67"/>
      <c r="BD1339" s="67"/>
      <c r="BE1339" s="67"/>
      <c r="BF1339" s="95"/>
      <c r="BG1339" s="52"/>
      <c r="BH1339" s="52"/>
      <c r="BI1339" s="52"/>
      <c r="BJ1339" s="52"/>
      <c r="BK1339" s="52"/>
      <c r="BL1339" s="52"/>
      <c r="BM1339" s="52"/>
      <c r="BN1339" s="53"/>
      <c r="BO1339" s="52"/>
      <c r="BP1339" s="52"/>
      <c r="BQ1339" s="54"/>
    </row>
    <row r="1340" spans="1:69" ht="16" x14ac:dyDescent="0.35">
      <c r="A1340"/>
      <c r="D1340"/>
      <c r="G1340"/>
      <c r="H1340" s="20"/>
      <c r="I1340" s="20"/>
      <c r="J1340" s="20"/>
      <c r="K1340" s="20"/>
      <c r="L1340" s="20"/>
      <c r="Q1340" s="83"/>
      <c r="Y1340" s="20"/>
      <c r="AP1340" s="93"/>
      <c r="AQ1340" s="31"/>
      <c r="AR1340" s="31"/>
      <c r="AS1340" s="94"/>
      <c r="AT1340" s="31"/>
      <c r="AU1340" s="31"/>
      <c r="AV1340" s="94"/>
      <c r="AW1340" s="32"/>
      <c r="AX1340" s="32"/>
      <c r="AY1340" s="32"/>
      <c r="AZ1340" s="32"/>
      <c r="BA1340" s="32"/>
      <c r="BB1340" s="31"/>
      <c r="BC1340" s="31"/>
      <c r="BD1340" s="31"/>
      <c r="BE1340" s="31"/>
      <c r="BF1340" s="96"/>
      <c r="BG1340" s="48"/>
      <c r="BH1340" s="48"/>
      <c r="BI1340" s="48"/>
      <c r="BJ1340" s="48"/>
      <c r="BK1340" s="48"/>
      <c r="BL1340" s="48"/>
      <c r="BM1340" s="48"/>
      <c r="BN1340" s="49"/>
      <c r="BO1340" s="48"/>
      <c r="BP1340" s="48"/>
      <c r="BQ1340" s="50"/>
    </row>
    <row r="1341" spans="1:69" ht="16" x14ac:dyDescent="0.35">
      <c r="A1341"/>
      <c r="D1341"/>
      <c r="G1341"/>
      <c r="H1341" s="20"/>
      <c r="I1341" s="20"/>
      <c r="J1341" s="20"/>
      <c r="K1341" s="20"/>
      <c r="L1341" s="20"/>
      <c r="Q1341" s="83"/>
      <c r="Y1341" s="20"/>
      <c r="AP1341" s="92"/>
      <c r="AQ1341" s="67"/>
      <c r="AR1341" s="67"/>
      <c r="AS1341" s="73"/>
      <c r="AT1341" s="67"/>
      <c r="AU1341" s="67"/>
      <c r="AV1341" s="73"/>
      <c r="AW1341" s="68"/>
      <c r="AX1341" s="68"/>
      <c r="AY1341" s="68"/>
      <c r="AZ1341" s="68"/>
      <c r="BA1341" s="68"/>
      <c r="BB1341" s="67"/>
      <c r="BC1341" s="67"/>
      <c r="BD1341" s="67"/>
      <c r="BE1341" s="67"/>
      <c r="BF1341" s="95"/>
      <c r="BG1341" s="52"/>
      <c r="BH1341" s="52"/>
      <c r="BI1341" s="52"/>
      <c r="BJ1341" s="52"/>
      <c r="BK1341" s="52"/>
      <c r="BL1341" s="52"/>
      <c r="BM1341" s="52"/>
      <c r="BN1341" s="53"/>
      <c r="BO1341" s="52"/>
      <c r="BP1341" s="52"/>
      <c r="BQ1341" s="54"/>
    </row>
    <row r="1342" spans="1:69" ht="16" x14ac:dyDescent="0.35">
      <c r="A1342"/>
      <c r="D1342"/>
      <c r="G1342"/>
      <c r="H1342" s="20"/>
      <c r="I1342" s="20"/>
      <c r="J1342" s="20"/>
      <c r="K1342" s="20"/>
      <c r="L1342" s="20"/>
      <c r="Q1342" s="83"/>
      <c r="Y1342" s="20"/>
      <c r="AP1342" s="93"/>
      <c r="AQ1342" s="31"/>
      <c r="AR1342" s="31"/>
      <c r="AS1342" s="94"/>
      <c r="AT1342" s="31"/>
      <c r="AU1342" s="31"/>
      <c r="AV1342" s="94"/>
      <c r="AW1342" s="32"/>
      <c r="AX1342" s="32"/>
      <c r="AY1342" s="32"/>
      <c r="AZ1342" s="32"/>
      <c r="BA1342" s="32"/>
      <c r="BB1342" s="31"/>
      <c r="BC1342" s="31"/>
      <c r="BD1342" s="31"/>
      <c r="BE1342" s="31"/>
      <c r="BF1342" s="96"/>
      <c r="BG1342" s="48"/>
      <c r="BH1342" s="48"/>
      <c r="BI1342" s="48"/>
      <c r="BJ1342" s="48"/>
      <c r="BK1342" s="48"/>
      <c r="BL1342" s="48"/>
      <c r="BM1342" s="48"/>
      <c r="BN1342" s="49"/>
      <c r="BO1342" s="48"/>
      <c r="BP1342" s="48"/>
      <c r="BQ1342" s="50"/>
    </row>
    <row r="1343" spans="1:69" ht="16" x14ac:dyDescent="0.35">
      <c r="A1343"/>
      <c r="D1343"/>
      <c r="G1343"/>
      <c r="H1343" s="20"/>
      <c r="I1343" s="20"/>
      <c r="J1343" s="20"/>
      <c r="K1343" s="20"/>
      <c r="L1343" s="20"/>
      <c r="Q1343" s="83"/>
      <c r="Y1343" s="20"/>
      <c r="AP1343" s="92"/>
      <c r="AQ1343" s="67"/>
      <c r="AR1343" s="67"/>
      <c r="AS1343" s="73"/>
      <c r="AT1343" s="67"/>
      <c r="AU1343" s="67"/>
      <c r="AV1343" s="73"/>
      <c r="AW1343" s="68"/>
      <c r="AX1343" s="68"/>
      <c r="AY1343" s="68"/>
      <c r="AZ1343" s="68"/>
      <c r="BA1343" s="68"/>
      <c r="BB1343" s="67"/>
      <c r="BC1343" s="67"/>
      <c r="BD1343" s="67"/>
      <c r="BE1343" s="67"/>
      <c r="BF1343" s="95"/>
      <c r="BG1343" s="52"/>
      <c r="BH1343" s="52"/>
      <c r="BI1343" s="52"/>
      <c r="BJ1343" s="52"/>
      <c r="BK1343" s="52"/>
      <c r="BL1343" s="52"/>
      <c r="BM1343" s="52"/>
      <c r="BN1343" s="53"/>
      <c r="BO1343" s="52"/>
      <c r="BP1343" s="52"/>
      <c r="BQ1343" s="54"/>
    </row>
    <row r="1344" spans="1:69" ht="16" x14ac:dyDescent="0.35">
      <c r="A1344"/>
      <c r="D1344"/>
      <c r="G1344"/>
      <c r="H1344" s="20"/>
      <c r="I1344" s="20"/>
      <c r="J1344" s="20"/>
      <c r="K1344" s="20"/>
      <c r="L1344" s="20"/>
      <c r="Q1344" s="83"/>
      <c r="Y1344" s="20"/>
      <c r="AP1344" s="93"/>
      <c r="AQ1344" s="31"/>
      <c r="AR1344" s="31"/>
      <c r="AS1344" s="94"/>
      <c r="AT1344" s="31"/>
      <c r="AU1344" s="31"/>
      <c r="AV1344" s="94"/>
      <c r="AW1344" s="32"/>
      <c r="AX1344" s="32"/>
      <c r="AY1344" s="32"/>
      <c r="AZ1344" s="32"/>
      <c r="BA1344" s="32"/>
      <c r="BB1344" s="31"/>
      <c r="BC1344" s="31"/>
      <c r="BD1344" s="31"/>
      <c r="BE1344" s="31"/>
      <c r="BF1344" s="96"/>
      <c r="BG1344" s="48"/>
      <c r="BH1344" s="48"/>
      <c r="BI1344" s="48"/>
      <c r="BJ1344" s="48"/>
      <c r="BK1344" s="48"/>
      <c r="BL1344" s="48"/>
      <c r="BM1344" s="48"/>
      <c r="BN1344" s="49"/>
      <c r="BO1344" s="48"/>
      <c r="BP1344" s="48"/>
      <c r="BQ1344" s="50"/>
    </row>
    <row r="1345" spans="1:69" ht="16" x14ac:dyDescent="0.35">
      <c r="A1345"/>
      <c r="D1345"/>
      <c r="G1345"/>
      <c r="H1345" s="20"/>
      <c r="I1345" s="20"/>
      <c r="J1345" s="20"/>
      <c r="K1345" s="20"/>
      <c r="L1345" s="20"/>
      <c r="Q1345" s="83"/>
      <c r="Y1345" s="20"/>
      <c r="AP1345" s="92"/>
      <c r="AQ1345" s="67"/>
      <c r="AR1345" s="67"/>
      <c r="AS1345" s="73"/>
      <c r="AT1345" s="67"/>
      <c r="AU1345" s="67"/>
      <c r="AV1345" s="73"/>
      <c r="AW1345" s="68"/>
      <c r="AX1345" s="68"/>
      <c r="AY1345" s="68"/>
      <c r="AZ1345" s="68"/>
      <c r="BA1345" s="68"/>
      <c r="BB1345" s="67"/>
      <c r="BC1345" s="67"/>
      <c r="BD1345" s="67"/>
      <c r="BE1345" s="67"/>
      <c r="BF1345" s="95"/>
      <c r="BG1345" s="52"/>
      <c r="BH1345" s="52"/>
      <c r="BI1345" s="52"/>
      <c r="BJ1345" s="52"/>
      <c r="BK1345" s="52"/>
      <c r="BL1345" s="52"/>
      <c r="BM1345" s="52"/>
      <c r="BN1345" s="53"/>
      <c r="BO1345" s="52"/>
      <c r="BP1345" s="52"/>
      <c r="BQ1345" s="54"/>
    </row>
    <row r="1346" spans="1:69" ht="16" x14ac:dyDescent="0.35">
      <c r="A1346"/>
      <c r="D1346"/>
      <c r="G1346"/>
      <c r="H1346" s="20"/>
      <c r="I1346" s="20"/>
      <c r="J1346" s="20"/>
      <c r="K1346" s="20"/>
      <c r="L1346" s="20"/>
      <c r="Q1346" s="83"/>
      <c r="Y1346" s="20"/>
      <c r="AP1346" s="93"/>
      <c r="AQ1346" s="31"/>
      <c r="AR1346" s="31"/>
      <c r="AS1346" s="94"/>
      <c r="AT1346" s="31"/>
      <c r="AU1346" s="31"/>
      <c r="AV1346" s="94"/>
      <c r="AW1346" s="32"/>
      <c r="AX1346" s="32"/>
      <c r="AY1346" s="32"/>
      <c r="AZ1346" s="32"/>
      <c r="BA1346" s="32"/>
      <c r="BB1346" s="31"/>
      <c r="BC1346" s="31"/>
      <c r="BD1346" s="31"/>
      <c r="BE1346" s="31"/>
      <c r="BF1346" s="96"/>
      <c r="BG1346" s="48"/>
      <c r="BH1346" s="48"/>
      <c r="BI1346" s="48"/>
      <c r="BJ1346" s="48"/>
      <c r="BK1346" s="48"/>
      <c r="BL1346" s="48"/>
      <c r="BM1346" s="48"/>
      <c r="BN1346" s="49"/>
      <c r="BO1346" s="48"/>
      <c r="BP1346" s="48"/>
      <c r="BQ1346" s="50"/>
    </row>
    <row r="1347" spans="1:69" ht="16" x14ac:dyDescent="0.35">
      <c r="A1347"/>
      <c r="D1347"/>
      <c r="G1347"/>
      <c r="H1347" s="20"/>
      <c r="I1347" s="20"/>
      <c r="J1347" s="20"/>
      <c r="K1347" s="20"/>
      <c r="L1347" s="20"/>
      <c r="Q1347" s="83"/>
      <c r="Y1347" s="20"/>
      <c r="AP1347" s="92"/>
      <c r="AQ1347" s="67"/>
      <c r="AR1347" s="67"/>
      <c r="AS1347" s="73"/>
      <c r="AT1347" s="67"/>
      <c r="AU1347" s="67"/>
      <c r="AV1347" s="73"/>
      <c r="AW1347" s="68"/>
      <c r="AX1347" s="68"/>
      <c r="AY1347" s="68"/>
      <c r="AZ1347" s="68"/>
      <c r="BA1347" s="68"/>
      <c r="BB1347" s="67"/>
      <c r="BC1347" s="67"/>
      <c r="BD1347" s="67"/>
      <c r="BE1347" s="67"/>
      <c r="BF1347" s="95"/>
      <c r="BG1347" s="52"/>
      <c r="BH1347" s="52"/>
      <c r="BI1347" s="52"/>
      <c r="BJ1347" s="52"/>
      <c r="BK1347" s="52"/>
      <c r="BL1347" s="52"/>
      <c r="BM1347" s="52"/>
      <c r="BN1347" s="53"/>
      <c r="BO1347" s="52"/>
      <c r="BP1347" s="52"/>
      <c r="BQ1347" s="54"/>
    </row>
    <row r="1348" spans="1:69" ht="16" x14ac:dyDescent="0.35">
      <c r="A1348"/>
      <c r="D1348"/>
      <c r="G1348"/>
      <c r="H1348" s="20"/>
      <c r="I1348" s="20"/>
      <c r="J1348" s="20"/>
      <c r="K1348" s="20"/>
      <c r="L1348" s="20"/>
      <c r="Q1348" s="83"/>
      <c r="Y1348" s="20"/>
      <c r="AP1348" s="93"/>
      <c r="AQ1348" s="31"/>
      <c r="AR1348" s="31"/>
      <c r="AS1348" s="94"/>
      <c r="AT1348" s="31"/>
      <c r="AU1348" s="31"/>
      <c r="AV1348" s="94"/>
      <c r="AW1348" s="32"/>
      <c r="AX1348" s="32"/>
      <c r="AY1348" s="32"/>
      <c r="AZ1348" s="32"/>
      <c r="BA1348" s="32"/>
      <c r="BB1348" s="31"/>
      <c r="BC1348" s="31"/>
      <c r="BD1348" s="31"/>
      <c r="BE1348" s="31"/>
      <c r="BF1348" s="96"/>
      <c r="BG1348" s="48"/>
      <c r="BH1348" s="48"/>
      <c r="BI1348" s="48"/>
      <c r="BJ1348" s="48"/>
      <c r="BK1348" s="48"/>
      <c r="BL1348" s="48"/>
      <c r="BM1348" s="48"/>
      <c r="BN1348" s="49"/>
      <c r="BO1348" s="48"/>
      <c r="BP1348" s="48"/>
      <c r="BQ1348" s="50"/>
    </row>
    <row r="1349" spans="1:69" ht="16" x14ac:dyDescent="0.35">
      <c r="A1349"/>
      <c r="D1349"/>
      <c r="G1349"/>
      <c r="H1349" s="20"/>
      <c r="I1349" s="20"/>
      <c r="J1349" s="20"/>
      <c r="K1349" s="20"/>
      <c r="L1349" s="20"/>
      <c r="Q1349" s="83"/>
      <c r="Y1349" s="20"/>
      <c r="AP1349" s="92"/>
      <c r="AQ1349" s="67"/>
      <c r="AR1349" s="67"/>
      <c r="AS1349" s="73"/>
      <c r="AT1349" s="67"/>
      <c r="AU1349" s="67"/>
      <c r="AV1349" s="73"/>
      <c r="AW1349" s="68"/>
      <c r="AX1349" s="68"/>
      <c r="AY1349" s="68"/>
      <c r="AZ1349" s="68"/>
      <c r="BA1349" s="68"/>
      <c r="BB1349" s="67"/>
      <c r="BC1349" s="67"/>
      <c r="BD1349" s="67"/>
      <c r="BE1349" s="67"/>
      <c r="BF1349" s="95"/>
      <c r="BG1349" s="52"/>
      <c r="BH1349" s="52"/>
      <c r="BI1349" s="52"/>
      <c r="BJ1349" s="52"/>
      <c r="BK1349" s="52"/>
      <c r="BL1349" s="52"/>
      <c r="BM1349" s="52"/>
      <c r="BN1349" s="53"/>
      <c r="BO1349" s="52"/>
      <c r="BP1349" s="52"/>
      <c r="BQ1349" s="54"/>
    </row>
    <row r="1350" spans="1:69" ht="16" x14ac:dyDescent="0.35">
      <c r="A1350"/>
      <c r="D1350"/>
      <c r="G1350"/>
      <c r="H1350" s="20"/>
      <c r="I1350" s="20"/>
      <c r="J1350" s="20"/>
      <c r="K1350" s="20"/>
      <c r="L1350" s="20"/>
      <c r="Q1350" s="83"/>
      <c r="Y1350" s="20"/>
      <c r="AP1350" s="93"/>
      <c r="AQ1350" s="31"/>
      <c r="AR1350" s="31"/>
      <c r="AS1350" s="94"/>
      <c r="AT1350" s="31"/>
      <c r="AU1350" s="31"/>
      <c r="AV1350" s="94"/>
      <c r="AW1350" s="32"/>
      <c r="AX1350" s="32"/>
      <c r="AY1350" s="32"/>
      <c r="AZ1350" s="32"/>
      <c r="BA1350" s="32"/>
      <c r="BB1350" s="31"/>
      <c r="BC1350" s="31"/>
      <c r="BD1350" s="31"/>
      <c r="BE1350" s="31"/>
      <c r="BF1350" s="96"/>
      <c r="BG1350" s="48"/>
      <c r="BH1350" s="48"/>
      <c r="BI1350" s="48"/>
      <c r="BJ1350" s="48"/>
      <c r="BK1350" s="48"/>
      <c r="BL1350" s="48"/>
      <c r="BM1350" s="48"/>
      <c r="BN1350" s="49"/>
      <c r="BO1350" s="48"/>
      <c r="BP1350" s="48"/>
      <c r="BQ1350" s="50"/>
    </row>
    <row r="1351" spans="1:69" ht="16" x14ac:dyDescent="0.35">
      <c r="A1351"/>
      <c r="D1351"/>
      <c r="G1351"/>
      <c r="H1351" s="20"/>
      <c r="I1351" s="20"/>
      <c r="J1351" s="20"/>
      <c r="K1351" s="20"/>
      <c r="L1351" s="20"/>
      <c r="Q1351" s="83"/>
      <c r="Y1351" s="20"/>
      <c r="AP1351" s="92"/>
      <c r="AQ1351" s="67"/>
      <c r="AR1351" s="67"/>
      <c r="AS1351" s="73"/>
      <c r="AT1351" s="67"/>
      <c r="AU1351" s="67"/>
      <c r="AV1351" s="73"/>
      <c r="AW1351" s="68"/>
      <c r="AX1351" s="68"/>
      <c r="AY1351" s="68"/>
      <c r="AZ1351" s="68"/>
      <c r="BA1351" s="68"/>
      <c r="BB1351" s="67"/>
      <c r="BC1351" s="67"/>
      <c r="BD1351" s="67"/>
      <c r="BE1351" s="67"/>
      <c r="BF1351" s="95"/>
      <c r="BG1351" s="52"/>
      <c r="BH1351" s="52"/>
      <c r="BI1351" s="52"/>
      <c r="BJ1351" s="52"/>
      <c r="BK1351" s="52"/>
      <c r="BL1351" s="52"/>
      <c r="BM1351" s="52"/>
      <c r="BN1351" s="53"/>
      <c r="BO1351" s="52"/>
      <c r="BP1351" s="52"/>
      <c r="BQ1351" s="54"/>
    </row>
    <row r="1352" spans="1:69" ht="16" x14ac:dyDescent="0.35">
      <c r="A1352"/>
      <c r="D1352"/>
      <c r="G1352"/>
      <c r="H1352" s="20"/>
      <c r="I1352" s="20"/>
      <c r="J1352" s="20"/>
      <c r="K1352" s="20"/>
      <c r="L1352" s="20"/>
      <c r="Q1352" s="83"/>
      <c r="Y1352" s="20"/>
      <c r="AP1352" s="93"/>
      <c r="AQ1352" s="31"/>
      <c r="AR1352" s="31"/>
      <c r="AS1352" s="94"/>
      <c r="AT1352" s="31"/>
      <c r="AU1352" s="31"/>
      <c r="AV1352" s="94"/>
      <c r="AW1352" s="32"/>
      <c r="AX1352" s="32"/>
      <c r="AY1352" s="32"/>
      <c r="AZ1352" s="32"/>
      <c r="BA1352" s="32"/>
      <c r="BB1352" s="31"/>
      <c r="BC1352" s="31"/>
      <c r="BD1352" s="31"/>
      <c r="BE1352" s="31"/>
      <c r="BF1352" s="96"/>
      <c r="BG1352" s="48"/>
      <c r="BH1352" s="48"/>
      <c r="BI1352" s="48"/>
      <c r="BJ1352" s="48"/>
      <c r="BK1352" s="48"/>
      <c r="BL1352" s="48"/>
      <c r="BM1352" s="48"/>
      <c r="BN1352" s="49"/>
      <c r="BO1352" s="48"/>
      <c r="BP1352" s="48"/>
      <c r="BQ1352" s="50"/>
    </row>
    <row r="1353" spans="1:69" ht="16" x14ac:dyDescent="0.35">
      <c r="A1353"/>
      <c r="D1353"/>
      <c r="G1353"/>
      <c r="H1353" s="20"/>
      <c r="I1353" s="20"/>
      <c r="J1353" s="20"/>
      <c r="K1353" s="20"/>
      <c r="L1353" s="20"/>
      <c r="Q1353" s="83"/>
      <c r="Y1353" s="20"/>
      <c r="AP1353" s="92"/>
      <c r="AQ1353" s="67"/>
      <c r="AR1353" s="67"/>
      <c r="AS1353" s="73"/>
      <c r="AT1353" s="67"/>
      <c r="AU1353" s="67"/>
      <c r="AV1353" s="73"/>
      <c r="AW1353" s="68"/>
      <c r="AX1353" s="68"/>
      <c r="AY1353" s="68"/>
      <c r="AZ1353" s="68"/>
      <c r="BA1353" s="68"/>
      <c r="BB1353" s="67"/>
      <c r="BC1353" s="67"/>
      <c r="BD1353" s="67"/>
      <c r="BE1353" s="67"/>
      <c r="BF1353" s="95"/>
      <c r="BG1353" s="52"/>
      <c r="BH1353" s="52"/>
      <c r="BI1353" s="52"/>
      <c r="BJ1353" s="52"/>
      <c r="BK1353" s="52"/>
      <c r="BL1353" s="52"/>
      <c r="BM1353" s="52"/>
      <c r="BN1353" s="53"/>
      <c r="BO1353" s="52"/>
      <c r="BP1353" s="52"/>
      <c r="BQ1353" s="54"/>
    </row>
    <row r="1354" spans="1:69" ht="16" x14ac:dyDescent="0.35">
      <c r="A1354"/>
      <c r="D1354"/>
      <c r="G1354"/>
      <c r="H1354" s="20"/>
      <c r="I1354" s="20"/>
      <c r="J1354" s="20"/>
      <c r="K1354" s="20"/>
      <c r="L1354" s="20"/>
      <c r="Q1354" s="83"/>
      <c r="Y1354" s="20"/>
      <c r="AP1354" s="93"/>
      <c r="AQ1354" s="31"/>
      <c r="AR1354" s="31"/>
      <c r="AS1354" s="94"/>
      <c r="AT1354" s="31"/>
      <c r="AU1354" s="31"/>
      <c r="AV1354" s="94"/>
      <c r="AW1354" s="32"/>
      <c r="AX1354" s="32"/>
      <c r="AY1354" s="32"/>
      <c r="AZ1354" s="32"/>
      <c r="BA1354" s="32"/>
      <c r="BB1354" s="31"/>
      <c r="BC1354" s="31"/>
      <c r="BD1354" s="31"/>
      <c r="BE1354" s="31"/>
      <c r="BF1354" s="96"/>
      <c r="BG1354" s="48"/>
      <c r="BH1354" s="48"/>
      <c r="BI1354" s="48"/>
      <c r="BJ1354" s="48"/>
      <c r="BK1354" s="48"/>
      <c r="BL1354" s="48"/>
      <c r="BM1354" s="48"/>
      <c r="BN1354" s="49"/>
      <c r="BO1354" s="48"/>
      <c r="BP1354" s="48"/>
      <c r="BQ1354" s="50"/>
    </row>
    <row r="1355" spans="1:69" ht="16" x14ac:dyDescent="0.35">
      <c r="A1355"/>
      <c r="D1355"/>
      <c r="G1355"/>
      <c r="H1355" s="20"/>
      <c r="I1355" s="20"/>
      <c r="J1355" s="20"/>
      <c r="K1355" s="20"/>
      <c r="L1355" s="20"/>
      <c r="Q1355" s="83"/>
      <c r="Y1355" s="20"/>
      <c r="AP1355" s="92"/>
      <c r="AQ1355" s="67"/>
      <c r="AR1355" s="67"/>
      <c r="AS1355" s="73"/>
      <c r="AT1355" s="67"/>
      <c r="AU1355" s="67"/>
      <c r="AV1355" s="73"/>
      <c r="AW1355" s="68"/>
      <c r="AX1355" s="68"/>
      <c r="AY1355" s="68"/>
      <c r="AZ1355" s="68"/>
      <c r="BA1355" s="68"/>
      <c r="BB1355" s="67"/>
      <c r="BC1355" s="67"/>
      <c r="BD1355" s="67"/>
      <c r="BE1355" s="67"/>
      <c r="BF1355" s="95"/>
      <c r="BG1355" s="52"/>
      <c r="BH1355" s="52"/>
      <c r="BI1355" s="52"/>
      <c r="BJ1355" s="52"/>
      <c r="BK1355" s="52"/>
      <c r="BL1355" s="52"/>
      <c r="BM1355" s="52"/>
      <c r="BN1355" s="53"/>
      <c r="BO1355" s="52"/>
      <c r="BP1355" s="52"/>
      <c r="BQ1355" s="54"/>
    </row>
    <row r="1356" spans="1:69" ht="16" x14ac:dyDescent="0.35">
      <c r="A1356"/>
      <c r="D1356"/>
      <c r="G1356"/>
      <c r="H1356" s="20"/>
      <c r="I1356" s="20"/>
      <c r="J1356" s="20"/>
      <c r="K1356" s="20"/>
      <c r="L1356" s="20"/>
      <c r="Q1356" s="83"/>
      <c r="Y1356" s="20"/>
      <c r="AP1356" s="93"/>
      <c r="AQ1356" s="31"/>
      <c r="AR1356" s="31"/>
      <c r="AS1356" s="94"/>
      <c r="AT1356" s="31"/>
      <c r="AU1356" s="31"/>
      <c r="AV1356" s="94"/>
      <c r="AW1356" s="32"/>
      <c r="AX1356" s="32"/>
      <c r="AY1356" s="32"/>
      <c r="AZ1356" s="32"/>
      <c r="BA1356" s="32"/>
      <c r="BB1356" s="31"/>
      <c r="BC1356" s="31"/>
      <c r="BD1356" s="31"/>
      <c r="BE1356" s="31"/>
      <c r="BF1356" s="96"/>
      <c r="BG1356" s="48"/>
      <c r="BH1356" s="48"/>
      <c r="BI1356" s="48"/>
      <c r="BJ1356" s="48"/>
      <c r="BK1356" s="48"/>
      <c r="BL1356" s="48"/>
      <c r="BM1356" s="48"/>
      <c r="BN1356" s="49"/>
      <c r="BO1356" s="48"/>
      <c r="BP1356" s="48"/>
      <c r="BQ1356" s="50"/>
    </row>
    <row r="1357" spans="1:69" ht="16" x14ac:dyDescent="0.35">
      <c r="A1357"/>
      <c r="D1357"/>
      <c r="G1357"/>
      <c r="H1357" s="20"/>
      <c r="I1357" s="20"/>
      <c r="J1357" s="20"/>
      <c r="K1357" s="20"/>
      <c r="L1357" s="20"/>
      <c r="Q1357" s="83"/>
      <c r="Y1357" s="20"/>
      <c r="AP1357" s="92"/>
      <c r="AQ1357" s="67"/>
      <c r="AR1357" s="67"/>
      <c r="AS1357" s="73"/>
      <c r="AT1357" s="67"/>
      <c r="AU1357" s="67"/>
      <c r="AV1357" s="73"/>
      <c r="AW1357" s="68"/>
      <c r="AX1357" s="68"/>
      <c r="AY1357" s="68"/>
      <c r="AZ1357" s="68"/>
      <c r="BA1357" s="68"/>
      <c r="BB1357" s="67"/>
      <c r="BC1357" s="67"/>
      <c r="BD1357" s="67"/>
      <c r="BE1357" s="67"/>
      <c r="BF1357" s="95"/>
      <c r="BG1357" s="52"/>
      <c r="BH1357" s="52"/>
      <c r="BI1357" s="52"/>
      <c r="BJ1357" s="52"/>
      <c r="BK1357" s="52"/>
      <c r="BL1357" s="52"/>
      <c r="BM1357" s="52"/>
      <c r="BN1357" s="53"/>
      <c r="BO1357" s="52"/>
      <c r="BP1357" s="52"/>
      <c r="BQ1357" s="54"/>
    </row>
    <row r="1358" spans="1:69" ht="16" x14ac:dyDescent="0.35">
      <c r="A1358"/>
      <c r="D1358"/>
      <c r="G1358"/>
      <c r="H1358" s="20"/>
      <c r="I1358" s="20"/>
      <c r="J1358" s="20"/>
      <c r="K1358" s="20"/>
      <c r="L1358" s="20"/>
      <c r="Q1358" s="83"/>
      <c r="Y1358" s="20"/>
      <c r="AP1358" s="93"/>
      <c r="AQ1358" s="31"/>
      <c r="AR1358" s="31"/>
      <c r="AS1358" s="94"/>
      <c r="AT1358" s="31"/>
      <c r="AU1358" s="31"/>
      <c r="AV1358" s="94"/>
      <c r="AW1358" s="32"/>
      <c r="AX1358" s="32"/>
      <c r="AY1358" s="32"/>
      <c r="AZ1358" s="32"/>
      <c r="BA1358" s="32"/>
      <c r="BB1358" s="31"/>
      <c r="BC1358" s="31"/>
      <c r="BD1358" s="31"/>
      <c r="BE1358" s="31"/>
      <c r="BF1358" s="96"/>
      <c r="BG1358" s="48"/>
      <c r="BH1358" s="48"/>
      <c r="BI1358" s="48"/>
      <c r="BJ1358" s="48"/>
      <c r="BK1358" s="48"/>
      <c r="BL1358" s="48"/>
      <c r="BM1358" s="48"/>
      <c r="BN1358" s="49"/>
      <c r="BO1358" s="48"/>
      <c r="BP1358" s="48"/>
      <c r="BQ1358" s="50"/>
    </row>
    <row r="1359" spans="1:69" ht="16" x14ac:dyDescent="0.35">
      <c r="A1359"/>
      <c r="D1359"/>
      <c r="G1359"/>
      <c r="H1359" s="20"/>
      <c r="I1359" s="20"/>
      <c r="J1359" s="20"/>
      <c r="K1359" s="20"/>
      <c r="L1359" s="20"/>
      <c r="Q1359" s="83"/>
      <c r="Y1359" s="20"/>
      <c r="AP1359" s="92"/>
      <c r="AQ1359" s="67"/>
      <c r="AR1359" s="67"/>
      <c r="AS1359" s="73"/>
      <c r="AT1359" s="67"/>
      <c r="AU1359" s="67"/>
      <c r="AV1359" s="73"/>
      <c r="AW1359" s="68"/>
      <c r="AX1359" s="68"/>
      <c r="AY1359" s="68"/>
      <c r="AZ1359" s="68"/>
      <c r="BA1359" s="68"/>
      <c r="BB1359" s="67"/>
      <c r="BC1359" s="67"/>
      <c r="BD1359" s="67"/>
      <c r="BE1359" s="67"/>
      <c r="BF1359" s="95"/>
      <c r="BG1359" s="52"/>
      <c r="BH1359" s="52"/>
      <c r="BI1359" s="52"/>
      <c r="BJ1359" s="52"/>
      <c r="BK1359" s="52"/>
      <c r="BL1359" s="52"/>
      <c r="BM1359" s="52"/>
      <c r="BN1359" s="53"/>
      <c r="BO1359" s="52"/>
      <c r="BP1359" s="52"/>
      <c r="BQ1359" s="54"/>
    </row>
    <row r="1360" spans="1:69" ht="16" x14ac:dyDescent="0.35">
      <c r="A1360"/>
      <c r="D1360"/>
      <c r="G1360"/>
      <c r="H1360" s="20"/>
      <c r="I1360" s="20"/>
      <c r="J1360" s="20"/>
      <c r="K1360" s="20"/>
      <c r="L1360" s="20"/>
      <c r="Q1360" s="83"/>
      <c r="Y1360" s="20"/>
      <c r="AP1360" s="93"/>
      <c r="AQ1360" s="31"/>
      <c r="AR1360" s="31"/>
      <c r="AS1360" s="94"/>
      <c r="AT1360" s="31"/>
      <c r="AU1360" s="31"/>
      <c r="AV1360" s="94"/>
      <c r="AW1360" s="32"/>
      <c r="AX1360" s="32"/>
      <c r="AY1360" s="32"/>
      <c r="AZ1360" s="32"/>
      <c r="BA1360" s="32"/>
      <c r="BB1360" s="31"/>
      <c r="BC1360" s="31"/>
      <c r="BD1360" s="31"/>
      <c r="BE1360" s="31"/>
      <c r="BF1360" s="96"/>
      <c r="BG1360" s="48"/>
      <c r="BH1360" s="48"/>
      <c r="BI1360" s="48"/>
      <c r="BJ1360" s="48"/>
      <c r="BK1360" s="48"/>
      <c r="BL1360" s="48"/>
      <c r="BM1360" s="48"/>
      <c r="BN1360" s="49"/>
      <c r="BO1360" s="48"/>
      <c r="BP1360" s="48"/>
      <c r="BQ1360" s="50"/>
    </row>
    <row r="1361" spans="1:69" ht="16" x14ac:dyDescent="0.35">
      <c r="A1361"/>
      <c r="D1361"/>
      <c r="G1361"/>
      <c r="H1361" s="20"/>
      <c r="I1361" s="20"/>
      <c r="J1361" s="20"/>
      <c r="K1361" s="20"/>
      <c r="L1361" s="20"/>
      <c r="Q1361" s="83"/>
      <c r="Y1361" s="20"/>
      <c r="AP1361" s="92"/>
      <c r="AQ1361" s="67"/>
      <c r="AR1361" s="67"/>
      <c r="AS1361" s="73"/>
      <c r="AT1361" s="67"/>
      <c r="AU1361" s="67"/>
      <c r="AV1361" s="73"/>
      <c r="AW1361" s="68"/>
      <c r="AX1361" s="68"/>
      <c r="AY1361" s="68"/>
      <c r="AZ1361" s="68"/>
      <c r="BA1361" s="68"/>
      <c r="BB1361" s="67"/>
      <c r="BC1361" s="67"/>
      <c r="BD1361" s="67"/>
      <c r="BE1361" s="67"/>
      <c r="BF1361" s="95"/>
      <c r="BG1361" s="52"/>
      <c r="BH1361" s="52"/>
      <c r="BI1361" s="52"/>
      <c r="BJ1361" s="52"/>
      <c r="BK1361" s="52"/>
      <c r="BL1361" s="52"/>
      <c r="BM1361" s="52"/>
      <c r="BN1361" s="53"/>
      <c r="BO1361" s="52"/>
      <c r="BP1361" s="52"/>
      <c r="BQ1361" s="54"/>
    </row>
    <row r="1362" spans="1:69" ht="16" x14ac:dyDescent="0.35">
      <c r="A1362"/>
      <c r="D1362"/>
      <c r="G1362"/>
      <c r="H1362" s="20"/>
      <c r="I1362" s="20"/>
      <c r="J1362" s="20"/>
      <c r="K1362" s="20"/>
      <c r="L1362" s="20"/>
      <c r="Q1362" s="83"/>
      <c r="Y1362" s="20"/>
      <c r="AP1362" s="93"/>
      <c r="AQ1362" s="31"/>
      <c r="AR1362" s="31"/>
      <c r="AS1362" s="94"/>
      <c r="AT1362" s="31"/>
      <c r="AU1362" s="31"/>
      <c r="AV1362" s="94"/>
      <c r="AW1362" s="32"/>
      <c r="AX1362" s="32"/>
      <c r="AY1362" s="32"/>
      <c r="AZ1362" s="32"/>
      <c r="BA1362" s="32"/>
      <c r="BB1362" s="31"/>
      <c r="BC1362" s="31"/>
      <c r="BD1362" s="31"/>
      <c r="BE1362" s="31"/>
      <c r="BF1362" s="96"/>
      <c r="BG1362" s="48"/>
      <c r="BH1362" s="48"/>
      <c r="BI1362" s="48"/>
      <c r="BJ1362" s="48"/>
      <c r="BK1362" s="48"/>
      <c r="BL1362" s="48"/>
      <c r="BM1362" s="48"/>
      <c r="BN1362" s="49"/>
      <c r="BO1362" s="48"/>
      <c r="BP1362" s="48"/>
      <c r="BQ1362" s="50"/>
    </row>
    <row r="1363" spans="1:69" ht="16" x14ac:dyDescent="0.35">
      <c r="A1363"/>
      <c r="D1363"/>
      <c r="G1363"/>
      <c r="H1363" s="20"/>
      <c r="I1363" s="20"/>
      <c r="J1363" s="20"/>
      <c r="K1363" s="20"/>
      <c r="L1363" s="20"/>
      <c r="Q1363" s="83"/>
      <c r="Y1363" s="20"/>
      <c r="AP1363" s="92"/>
      <c r="AQ1363" s="67"/>
      <c r="AR1363" s="67"/>
      <c r="AS1363" s="73"/>
      <c r="AT1363" s="67"/>
      <c r="AU1363" s="67"/>
      <c r="AV1363" s="73"/>
      <c r="AW1363" s="68"/>
      <c r="AX1363" s="68"/>
      <c r="AY1363" s="68"/>
      <c r="AZ1363" s="68"/>
      <c r="BA1363" s="68"/>
      <c r="BB1363" s="67"/>
      <c r="BC1363" s="67"/>
      <c r="BD1363" s="67"/>
      <c r="BE1363" s="67"/>
      <c r="BF1363" s="95"/>
      <c r="BG1363" s="52"/>
      <c r="BH1363" s="52"/>
      <c r="BI1363" s="52"/>
      <c r="BJ1363" s="52"/>
      <c r="BK1363" s="52"/>
      <c r="BL1363" s="52"/>
      <c r="BM1363" s="52"/>
      <c r="BN1363" s="53"/>
      <c r="BO1363" s="52"/>
      <c r="BP1363" s="52"/>
      <c r="BQ1363" s="54"/>
    </row>
    <row r="1364" spans="1:69" ht="16" x14ac:dyDescent="0.35">
      <c r="A1364"/>
      <c r="D1364"/>
      <c r="G1364"/>
      <c r="H1364" s="20"/>
      <c r="I1364" s="20"/>
      <c r="J1364" s="20"/>
      <c r="K1364" s="20"/>
      <c r="L1364" s="20"/>
      <c r="Q1364" s="83"/>
      <c r="Y1364" s="20"/>
      <c r="AP1364" s="93"/>
      <c r="AQ1364" s="31"/>
      <c r="AR1364" s="31"/>
      <c r="AS1364" s="94"/>
      <c r="AT1364" s="31"/>
      <c r="AU1364" s="31"/>
      <c r="AV1364" s="94"/>
      <c r="AW1364" s="32"/>
      <c r="AX1364" s="32"/>
      <c r="AY1364" s="32"/>
      <c r="AZ1364" s="32"/>
      <c r="BA1364" s="32"/>
      <c r="BB1364" s="31"/>
      <c r="BC1364" s="31"/>
      <c r="BD1364" s="31"/>
      <c r="BE1364" s="31"/>
      <c r="BF1364" s="96"/>
      <c r="BG1364" s="48"/>
      <c r="BH1364" s="48"/>
      <c r="BI1364" s="48"/>
      <c r="BJ1364" s="48"/>
      <c r="BK1364" s="48"/>
      <c r="BL1364" s="48"/>
      <c r="BM1364" s="48"/>
      <c r="BN1364" s="49"/>
      <c r="BO1364" s="48"/>
      <c r="BP1364" s="48"/>
      <c r="BQ1364" s="50"/>
    </row>
    <row r="1365" spans="1:69" ht="16" x14ac:dyDescent="0.35">
      <c r="A1365"/>
      <c r="D1365"/>
      <c r="G1365"/>
      <c r="H1365" s="20"/>
      <c r="I1365" s="20"/>
      <c r="J1365" s="20"/>
      <c r="K1365" s="20"/>
      <c r="L1365" s="20"/>
      <c r="Q1365" s="83"/>
      <c r="Y1365" s="20"/>
      <c r="AP1365" s="92"/>
      <c r="AQ1365" s="67"/>
      <c r="AR1365" s="67"/>
      <c r="AS1365" s="73"/>
      <c r="AT1365" s="67"/>
      <c r="AU1365" s="67"/>
      <c r="AV1365" s="73"/>
      <c r="AW1365" s="68"/>
      <c r="AX1365" s="68"/>
      <c r="AY1365" s="68"/>
      <c r="AZ1365" s="68"/>
      <c r="BA1365" s="68"/>
      <c r="BB1365" s="67"/>
      <c r="BC1365" s="67"/>
      <c r="BD1365" s="67"/>
      <c r="BE1365" s="67"/>
      <c r="BF1365" s="95"/>
      <c r="BG1365" s="52"/>
      <c r="BH1365" s="52"/>
      <c r="BI1365" s="52"/>
      <c r="BJ1365" s="52"/>
      <c r="BK1365" s="52"/>
      <c r="BL1365" s="52"/>
      <c r="BM1365" s="52"/>
      <c r="BN1365" s="53"/>
      <c r="BO1365" s="52"/>
      <c r="BP1365" s="52"/>
      <c r="BQ1365" s="54"/>
    </row>
    <row r="1366" spans="1:69" ht="16" x14ac:dyDescent="0.35">
      <c r="A1366"/>
      <c r="D1366"/>
      <c r="G1366"/>
      <c r="H1366" s="20"/>
      <c r="I1366" s="20"/>
      <c r="J1366" s="20"/>
      <c r="K1366" s="20"/>
      <c r="L1366" s="20"/>
      <c r="Q1366" s="83"/>
      <c r="Y1366" s="20"/>
      <c r="AP1366" s="93"/>
      <c r="AQ1366" s="31"/>
      <c r="AR1366" s="31"/>
      <c r="AS1366" s="94"/>
      <c r="AT1366" s="31"/>
      <c r="AU1366" s="31"/>
      <c r="AV1366" s="94"/>
      <c r="AW1366" s="32"/>
      <c r="AX1366" s="32"/>
      <c r="AY1366" s="32"/>
      <c r="AZ1366" s="32"/>
      <c r="BA1366" s="32"/>
      <c r="BB1366" s="31"/>
      <c r="BC1366" s="31"/>
      <c r="BD1366" s="31"/>
      <c r="BE1366" s="31"/>
      <c r="BF1366" s="96"/>
      <c r="BG1366" s="48"/>
      <c r="BH1366" s="48"/>
      <c r="BI1366" s="48"/>
      <c r="BJ1366" s="48"/>
      <c r="BK1366" s="48"/>
      <c r="BL1366" s="48"/>
      <c r="BM1366" s="48"/>
      <c r="BN1366" s="49"/>
      <c r="BO1366" s="48"/>
      <c r="BP1366" s="48"/>
      <c r="BQ1366" s="50"/>
    </row>
    <row r="1367" spans="1:69" ht="16" x14ac:dyDescent="0.35">
      <c r="A1367"/>
      <c r="D1367"/>
      <c r="G1367"/>
      <c r="H1367" s="20"/>
      <c r="I1367" s="20"/>
      <c r="J1367" s="20"/>
      <c r="K1367" s="20"/>
      <c r="L1367" s="20"/>
      <c r="Q1367" s="83"/>
      <c r="Y1367" s="20"/>
      <c r="AP1367" s="92"/>
      <c r="AQ1367" s="67"/>
      <c r="AR1367" s="67"/>
      <c r="AS1367" s="73"/>
      <c r="AT1367" s="67"/>
      <c r="AU1367" s="67"/>
      <c r="AV1367" s="73"/>
      <c r="AW1367" s="68"/>
      <c r="AX1367" s="68"/>
      <c r="AY1367" s="68"/>
      <c r="AZ1367" s="68"/>
      <c r="BA1367" s="68"/>
      <c r="BB1367" s="67"/>
      <c r="BC1367" s="67"/>
      <c r="BD1367" s="67"/>
      <c r="BE1367" s="67"/>
      <c r="BF1367" s="95"/>
      <c r="BG1367" s="52"/>
      <c r="BH1367" s="52"/>
      <c r="BI1367" s="52"/>
      <c r="BJ1367" s="52"/>
      <c r="BK1367" s="52"/>
      <c r="BL1367" s="52"/>
      <c r="BM1367" s="52"/>
      <c r="BN1367" s="53"/>
      <c r="BO1367" s="52"/>
      <c r="BP1367" s="52"/>
      <c r="BQ1367" s="54"/>
    </row>
    <row r="1368" spans="1:69" ht="16" x14ac:dyDescent="0.35">
      <c r="A1368"/>
      <c r="D1368"/>
      <c r="G1368"/>
      <c r="H1368" s="20"/>
      <c r="I1368" s="20"/>
      <c r="J1368" s="20"/>
      <c r="K1368" s="20"/>
      <c r="L1368" s="20"/>
      <c r="Q1368" s="83"/>
      <c r="Y1368" s="20"/>
      <c r="AP1368" s="93"/>
      <c r="AQ1368" s="31"/>
      <c r="AR1368" s="31"/>
      <c r="AS1368" s="94"/>
      <c r="AT1368" s="31"/>
      <c r="AU1368" s="31"/>
      <c r="AV1368" s="94"/>
      <c r="AW1368" s="32"/>
      <c r="AX1368" s="32"/>
      <c r="AY1368" s="32"/>
      <c r="AZ1368" s="32"/>
      <c r="BA1368" s="32"/>
      <c r="BB1368" s="31"/>
      <c r="BC1368" s="31"/>
      <c r="BD1368" s="31"/>
      <c r="BE1368" s="31"/>
      <c r="BF1368" s="96"/>
      <c r="BG1368" s="48"/>
      <c r="BH1368" s="48"/>
      <c r="BI1368" s="48"/>
      <c r="BJ1368" s="48"/>
      <c r="BK1368" s="48"/>
      <c r="BL1368" s="48"/>
      <c r="BM1368" s="48"/>
      <c r="BN1368" s="49"/>
      <c r="BO1368" s="48"/>
      <c r="BP1368" s="48"/>
      <c r="BQ1368" s="50"/>
    </row>
    <row r="1369" spans="1:69" ht="16" x14ac:dyDescent="0.35">
      <c r="A1369"/>
      <c r="D1369"/>
      <c r="G1369"/>
      <c r="H1369" s="20"/>
      <c r="I1369" s="20"/>
      <c r="J1369" s="20"/>
      <c r="K1369" s="20"/>
      <c r="L1369" s="20"/>
      <c r="Q1369" s="83"/>
      <c r="Y1369" s="20"/>
      <c r="AP1369" s="92"/>
      <c r="AQ1369" s="67"/>
      <c r="AR1369" s="67"/>
      <c r="AS1369" s="73"/>
      <c r="AT1369" s="67"/>
      <c r="AU1369" s="67"/>
      <c r="AV1369" s="73"/>
      <c r="AW1369" s="68"/>
      <c r="AX1369" s="68"/>
      <c r="AY1369" s="68"/>
      <c r="AZ1369" s="68"/>
      <c r="BA1369" s="68"/>
      <c r="BB1369" s="67"/>
      <c r="BC1369" s="67"/>
      <c r="BD1369" s="67"/>
      <c r="BE1369" s="67"/>
      <c r="BF1369" s="95"/>
      <c r="BG1369" s="52"/>
      <c r="BH1369" s="52"/>
      <c r="BI1369" s="52"/>
      <c r="BJ1369" s="52"/>
      <c r="BK1369" s="52"/>
      <c r="BL1369" s="52"/>
      <c r="BM1369" s="52"/>
      <c r="BN1369" s="53"/>
      <c r="BO1369" s="52"/>
      <c r="BP1369" s="52"/>
      <c r="BQ1369" s="54"/>
    </row>
    <row r="1370" spans="1:69" ht="16" x14ac:dyDescent="0.35">
      <c r="A1370"/>
      <c r="D1370"/>
      <c r="G1370"/>
      <c r="H1370" s="20"/>
      <c r="I1370" s="20"/>
      <c r="J1370" s="20"/>
      <c r="K1370" s="20"/>
      <c r="L1370" s="20"/>
      <c r="Q1370" s="83"/>
      <c r="Y1370" s="20"/>
      <c r="AP1370" s="93"/>
      <c r="AQ1370" s="31"/>
      <c r="AR1370" s="31"/>
      <c r="AS1370" s="94"/>
      <c r="AT1370" s="31"/>
      <c r="AU1370" s="31"/>
      <c r="AV1370" s="94"/>
      <c r="AW1370" s="32"/>
      <c r="AX1370" s="32"/>
      <c r="AY1370" s="32"/>
      <c r="AZ1370" s="32"/>
      <c r="BA1370" s="32"/>
      <c r="BB1370" s="31"/>
      <c r="BC1370" s="31"/>
      <c r="BD1370" s="31"/>
      <c r="BE1370" s="31"/>
      <c r="BF1370" s="96"/>
      <c r="BG1370" s="48"/>
      <c r="BH1370" s="48"/>
      <c r="BI1370" s="48"/>
      <c r="BJ1370" s="48"/>
      <c r="BK1370" s="48"/>
      <c r="BL1370" s="48"/>
      <c r="BM1370" s="48"/>
      <c r="BN1370" s="49"/>
      <c r="BO1370" s="48"/>
      <c r="BP1370" s="48"/>
      <c r="BQ1370" s="50"/>
    </row>
    <row r="1371" spans="1:69" ht="16" x14ac:dyDescent="0.35">
      <c r="A1371"/>
      <c r="D1371"/>
      <c r="G1371"/>
      <c r="H1371" s="20"/>
      <c r="I1371" s="20"/>
      <c r="J1371" s="20"/>
      <c r="K1371" s="20"/>
      <c r="L1371" s="20"/>
      <c r="Q1371" s="83"/>
      <c r="Y1371" s="20"/>
      <c r="AP1371" s="92"/>
      <c r="AQ1371" s="67"/>
      <c r="AR1371" s="67"/>
      <c r="AS1371" s="73"/>
      <c r="AT1371" s="67"/>
      <c r="AU1371" s="67"/>
      <c r="AV1371" s="73"/>
      <c r="AW1371" s="68"/>
      <c r="AX1371" s="68"/>
      <c r="AY1371" s="68"/>
      <c r="AZ1371" s="68"/>
      <c r="BA1371" s="68"/>
      <c r="BB1371" s="67"/>
      <c r="BC1371" s="67"/>
      <c r="BD1371" s="67"/>
      <c r="BE1371" s="67"/>
      <c r="BF1371" s="95"/>
      <c r="BG1371" s="52"/>
      <c r="BH1371" s="52"/>
      <c r="BI1371" s="52"/>
      <c r="BJ1371" s="52"/>
      <c r="BK1371" s="52"/>
      <c r="BL1371" s="52"/>
      <c r="BM1371" s="52"/>
      <c r="BN1371" s="53"/>
      <c r="BO1371" s="52"/>
      <c r="BP1371" s="52"/>
      <c r="BQ1371" s="54"/>
    </row>
    <row r="1372" spans="1:69" ht="16" x14ac:dyDescent="0.35">
      <c r="A1372"/>
      <c r="D1372"/>
      <c r="G1372"/>
      <c r="H1372" s="20"/>
      <c r="I1372" s="20"/>
      <c r="J1372" s="20"/>
      <c r="K1372" s="20"/>
      <c r="L1372" s="20"/>
      <c r="Q1372" s="83"/>
      <c r="Y1372" s="20"/>
      <c r="AP1372" s="93"/>
      <c r="AQ1372" s="31"/>
      <c r="AR1372" s="31"/>
      <c r="AS1372" s="94"/>
      <c r="AT1372" s="31"/>
      <c r="AU1372" s="31"/>
      <c r="AV1372" s="94"/>
      <c r="AW1372" s="32"/>
      <c r="AX1372" s="32"/>
      <c r="AY1372" s="32"/>
      <c r="AZ1372" s="32"/>
      <c r="BA1372" s="32"/>
      <c r="BB1372" s="31"/>
      <c r="BC1372" s="31"/>
      <c r="BD1372" s="31"/>
      <c r="BE1372" s="31"/>
      <c r="BF1372" s="96"/>
      <c r="BG1372" s="48"/>
      <c r="BH1372" s="48"/>
      <c r="BI1372" s="48"/>
      <c r="BJ1372" s="48"/>
      <c r="BK1372" s="48"/>
      <c r="BL1372" s="48"/>
      <c r="BM1372" s="48"/>
      <c r="BN1372" s="49"/>
      <c r="BO1372" s="48"/>
      <c r="BP1372" s="48"/>
      <c r="BQ1372" s="50"/>
    </row>
    <row r="1373" spans="1:69" ht="16" x14ac:dyDescent="0.35">
      <c r="A1373"/>
      <c r="D1373"/>
      <c r="G1373"/>
      <c r="H1373" s="20"/>
      <c r="I1373" s="20"/>
      <c r="J1373" s="20"/>
      <c r="K1373" s="20"/>
      <c r="L1373" s="20"/>
      <c r="Q1373" s="83"/>
      <c r="Y1373" s="20"/>
      <c r="AP1373" s="92"/>
      <c r="AQ1373" s="67"/>
      <c r="AR1373" s="67"/>
      <c r="AS1373" s="73"/>
      <c r="AT1373" s="67"/>
      <c r="AU1373" s="67"/>
      <c r="AV1373" s="73"/>
      <c r="AW1373" s="68"/>
      <c r="AX1373" s="68"/>
      <c r="AY1373" s="68"/>
      <c r="AZ1373" s="68"/>
      <c r="BA1373" s="68"/>
      <c r="BB1373" s="67"/>
      <c r="BC1373" s="67"/>
      <c r="BD1373" s="67"/>
      <c r="BE1373" s="67"/>
      <c r="BF1373" s="95"/>
      <c r="BG1373" s="52"/>
      <c r="BH1373" s="52"/>
      <c r="BI1373" s="52"/>
      <c r="BJ1373" s="52"/>
      <c r="BK1373" s="52"/>
      <c r="BL1373" s="52"/>
      <c r="BM1373" s="52"/>
      <c r="BN1373" s="53"/>
      <c r="BO1373" s="52"/>
      <c r="BP1373" s="52"/>
      <c r="BQ1373" s="54"/>
    </row>
    <row r="1374" spans="1:69" ht="16" x14ac:dyDescent="0.35">
      <c r="A1374"/>
      <c r="D1374"/>
      <c r="G1374"/>
      <c r="H1374" s="20"/>
      <c r="I1374" s="20"/>
      <c r="J1374" s="20"/>
      <c r="K1374" s="20"/>
      <c r="L1374" s="20"/>
      <c r="Q1374" s="83"/>
      <c r="Y1374" s="20"/>
      <c r="AP1374" s="93"/>
      <c r="AQ1374" s="31"/>
      <c r="AR1374" s="31"/>
      <c r="AS1374" s="94"/>
      <c r="AT1374" s="31"/>
      <c r="AU1374" s="31"/>
      <c r="AV1374" s="94"/>
      <c r="AW1374" s="32"/>
      <c r="AX1374" s="32"/>
      <c r="AY1374" s="32"/>
      <c r="AZ1374" s="32"/>
      <c r="BA1374" s="32"/>
      <c r="BB1374" s="31"/>
      <c r="BC1374" s="31"/>
      <c r="BD1374" s="31"/>
      <c r="BE1374" s="31"/>
      <c r="BF1374" s="96"/>
      <c r="BG1374" s="48"/>
      <c r="BH1374" s="48"/>
      <c r="BI1374" s="48"/>
      <c r="BJ1374" s="48"/>
      <c r="BK1374" s="48"/>
      <c r="BL1374" s="48"/>
      <c r="BM1374" s="48"/>
      <c r="BN1374" s="49"/>
      <c r="BO1374" s="48"/>
      <c r="BP1374" s="48"/>
      <c r="BQ1374" s="50"/>
    </row>
    <row r="1375" spans="1:69" ht="16" x14ac:dyDescent="0.35">
      <c r="A1375"/>
      <c r="D1375"/>
      <c r="G1375"/>
      <c r="H1375" s="20"/>
      <c r="I1375" s="20"/>
      <c r="J1375" s="20"/>
      <c r="K1375" s="20"/>
      <c r="L1375" s="20"/>
      <c r="Q1375" s="83"/>
      <c r="Y1375" s="20"/>
      <c r="AP1375" s="92"/>
      <c r="AQ1375" s="67"/>
      <c r="AR1375" s="67"/>
      <c r="AS1375" s="73"/>
      <c r="AT1375" s="67"/>
      <c r="AU1375" s="67"/>
      <c r="AV1375" s="73"/>
      <c r="AW1375" s="68"/>
      <c r="AX1375" s="68"/>
      <c r="AY1375" s="68"/>
      <c r="AZ1375" s="68"/>
      <c r="BA1375" s="68"/>
      <c r="BB1375" s="67"/>
      <c r="BC1375" s="67"/>
      <c r="BD1375" s="67"/>
      <c r="BE1375" s="67"/>
      <c r="BF1375" s="95"/>
      <c r="BG1375" s="52"/>
      <c r="BH1375" s="52"/>
      <c r="BI1375" s="52"/>
      <c r="BJ1375" s="52"/>
      <c r="BK1375" s="52"/>
      <c r="BL1375" s="52"/>
      <c r="BM1375" s="52"/>
      <c r="BN1375" s="53"/>
      <c r="BO1375" s="52"/>
      <c r="BP1375" s="52"/>
      <c r="BQ1375" s="54"/>
    </row>
    <row r="1376" spans="1:69" ht="16" x14ac:dyDescent="0.35">
      <c r="A1376"/>
      <c r="D1376"/>
      <c r="G1376"/>
      <c r="H1376" s="20"/>
      <c r="I1376" s="20"/>
      <c r="J1376" s="20"/>
      <c r="K1376" s="20"/>
      <c r="L1376" s="20"/>
      <c r="Q1376" s="83"/>
      <c r="Y1376" s="20"/>
      <c r="AP1376" s="93"/>
      <c r="AQ1376" s="31"/>
      <c r="AR1376" s="31"/>
      <c r="AS1376" s="94"/>
      <c r="AT1376" s="31"/>
      <c r="AU1376" s="31"/>
      <c r="AV1376" s="94"/>
      <c r="AW1376" s="32"/>
      <c r="AX1376" s="32"/>
      <c r="AY1376" s="32"/>
      <c r="AZ1376" s="32"/>
      <c r="BA1376" s="32"/>
      <c r="BB1376" s="31"/>
      <c r="BC1376" s="31"/>
      <c r="BD1376" s="31"/>
      <c r="BE1376" s="31"/>
      <c r="BF1376" s="96"/>
      <c r="BG1376" s="48"/>
      <c r="BH1376" s="48"/>
      <c r="BI1376" s="48"/>
      <c r="BJ1376" s="48"/>
      <c r="BK1376" s="48"/>
      <c r="BL1376" s="48"/>
      <c r="BM1376" s="48"/>
      <c r="BN1376" s="49"/>
      <c r="BO1376" s="48"/>
      <c r="BP1376" s="48"/>
      <c r="BQ1376" s="50"/>
    </row>
    <row r="1377" spans="1:69" ht="16" x14ac:dyDescent="0.35">
      <c r="A1377"/>
      <c r="D1377"/>
      <c r="G1377"/>
      <c r="H1377" s="20"/>
      <c r="I1377" s="20"/>
      <c r="J1377" s="20"/>
      <c r="K1377" s="20"/>
      <c r="L1377" s="20"/>
      <c r="Q1377" s="83"/>
      <c r="Y1377" s="20"/>
      <c r="AP1377" s="92"/>
      <c r="AQ1377" s="67"/>
      <c r="AR1377" s="67"/>
      <c r="AS1377" s="73"/>
      <c r="AT1377" s="67"/>
      <c r="AU1377" s="67"/>
      <c r="AV1377" s="73"/>
      <c r="AW1377" s="68"/>
      <c r="AX1377" s="68"/>
      <c r="AY1377" s="68"/>
      <c r="AZ1377" s="68"/>
      <c r="BA1377" s="68"/>
      <c r="BB1377" s="67"/>
      <c r="BC1377" s="67"/>
      <c r="BD1377" s="67"/>
      <c r="BE1377" s="67"/>
      <c r="BF1377" s="95"/>
      <c r="BG1377" s="52"/>
      <c r="BH1377" s="52"/>
      <c r="BI1377" s="52"/>
      <c r="BJ1377" s="52"/>
      <c r="BK1377" s="52"/>
      <c r="BL1377" s="52"/>
      <c r="BM1377" s="52"/>
      <c r="BN1377" s="53"/>
      <c r="BO1377" s="52"/>
      <c r="BP1377" s="52"/>
      <c r="BQ1377" s="54"/>
    </row>
    <row r="1378" spans="1:69" ht="16" x14ac:dyDescent="0.35">
      <c r="A1378"/>
      <c r="D1378"/>
      <c r="G1378"/>
      <c r="H1378" s="20"/>
      <c r="I1378" s="20"/>
      <c r="J1378" s="20"/>
      <c r="K1378" s="20"/>
      <c r="L1378" s="20"/>
      <c r="Q1378" s="83"/>
      <c r="Y1378" s="20"/>
      <c r="AP1378" s="93"/>
      <c r="AQ1378" s="31"/>
      <c r="AR1378" s="31"/>
      <c r="AS1378" s="94"/>
      <c r="AT1378" s="31"/>
      <c r="AU1378" s="31"/>
      <c r="AV1378" s="94"/>
      <c r="AW1378" s="32"/>
      <c r="AX1378" s="32"/>
      <c r="AY1378" s="32"/>
      <c r="AZ1378" s="32"/>
      <c r="BA1378" s="32"/>
      <c r="BB1378" s="31"/>
      <c r="BC1378" s="31"/>
      <c r="BD1378" s="31"/>
      <c r="BE1378" s="31"/>
      <c r="BF1378" s="96"/>
      <c r="BG1378" s="48"/>
      <c r="BH1378" s="48"/>
      <c r="BI1378" s="48"/>
      <c r="BJ1378" s="48"/>
      <c r="BK1378" s="48"/>
      <c r="BL1378" s="48"/>
      <c r="BM1378" s="48"/>
      <c r="BN1378" s="49"/>
      <c r="BO1378" s="48"/>
      <c r="BP1378" s="48"/>
      <c r="BQ1378" s="50"/>
    </row>
    <row r="1379" spans="1:69" ht="16" x14ac:dyDescent="0.35">
      <c r="A1379"/>
      <c r="D1379"/>
      <c r="G1379"/>
      <c r="H1379" s="20"/>
      <c r="I1379" s="20"/>
      <c r="J1379" s="20"/>
      <c r="K1379" s="20"/>
      <c r="L1379" s="20"/>
      <c r="Q1379" s="83"/>
      <c r="Y1379" s="20"/>
      <c r="AP1379" s="92"/>
      <c r="AQ1379" s="67"/>
      <c r="AR1379" s="67"/>
      <c r="AS1379" s="73"/>
      <c r="AT1379" s="67"/>
      <c r="AU1379" s="67"/>
      <c r="AV1379" s="73"/>
      <c r="AW1379" s="68"/>
      <c r="AX1379" s="68"/>
      <c r="AY1379" s="68"/>
      <c r="AZ1379" s="68"/>
      <c r="BA1379" s="68"/>
      <c r="BB1379" s="67"/>
      <c r="BC1379" s="67"/>
      <c r="BD1379" s="67"/>
      <c r="BE1379" s="67"/>
      <c r="BF1379" s="95"/>
      <c r="BG1379" s="52"/>
      <c r="BH1379" s="52"/>
      <c r="BI1379" s="52"/>
      <c r="BJ1379" s="52"/>
      <c r="BK1379" s="52"/>
      <c r="BL1379" s="52"/>
      <c r="BM1379" s="52"/>
      <c r="BN1379" s="53"/>
      <c r="BO1379" s="52"/>
      <c r="BP1379" s="52"/>
      <c r="BQ1379" s="54"/>
    </row>
    <row r="1380" spans="1:69" ht="16" x14ac:dyDescent="0.35">
      <c r="A1380"/>
      <c r="D1380"/>
      <c r="G1380"/>
      <c r="H1380" s="20"/>
      <c r="I1380" s="20"/>
      <c r="J1380" s="20"/>
      <c r="K1380" s="20"/>
      <c r="L1380" s="20"/>
      <c r="Q1380" s="83"/>
      <c r="Y1380" s="20"/>
      <c r="AP1380" s="93"/>
      <c r="AQ1380" s="31"/>
      <c r="AR1380" s="31"/>
      <c r="AS1380" s="94"/>
      <c r="AT1380" s="31"/>
      <c r="AU1380" s="31"/>
      <c r="AV1380" s="94"/>
      <c r="AW1380" s="32"/>
      <c r="AX1380" s="32"/>
      <c r="AY1380" s="32"/>
      <c r="AZ1380" s="32"/>
      <c r="BA1380" s="32"/>
      <c r="BB1380" s="31"/>
      <c r="BC1380" s="31"/>
      <c r="BD1380" s="31"/>
      <c r="BE1380" s="31"/>
      <c r="BF1380" s="96"/>
      <c r="BG1380" s="48"/>
      <c r="BH1380" s="48"/>
      <c r="BI1380" s="48"/>
      <c r="BJ1380" s="48"/>
      <c r="BK1380" s="48"/>
      <c r="BL1380" s="48"/>
      <c r="BM1380" s="48"/>
      <c r="BN1380" s="49"/>
      <c r="BO1380" s="48"/>
      <c r="BP1380" s="48"/>
      <c r="BQ1380" s="50"/>
    </row>
    <row r="1381" spans="1:69" ht="16" x14ac:dyDescent="0.35">
      <c r="A1381"/>
      <c r="D1381"/>
      <c r="G1381"/>
      <c r="H1381" s="20"/>
      <c r="I1381" s="20"/>
      <c r="J1381" s="20"/>
      <c r="K1381" s="20"/>
      <c r="L1381" s="20"/>
      <c r="Q1381" s="83"/>
      <c r="Y1381" s="20"/>
      <c r="AP1381" s="92"/>
      <c r="AQ1381" s="67"/>
      <c r="AR1381" s="67"/>
      <c r="AS1381" s="73"/>
      <c r="AT1381" s="67"/>
      <c r="AU1381" s="67"/>
      <c r="AV1381" s="73"/>
      <c r="AW1381" s="68"/>
      <c r="AX1381" s="68"/>
      <c r="AY1381" s="68"/>
      <c r="AZ1381" s="68"/>
      <c r="BA1381" s="68"/>
      <c r="BB1381" s="67"/>
      <c r="BC1381" s="67"/>
      <c r="BD1381" s="67"/>
      <c r="BE1381" s="67"/>
      <c r="BF1381" s="95"/>
      <c r="BG1381" s="52"/>
      <c r="BH1381" s="52"/>
      <c r="BI1381" s="52"/>
      <c r="BJ1381" s="52"/>
      <c r="BK1381" s="52"/>
      <c r="BL1381" s="52"/>
      <c r="BM1381" s="52"/>
      <c r="BN1381" s="53"/>
      <c r="BO1381" s="52"/>
      <c r="BP1381" s="52"/>
      <c r="BQ1381" s="54"/>
    </row>
    <row r="1382" spans="1:69" ht="16" x14ac:dyDescent="0.35">
      <c r="A1382"/>
      <c r="D1382"/>
      <c r="G1382"/>
      <c r="H1382" s="20"/>
      <c r="I1382" s="20"/>
      <c r="J1382" s="20"/>
      <c r="K1382" s="20"/>
      <c r="L1382" s="20"/>
      <c r="Q1382" s="83"/>
      <c r="Y1382" s="20"/>
      <c r="AP1382" s="93"/>
      <c r="AQ1382" s="31"/>
      <c r="AR1382" s="31"/>
      <c r="AS1382" s="94"/>
      <c r="AT1382" s="31"/>
      <c r="AU1382" s="31"/>
      <c r="AV1382" s="94"/>
      <c r="AW1382" s="32"/>
      <c r="AX1382" s="32"/>
      <c r="AY1382" s="32"/>
      <c r="AZ1382" s="32"/>
      <c r="BA1382" s="32"/>
      <c r="BB1382" s="31"/>
      <c r="BC1382" s="31"/>
      <c r="BD1382" s="31"/>
      <c r="BE1382" s="31"/>
      <c r="BF1382" s="96"/>
      <c r="BG1382" s="48"/>
      <c r="BH1382" s="48"/>
      <c r="BI1382" s="48"/>
      <c r="BJ1382" s="48"/>
      <c r="BK1382" s="48"/>
      <c r="BL1382" s="48"/>
      <c r="BM1382" s="48"/>
      <c r="BN1382" s="49"/>
      <c r="BO1382" s="48"/>
      <c r="BP1382" s="48"/>
      <c r="BQ1382" s="50"/>
    </row>
    <row r="1383" spans="1:69" ht="16" x14ac:dyDescent="0.35">
      <c r="A1383"/>
      <c r="D1383"/>
      <c r="G1383"/>
      <c r="H1383" s="20"/>
      <c r="I1383" s="20"/>
      <c r="J1383" s="20"/>
      <c r="K1383" s="20"/>
      <c r="L1383" s="20"/>
      <c r="Q1383" s="83"/>
      <c r="Y1383" s="20"/>
      <c r="AP1383" s="92"/>
      <c r="AQ1383" s="67"/>
      <c r="AR1383" s="67"/>
      <c r="AS1383" s="73"/>
      <c r="AT1383" s="67"/>
      <c r="AU1383" s="67"/>
      <c r="AV1383" s="73"/>
      <c r="AW1383" s="68"/>
      <c r="AX1383" s="68"/>
      <c r="AY1383" s="68"/>
      <c r="AZ1383" s="68"/>
      <c r="BA1383" s="68"/>
      <c r="BB1383" s="67"/>
      <c r="BC1383" s="67"/>
      <c r="BD1383" s="67"/>
      <c r="BE1383" s="67"/>
      <c r="BF1383" s="95"/>
      <c r="BG1383" s="52"/>
      <c r="BH1383" s="52"/>
      <c r="BI1383" s="52"/>
      <c r="BJ1383" s="52"/>
      <c r="BK1383" s="52"/>
      <c r="BL1383" s="52"/>
      <c r="BM1383" s="52"/>
      <c r="BN1383" s="53"/>
      <c r="BO1383" s="52"/>
      <c r="BP1383" s="52"/>
      <c r="BQ1383" s="54"/>
    </row>
    <row r="1384" spans="1:69" ht="16" x14ac:dyDescent="0.35">
      <c r="A1384"/>
      <c r="D1384"/>
      <c r="G1384"/>
      <c r="H1384" s="20"/>
      <c r="I1384" s="20"/>
      <c r="J1384" s="20"/>
      <c r="K1384" s="20"/>
      <c r="L1384" s="20"/>
      <c r="Q1384" s="83"/>
      <c r="Y1384" s="20"/>
      <c r="AP1384" s="93"/>
      <c r="AQ1384" s="31"/>
      <c r="AR1384" s="31"/>
      <c r="AS1384" s="94"/>
      <c r="AT1384" s="31"/>
      <c r="AU1384" s="31"/>
      <c r="AV1384" s="94"/>
      <c r="AW1384" s="32"/>
      <c r="AX1384" s="32"/>
      <c r="AY1384" s="32"/>
      <c r="AZ1384" s="32"/>
      <c r="BA1384" s="32"/>
      <c r="BB1384" s="31"/>
      <c r="BC1384" s="31"/>
      <c r="BD1384" s="31"/>
      <c r="BE1384" s="31"/>
      <c r="BF1384" s="96"/>
      <c r="BG1384" s="48"/>
      <c r="BH1384" s="48"/>
      <c r="BI1384" s="48"/>
      <c r="BJ1384" s="48"/>
      <c r="BK1384" s="48"/>
      <c r="BL1384" s="48"/>
      <c r="BM1384" s="48"/>
      <c r="BN1384" s="49"/>
      <c r="BO1384" s="48"/>
      <c r="BP1384" s="48"/>
      <c r="BQ1384" s="50"/>
    </row>
    <row r="1385" spans="1:69" ht="16" x14ac:dyDescent="0.35">
      <c r="A1385"/>
      <c r="D1385"/>
      <c r="G1385"/>
      <c r="H1385" s="20"/>
      <c r="I1385" s="20"/>
      <c r="J1385" s="20"/>
      <c r="K1385" s="20"/>
      <c r="L1385" s="20"/>
      <c r="Q1385" s="83"/>
      <c r="Y1385" s="20"/>
      <c r="AP1385" s="92"/>
      <c r="AQ1385" s="67"/>
      <c r="AR1385" s="67"/>
      <c r="AS1385" s="73"/>
      <c r="AT1385" s="67"/>
      <c r="AU1385" s="67"/>
      <c r="AV1385" s="73"/>
      <c r="AW1385" s="68"/>
      <c r="AX1385" s="68"/>
      <c r="AY1385" s="68"/>
      <c r="AZ1385" s="68"/>
      <c r="BA1385" s="68"/>
      <c r="BB1385" s="67"/>
      <c r="BC1385" s="67"/>
      <c r="BD1385" s="67"/>
      <c r="BE1385" s="67"/>
      <c r="BF1385" s="95"/>
      <c r="BG1385" s="52"/>
      <c r="BH1385" s="52"/>
      <c r="BI1385" s="52"/>
      <c r="BJ1385" s="52"/>
      <c r="BK1385" s="52"/>
      <c r="BL1385" s="52"/>
      <c r="BM1385" s="52"/>
      <c r="BN1385" s="53"/>
      <c r="BO1385" s="52"/>
      <c r="BP1385" s="52"/>
      <c r="BQ1385" s="54"/>
    </row>
    <row r="1386" spans="1:69" ht="16" x14ac:dyDescent="0.35">
      <c r="A1386"/>
      <c r="D1386"/>
      <c r="G1386"/>
      <c r="H1386" s="20"/>
      <c r="I1386" s="20"/>
      <c r="J1386" s="20"/>
      <c r="K1386" s="20"/>
      <c r="L1386" s="20"/>
      <c r="Q1386" s="83"/>
      <c r="Y1386" s="20"/>
      <c r="AP1386" s="93"/>
      <c r="AQ1386" s="31"/>
      <c r="AR1386" s="31"/>
      <c r="AS1386" s="94"/>
      <c r="AT1386" s="31"/>
      <c r="AU1386" s="31"/>
      <c r="AV1386" s="94"/>
      <c r="AW1386" s="32"/>
      <c r="AX1386" s="32"/>
      <c r="AY1386" s="32"/>
      <c r="AZ1386" s="32"/>
      <c r="BA1386" s="32"/>
      <c r="BB1386" s="31"/>
      <c r="BC1386" s="31"/>
      <c r="BD1386" s="31"/>
      <c r="BE1386" s="31"/>
      <c r="BF1386" s="96"/>
      <c r="BG1386" s="48"/>
      <c r="BH1386" s="48"/>
      <c r="BI1386" s="48"/>
      <c r="BJ1386" s="48"/>
      <c r="BK1386" s="48"/>
      <c r="BL1386" s="48"/>
      <c r="BM1386" s="48"/>
      <c r="BN1386" s="49"/>
      <c r="BO1386" s="48"/>
      <c r="BP1386" s="48"/>
      <c r="BQ1386" s="50"/>
    </row>
    <row r="1387" spans="1:69" ht="16" x14ac:dyDescent="0.35">
      <c r="A1387"/>
      <c r="D1387"/>
      <c r="G1387"/>
      <c r="H1387" s="20"/>
      <c r="I1387" s="20"/>
      <c r="J1387" s="20"/>
      <c r="K1387" s="20"/>
      <c r="L1387" s="20"/>
      <c r="Q1387" s="83"/>
      <c r="Y1387" s="20"/>
      <c r="AP1387" s="92"/>
      <c r="AQ1387" s="67"/>
      <c r="AR1387" s="67"/>
      <c r="AS1387" s="73"/>
      <c r="AT1387" s="67"/>
      <c r="AU1387" s="67"/>
      <c r="AV1387" s="73"/>
      <c r="AW1387" s="68"/>
      <c r="AX1387" s="68"/>
      <c r="AY1387" s="68"/>
      <c r="AZ1387" s="68"/>
      <c r="BA1387" s="68"/>
      <c r="BB1387" s="67"/>
      <c r="BC1387" s="67"/>
      <c r="BD1387" s="67"/>
      <c r="BE1387" s="67"/>
      <c r="BF1387" s="95"/>
      <c r="BG1387" s="52"/>
      <c r="BH1387" s="52"/>
      <c r="BI1387" s="52"/>
      <c r="BJ1387" s="52"/>
      <c r="BK1387" s="52"/>
      <c r="BL1387" s="52"/>
      <c r="BM1387" s="52"/>
      <c r="BN1387" s="53"/>
      <c r="BO1387" s="52"/>
      <c r="BP1387" s="52"/>
      <c r="BQ1387" s="54"/>
    </row>
    <row r="1388" spans="1:69" ht="16" x14ac:dyDescent="0.35">
      <c r="A1388"/>
      <c r="D1388"/>
      <c r="G1388"/>
      <c r="H1388" s="20"/>
      <c r="I1388" s="20"/>
      <c r="J1388" s="20"/>
      <c r="K1388" s="20"/>
      <c r="L1388" s="20"/>
      <c r="Q1388" s="83"/>
      <c r="Y1388" s="20"/>
      <c r="AP1388" s="93"/>
      <c r="AQ1388" s="31"/>
      <c r="AR1388" s="31"/>
      <c r="AS1388" s="94"/>
      <c r="AT1388" s="31"/>
      <c r="AU1388" s="31"/>
      <c r="AV1388" s="94"/>
      <c r="AW1388" s="32"/>
      <c r="AX1388" s="32"/>
      <c r="AY1388" s="32"/>
      <c r="AZ1388" s="32"/>
      <c r="BA1388" s="32"/>
      <c r="BB1388" s="31"/>
      <c r="BC1388" s="31"/>
      <c r="BD1388" s="31"/>
      <c r="BE1388" s="31"/>
      <c r="BF1388" s="96"/>
      <c r="BG1388" s="48"/>
      <c r="BH1388" s="48"/>
      <c r="BI1388" s="48"/>
      <c r="BJ1388" s="48"/>
      <c r="BK1388" s="48"/>
      <c r="BL1388" s="48"/>
      <c r="BM1388" s="48"/>
      <c r="BN1388" s="49"/>
      <c r="BO1388" s="48"/>
      <c r="BP1388" s="48"/>
      <c r="BQ1388" s="50"/>
    </row>
    <row r="1389" spans="1:69" ht="16" x14ac:dyDescent="0.35">
      <c r="A1389"/>
      <c r="D1389"/>
      <c r="G1389"/>
      <c r="H1389" s="20"/>
      <c r="I1389" s="20"/>
      <c r="J1389" s="20"/>
      <c r="K1389" s="20"/>
      <c r="L1389" s="20"/>
      <c r="Q1389" s="83"/>
      <c r="Y1389" s="20"/>
      <c r="AP1389" s="92"/>
      <c r="AQ1389" s="67"/>
      <c r="AR1389" s="67"/>
      <c r="AS1389" s="73"/>
      <c r="AT1389" s="67"/>
      <c r="AU1389" s="67"/>
      <c r="AV1389" s="73"/>
      <c r="AW1389" s="68"/>
      <c r="AX1389" s="68"/>
      <c r="AY1389" s="68"/>
      <c r="AZ1389" s="68"/>
      <c r="BA1389" s="68"/>
      <c r="BB1389" s="67"/>
      <c r="BC1389" s="67"/>
      <c r="BD1389" s="67"/>
      <c r="BE1389" s="67"/>
      <c r="BF1389" s="95"/>
      <c r="BG1389" s="52"/>
      <c r="BH1389" s="52"/>
      <c r="BI1389" s="52"/>
      <c r="BJ1389" s="52"/>
      <c r="BK1389" s="52"/>
      <c r="BL1389" s="52"/>
      <c r="BM1389" s="52"/>
      <c r="BN1389" s="53"/>
      <c r="BO1389" s="52"/>
      <c r="BP1389" s="52"/>
      <c r="BQ1389" s="54"/>
    </row>
    <row r="1390" spans="1:69" ht="16" x14ac:dyDescent="0.35">
      <c r="A1390"/>
      <c r="D1390"/>
      <c r="G1390"/>
      <c r="H1390" s="20"/>
      <c r="I1390" s="20"/>
      <c r="J1390" s="20"/>
      <c r="K1390" s="20"/>
      <c r="L1390" s="20"/>
      <c r="Q1390" s="83"/>
      <c r="Y1390" s="20"/>
      <c r="AP1390" s="93"/>
      <c r="AQ1390" s="31"/>
      <c r="AR1390" s="31"/>
      <c r="AS1390" s="94"/>
      <c r="AT1390" s="31"/>
      <c r="AU1390" s="31"/>
      <c r="AV1390" s="94"/>
      <c r="AW1390" s="32"/>
      <c r="AX1390" s="32"/>
      <c r="AY1390" s="32"/>
      <c r="AZ1390" s="32"/>
      <c r="BA1390" s="32"/>
      <c r="BB1390" s="31"/>
      <c r="BC1390" s="31"/>
      <c r="BD1390" s="31"/>
      <c r="BE1390" s="31"/>
      <c r="BF1390" s="96"/>
      <c r="BG1390" s="48"/>
      <c r="BH1390" s="48"/>
      <c r="BI1390" s="48"/>
      <c r="BJ1390" s="48"/>
      <c r="BK1390" s="48"/>
      <c r="BL1390" s="48"/>
      <c r="BM1390" s="48"/>
      <c r="BN1390" s="49"/>
      <c r="BO1390" s="48"/>
      <c r="BP1390" s="48"/>
      <c r="BQ1390" s="50"/>
    </row>
    <row r="1391" spans="1:69" ht="16" x14ac:dyDescent="0.35">
      <c r="A1391"/>
      <c r="D1391"/>
      <c r="G1391"/>
      <c r="H1391" s="20"/>
      <c r="I1391" s="20"/>
      <c r="J1391" s="20"/>
      <c r="K1391" s="20"/>
      <c r="L1391" s="20"/>
      <c r="Q1391" s="83"/>
      <c r="Y1391" s="20"/>
      <c r="AP1391" s="92"/>
      <c r="AQ1391" s="67"/>
      <c r="AR1391" s="67"/>
      <c r="AS1391" s="73"/>
      <c r="AT1391" s="67"/>
      <c r="AU1391" s="67"/>
      <c r="AV1391" s="73"/>
      <c r="AW1391" s="68"/>
      <c r="AX1391" s="68"/>
      <c r="AY1391" s="68"/>
      <c r="AZ1391" s="68"/>
      <c r="BA1391" s="68"/>
      <c r="BB1391" s="67"/>
      <c r="BC1391" s="67"/>
      <c r="BD1391" s="67"/>
      <c r="BE1391" s="67"/>
      <c r="BF1391" s="95"/>
      <c r="BG1391" s="52"/>
      <c r="BH1391" s="52"/>
      <c r="BI1391" s="52"/>
      <c r="BJ1391" s="52"/>
      <c r="BK1391" s="52"/>
      <c r="BL1391" s="52"/>
      <c r="BM1391" s="52"/>
      <c r="BN1391" s="53"/>
      <c r="BO1391" s="52"/>
      <c r="BP1391" s="52"/>
      <c r="BQ1391" s="54"/>
    </row>
    <row r="1392" spans="1:69" ht="16" x14ac:dyDescent="0.35">
      <c r="A1392"/>
      <c r="D1392"/>
      <c r="G1392"/>
      <c r="H1392" s="20"/>
      <c r="I1392" s="20"/>
      <c r="J1392" s="20"/>
      <c r="K1392" s="20"/>
      <c r="L1392" s="20"/>
      <c r="Q1392" s="83"/>
      <c r="Y1392" s="20"/>
      <c r="AP1392" s="93"/>
      <c r="AQ1392" s="31"/>
      <c r="AR1392" s="31"/>
      <c r="AS1392" s="94"/>
      <c r="AT1392" s="31"/>
      <c r="AU1392" s="31"/>
      <c r="AV1392" s="94"/>
      <c r="AW1392" s="32"/>
      <c r="AX1392" s="32"/>
      <c r="AY1392" s="32"/>
      <c r="AZ1392" s="32"/>
      <c r="BA1392" s="32"/>
      <c r="BB1392" s="31"/>
      <c r="BC1392" s="31"/>
      <c r="BD1392" s="31"/>
      <c r="BE1392" s="31"/>
      <c r="BF1392" s="96"/>
      <c r="BG1392" s="48"/>
      <c r="BH1392" s="48"/>
      <c r="BI1392" s="48"/>
      <c r="BJ1392" s="48"/>
      <c r="BK1392" s="48"/>
      <c r="BL1392" s="48"/>
      <c r="BM1392" s="48"/>
      <c r="BN1392" s="49"/>
      <c r="BO1392" s="48"/>
      <c r="BP1392" s="48"/>
      <c r="BQ1392" s="50"/>
    </row>
    <row r="1393" spans="1:69" ht="16" x14ac:dyDescent="0.35">
      <c r="A1393"/>
      <c r="D1393"/>
      <c r="G1393"/>
      <c r="H1393" s="20"/>
      <c r="I1393" s="20"/>
      <c r="J1393" s="20"/>
      <c r="K1393" s="20"/>
      <c r="L1393" s="20"/>
      <c r="Q1393" s="83"/>
      <c r="Y1393" s="20"/>
      <c r="AP1393" s="92"/>
      <c r="AQ1393" s="67"/>
      <c r="AR1393" s="67"/>
      <c r="AS1393" s="73"/>
      <c r="AT1393" s="67"/>
      <c r="AU1393" s="67"/>
      <c r="AV1393" s="73"/>
      <c r="AW1393" s="68"/>
      <c r="AX1393" s="68"/>
      <c r="AY1393" s="68"/>
      <c r="AZ1393" s="68"/>
      <c r="BA1393" s="68"/>
      <c r="BB1393" s="67"/>
      <c r="BC1393" s="67"/>
      <c r="BD1393" s="67"/>
      <c r="BE1393" s="67"/>
      <c r="BF1393" s="95"/>
      <c r="BG1393" s="52"/>
      <c r="BH1393" s="52"/>
      <c r="BI1393" s="52"/>
      <c r="BJ1393" s="52"/>
      <c r="BK1393" s="52"/>
      <c r="BL1393" s="52"/>
      <c r="BM1393" s="52"/>
      <c r="BN1393" s="53"/>
      <c r="BO1393" s="52"/>
      <c r="BP1393" s="52"/>
      <c r="BQ1393" s="54"/>
    </row>
    <row r="1394" spans="1:69" ht="16" x14ac:dyDescent="0.35">
      <c r="A1394"/>
      <c r="D1394"/>
      <c r="G1394"/>
      <c r="H1394" s="20"/>
      <c r="I1394" s="20"/>
      <c r="J1394" s="20"/>
      <c r="K1394" s="20"/>
      <c r="L1394" s="20"/>
      <c r="Q1394" s="83"/>
      <c r="Y1394" s="20"/>
      <c r="AP1394" s="93"/>
      <c r="AQ1394" s="31"/>
      <c r="AR1394" s="31"/>
      <c r="AS1394" s="94"/>
      <c r="AT1394" s="31"/>
      <c r="AU1394" s="31"/>
      <c r="AV1394" s="94"/>
      <c r="AW1394" s="32"/>
      <c r="AX1394" s="32"/>
      <c r="AY1394" s="32"/>
      <c r="AZ1394" s="32"/>
      <c r="BA1394" s="32"/>
      <c r="BB1394" s="31"/>
      <c r="BC1394" s="31"/>
      <c r="BD1394" s="31"/>
      <c r="BE1394" s="31"/>
      <c r="BF1394" s="96"/>
      <c r="BG1394" s="48"/>
      <c r="BH1394" s="48"/>
      <c r="BI1394" s="48"/>
      <c r="BJ1394" s="48"/>
      <c r="BK1394" s="48"/>
      <c r="BL1394" s="48"/>
      <c r="BM1394" s="48"/>
      <c r="BN1394" s="49"/>
      <c r="BO1394" s="48"/>
      <c r="BP1394" s="48"/>
      <c r="BQ1394" s="50"/>
    </row>
    <row r="1395" spans="1:69" ht="16" x14ac:dyDescent="0.35">
      <c r="A1395"/>
      <c r="D1395"/>
      <c r="G1395"/>
      <c r="H1395" s="20"/>
      <c r="I1395" s="20"/>
      <c r="J1395" s="20"/>
      <c r="K1395" s="20"/>
      <c r="L1395" s="20"/>
      <c r="Q1395" s="83"/>
      <c r="Y1395" s="20"/>
      <c r="AP1395" s="92"/>
      <c r="AQ1395" s="67"/>
      <c r="AR1395" s="67"/>
      <c r="AS1395" s="73"/>
      <c r="AT1395" s="67"/>
      <c r="AU1395" s="67"/>
      <c r="AV1395" s="73"/>
      <c r="AW1395" s="68"/>
      <c r="AX1395" s="68"/>
      <c r="AY1395" s="68"/>
      <c r="AZ1395" s="68"/>
      <c r="BA1395" s="68"/>
      <c r="BB1395" s="67"/>
      <c r="BC1395" s="67"/>
      <c r="BD1395" s="67"/>
      <c r="BE1395" s="67"/>
      <c r="BF1395" s="95"/>
      <c r="BG1395" s="52"/>
      <c r="BH1395" s="52"/>
      <c r="BI1395" s="52"/>
      <c r="BJ1395" s="52"/>
      <c r="BK1395" s="52"/>
      <c r="BL1395" s="52"/>
      <c r="BM1395" s="52"/>
      <c r="BN1395" s="53"/>
      <c r="BO1395" s="52"/>
      <c r="BP1395" s="52"/>
      <c r="BQ1395" s="54"/>
    </row>
    <row r="1396" spans="1:69" ht="16" x14ac:dyDescent="0.35">
      <c r="A1396"/>
      <c r="D1396"/>
      <c r="G1396"/>
      <c r="H1396" s="20"/>
      <c r="I1396" s="20"/>
      <c r="J1396" s="20"/>
      <c r="K1396" s="20"/>
      <c r="L1396" s="20"/>
      <c r="Q1396" s="83"/>
      <c r="Y1396" s="20"/>
      <c r="AP1396" s="93"/>
      <c r="AQ1396" s="31"/>
      <c r="AR1396" s="31"/>
      <c r="AS1396" s="94"/>
      <c r="AT1396" s="31"/>
      <c r="AU1396" s="31"/>
      <c r="AV1396" s="94"/>
      <c r="AW1396" s="32"/>
      <c r="AX1396" s="32"/>
      <c r="AY1396" s="32"/>
      <c r="AZ1396" s="32"/>
      <c r="BA1396" s="32"/>
      <c r="BB1396" s="31"/>
      <c r="BC1396" s="31"/>
      <c r="BD1396" s="31"/>
      <c r="BE1396" s="31"/>
      <c r="BF1396" s="96"/>
      <c r="BG1396" s="48"/>
      <c r="BH1396" s="48"/>
      <c r="BI1396" s="48"/>
      <c r="BJ1396" s="48"/>
      <c r="BK1396" s="48"/>
      <c r="BL1396" s="48"/>
      <c r="BM1396" s="48"/>
      <c r="BN1396" s="49"/>
      <c r="BO1396" s="48"/>
      <c r="BP1396" s="48"/>
      <c r="BQ1396" s="50"/>
    </row>
    <row r="1397" spans="1:69" ht="16" x14ac:dyDescent="0.35">
      <c r="A1397"/>
      <c r="D1397"/>
      <c r="G1397"/>
      <c r="H1397" s="20"/>
      <c r="I1397" s="20"/>
      <c r="J1397" s="20"/>
      <c r="K1397" s="20"/>
      <c r="L1397" s="20"/>
      <c r="Q1397" s="83"/>
      <c r="Y1397" s="20"/>
      <c r="AP1397" s="92"/>
      <c r="AQ1397" s="67"/>
      <c r="AR1397" s="67"/>
      <c r="AS1397" s="73"/>
      <c r="AT1397" s="67"/>
      <c r="AU1397" s="67"/>
      <c r="AV1397" s="73"/>
      <c r="AW1397" s="68"/>
      <c r="AX1397" s="68"/>
      <c r="AY1397" s="68"/>
      <c r="AZ1397" s="68"/>
      <c r="BA1397" s="68"/>
      <c r="BB1397" s="67"/>
      <c r="BC1397" s="67"/>
      <c r="BD1397" s="67"/>
      <c r="BE1397" s="67"/>
      <c r="BF1397" s="95"/>
      <c r="BG1397" s="52"/>
      <c r="BH1397" s="52"/>
      <c r="BI1397" s="52"/>
      <c r="BJ1397" s="52"/>
      <c r="BK1397" s="52"/>
      <c r="BL1397" s="52"/>
      <c r="BM1397" s="52"/>
      <c r="BN1397" s="53"/>
      <c r="BO1397" s="52"/>
      <c r="BP1397" s="52"/>
      <c r="BQ1397" s="54"/>
    </row>
    <row r="1398" spans="1:69" ht="16" x14ac:dyDescent="0.35">
      <c r="A1398"/>
      <c r="D1398"/>
      <c r="G1398"/>
      <c r="H1398" s="20"/>
      <c r="I1398" s="20"/>
      <c r="J1398" s="20"/>
      <c r="K1398" s="20"/>
      <c r="L1398" s="20"/>
      <c r="Q1398" s="83"/>
      <c r="Y1398" s="20"/>
      <c r="AP1398" s="93"/>
      <c r="AQ1398" s="31"/>
      <c r="AR1398" s="31"/>
      <c r="AS1398" s="94"/>
      <c r="AT1398" s="31"/>
      <c r="AU1398" s="31"/>
      <c r="AV1398" s="94"/>
      <c r="AW1398" s="32"/>
      <c r="AX1398" s="32"/>
      <c r="AY1398" s="32"/>
      <c r="AZ1398" s="32"/>
      <c r="BA1398" s="32"/>
      <c r="BB1398" s="31"/>
      <c r="BC1398" s="31"/>
      <c r="BD1398" s="31"/>
      <c r="BE1398" s="31"/>
      <c r="BF1398" s="96"/>
      <c r="BG1398" s="48"/>
      <c r="BH1398" s="48"/>
      <c r="BI1398" s="48"/>
      <c r="BJ1398" s="48"/>
      <c r="BK1398" s="48"/>
      <c r="BL1398" s="48"/>
      <c r="BM1398" s="48"/>
      <c r="BN1398" s="49"/>
      <c r="BO1398" s="48"/>
      <c r="BP1398" s="48"/>
      <c r="BQ1398" s="50"/>
    </row>
    <row r="1399" spans="1:69" ht="16" x14ac:dyDescent="0.35">
      <c r="A1399"/>
      <c r="D1399"/>
      <c r="G1399"/>
      <c r="H1399" s="20"/>
      <c r="I1399" s="20"/>
      <c r="J1399" s="20"/>
      <c r="K1399" s="20"/>
      <c r="L1399" s="20"/>
      <c r="Q1399" s="83"/>
      <c r="Y1399" s="20"/>
      <c r="AP1399" s="92"/>
      <c r="AQ1399" s="67"/>
      <c r="AR1399" s="67"/>
      <c r="AS1399" s="73"/>
      <c r="AT1399" s="67"/>
      <c r="AU1399" s="67"/>
      <c r="AV1399" s="73"/>
      <c r="AW1399" s="68"/>
      <c r="AX1399" s="68"/>
      <c r="AY1399" s="68"/>
      <c r="AZ1399" s="68"/>
      <c r="BA1399" s="68"/>
      <c r="BB1399" s="67"/>
      <c r="BC1399" s="67"/>
      <c r="BD1399" s="67"/>
      <c r="BE1399" s="67"/>
      <c r="BF1399" s="95"/>
      <c r="BG1399" s="52"/>
      <c r="BH1399" s="52"/>
      <c r="BI1399" s="52"/>
      <c r="BJ1399" s="52"/>
      <c r="BK1399" s="52"/>
      <c r="BL1399" s="52"/>
      <c r="BM1399" s="52"/>
      <c r="BN1399" s="53"/>
      <c r="BO1399" s="52"/>
      <c r="BP1399" s="52"/>
      <c r="BQ1399" s="54"/>
    </row>
    <row r="1400" spans="1:69" ht="16" x14ac:dyDescent="0.35">
      <c r="A1400"/>
      <c r="D1400"/>
      <c r="G1400"/>
      <c r="H1400" s="20"/>
      <c r="I1400" s="20"/>
      <c r="J1400" s="20"/>
      <c r="K1400" s="20"/>
      <c r="L1400" s="20"/>
      <c r="Q1400" s="83"/>
      <c r="Y1400" s="20"/>
      <c r="AP1400" s="93"/>
      <c r="AQ1400" s="31"/>
      <c r="AR1400" s="31"/>
      <c r="AS1400" s="94"/>
      <c r="AT1400" s="31"/>
      <c r="AU1400" s="31"/>
      <c r="AV1400" s="94"/>
      <c r="AW1400" s="32"/>
      <c r="AX1400" s="32"/>
      <c r="AY1400" s="32"/>
      <c r="AZ1400" s="32"/>
      <c r="BA1400" s="32"/>
      <c r="BB1400" s="31"/>
      <c r="BC1400" s="31"/>
      <c r="BD1400" s="31"/>
      <c r="BE1400" s="31"/>
      <c r="BF1400" s="96"/>
      <c r="BG1400" s="48"/>
      <c r="BH1400" s="48"/>
      <c r="BI1400" s="48"/>
      <c r="BJ1400" s="48"/>
      <c r="BK1400" s="48"/>
      <c r="BL1400" s="48"/>
      <c r="BM1400" s="48"/>
      <c r="BN1400" s="49"/>
      <c r="BO1400" s="48"/>
      <c r="BP1400" s="48"/>
      <c r="BQ1400" s="50"/>
    </row>
    <row r="1401" spans="1:69" ht="16" x14ac:dyDescent="0.35">
      <c r="A1401"/>
      <c r="D1401"/>
      <c r="G1401"/>
      <c r="H1401" s="20"/>
      <c r="I1401" s="20"/>
      <c r="J1401" s="20"/>
      <c r="K1401" s="20"/>
      <c r="L1401" s="20"/>
      <c r="Q1401" s="83"/>
      <c r="Y1401" s="20"/>
      <c r="AP1401" s="92"/>
      <c r="AQ1401" s="67"/>
      <c r="AR1401" s="67"/>
      <c r="AS1401" s="73"/>
      <c r="AT1401" s="67"/>
      <c r="AU1401" s="67"/>
      <c r="AV1401" s="73"/>
      <c r="AW1401" s="68"/>
      <c r="AX1401" s="68"/>
      <c r="AY1401" s="68"/>
      <c r="AZ1401" s="68"/>
      <c r="BA1401" s="68"/>
      <c r="BB1401" s="67"/>
      <c r="BC1401" s="67"/>
      <c r="BD1401" s="67"/>
      <c r="BE1401" s="67"/>
      <c r="BF1401" s="95"/>
      <c r="BG1401" s="52"/>
      <c r="BH1401" s="52"/>
      <c r="BI1401" s="52"/>
      <c r="BJ1401" s="52"/>
      <c r="BK1401" s="52"/>
      <c r="BL1401" s="52"/>
      <c r="BM1401" s="52"/>
      <c r="BN1401" s="53"/>
      <c r="BO1401" s="52"/>
      <c r="BP1401" s="52"/>
      <c r="BQ1401" s="54"/>
    </row>
    <row r="1402" spans="1:69" ht="16" x14ac:dyDescent="0.35">
      <c r="A1402"/>
      <c r="D1402"/>
      <c r="G1402"/>
      <c r="H1402" s="20"/>
      <c r="I1402" s="20"/>
      <c r="J1402" s="20"/>
      <c r="K1402" s="20"/>
      <c r="L1402" s="20"/>
      <c r="Q1402" s="83"/>
      <c r="Y1402" s="20"/>
      <c r="AP1402" s="93"/>
      <c r="AQ1402" s="31"/>
      <c r="AR1402" s="31"/>
      <c r="AS1402" s="94"/>
      <c r="AT1402" s="31"/>
      <c r="AU1402" s="31"/>
      <c r="AV1402" s="94"/>
      <c r="AW1402" s="32"/>
      <c r="AX1402" s="32"/>
      <c r="AY1402" s="32"/>
      <c r="AZ1402" s="32"/>
      <c r="BA1402" s="32"/>
      <c r="BB1402" s="31"/>
      <c r="BC1402" s="31"/>
      <c r="BD1402" s="31"/>
      <c r="BE1402" s="31"/>
      <c r="BF1402" s="96"/>
      <c r="BG1402" s="48"/>
      <c r="BH1402" s="48"/>
      <c r="BI1402" s="48"/>
      <c r="BJ1402" s="48"/>
      <c r="BK1402" s="48"/>
      <c r="BL1402" s="48"/>
      <c r="BM1402" s="48"/>
      <c r="BN1402" s="49"/>
      <c r="BO1402" s="48"/>
      <c r="BP1402" s="48"/>
      <c r="BQ1402" s="50"/>
    </row>
    <row r="1403" spans="1:69" ht="16" x14ac:dyDescent="0.35">
      <c r="A1403"/>
      <c r="D1403"/>
      <c r="G1403"/>
      <c r="H1403" s="20"/>
      <c r="I1403" s="20"/>
      <c r="J1403" s="20"/>
      <c r="K1403" s="20"/>
      <c r="L1403" s="20"/>
      <c r="Q1403" s="83"/>
      <c r="Y1403" s="20"/>
      <c r="AP1403" s="92"/>
      <c r="AQ1403" s="67"/>
      <c r="AR1403" s="67"/>
      <c r="AS1403" s="73"/>
      <c r="AT1403" s="67"/>
      <c r="AU1403" s="67"/>
      <c r="AV1403" s="73"/>
      <c r="AW1403" s="68"/>
      <c r="AX1403" s="68"/>
      <c r="AY1403" s="68"/>
      <c r="AZ1403" s="68"/>
      <c r="BA1403" s="68"/>
      <c r="BB1403" s="67"/>
      <c r="BC1403" s="67"/>
      <c r="BD1403" s="67"/>
      <c r="BE1403" s="67"/>
      <c r="BF1403" s="95"/>
      <c r="BG1403" s="52"/>
      <c r="BH1403" s="52"/>
      <c r="BI1403" s="52"/>
      <c r="BJ1403" s="52"/>
      <c r="BK1403" s="52"/>
      <c r="BL1403" s="52"/>
      <c r="BM1403" s="52"/>
      <c r="BN1403" s="53"/>
      <c r="BO1403" s="52"/>
      <c r="BP1403" s="52"/>
      <c r="BQ1403" s="54"/>
    </row>
    <row r="1404" spans="1:69" ht="16" x14ac:dyDescent="0.35">
      <c r="A1404"/>
      <c r="D1404"/>
      <c r="G1404"/>
      <c r="H1404" s="20"/>
      <c r="I1404" s="20"/>
      <c r="J1404" s="20"/>
      <c r="K1404" s="20"/>
      <c r="L1404" s="20"/>
      <c r="Q1404" s="83"/>
      <c r="Y1404" s="20"/>
      <c r="AP1404" s="93"/>
      <c r="AQ1404" s="31"/>
      <c r="AR1404" s="31"/>
      <c r="AS1404" s="94"/>
      <c r="AT1404" s="31"/>
      <c r="AU1404" s="31"/>
      <c r="AV1404" s="94"/>
      <c r="AW1404" s="32"/>
      <c r="AX1404" s="32"/>
      <c r="AY1404" s="32"/>
      <c r="AZ1404" s="32"/>
      <c r="BA1404" s="32"/>
      <c r="BB1404" s="31"/>
      <c r="BC1404" s="31"/>
      <c r="BD1404" s="31"/>
      <c r="BE1404" s="31"/>
      <c r="BF1404" s="96"/>
      <c r="BG1404" s="48"/>
      <c r="BH1404" s="48"/>
      <c r="BI1404" s="48"/>
      <c r="BJ1404" s="48"/>
      <c r="BK1404" s="48"/>
      <c r="BL1404" s="48"/>
      <c r="BM1404" s="48"/>
      <c r="BN1404" s="49"/>
      <c r="BO1404" s="48"/>
      <c r="BP1404" s="48"/>
      <c r="BQ1404" s="50"/>
    </row>
    <row r="1405" spans="1:69" ht="16" x14ac:dyDescent="0.35">
      <c r="A1405"/>
      <c r="D1405"/>
      <c r="G1405"/>
      <c r="H1405" s="20"/>
      <c r="I1405" s="20"/>
      <c r="J1405" s="20"/>
      <c r="K1405" s="20"/>
      <c r="L1405" s="20"/>
      <c r="Q1405" s="83"/>
      <c r="Y1405" s="20"/>
      <c r="AP1405" s="92"/>
      <c r="AQ1405" s="67"/>
      <c r="AR1405" s="67"/>
      <c r="AS1405" s="73"/>
      <c r="AT1405" s="67"/>
      <c r="AU1405" s="67"/>
      <c r="AV1405" s="73"/>
      <c r="AW1405" s="68"/>
      <c r="AX1405" s="68"/>
      <c r="AY1405" s="68"/>
      <c r="AZ1405" s="68"/>
      <c r="BA1405" s="68"/>
      <c r="BB1405" s="67"/>
      <c r="BC1405" s="67"/>
      <c r="BD1405" s="67"/>
      <c r="BE1405" s="67"/>
      <c r="BF1405" s="95"/>
      <c r="BG1405" s="52"/>
      <c r="BH1405" s="52"/>
      <c r="BI1405" s="52"/>
      <c r="BJ1405" s="52"/>
      <c r="BK1405" s="52"/>
      <c r="BL1405" s="52"/>
      <c r="BM1405" s="52"/>
      <c r="BN1405" s="53"/>
      <c r="BO1405" s="52"/>
      <c r="BP1405" s="52"/>
      <c r="BQ1405" s="54"/>
    </row>
    <row r="1406" spans="1:69" ht="16" x14ac:dyDescent="0.35">
      <c r="A1406"/>
      <c r="D1406"/>
      <c r="G1406"/>
      <c r="H1406" s="20"/>
      <c r="I1406" s="20"/>
      <c r="J1406" s="20"/>
      <c r="K1406" s="20"/>
      <c r="L1406" s="20"/>
      <c r="Q1406" s="83"/>
      <c r="Y1406" s="20"/>
      <c r="AP1406" s="93"/>
      <c r="AQ1406" s="31"/>
      <c r="AR1406" s="31"/>
      <c r="AS1406" s="94"/>
      <c r="AT1406" s="31"/>
      <c r="AU1406" s="31"/>
      <c r="AV1406" s="94"/>
      <c r="AW1406" s="32"/>
      <c r="AX1406" s="32"/>
      <c r="AY1406" s="32"/>
      <c r="AZ1406" s="32"/>
      <c r="BA1406" s="32"/>
      <c r="BB1406" s="31"/>
      <c r="BC1406" s="31"/>
      <c r="BD1406" s="31"/>
      <c r="BE1406" s="31"/>
      <c r="BF1406" s="96"/>
      <c r="BG1406" s="48"/>
      <c r="BH1406" s="48"/>
      <c r="BI1406" s="48"/>
      <c r="BJ1406" s="48"/>
      <c r="BK1406" s="48"/>
      <c r="BL1406" s="48"/>
      <c r="BM1406" s="48"/>
      <c r="BN1406" s="49"/>
      <c r="BO1406" s="48"/>
      <c r="BP1406" s="48"/>
      <c r="BQ1406" s="50"/>
    </row>
    <row r="1407" spans="1:69" ht="16" x14ac:dyDescent="0.35">
      <c r="A1407"/>
      <c r="D1407"/>
      <c r="G1407"/>
      <c r="H1407" s="20"/>
      <c r="I1407" s="20"/>
      <c r="J1407" s="20"/>
      <c r="K1407" s="20"/>
      <c r="L1407" s="20"/>
      <c r="Q1407" s="83"/>
      <c r="Y1407" s="20"/>
      <c r="AP1407" s="92"/>
      <c r="AQ1407" s="67"/>
      <c r="AR1407" s="67"/>
      <c r="AS1407" s="73"/>
      <c r="AT1407" s="67"/>
      <c r="AU1407" s="67"/>
      <c r="AV1407" s="73"/>
      <c r="AW1407" s="68"/>
      <c r="AX1407" s="68"/>
      <c r="AY1407" s="68"/>
      <c r="AZ1407" s="68"/>
      <c r="BA1407" s="68"/>
      <c r="BB1407" s="67"/>
      <c r="BC1407" s="67"/>
      <c r="BD1407" s="67"/>
      <c r="BE1407" s="67"/>
      <c r="BF1407" s="95"/>
      <c r="BG1407" s="52"/>
      <c r="BH1407" s="52"/>
      <c r="BI1407" s="52"/>
      <c r="BJ1407" s="52"/>
      <c r="BK1407" s="52"/>
      <c r="BL1407" s="52"/>
      <c r="BM1407" s="52"/>
      <c r="BN1407" s="53"/>
      <c r="BO1407" s="52"/>
      <c r="BP1407" s="52"/>
      <c r="BQ1407" s="54"/>
    </row>
    <row r="1408" spans="1:69" ht="16" x14ac:dyDescent="0.35">
      <c r="A1408"/>
      <c r="D1408"/>
      <c r="G1408"/>
      <c r="H1408" s="20"/>
      <c r="I1408" s="20"/>
      <c r="J1408" s="20"/>
      <c r="K1408" s="20"/>
      <c r="L1408" s="20"/>
      <c r="Q1408" s="83"/>
      <c r="Y1408" s="20"/>
      <c r="AP1408" s="93"/>
      <c r="AQ1408" s="31"/>
      <c r="AR1408" s="31"/>
      <c r="AS1408" s="94"/>
      <c r="AT1408" s="31"/>
      <c r="AU1408" s="31"/>
      <c r="AV1408" s="94"/>
      <c r="AW1408" s="32"/>
      <c r="AX1408" s="32"/>
      <c r="AY1408" s="32"/>
      <c r="AZ1408" s="32"/>
      <c r="BA1408" s="32"/>
      <c r="BB1408" s="31"/>
      <c r="BC1408" s="31"/>
      <c r="BD1408" s="31"/>
      <c r="BE1408" s="31"/>
      <c r="BF1408" s="96"/>
      <c r="BG1408" s="48"/>
      <c r="BH1408" s="48"/>
      <c r="BI1408" s="48"/>
      <c r="BJ1408" s="48"/>
      <c r="BK1408" s="48"/>
      <c r="BL1408" s="48"/>
      <c r="BM1408" s="48"/>
      <c r="BN1408" s="49"/>
      <c r="BO1408" s="48"/>
      <c r="BP1408" s="48"/>
      <c r="BQ1408" s="50"/>
    </row>
    <row r="1409" spans="1:69" ht="16" x14ac:dyDescent="0.35">
      <c r="A1409"/>
      <c r="D1409"/>
      <c r="G1409"/>
      <c r="H1409" s="20"/>
      <c r="I1409" s="20"/>
      <c r="J1409" s="20"/>
      <c r="K1409" s="20"/>
      <c r="L1409" s="20"/>
      <c r="Q1409" s="83"/>
      <c r="Y1409" s="20"/>
      <c r="AP1409" s="92"/>
      <c r="AQ1409" s="67"/>
      <c r="AR1409" s="67"/>
      <c r="AS1409" s="73"/>
      <c r="AT1409" s="67"/>
      <c r="AU1409" s="67"/>
      <c r="AV1409" s="73"/>
      <c r="AW1409" s="68"/>
      <c r="AX1409" s="68"/>
      <c r="AY1409" s="68"/>
      <c r="AZ1409" s="68"/>
      <c r="BA1409" s="68"/>
      <c r="BB1409" s="67"/>
      <c r="BC1409" s="67"/>
      <c r="BD1409" s="67"/>
      <c r="BE1409" s="67"/>
      <c r="BF1409" s="95"/>
      <c r="BG1409" s="52"/>
      <c r="BH1409" s="52"/>
      <c r="BI1409" s="52"/>
      <c r="BJ1409" s="52"/>
      <c r="BK1409" s="52"/>
      <c r="BL1409" s="52"/>
      <c r="BM1409" s="52"/>
      <c r="BN1409" s="53"/>
      <c r="BO1409" s="52"/>
      <c r="BP1409" s="52"/>
      <c r="BQ1409" s="54"/>
    </row>
    <row r="1410" spans="1:69" ht="16" x14ac:dyDescent="0.35">
      <c r="A1410"/>
      <c r="D1410"/>
      <c r="G1410"/>
      <c r="H1410" s="20"/>
      <c r="I1410" s="20"/>
      <c r="J1410" s="20"/>
      <c r="K1410" s="20"/>
      <c r="L1410" s="20"/>
      <c r="Q1410" s="83"/>
      <c r="Y1410" s="20"/>
      <c r="AP1410" s="93"/>
      <c r="AQ1410" s="31"/>
      <c r="AR1410" s="31"/>
      <c r="AS1410" s="94"/>
      <c r="AT1410" s="31"/>
      <c r="AU1410" s="31"/>
      <c r="AV1410" s="94"/>
      <c r="AW1410" s="32"/>
      <c r="AX1410" s="32"/>
      <c r="AY1410" s="32"/>
      <c r="AZ1410" s="32"/>
      <c r="BA1410" s="32"/>
      <c r="BB1410" s="31"/>
      <c r="BC1410" s="31"/>
      <c r="BD1410" s="31"/>
      <c r="BE1410" s="31"/>
      <c r="BF1410" s="96"/>
      <c r="BG1410" s="48"/>
      <c r="BH1410" s="48"/>
      <c r="BI1410" s="48"/>
      <c r="BJ1410" s="48"/>
      <c r="BK1410" s="48"/>
      <c r="BL1410" s="48"/>
      <c r="BM1410" s="48"/>
      <c r="BN1410" s="49"/>
      <c r="BO1410" s="48"/>
      <c r="BP1410" s="48"/>
      <c r="BQ1410" s="50"/>
    </row>
    <row r="1411" spans="1:69" ht="16" x14ac:dyDescent="0.35">
      <c r="A1411"/>
      <c r="D1411"/>
      <c r="G1411"/>
      <c r="H1411" s="20"/>
      <c r="I1411" s="20"/>
      <c r="J1411" s="20"/>
      <c r="K1411" s="20"/>
      <c r="L1411" s="20"/>
      <c r="Q1411" s="83"/>
      <c r="Y1411" s="20"/>
      <c r="AP1411" s="92"/>
      <c r="AQ1411" s="67"/>
      <c r="AR1411" s="67"/>
      <c r="AS1411" s="73"/>
      <c r="AT1411" s="67"/>
      <c r="AU1411" s="67"/>
      <c r="AV1411" s="73"/>
      <c r="AW1411" s="68"/>
      <c r="AX1411" s="68"/>
      <c r="AY1411" s="68"/>
      <c r="AZ1411" s="68"/>
      <c r="BA1411" s="68"/>
      <c r="BB1411" s="67"/>
      <c r="BC1411" s="67"/>
      <c r="BD1411" s="67"/>
      <c r="BE1411" s="67"/>
      <c r="BF1411" s="95"/>
      <c r="BG1411" s="52"/>
      <c r="BH1411" s="52"/>
      <c r="BI1411" s="52"/>
      <c r="BJ1411" s="52"/>
      <c r="BK1411" s="52"/>
      <c r="BL1411" s="52"/>
      <c r="BM1411" s="52"/>
      <c r="BN1411" s="53"/>
      <c r="BO1411" s="52"/>
      <c r="BP1411" s="52"/>
      <c r="BQ1411" s="54"/>
    </row>
    <row r="1412" spans="1:69" ht="16" x14ac:dyDescent="0.35">
      <c r="A1412"/>
      <c r="D1412"/>
      <c r="G1412"/>
      <c r="H1412" s="20"/>
      <c r="I1412" s="20"/>
      <c r="J1412" s="20"/>
      <c r="K1412" s="20"/>
      <c r="L1412" s="20"/>
      <c r="Q1412" s="83"/>
      <c r="Y1412" s="20"/>
      <c r="AP1412" s="93"/>
      <c r="AQ1412" s="31"/>
      <c r="AR1412" s="31"/>
      <c r="AS1412" s="94"/>
      <c r="AT1412" s="31"/>
      <c r="AU1412" s="31"/>
      <c r="AV1412" s="94"/>
      <c r="AW1412" s="32"/>
      <c r="AX1412" s="32"/>
      <c r="AY1412" s="32"/>
      <c r="AZ1412" s="32"/>
      <c r="BA1412" s="32"/>
      <c r="BB1412" s="31"/>
      <c r="BC1412" s="31"/>
      <c r="BD1412" s="31"/>
      <c r="BE1412" s="31"/>
      <c r="BF1412" s="96"/>
      <c r="BG1412" s="48"/>
      <c r="BH1412" s="48"/>
      <c r="BI1412" s="48"/>
      <c r="BJ1412" s="48"/>
      <c r="BK1412" s="48"/>
      <c r="BL1412" s="48"/>
      <c r="BM1412" s="48"/>
      <c r="BN1412" s="49"/>
      <c r="BO1412" s="48"/>
      <c r="BP1412" s="48"/>
      <c r="BQ1412" s="50"/>
    </row>
    <row r="1413" spans="1:69" ht="16" x14ac:dyDescent="0.35">
      <c r="A1413"/>
      <c r="D1413"/>
      <c r="G1413"/>
      <c r="H1413" s="20"/>
      <c r="I1413" s="20"/>
      <c r="J1413" s="20"/>
      <c r="K1413" s="20"/>
      <c r="L1413" s="20"/>
      <c r="Q1413" s="83"/>
      <c r="Y1413" s="20"/>
      <c r="AP1413" s="92"/>
      <c r="AQ1413" s="67"/>
      <c r="AR1413" s="67"/>
      <c r="AS1413" s="73"/>
      <c r="AT1413" s="67"/>
      <c r="AU1413" s="67"/>
      <c r="AV1413" s="73"/>
      <c r="AW1413" s="68"/>
      <c r="AX1413" s="68"/>
      <c r="AY1413" s="68"/>
      <c r="AZ1413" s="68"/>
      <c r="BA1413" s="68"/>
      <c r="BB1413" s="67"/>
      <c r="BC1413" s="67"/>
      <c r="BD1413" s="67"/>
      <c r="BE1413" s="67"/>
      <c r="BF1413" s="95"/>
      <c r="BG1413" s="52"/>
      <c r="BH1413" s="52"/>
      <c r="BI1413" s="52"/>
      <c r="BJ1413" s="52"/>
      <c r="BK1413" s="52"/>
      <c r="BL1413" s="52"/>
      <c r="BM1413" s="52"/>
      <c r="BN1413" s="53"/>
      <c r="BO1413" s="52"/>
      <c r="BP1413" s="52"/>
      <c r="BQ1413" s="54"/>
    </row>
    <row r="1414" spans="1:69" ht="16" x14ac:dyDescent="0.35">
      <c r="A1414"/>
      <c r="D1414"/>
      <c r="G1414"/>
      <c r="H1414" s="20"/>
      <c r="I1414" s="20"/>
      <c r="J1414" s="20"/>
      <c r="K1414" s="20"/>
      <c r="L1414" s="20"/>
      <c r="Q1414" s="83"/>
      <c r="Y1414" s="20"/>
      <c r="AP1414" s="93"/>
      <c r="AQ1414" s="31"/>
      <c r="AR1414" s="31"/>
      <c r="AS1414" s="94"/>
      <c r="AT1414" s="31"/>
      <c r="AU1414" s="31"/>
      <c r="AV1414" s="94"/>
      <c r="AW1414" s="32"/>
      <c r="AX1414" s="32"/>
      <c r="AY1414" s="32"/>
      <c r="AZ1414" s="32"/>
      <c r="BA1414" s="32"/>
      <c r="BB1414" s="31"/>
      <c r="BC1414" s="31"/>
      <c r="BD1414" s="31"/>
      <c r="BE1414" s="31"/>
      <c r="BF1414" s="96"/>
      <c r="BG1414" s="48"/>
      <c r="BH1414" s="48"/>
      <c r="BI1414" s="48"/>
      <c r="BJ1414" s="48"/>
      <c r="BK1414" s="48"/>
      <c r="BL1414" s="48"/>
      <c r="BM1414" s="48"/>
      <c r="BN1414" s="49"/>
      <c r="BO1414" s="48"/>
      <c r="BP1414" s="48"/>
      <c r="BQ1414" s="50"/>
    </row>
    <row r="1415" spans="1:69" ht="16" x14ac:dyDescent="0.35">
      <c r="A1415"/>
      <c r="D1415"/>
      <c r="G1415"/>
      <c r="H1415" s="20"/>
      <c r="I1415" s="20"/>
      <c r="J1415" s="20"/>
      <c r="K1415" s="20"/>
      <c r="L1415" s="20"/>
      <c r="Q1415" s="83"/>
      <c r="Y1415" s="20"/>
      <c r="AP1415" s="92"/>
      <c r="AQ1415" s="67"/>
      <c r="AR1415" s="67"/>
      <c r="AS1415" s="73"/>
      <c r="AT1415" s="67"/>
      <c r="AU1415" s="67"/>
      <c r="AV1415" s="73"/>
      <c r="AW1415" s="68"/>
      <c r="AX1415" s="68"/>
      <c r="AY1415" s="68"/>
      <c r="AZ1415" s="68"/>
      <c r="BA1415" s="68"/>
      <c r="BB1415" s="67"/>
      <c r="BC1415" s="67"/>
      <c r="BD1415" s="67"/>
      <c r="BE1415" s="67"/>
      <c r="BF1415" s="95"/>
      <c r="BG1415" s="52"/>
      <c r="BH1415" s="52"/>
      <c r="BI1415" s="52"/>
      <c r="BJ1415" s="52"/>
      <c r="BK1415" s="52"/>
      <c r="BL1415" s="52"/>
      <c r="BM1415" s="52"/>
      <c r="BN1415" s="53"/>
      <c r="BO1415" s="52"/>
      <c r="BP1415" s="52"/>
      <c r="BQ1415" s="54"/>
    </row>
    <row r="1416" spans="1:69" ht="16" x14ac:dyDescent="0.35">
      <c r="A1416"/>
      <c r="D1416"/>
      <c r="G1416"/>
      <c r="H1416" s="20"/>
      <c r="I1416" s="20"/>
      <c r="J1416" s="20"/>
      <c r="K1416" s="20"/>
      <c r="L1416" s="20"/>
      <c r="Q1416" s="83"/>
      <c r="Y1416" s="20"/>
      <c r="AP1416" s="93"/>
      <c r="AQ1416" s="31"/>
      <c r="AR1416" s="31"/>
      <c r="AS1416" s="94"/>
      <c r="AT1416" s="31"/>
      <c r="AU1416" s="31"/>
      <c r="AV1416" s="94"/>
      <c r="AW1416" s="32"/>
      <c r="AX1416" s="32"/>
      <c r="AY1416" s="32"/>
      <c r="AZ1416" s="32"/>
      <c r="BA1416" s="32"/>
      <c r="BB1416" s="31"/>
      <c r="BC1416" s="31"/>
      <c r="BD1416" s="31"/>
      <c r="BE1416" s="31"/>
      <c r="BF1416" s="96"/>
      <c r="BG1416" s="48"/>
      <c r="BH1416" s="48"/>
      <c r="BI1416" s="48"/>
      <c r="BJ1416" s="48"/>
      <c r="BK1416" s="48"/>
      <c r="BL1416" s="48"/>
      <c r="BM1416" s="48"/>
      <c r="BN1416" s="49"/>
      <c r="BO1416" s="48"/>
      <c r="BP1416" s="48"/>
      <c r="BQ1416" s="50"/>
    </row>
    <row r="1417" spans="1:69" ht="16" x14ac:dyDescent="0.35">
      <c r="A1417"/>
      <c r="D1417"/>
      <c r="G1417"/>
      <c r="H1417" s="20"/>
      <c r="I1417" s="20"/>
      <c r="J1417" s="20"/>
      <c r="K1417" s="20"/>
      <c r="L1417" s="20"/>
      <c r="Q1417" s="83"/>
      <c r="Y1417" s="20"/>
      <c r="AP1417" s="92"/>
      <c r="AQ1417" s="67"/>
      <c r="AR1417" s="67"/>
      <c r="AS1417" s="73"/>
      <c r="AT1417" s="67"/>
      <c r="AU1417" s="67"/>
      <c r="AV1417" s="73"/>
      <c r="AW1417" s="68"/>
      <c r="AX1417" s="68"/>
      <c r="AY1417" s="68"/>
      <c r="AZ1417" s="68"/>
      <c r="BA1417" s="68"/>
      <c r="BB1417" s="67"/>
      <c r="BC1417" s="67"/>
      <c r="BD1417" s="67"/>
      <c r="BE1417" s="67"/>
      <c r="BF1417" s="95"/>
      <c r="BG1417" s="52"/>
      <c r="BH1417" s="52"/>
      <c r="BI1417" s="52"/>
      <c r="BJ1417" s="52"/>
      <c r="BK1417" s="52"/>
      <c r="BL1417" s="52"/>
      <c r="BM1417" s="52"/>
      <c r="BN1417" s="53"/>
      <c r="BO1417" s="52"/>
      <c r="BP1417" s="52"/>
      <c r="BQ1417" s="54"/>
    </row>
    <row r="1418" spans="1:69" ht="16" x14ac:dyDescent="0.35">
      <c r="A1418"/>
      <c r="D1418"/>
      <c r="G1418"/>
      <c r="H1418" s="20"/>
      <c r="I1418" s="20"/>
      <c r="J1418" s="20"/>
      <c r="K1418" s="20"/>
      <c r="L1418" s="20"/>
      <c r="Q1418" s="83"/>
      <c r="Y1418" s="20"/>
      <c r="AP1418" s="93"/>
      <c r="AQ1418" s="31"/>
      <c r="AR1418" s="31"/>
      <c r="AS1418" s="94"/>
      <c r="AT1418" s="31"/>
      <c r="AU1418" s="31"/>
      <c r="AV1418" s="94"/>
      <c r="AW1418" s="32"/>
      <c r="AX1418" s="32"/>
      <c r="AY1418" s="32"/>
      <c r="AZ1418" s="32"/>
      <c r="BA1418" s="32"/>
      <c r="BB1418" s="31"/>
      <c r="BC1418" s="31"/>
      <c r="BD1418" s="31"/>
      <c r="BE1418" s="31"/>
      <c r="BF1418" s="96"/>
      <c r="BG1418" s="48"/>
      <c r="BH1418" s="48"/>
      <c r="BI1418" s="48"/>
      <c r="BJ1418" s="48"/>
      <c r="BK1418" s="48"/>
      <c r="BL1418" s="48"/>
      <c r="BM1418" s="48"/>
      <c r="BN1418" s="49"/>
      <c r="BO1418" s="48"/>
      <c r="BP1418" s="48"/>
      <c r="BQ1418" s="50"/>
    </row>
    <row r="1419" spans="1:69" ht="16" x14ac:dyDescent="0.35">
      <c r="A1419"/>
      <c r="D1419"/>
      <c r="G1419"/>
      <c r="H1419" s="20"/>
      <c r="I1419" s="20"/>
      <c r="J1419" s="20"/>
      <c r="K1419" s="20"/>
      <c r="L1419" s="20"/>
      <c r="Q1419" s="83"/>
      <c r="Y1419" s="20"/>
      <c r="AP1419" s="92"/>
      <c r="AQ1419" s="67"/>
      <c r="AR1419" s="67"/>
      <c r="AS1419" s="73"/>
      <c r="AT1419" s="67"/>
      <c r="AU1419" s="67"/>
      <c r="AV1419" s="73"/>
      <c r="AW1419" s="68"/>
      <c r="AX1419" s="68"/>
      <c r="AY1419" s="68"/>
      <c r="AZ1419" s="68"/>
      <c r="BA1419" s="68"/>
      <c r="BB1419" s="67"/>
      <c r="BC1419" s="67"/>
      <c r="BD1419" s="67"/>
      <c r="BE1419" s="67"/>
      <c r="BF1419" s="95"/>
      <c r="BG1419" s="52"/>
      <c r="BH1419" s="52"/>
      <c r="BI1419" s="52"/>
      <c r="BJ1419" s="52"/>
      <c r="BK1419" s="52"/>
      <c r="BL1419" s="52"/>
      <c r="BM1419" s="52"/>
      <c r="BN1419" s="53"/>
      <c r="BO1419" s="52"/>
      <c r="BP1419" s="52"/>
      <c r="BQ1419" s="54"/>
    </row>
    <row r="1420" spans="1:69" ht="16" x14ac:dyDescent="0.35">
      <c r="A1420"/>
      <c r="D1420"/>
      <c r="G1420"/>
      <c r="H1420" s="20"/>
      <c r="I1420" s="20"/>
      <c r="J1420" s="20"/>
      <c r="K1420" s="20"/>
      <c r="L1420" s="20"/>
      <c r="Q1420" s="83"/>
      <c r="Y1420" s="20"/>
      <c r="AP1420" s="93"/>
      <c r="AQ1420" s="31"/>
      <c r="AR1420" s="31"/>
      <c r="AS1420" s="94"/>
      <c r="AT1420" s="31"/>
      <c r="AU1420" s="31"/>
      <c r="AV1420" s="94"/>
      <c r="AW1420" s="32"/>
      <c r="AX1420" s="32"/>
      <c r="AY1420" s="32"/>
      <c r="AZ1420" s="32"/>
      <c r="BA1420" s="32"/>
      <c r="BB1420" s="31"/>
      <c r="BC1420" s="31"/>
      <c r="BD1420" s="31"/>
      <c r="BE1420" s="31"/>
      <c r="BF1420" s="96"/>
      <c r="BG1420" s="48"/>
      <c r="BH1420" s="48"/>
      <c r="BI1420" s="48"/>
      <c r="BJ1420" s="48"/>
      <c r="BK1420" s="48"/>
      <c r="BL1420" s="48"/>
      <c r="BM1420" s="48"/>
      <c r="BN1420" s="49"/>
      <c r="BO1420" s="48"/>
      <c r="BP1420" s="48"/>
      <c r="BQ1420" s="50"/>
    </row>
    <row r="1421" spans="1:69" ht="16" x14ac:dyDescent="0.35">
      <c r="A1421"/>
      <c r="D1421"/>
      <c r="G1421"/>
      <c r="H1421" s="20"/>
      <c r="I1421" s="20"/>
      <c r="J1421" s="20"/>
      <c r="K1421" s="20"/>
      <c r="L1421" s="20"/>
      <c r="Q1421" s="83"/>
      <c r="Y1421" s="20"/>
      <c r="AP1421" s="92"/>
      <c r="AQ1421" s="67"/>
      <c r="AR1421" s="67"/>
      <c r="AS1421" s="73"/>
      <c r="AT1421" s="67"/>
      <c r="AU1421" s="67"/>
      <c r="AV1421" s="73"/>
      <c r="AW1421" s="68"/>
      <c r="AX1421" s="68"/>
      <c r="AY1421" s="68"/>
      <c r="AZ1421" s="68"/>
      <c r="BA1421" s="68"/>
      <c r="BB1421" s="67"/>
      <c r="BC1421" s="67"/>
      <c r="BD1421" s="67"/>
      <c r="BE1421" s="67"/>
      <c r="BF1421" s="95"/>
      <c r="BG1421" s="52"/>
      <c r="BH1421" s="52"/>
      <c r="BI1421" s="52"/>
      <c r="BJ1421" s="52"/>
      <c r="BK1421" s="52"/>
      <c r="BL1421" s="52"/>
      <c r="BM1421" s="52"/>
      <c r="BN1421" s="53"/>
      <c r="BO1421" s="52"/>
      <c r="BP1421" s="52"/>
      <c r="BQ1421" s="54"/>
    </row>
    <row r="1422" spans="1:69" ht="16" x14ac:dyDescent="0.35">
      <c r="A1422"/>
      <c r="D1422"/>
      <c r="G1422"/>
      <c r="H1422" s="20"/>
      <c r="I1422" s="20"/>
      <c r="J1422" s="20"/>
      <c r="K1422" s="20"/>
      <c r="L1422" s="20"/>
      <c r="Q1422" s="83"/>
      <c r="Y1422" s="20"/>
      <c r="AP1422" s="93"/>
      <c r="AQ1422" s="31"/>
      <c r="AR1422" s="31"/>
      <c r="AS1422" s="94"/>
      <c r="AT1422" s="31"/>
      <c r="AU1422" s="31"/>
      <c r="AV1422" s="94"/>
      <c r="AW1422" s="32"/>
      <c r="AX1422" s="32"/>
      <c r="AY1422" s="32"/>
      <c r="AZ1422" s="32"/>
      <c r="BA1422" s="32"/>
      <c r="BB1422" s="31"/>
      <c r="BC1422" s="31"/>
      <c r="BD1422" s="31"/>
      <c r="BE1422" s="31"/>
      <c r="BF1422" s="96"/>
      <c r="BG1422" s="48"/>
      <c r="BH1422" s="48"/>
      <c r="BI1422" s="48"/>
      <c r="BJ1422" s="48"/>
      <c r="BK1422" s="48"/>
      <c r="BL1422" s="48"/>
      <c r="BM1422" s="48"/>
      <c r="BN1422" s="49"/>
      <c r="BO1422" s="48"/>
      <c r="BP1422" s="48"/>
      <c r="BQ1422" s="50"/>
    </row>
    <row r="1423" spans="1:69" ht="16" x14ac:dyDescent="0.35">
      <c r="A1423"/>
      <c r="D1423"/>
      <c r="G1423"/>
      <c r="H1423" s="20"/>
      <c r="I1423" s="20"/>
      <c r="J1423" s="20"/>
      <c r="K1423" s="20"/>
      <c r="L1423" s="20"/>
      <c r="Q1423" s="83"/>
      <c r="Y1423" s="20"/>
      <c r="AP1423" s="92"/>
      <c r="AQ1423" s="67"/>
      <c r="AR1423" s="67"/>
      <c r="AS1423" s="73"/>
      <c r="AT1423" s="67"/>
      <c r="AU1423" s="67"/>
      <c r="AV1423" s="73"/>
      <c r="AW1423" s="68"/>
      <c r="AX1423" s="68"/>
      <c r="AY1423" s="68"/>
      <c r="AZ1423" s="68"/>
      <c r="BA1423" s="68"/>
      <c r="BB1423" s="67"/>
      <c r="BC1423" s="67"/>
      <c r="BD1423" s="67"/>
      <c r="BE1423" s="67"/>
      <c r="BF1423" s="95"/>
      <c r="BG1423" s="52"/>
      <c r="BH1423" s="52"/>
      <c r="BI1423" s="52"/>
      <c r="BJ1423" s="52"/>
      <c r="BK1423" s="52"/>
      <c r="BL1423" s="52"/>
      <c r="BM1423" s="52"/>
      <c r="BN1423" s="53"/>
      <c r="BO1423" s="52"/>
      <c r="BP1423" s="52"/>
      <c r="BQ1423" s="54"/>
    </row>
    <row r="1424" spans="1:69" ht="16" x14ac:dyDescent="0.35">
      <c r="A1424"/>
      <c r="D1424"/>
      <c r="G1424"/>
      <c r="H1424" s="20"/>
      <c r="I1424" s="20"/>
      <c r="J1424" s="20"/>
      <c r="K1424" s="20"/>
      <c r="L1424" s="20"/>
      <c r="Q1424" s="83"/>
      <c r="Y1424" s="20"/>
      <c r="AP1424" s="93"/>
      <c r="AQ1424" s="31"/>
      <c r="AR1424" s="31"/>
      <c r="AS1424" s="94"/>
      <c r="AT1424" s="31"/>
      <c r="AU1424" s="31"/>
      <c r="AV1424" s="94"/>
      <c r="AW1424" s="32"/>
      <c r="AX1424" s="32"/>
      <c r="AY1424" s="32"/>
      <c r="AZ1424" s="32"/>
      <c r="BA1424" s="32"/>
      <c r="BB1424" s="31"/>
      <c r="BC1424" s="31"/>
      <c r="BD1424" s="31"/>
      <c r="BE1424" s="31"/>
      <c r="BF1424" s="96"/>
      <c r="BG1424" s="48"/>
      <c r="BH1424" s="48"/>
      <c r="BI1424" s="48"/>
      <c r="BJ1424" s="48"/>
      <c r="BK1424" s="48"/>
      <c r="BL1424" s="48"/>
      <c r="BM1424" s="48"/>
      <c r="BN1424" s="49"/>
      <c r="BO1424" s="48"/>
      <c r="BP1424" s="48"/>
      <c r="BQ1424" s="50"/>
    </row>
    <row r="1425" spans="1:69" ht="16" x14ac:dyDescent="0.35">
      <c r="A1425"/>
      <c r="D1425"/>
      <c r="G1425"/>
      <c r="H1425" s="20"/>
      <c r="I1425" s="20"/>
      <c r="J1425" s="20"/>
      <c r="K1425" s="20"/>
      <c r="L1425" s="20"/>
      <c r="Q1425" s="83"/>
      <c r="Y1425" s="20"/>
      <c r="AP1425" s="92"/>
      <c r="AQ1425" s="67"/>
      <c r="AR1425" s="67"/>
      <c r="AS1425" s="73"/>
      <c r="AT1425" s="67"/>
      <c r="AU1425" s="67"/>
      <c r="AV1425" s="73"/>
      <c r="AW1425" s="68"/>
      <c r="AX1425" s="68"/>
      <c r="AY1425" s="68"/>
      <c r="AZ1425" s="68"/>
      <c r="BA1425" s="68"/>
      <c r="BB1425" s="67"/>
      <c r="BC1425" s="67"/>
      <c r="BD1425" s="67"/>
      <c r="BE1425" s="67"/>
      <c r="BF1425" s="95"/>
      <c r="BG1425" s="52"/>
      <c r="BH1425" s="52"/>
      <c r="BI1425" s="52"/>
      <c r="BJ1425" s="52"/>
      <c r="BK1425" s="52"/>
      <c r="BL1425" s="52"/>
      <c r="BM1425" s="52"/>
      <c r="BN1425" s="53"/>
      <c r="BO1425" s="52"/>
      <c r="BP1425" s="52"/>
      <c r="BQ1425" s="54"/>
    </row>
    <row r="1426" spans="1:69" ht="16" x14ac:dyDescent="0.35">
      <c r="A1426"/>
      <c r="D1426"/>
      <c r="G1426"/>
      <c r="H1426" s="20"/>
      <c r="I1426" s="20"/>
      <c r="J1426" s="20"/>
      <c r="K1426" s="20"/>
      <c r="L1426" s="20"/>
      <c r="Q1426" s="83"/>
      <c r="Y1426" s="20"/>
      <c r="AP1426" s="93"/>
      <c r="AQ1426" s="31"/>
      <c r="AR1426" s="31"/>
      <c r="AS1426" s="94"/>
      <c r="AT1426" s="31"/>
      <c r="AU1426" s="31"/>
      <c r="AV1426" s="94"/>
      <c r="AW1426" s="32"/>
      <c r="AX1426" s="32"/>
      <c r="AY1426" s="32"/>
      <c r="AZ1426" s="32"/>
      <c r="BA1426" s="32"/>
      <c r="BB1426" s="31"/>
      <c r="BC1426" s="31"/>
      <c r="BD1426" s="31"/>
      <c r="BE1426" s="31"/>
      <c r="BF1426" s="96"/>
      <c r="BG1426" s="48"/>
      <c r="BH1426" s="48"/>
      <c r="BI1426" s="48"/>
      <c r="BJ1426" s="48"/>
      <c r="BK1426" s="48"/>
      <c r="BL1426" s="48"/>
      <c r="BM1426" s="48"/>
      <c r="BN1426" s="49"/>
      <c r="BO1426" s="48"/>
      <c r="BP1426" s="48"/>
      <c r="BQ1426" s="50"/>
    </row>
    <row r="1427" spans="1:69" ht="16" x14ac:dyDescent="0.35">
      <c r="A1427"/>
      <c r="D1427"/>
      <c r="G1427"/>
      <c r="H1427" s="20"/>
      <c r="I1427" s="20"/>
      <c r="J1427" s="20"/>
      <c r="K1427" s="20"/>
      <c r="L1427" s="20"/>
      <c r="Q1427" s="83"/>
      <c r="Y1427" s="20"/>
      <c r="AP1427" s="92"/>
      <c r="AQ1427" s="67"/>
      <c r="AR1427" s="67"/>
      <c r="AS1427" s="73"/>
      <c r="AT1427" s="67"/>
      <c r="AU1427" s="67"/>
      <c r="AV1427" s="73"/>
      <c r="AW1427" s="68"/>
      <c r="AX1427" s="68"/>
      <c r="AY1427" s="68"/>
      <c r="AZ1427" s="68"/>
      <c r="BA1427" s="68"/>
      <c r="BB1427" s="67"/>
      <c r="BC1427" s="67"/>
      <c r="BD1427" s="67"/>
      <c r="BE1427" s="67"/>
      <c r="BF1427" s="95"/>
      <c r="BG1427" s="52"/>
      <c r="BH1427" s="52"/>
      <c r="BI1427" s="52"/>
      <c r="BJ1427" s="52"/>
      <c r="BK1427" s="52"/>
      <c r="BL1427" s="52"/>
      <c r="BM1427" s="52"/>
      <c r="BN1427" s="53"/>
      <c r="BO1427" s="52"/>
      <c r="BP1427" s="52"/>
      <c r="BQ1427" s="54"/>
    </row>
    <row r="1428" spans="1:69" ht="16" x14ac:dyDescent="0.35">
      <c r="A1428"/>
      <c r="D1428"/>
      <c r="G1428"/>
      <c r="H1428" s="20"/>
      <c r="I1428" s="20"/>
      <c r="J1428" s="20"/>
      <c r="K1428" s="20"/>
      <c r="L1428" s="20"/>
      <c r="Q1428" s="83"/>
      <c r="Y1428" s="20"/>
      <c r="AP1428" s="93"/>
      <c r="AQ1428" s="31"/>
      <c r="AR1428" s="31"/>
      <c r="AS1428" s="94"/>
      <c r="AT1428" s="31"/>
      <c r="AU1428" s="31"/>
      <c r="AV1428" s="94"/>
      <c r="AW1428" s="32"/>
      <c r="AX1428" s="32"/>
      <c r="AY1428" s="32"/>
      <c r="AZ1428" s="32"/>
      <c r="BA1428" s="32"/>
      <c r="BB1428" s="31"/>
      <c r="BC1428" s="31"/>
      <c r="BD1428" s="31"/>
      <c r="BE1428" s="31"/>
      <c r="BF1428" s="96"/>
      <c r="BG1428" s="48"/>
      <c r="BH1428" s="48"/>
      <c r="BI1428" s="48"/>
      <c r="BJ1428" s="48"/>
      <c r="BK1428" s="48"/>
      <c r="BL1428" s="48"/>
      <c r="BM1428" s="48"/>
      <c r="BN1428" s="49"/>
      <c r="BO1428" s="48"/>
      <c r="BP1428" s="48"/>
      <c r="BQ1428" s="50"/>
    </row>
    <row r="1429" spans="1:69" ht="16" x14ac:dyDescent="0.35">
      <c r="A1429"/>
      <c r="D1429"/>
      <c r="G1429"/>
      <c r="H1429" s="20"/>
      <c r="I1429" s="20"/>
      <c r="J1429" s="20"/>
      <c r="K1429" s="20"/>
      <c r="L1429" s="20"/>
      <c r="Q1429" s="83"/>
      <c r="Y1429" s="20"/>
      <c r="AP1429" s="92"/>
      <c r="AQ1429" s="67"/>
      <c r="AR1429" s="67"/>
      <c r="AS1429" s="73"/>
      <c r="AT1429" s="67"/>
      <c r="AU1429" s="67"/>
      <c r="AV1429" s="73"/>
      <c r="AW1429" s="68"/>
      <c r="AX1429" s="68"/>
      <c r="AY1429" s="68"/>
      <c r="AZ1429" s="68"/>
      <c r="BA1429" s="68"/>
      <c r="BB1429" s="67"/>
      <c r="BC1429" s="67"/>
      <c r="BD1429" s="67"/>
      <c r="BE1429" s="67"/>
      <c r="BF1429" s="95"/>
      <c r="BG1429" s="52"/>
      <c r="BH1429" s="52"/>
      <c r="BI1429" s="52"/>
      <c r="BJ1429" s="52"/>
      <c r="BK1429" s="52"/>
      <c r="BL1429" s="52"/>
      <c r="BM1429" s="52"/>
      <c r="BN1429" s="53"/>
      <c r="BO1429" s="52"/>
      <c r="BP1429" s="52"/>
      <c r="BQ1429" s="54"/>
    </row>
    <row r="1430" spans="1:69" ht="16" x14ac:dyDescent="0.35">
      <c r="A1430"/>
      <c r="D1430"/>
      <c r="G1430"/>
      <c r="H1430" s="20"/>
      <c r="I1430" s="20"/>
      <c r="J1430" s="20"/>
      <c r="K1430" s="20"/>
      <c r="L1430" s="20"/>
      <c r="Q1430" s="83"/>
      <c r="Y1430" s="20"/>
      <c r="AP1430" s="93"/>
      <c r="AQ1430" s="31"/>
      <c r="AR1430" s="31"/>
      <c r="AS1430" s="94"/>
      <c r="AT1430" s="31"/>
      <c r="AU1430" s="31"/>
      <c r="AV1430" s="94"/>
      <c r="AW1430" s="32"/>
      <c r="AX1430" s="32"/>
      <c r="AY1430" s="32"/>
      <c r="AZ1430" s="32"/>
      <c r="BA1430" s="32"/>
      <c r="BB1430" s="31"/>
      <c r="BC1430" s="31"/>
      <c r="BD1430" s="31"/>
      <c r="BE1430" s="31"/>
      <c r="BF1430" s="96"/>
      <c r="BG1430" s="48"/>
      <c r="BH1430" s="48"/>
      <c r="BI1430" s="48"/>
      <c r="BJ1430" s="48"/>
      <c r="BK1430" s="48"/>
      <c r="BL1430" s="48"/>
      <c r="BM1430" s="48"/>
      <c r="BN1430" s="49"/>
      <c r="BO1430" s="48"/>
      <c r="BP1430" s="48"/>
      <c r="BQ1430" s="50"/>
    </row>
    <row r="1431" spans="1:69" ht="16" x14ac:dyDescent="0.35">
      <c r="A1431"/>
      <c r="D1431"/>
      <c r="G1431"/>
      <c r="H1431" s="20"/>
      <c r="I1431" s="20"/>
      <c r="J1431" s="20"/>
      <c r="K1431" s="20"/>
      <c r="L1431" s="20"/>
      <c r="Q1431" s="83"/>
      <c r="Y1431" s="20"/>
      <c r="AP1431" s="92"/>
      <c r="AQ1431" s="67"/>
      <c r="AR1431" s="67"/>
      <c r="AS1431" s="73"/>
      <c r="AT1431" s="67"/>
      <c r="AU1431" s="67"/>
      <c r="AV1431" s="73"/>
      <c r="AW1431" s="68"/>
      <c r="AX1431" s="68"/>
      <c r="AY1431" s="68"/>
      <c r="AZ1431" s="68"/>
      <c r="BA1431" s="68"/>
      <c r="BB1431" s="67"/>
      <c r="BC1431" s="67"/>
      <c r="BD1431" s="67"/>
      <c r="BE1431" s="67"/>
      <c r="BF1431" s="95"/>
      <c r="BG1431" s="52"/>
      <c r="BH1431" s="52"/>
      <c r="BI1431" s="52"/>
      <c r="BJ1431" s="52"/>
      <c r="BK1431" s="52"/>
      <c r="BL1431" s="52"/>
      <c r="BM1431" s="52"/>
      <c r="BN1431" s="53"/>
      <c r="BO1431" s="52"/>
      <c r="BP1431" s="52"/>
      <c r="BQ1431" s="54"/>
    </row>
    <row r="1432" spans="1:69" ht="16" x14ac:dyDescent="0.35">
      <c r="A1432"/>
      <c r="D1432"/>
      <c r="G1432"/>
      <c r="H1432" s="20"/>
      <c r="I1432" s="20"/>
      <c r="J1432" s="20"/>
      <c r="K1432" s="20"/>
      <c r="L1432" s="20"/>
      <c r="Q1432" s="83"/>
      <c r="Y1432" s="20"/>
      <c r="AP1432" s="93"/>
      <c r="AQ1432" s="31"/>
      <c r="AR1432" s="31"/>
      <c r="AS1432" s="94"/>
      <c r="AT1432" s="31"/>
      <c r="AU1432" s="31"/>
      <c r="AV1432" s="94"/>
      <c r="AW1432" s="32"/>
      <c r="AX1432" s="32"/>
      <c r="AY1432" s="32"/>
      <c r="AZ1432" s="32"/>
      <c r="BA1432" s="32"/>
      <c r="BB1432" s="31"/>
      <c r="BC1432" s="31"/>
      <c r="BD1432" s="31"/>
      <c r="BE1432" s="31"/>
      <c r="BF1432" s="96"/>
      <c r="BG1432" s="48"/>
      <c r="BH1432" s="48"/>
      <c r="BI1432" s="48"/>
      <c r="BJ1432" s="48"/>
      <c r="BK1432" s="48"/>
      <c r="BL1432" s="48"/>
      <c r="BM1432" s="48"/>
      <c r="BN1432" s="49"/>
      <c r="BO1432" s="48"/>
      <c r="BP1432" s="48"/>
      <c r="BQ1432" s="50"/>
    </row>
    <row r="1433" spans="1:69" ht="16" x14ac:dyDescent="0.35">
      <c r="A1433"/>
      <c r="D1433"/>
      <c r="G1433"/>
      <c r="H1433" s="20"/>
      <c r="I1433" s="20"/>
      <c r="J1433" s="20"/>
      <c r="K1433" s="20"/>
      <c r="L1433" s="20"/>
      <c r="Q1433" s="83"/>
      <c r="Y1433" s="20"/>
      <c r="AP1433" s="92"/>
      <c r="AQ1433" s="67"/>
      <c r="AR1433" s="67"/>
      <c r="AS1433" s="73"/>
      <c r="AT1433" s="67"/>
      <c r="AU1433" s="67"/>
      <c r="AV1433" s="73"/>
      <c r="AW1433" s="68"/>
      <c r="AX1433" s="68"/>
      <c r="AY1433" s="68"/>
      <c r="AZ1433" s="68"/>
      <c r="BA1433" s="68"/>
      <c r="BB1433" s="67"/>
      <c r="BC1433" s="67"/>
      <c r="BD1433" s="67"/>
      <c r="BE1433" s="67"/>
      <c r="BF1433" s="95"/>
      <c r="BG1433" s="52"/>
      <c r="BH1433" s="52"/>
      <c r="BI1433" s="52"/>
      <c r="BJ1433" s="52"/>
      <c r="BK1433" s="52"/>
      <c r="BL1433" s="52"/>
      <c r="BM1433" s="52"/>
      <c r="BN1433" s="53"/>
      <c r="BO1433" s="52"/>
      <c r="BP1433" s="52"/>
      <c r="BQ1433" s="54"/>
    </row>
    <row r="1434" spans="1:69" ht="16" x14ac:dyDescent="0.35">
      <c r="A1434"/>
      <c r="D1434"/>
      <c r="G1434"/>
      <c r="H1434" s="20"/>
      <c r="I1434" s="20"/>
      <c r="J1434" s="20"/>
      <c r="K1434" s="20"/>
      <c r="L1434" s="20"/>
      <c r="Q1434" s="83"/>
      <c r="Y1434" s="20"/>
      <c r="AP1434" s="93"/>
      <c r="AQ1434" s="31"/>
      <c r="AR1434" s="31"/>
      <c r="AS1434" s="94"/>
      <c r="AT1434" s="31"/>
      <c r="AU1434" s="31"/>
      <c r="AV1434" s="94"/>
      <c r="AW1434" s="32"/>
      <c r="AX1434" s="32"/>
      <c r="AY1434" s="32"/>
      <c r="AZ1434" s="32"/>
      <c r="BA1434" s="32"/>
      <c r="BB1434" s="31"/>
      <c r="BC1434" s="31"/>
      <c r="BD1434" s="31"/>
      <c r="BE1434" s="31"/>
      <c r="BF1434" s="96"/>
      <c r="BG1434" s="48"/>
      <c r="BH1434" s="48"/>
      <c r="BI1434" s="48"/>
      <c r="BJ1434" s="48"/>
      <c r="BK1434" s="48"/>
      <c r="BL1434" s="48"/>
      <c r="BM1434" s="48"/>
      <c r="BN1434" s="49"/>
      <c r="BO1434" s="48"/>
      <c r="BP1434" s="48"/>
      <c r="BQ1434" s="50"/>
    </row>
    <row r="1435" spans="1:69" ht="16" x14ac:dyDescent="0.35">
      <c r="A1435"/>
      <c r="D1435"/>
      <c r="G1435"/>
      <c r="H1435" s="20"/>
      <c r="I1435" s="20"/>
      <c r="J1435" s="20"/>
      <c r="K1435" s="20"/>
      <c r="L1435" s="20"/>
      <c r="Q1435" s="83"/>
      <c r="Y1435" s="20"/>
      <c r="AP1435" s="92"/>
      <c r="AQ1435" s="67"/>
      <c r="AR1435" s="67"/>
      <c r="AS1435" s="73"/>
      <c r="AT1435" s="67"/>
      <c r="AU1435" s="67"/>
      <c r="AV1435" s="73"/>
      <c r="AW1435" s="68"/>
      <c r="AX1435" s="68"/>
      <c r="AY1435" s="68"/>
      <c r="AZ1435" s="68"/>
      <c r="BA1435" s="68"/>
      <c r="BB1435" s="67"/>
      <c r="BC1435" s="67"/>
      <c r="BD1435" s="67"/>
      <c r="BE1435" s="67"/>
      <c r="BF1435" s="95"/>
      <c r="BG1435" s="52"/>
      <c r="BH1435" s="52"/>
      <c r="BI1435" s="52"/>
      <c r="BJ1435" s="52"/>
      <c r="BK1435" s="52"/>
      <c r="BL1435" s="52"/>
      <c r="BM1435" s="52"/>
      <c r="BN1435" s="53"/>
      <c r="BO1435" s="52"/>
      <c r="BP1435" s="52"/>
      <c r="BQ1435" s="54"/>
    </row>
    <row r="1436" spans="1:69" ht="16" x14ac:dyDescent="0.35">
      <c r="A1436"/>
      <c r="D1436"/>
      <c r="G1436"/>
      <c r="H1436" s="20"/>
      <c r="I1436" s="20"/>
      <c r="J1436" s="20"/>
      <c r="K1436" s="20"/>
      <c r="L1436" s="20"/>
      <c r="Q1436" s="83"/>
      <c r="Y1436" s="20"/>
      <c r="AP1436" s="93"/>
      <c r="AQ1436" s="31"/>
      <c r="AR1436" s="31"/>
      <c r="AS1436" s="94"/>
      <c r="AT1436" s="31"/>
      <c r="AU1436" s="31"/>
      <c r="AV1436" s="94"/>
      <c r="AW1436" s="32"/>
      <c r="AX1436" s="32"/>
      <c r="AY1436" s="32"/>
      <c r="AZ1436" s="32"/>
      <c r="BA1436" s="32"/>
      <c r="BB1436" s="31"/>
      <c r="BC1436" s="31"/>
      <c r="BD1436" s="31"/>
      <c r="BE1436" s="31"/>
      <c r="BF1436" s="96"/>
      <c r="BG1436" s="48"/>
      <c r="BH1436" s="48"/>
      <c r="BI1436" s="48"/>
      <c r="BJ1436" s="48"/>
      <c r="BK1436" s="48"/>
      <c r="BL1436" s="48"/>
      <c r="BM1436" s="48"/>
      <c r="BN1436" s="49"/>
      <c r="BO1436" s="48"/>
      <c r="BP1436" s="48"/>
      <c r="BQ1436" s="50"/>
    </row>
    <row r="1437" spans="1:69" ht="16" x14ac:dyDescent="0.35">
      <c r="A1437"/>
      <c r="D1437"/>
      <c r="G1437"/>
      <c r="H1437" s="20"/>
      <c r="I1437" s="20"/>
      <c r="J1437" s="20"/>
      <c r="K1437" s="20"/>
      <c r="L1437" s="20"/>
      <c r="Q1437" s="83"/>
      <c r="Y1437" s="20"/>
      <c r="AP1437" s="92"/>
      <c r="AQ1437" s="67"/>
      <c r="AR1437" s="67"/>
      <c r="AS1437" s="73"/>
      <c r="AT1437" s="67"/>
      <c r="AU1437" s="67"/>
      <c r="AV1437" s="73"/>
      <c r="AW1437" s="68"/>
      <c r="AX1437" s="68"/>
      <c r="AY1437" s="68"/>
      <c r="AZ1437" s="68"/>
      <c r="BA1437" s="68"/>
      <c r="BB1437" s="67"/>
      <c r="BC1437" s="67"/>
      <c r="BD1437" s="67"/>
      <c r="BE1437" s="67"/>
      <c r="BF1437" s="95"/>
      <c r="BG1437" s="52"/>
      <c r="BH1437" s="52"/>
      <c r="BI1437" s="52"/>
      <c r="BJ1437" s="52"/>
      <c r="BK1437" s="52"/>
      <c r="BL1437" s="52"/>
      <c r="BM1437" s="52"/>
      <c r="BN1437" s="53"/>
      <c r="BO1437" s="52"/>
      <c r="BP1437" s="52"/>
      <c r="BQ1437" s="54"/>
    </row>
    <row r="1438" spans="1:69" ht="16" x14ac:dyDescent="0.35">
      <c r="A1438"/>
      <c r="D1438"/>
      <c r="G1438"/>
      <c r="H1438" s="20"/>
      <c r="I1438" s="20"/>
      <c r="J1438" s="20"/>
      <c r="K1438" s="20"/>
      <c r="L1438" s="20"/>
      <c r="Q1438" s="83"/>
      <c r="Y1438" s="20"/>
      <c r="AP1438" s="93"/>
      <c r="AQ1438" s="31"/>
      <c r="AR1438" s="31"/>
      <c r="AS1438" s="94"/>
      <c r="AT1438" s="31"/>
      <c r="AU1438" s="31"/>
      <c r="AV1438" s="94"/>
      <c r="AW1438" s="32"/>
      <c r="AX1438" s="32"/>
      <c r="AY1438" s="32"/>
      <c r="AZ1438" s="32"/>
      <c r="BA1438" s="32"/>
      <c r="BB1438" s="31"/>
      <c r="BC1438" s="31"/>
      <c r="BD1438" s="31"/>
      <c r="BE1438" s="31"/>
      <c r="BF1438" s="96"/>
      <c r="BG1438" s="48"/>
      <c r="BH1438" s="48"/>
      <c r="BI1438" s="48"/>
      <c r="BJ1438" s="48"/>
      <c r="BK1438" s="48"/>
      <c r="BL1438" s="48"/>
      <c r="BM1438" s="48"/>
      <c r="BN1438" s="49"/>
      <c r="BO1438" s="48"/>
      <c r="BP1438" s="48"/>
      <c r="BQ1438" s="50"/>
    </row>
    <row r="1439" spans="1:69" ht="16" x14ac:dyDescent="0.35">
      <c r="A1439"/>
      <c r="D1439"/>
      <c r="G1439"/>
      <c r="H1439" s="20"/>
      <c r="I1439" s="20"/>
      <c r="J1439" s="20"/>
      <c r="K1439" s="20"/>
      <c r="L1439" s="20"/>
      <c r="Q1439" s="83"/>
      <c r="Y1439" s="20"/>
      <c r="AP1439" s="92"/>
      <c r="AQ1439" s="67"/>
      <c r="AR1439" s="67"/>
      <c r="AS1439" s="73"/>
      <c r="AT1439" s="67"/>
      <c r="AU1439" s="67"/>
      <c r="AV1439" s="73"/>
      <c r="AW1439" s="68"/>
      <c r="AX1439" s="68"/>
      <c r="AY1439" s="68"/>
      <c r="AZ1439" s="68"/>
      <c r="BA1439" s="68"/>
      <c r="BB1439" s="67"/>
      <c r="BC1439" s="67"/>
      <c r="BD1439" s="67"/>
      <c r="BE1439" s="67"/>
      <c r="BF1439" s="95"/>
      <c r="BG1439" s="52"/>
      <c r="BH1439" s="52"/>
      <c r="BI1439" s="52"/>
      <c r="BJ1439" s="52"/>
      <c r="BK1439" s="52"/>
      <c r="BL1439" s="52"/>
      <c r="BM1439" s="52"/>
      <c r="BN1439" s="53"/>
      <c r="BO1439" s="52"/>
      <c r="BP1439" s="52"/>
      <c r="BQ1439" s="54"/>
    </row>
    <row r="1440" spans="1:69" ht="16" x14ac:dyDescent="0.35">
      <c r="A1440"/>
      <c r="D1440"/>
      <c r="G1440"/>
      <c r="H1440" s="20"/>
      <c r="I1440" s="20"/>
      <c r="J1440" s="20"/>
      <c r="K1440" s="20"/>
      <c r="L1440" s="20"/>
      <c r="Q1440" s="83"/>
      <c r="Y1440" s="20"/>
      <c r="AP1440" s="93"/>
      <c r="AQ1440" s="31"/>
      <c r="AR1440" s="31"/>
      <c r="AS1440" s="94"/>
      <c r="AT1440" s="31"/>
      <c r="AU1440" s="31"/>
      <c r="AV1440" s="94"/>
      <c r="AW1440" s="32"/>
      <c r="AX1440" s="32"/>
      <c r="AY1440" s="32"/>
      <c r="AZ1440" s="32"/>
      <c r="BA1440" s="32"/>
      <c r="BB1440" s="31"/>
      <c r="BC1440" s="31"/>
      <c r="BD1440" s="31"/>
      <c r="BE1440" s="31"/>
      <c r="BF1440" s="96"/>
      <c r="BG1440" s="48"/>
      <c r="BH1440" s="48"/>
      <c r="BI1440" s="48"/>
      <c r="BJ1440" s="48"/>
      <c r="BK1440" s="48"/>
      <c r="BL1440" s="48"/>
      <c r="BM1440" s="48"/>
      <c r="BN1440" s="49"/>
      <c r="BO1440" s="48"/>
      <c r="BP1440" s="48"/>
      <c r="BQ1440" s="50"/>
    </row>
    <row r="1441" spans="1:69" ht="16" x14ac:dyDescent="0.35">
      <c r="A1441"/>
      <c r="D1441"/>
      <c r="G1441"/>
      <c r="H1441" s="20"/>
      <c r="I1441" s="20"/>
      <c r="J1441" s="20"/>
      <c r="K1441" s="20"/>
      <c r="L1441" s="20"/>
      <c r="Q1441" s="83"/>
      <c r="Y1441" s="20"/>
      <c r="AP1441" s="92"/>
      <c r="AQ1441" s="67"/>
      <c r="AR1441" s="67"/>
      <c r="AS1441" s="73"/>
      <c r="AT1441" s="67"/>
      <c r="AU1441" s="67"/>
      <c r="AV1441" s="73"/>
      <c r="AW1441" s="68"/>
      <c r="AX1441" s="68"/>
      <c r="AY1441" s="68"/>
      <c r="AZ1441" s="68"/>
      <c r="BA1441" s="68"/>
      <c r="BB1441" s="67"/>
      <c r="BC1441" s="67"/>
      <c r="BD1441" s="67"/>
      <c r="BE1441" s="67"/>
      <c r="BF1441" s="95"/>
      <c r="BG1441" s="52"/>
      <c r="BH1441" s="52"/>
      <c r="BI1441" s="52"/>
      <c r="BJ1441" s="52"/>
      <c r="BK1441" s="52"/>
      <c r="BL1441" s="52"/>
      <c r="BM1441" s="52"/>
      <c r="BN1441" s="53"/>
      <c r="BO1441" s="52"/>
      <c r="BP1441" s="52"/>
      <c r="BQ1441" s="54"/>
    </row>
    <row r="1442" spans="1:69" ht="16" x14ac:dyDescent="0.35">
      <c r="A1442"/>
      <c r="D1442"/>
      <c r="G1442"/>
      <c r="H1442" s="20"/>
      <c r="I1442" s="20"/>
      <c r="J1442" s="20"/>
      <c r="K1442" s="20"/>
      <c r="L1442" s="20"/>
      <c r="Q1442" s="83"/>
      <c r="Y1442" s="20"/>
      <c r="AP1442" s="93"/>
      <c r="AQ1442" s="31"/>
      <c r="AR1442" s="31"/>
      <c r="AS1442" s="94"/>
      <c r="AT1442" s="31"/>
      <c r="AU1442" s="31"/>
      <c r="AV1442" s="94"/>
      <c r="AW1442" s="32"/>
      <c r="AX1442" s="32"/>
      <c r="AY1442" s="32"/>
      <c r="AZ1442" s="32"/>
      <c r="BA1442" s="32"/>
      <c r="BB1442" s="31"/>
      <c r="BC1442" s="31"/>
      <c r="BD1442" s="31"/>
      <c r="BE1442" s="31"/>
      <c r="BF1442" s="96"/>
      <c r="BG1442" s="48"/>
      <c r="BH1442" s="48"/>
      <c r="BI1442" s="48"/>
      <c r="BJ1442" s="48"/>
      <c r="BK1442" s="48"/>
      <c r="BL1442" s="48"/>
      <c r="BM1442" s="48"/>
      <c r="BN1442" s="49"/>
      <c r="BO1442" s="48"/>
      <c r="BP1442" s="48"/>
      <c r="BQ1442" s="50"/>
    </row>
    <row r="1443" spans="1:69" ht="16" x14ac:dyDescent="0.35">
      <c r="A1443"/>
      <c r="D1443"/>
      <c r="G1443"/>
      <c r="H1443" s="20"/>
      <c r="I1443" s="20"/>
      <c r="J1443" s="20"/>
      <c r="K1443" s="20"/>
      <c r="L1443" s="20"/>
      <c r="Q1443" s="83"/>
      <c r="Y1443" s="20"/>
      <c r="AP1443" s="92"/>
      <c r="AQ1443" s="67"/>
      <c r="AR1443" s="67"/>
      <c r="AS1443" s="73"/>
      <c r="AT1443" s="67"/>
      <c r="AU1443" s="67"/>
      <c r="AV1443" s="73"/>
      <c r="AW1443" s="68"/>
      <c r="AX1443" s="68"/>
      <c r="AY1443" s="68"/>
      <c r="AZ1443" s="68"/>
      <c r="BA1443" s="68"/>
      <c r="BB1443" s="67"/>
      <c r="BC1443" s="67"/>
      <c r="BD1443" s="67"/>
      <c r="BE1443" s="67"/>
      <c r="BF1443" s="95"/>
      <c r="BG1443" s="52"/>
      <c r="BH1443" s="52"/>
      <c r="BI1443" s="52"/>
      <c r="BJ1443" s="52"/>
      <c r="BK1443" s="52"/>
      <c r="BL1443" s="52"/>
      <c r="BM1443" s="52"/>
      <c r="BN1443" s="53"/>
      <c r="BO1443" s="52"/>
      <c r="BP1443" s="52"/>
      <c r="BQ1443" s="54"/>
    </row>
    <row r="1444" spans="1:69" ht="16" x14ac:dyDescent="0.35">
      <c r="A1444"/>
      <c r="D1444"/>
      <c r="G1444"/>
      <c r="H1444" s="20"/>
      <c r="I1444" s="20"/>
      <c r="J1444" s="20"/>
      <c r="K1444" s="20"/>
      <c r="L1444" s="20"/>
      <c r="Q1444" s="83"/>
      <c r="Y1444" s="20"/>
      <c r="AP1444" s="93"/>
      <c r="AQ1444" s="31"/>
      <c r="AR1444" s="31"/>
      <c r="AS1444" s="94"/>
      <c r="AT1444" s="31"/>
      <c r="AU1444" s="31"/>
      <c r="AV1444" s="94"/>
      <c r="AW1444" s="32"/>
      <c r="AX1444" s="32"/>
      <c r="AY1444" s="32"/>
      <c r="AZ1444" s="32"/>
      <c r="BA1444" s="32"/>
      <c r="BB1444" s="31"/>
      <c r="BC1444" s="31"/>
      <c r="BD1444" s="31"/>
      <c r="BE1444" s="31"/>
      <c r="BF1444" s="96"/>
      <c r="BG1444" s="48"/>
      <c r="BH1444" s="48"/>
      <c r="BI1444" s="48"/>
      <c r="BJ1444" s="48"/>
      <c r="BK1444" s="48"/>
      <c r="BL1444" s="48"/>
      <c r="BM1444" s="48"/>
      <c r="BN1444" s="49"/>
      <c r="BO1444" s="48"/>
      <c r="BP1444" s="48"/>
      <c r="BQ1444" s="50"/>
    </row>
    <row r="1445" spans="1:69" ht="16" x14ac:dyDescent="0.35">
      <c r="A1445"/>
      <c r="D1445"/>
      <c r="G1445"/>
      <c r="H1445" s="20"/>
      <c r="I1445" s="20"/>
      <c r="J1445" s="20"/>
      <c r="K1445" s="20"/>
      <c r="L1445" s="20"/>
      <c r="Q1445" s="83"/>
      <c r="Y1445" s="20"/>
      <c r="AP1445" s="92"/>
      <c r="AQ1445" s="67"/>
      <c r="AR1445" s="67"/>
      <c r="AS1445" s="73"/>
      <c r="AT1445" s="67"/>
      <c r="AU1445" s="67"/>
      <c r="AV1445" s="73"/>
      <c r="AW1445" s="68"/>
      <c r="AX1445" s="68"/>
      <c r="AY1445" s="68"/>
      <c r="AZ1445" s="68"/>
      <c r="BA1445" s="68"/>
      <c r="BB1445" s="67"/>
      <c r="BC1445" s="67"/>
      <c r="BD1445" s="67"/>
      <c r="BE1445" s="67"/>
      <c r="BF1445" s="95"/>
      <c r="BG1445" s="52"/>
      <c r="BH1445" s="52"/>
      <c r="BI1445" s="52"/>
      <c r="BJ1445" s="52"/>
      <c r="BK1445" s="52"/>
      <c r="BL1445" s="52"/>
      <c r="BM1445" s="52"/>
      <c r="BN1445" s="53"/>
      <c r="BO1445" s="52"/>
      <c r="BP1445" s="52"/>
      <c r="BQ1445" s="54"/>
    </row>
    <row r="1446" spans="1:69" ht="16" x14ac:dyDescent="0.35">
      <c r="A1446"/>
      <c r="D1446"/>
      <c r="G1446"/>
      <c r="H1446" s="20"/>
      <c r="I1446" s="20"/>
      <c r="J1446" s="20"/>
      <c r="K1446" s="20"/>
      <c r="L1446" s="20"/>
      <c r="Q1446" s="83"/>
      <c r="Y1446" s="20"/>
      <c r="AP1446" s="93"/>
      <c r="AQ1446" s="31"/>
      <c r="AR1446" s="31"/>
      <c r="AS1446" s="94"/>
      <c r="AT1446" s="31"/>
      <c r="AU1446" s="31"/>
      <c r="AV1446" s="94"/>
      <c r="AW1446" s="32"/>
      <c r="AX1446" s="32"/>
      <c r="AY1446" s="32"/>
      <c r="AZ1446" s="32"/>
      <c r="BA1446" s="32"/>
      <c r="BB1446" s="31"/>
      <c r="BC1446" s="31"/>
      <c r="BD1446" s="31"/>
      <c r="BE1446" s="31"/>
      <c r="BF1446" s="96"/>
      <c r="BG1446" s="48"/>
      <c r="BH1446" s="48"/>
      <c r="BI1446" s="48"/>
      <c r="BJ1446" s="48"/>
      <c r="BK1446" s="48"/>
      <c r="BL1446" s="48"/>
      <c r="BM1446" s="48"/>
      <c r="BN1446" s="49"/>
      <c r="BO1446" s="48"/>
      <c r="BP1446" s="48"/>
      <c r="BQ1446" s="50"/>
    </row>
    <row r="1447" spans="1:69" ht="16" x14ac:dyDescent="0.35">
      <c r="A1447"/>
      <c r="D1447"/>
      <c r="G1447"/>
      <c r="H1447" s="20"/>
      <c r="I1447" s="20"/>
      <c r="J1447" s="20"/>
      <c r="K1447" s="20"/>
      <c r="L1447" s="20"/>
      <c r="Q1447" s="83"/>
      <c r="Y1447" s="20"/>
      <c r="AP1447" s="92"/>
      <c r="AQ1447" s="67"/>
      <c r="AR1447" s="67"/>
      <c r="AS1447" s="73"/>
      <c r="AT1447" s="67"/>
      <c r="AU1447" s="67"/>
      <c r="AV1447" s="73"/>
      <c r="AW1447" s="68"/>
      <c r="AX1447" s="68"/>
      <c r="AY1447" s="68"/>
      <c r="AZ1447" s="68"/>
      <c r="BA1447" s="68"/>
      <c r="BB1447" s="67"/>
      <c r="BC1447" s="67"/>
      <c r="BD1447" s="67"/>
      <c r="BE1447" s="67"/>
      <c r="BF1447" s="95"/>
      <c r="BG1447" s="52"/>
      <c r="BH1447" s="52"/>
      <c r="BI1447" s="52"/>
      <c r="BJ1447" s="52"/>
      <c r="BK1447" s="52"/>
      <c r="BL1447" s="52"/>
      <c r="BM1447" s="52"/>
      <c r="BN1447" s="53"/>
      <c r="BO1447" s="52"/>
      <c r="BP1447" s="52"/>
      <c r="BQ1447" s="54"/>
    </row>
    <row r="1448" spans="1:69" ht="16" x14ac:dyDescent="0.35">
      <c r="A1448"/>
      <c r="D1448"/>
      <c r="G1448"/>
      <c r="H1448" s="20"/>
      <c r="I1448" s="20"/>
      <c r="J1448" s="20"/>
      <c r="K1448" s="20"/>
      <c r="L1448" s="20"/>
      <c r="Q1448" s="83"/>
      <c r="Y1448" s="20"/>
      <c r="AP1448" s="93"/>
      <c r="AQ1448" s="31"/>
      <c r="AR1448" s="31"/>
      <c r="AS1448" s="94"/>
      <c r="AT1448" s="31"/>
      <c r="AU1448" s="31"/>
      <c r="AV1448" s="94"/>
      <c r="AW1448" s="32"/>
      <c r="AX1448" s="32"/>
      <c r="AY1448" s="32"/>
      <c r="AZ1448" s="32"/>
      <c r="BA1448" s="32"/>
      <c r="BB1448" s="31"/>
      <c r="BC1448" s="31"/>
      <c r="BD1448" s="31"/>
      <c r="BE1448" s="31"/>
      <c r="BF1448" s="96"/>
      <c r="BG1448" s="48"/>
      <c r="BH1448" s="48"/>
      <c r="BI1448" s="48"/>
      <c r="BJ1448" s="48"/>
      <c r="BK1448" s="48"/>
      <c r="BL1448" s="48"/>
      <c r="BM1448" s="48"/>
      <c r="BN1448" s="49"/>
      <c r="BO1448" s="48"/>
      <c r="BP1448" s="48"/>
      <c r="BQ1448" s="50"/>
    </row>
    <row r="1449" spans="1:69" ht="16" x14ac:dyDescent="0.35">
      <c r="A1449"/>
      <c r="D1449"/>
      <c r="G1449"/>
      <c r="H1449" s="20"/>
      <c r="I1449" s="20"/>
      <c r="J1449" s="20"/>
      <c r="K1449" s="20"/>
      <c r="L1449" s="20"/>
      <c r="Q1449" s="83"/>
      <c r="Y1449" s="20"/>
      <c r="AP1449" s="92"/>
      <c r="AQ1449" s="67"/>
      <c r="AR1449" s="67"/>
      <c r="AS1449" s="73"/>
      <c r="AT1449" s="67"/>
      <c r="AU1449" s="67"/>
      <c r="AV1449" s="73"/>
      <c r="AW1449" s="68"/>
      <c r="AX1449" s="68"/>
      <c r="AY1449" s="68"/>
      <c r="AZ1449" s="68"/>
      <c r="BA1449" s="68"/>
      <c r="BB1449" s="67"/>
      <c r="BC1449" s="67"/>
      <c r="BD1449" s="67"/>
      <c r="BE1449" s="67"/>
      <c r="BF1449" s="95"/>
      <c r="BG1449" s="52"/>
      <c r="BH1449" s="52"/>
      <c r="BI1449" s="52"/>
      <c r="BJ1449" s="52"/>
      <c r="BK1449" s="52"/>
      <c r="BL1449" s="52"/>
      <c r="BM1449" s="52"/>
      <c r="BN1449" s="53"/>
      <c r="BO1449" s="52"/>
      <c r="BP1449" s="52"/>
      <c r="BQ1449" s="54"/>
    </row>
    <row r="1450" spans="1:69" ht="16" x14ac:dyDescent="0.35">
      <c r="A1450"/>
      <c r="D1450"/>
      <c r="G1450"/>
      <c r="H1450" s="20"/>
      <c r="I1450" s="20"/>
      <c r="J1450" s="20"/>
      <c r="K1450" s="20"/>
      <c r="L1450" s="20"/>
      <c r="Q1450" s="83"/>
      <c r="Y1450" s="20"/>
      <c r="AP1450" s="93"/>
      <c r="AQ1450" s="31"/>
      <c r="AR1450" s="31"/>
      <c r="AS1450" s="94"/>
      <c r="AT1450" s="31"/>
      <c r="AU1450" s="31"/>
      <c r="AV1450" s="94"/>
      <c r="AW1450" s="32"/>
      <c r="AX1450" s="32"/>
      <c r="AY1450" s="32"/>
      <c r="AZ1450" s="32"/>
      <c r="BA1450" s="32"/>
      <c r="BB1450" s="31"/>
      <c r="BC1450" s="31"/>
      <c r="BD1450" s="31"/>
      <c r="BE1450" s="31"/>
      <c r="BF1450" s="96"/>
      <c r="BG1450" s="48"/>
      <c r="BH1450" s="48"/>
      <c r="BI1450" s="48"/>
      <c r="BJ1450" s="48"/>
      <c r="BK1450" s="48"/>
      <c r="BL1450" s="48"/>
      <c r="BM1450" s="48"/>
      <c r="BN1450" s="49"/>
      <c r="BO1450" s="48"/>
      <c r="BP1450" s="48"/>
      <c r="BQ1450" s="50"/>
    </row>
    <row r="1451" spans="1:69" ht="16" x14ac:dyDescent="0.35">
      <c r="A1451"/>
      <c r="D1451"/>
      <c r="G1451"/>
      <c r="H1451" s="20"/>
      <c r="I1451" s="20"/>
      <c r="J1451" s="20"/>
      <c r="K1451" s="20"/>
      <c r="L1451" s="20"/>
      <c r="Q1451" s="83"/>
      <c r="Y1451" s="20"/>
      <c r="AP1451" s="92"/>
      <c r="AQ1451" s="67"/>
      <c r="AR1451" s="67"/>
      <c r="AS1451" s="73"/>
      <c r="AT1451" s="67"/>
      <c r="AU1451" s="67"/>
      <c r="AV1451" s="73"/>
      <c r="AW1451" s="68"/>
      <c r="AX1451" s="68"/>
      <c r="AY1451" s="68"/>
      <c r="AZ1451" s="68"/>
      <c r="BA1451" s="68"/>
      <c r="BB1451" s="67"/>
      <c r="BC1451" s="67"/>
      <c r="BD1451" s="67"/>
      <c r="BE1451" s="67"/>
      <c r="BF1451" s="95"/>
      <c r="BG1451" s="52"/>
      <c r="BH1451" s="52"/>
      <c r="BI1451" s="52"/>
      <c r="BJ1451" s="52"/>
      <c r="BK1451" s="52"/>
      <c r="BL1451" s="52"/>
      <c r="BM1451" s="52"/>
      <c r="BN1451" s="53"/>
      <c r="BO1451" s="52"/>
      <c r="BP1451" s="52"/>
      <c r="BQ1451" s="54"/>
    </row>
    <row r="1452" spans="1:69" ht="16" x14ac:dyDescent="0.35">
      <c r="A1452"/>
      <c r="D1452"/>
      <c r="G1452"/>
      <c r="H1452" s="20"/>
      <c r="I1452" s="20"/>
      <c r="J1452" s="20"/>
      <c r="K1452" s="20"/>
      <c r="L1452" s="20"/>
      <c r="Q1452" s="83"/>
      <c r="Y1452" s="20"/>
      <c r="AP1452" s="93"/>
      <c r="AQ1452" s="31"/>
      <c r="AR1452" s="31"/>
      <c r="AS1452" s="94"/>
      <c r="AT1452" s="31"/>
      <c r="AU1452" s="31"/>
      <c r="AV1452" s="94"/>
      <c r="AW1452" s="32"/>
      <c r="AX1452" s="32"/>
      <c r="AY1452" s="32"/>
      <c r="AZ1452" s="32"/>
      <c r="BA1452" s="32"/>
      <c r="BB1452" s="31"/>
      <c r="BC1452" s="31"/>
      <c r="BD1452" s="31"/>
      <c r="BE1452" s="31"/>
      <c r="BF1452" s="96"/>
      <c r="BG1452" s="48"/>
      <c r="BH1452" s="48"/>
      <c r="BI1452" s="48"/>
      <c r="BJ1452" s="48"/>
      <c r="BK1452" s="48"/>
      <c r="BL1452" s="48"/>
      <c r="BM1452" s="48"/>
      <c r="BN1452" s="49"/>
      <c r="BO1452" s="48"/>
      <c r="BP1452" s="48"/>
      <c r="BQ1452" s="50"/>
    </row>
    <row r="1453" spans="1:69" ht="16" x14ac:dyDescent="0.35">
      <c r="A1453"/>
      <c r="D1453"/>
      <c r="G1453"/>
      <c r="H1453" s="20"/>
      <c r="I1453" s="20"/>
      <c r="J1453" s="20"/>
      <c r="K1453" s="20"/>
      <c r="L1453" s="20"/>
      <c r="Q1453" s="83"/>
      <c r="Y1453" s="20"/>
      <c r="AP1453" s="92"/>
      <c r="AQ1453" s="67"/>
      <c r="AR1453" s="67"/>
      <c r="AS1453" s="73"/>
      <c r="AT1453" s="67"/>
      <c r="AU1453" s="67"/>
      <c r="AV1453" s="73"/>
      <c r="AW1453" s="68"/>
      <c r="AX1453" s="68"/>
      <c r="AY1453" s="68"/>
      <c r="AZ1453" s="68"/>
      <c r="BA1453" s="68"/>
      <c r="BB1453" s="67"/>
      <c r="BC1453" s="67"/>
      <c r="BD1453" s="67"/>
      <c r="BE1453" s="67"/>
      <c r="BF1453" s="95"/>
      <c r="BG1453" s="52"/>
      <c r="BH1453" s="52"/>
      <c r="BI1453" s="52"/>
      <c r="BJ1453" s="52"/>
      <c r="BK1453" s="52"/>
      <c r="BL1453" s="52"/>
      <c r="BM1453" s="52"/>
      <c r="BN1453" s="53"/>
      <c r="BO1453" s="52"/>
      <c r="BP1453" s="52"/>
      <c r="BQ1453" s="54"/>
    </row>
    <row r="1454" spans="1:69" ht="16" x14ac:dyDescent="0.35">
      <c r="A1454"/>
      <c r="D1454"/>
      <c r="G1454"/>
      <c r="H1454" s="20"/>
      <c r="I1454" s="20"/>
      <c r="J1454" s="20"/>
      <c r="K1454" s="20"/>
      <c r="L1454" s="20"/>
      <c r="Q1454" s="83"/>
      <c r="Y1454" s="20"/>
      <c r="AP1454" s="93"/>
      <c r="AQ1454" s="31"/>
      <c r="AR1454" s="31"/>
      <c r="AS1454" s="94"/>
      <c r="AT1454" s="31"/>
      <c r="AU1454" s="31"/>
      <c r="AV1454" s="94"/>
      <c r="AW1454" s="32"/>
      <c r="AX1454" s="32"/>
      <c r="AY1454" s="32"/>
      <c r="AZ1454" s="32"/>
      <c r="BA1454" s="32"/>
      <c r="BB1454" s="31"/>
      <c r="BC1454" s="31"/>
      <c r="BD1454" s="31"/>
      <c r="BE1454" s="31"/>
      <c r="BF1454" s="96"/>
      <c r="BG1454" s="48"/>
      <c r="BH1454" s="48"/>
      <c r="BI1454" s="48"/>
      <c r="BJ1454" s="48"/>
      <c r="BK1454" s="48"/>
      <c r="BL1454" s="48"/>
      <c r="BM1454" s="48"/>
      <c r="BN1454" s="49"/>
      <c r="BO1454" s="48"/>
      <c r="BP1454" s="48"/>
      <c r="BQ1454" s="50"/>
    </row>
    <row r="1455" spans="1:69" ht="16" x14ac:dyDescent="0.35">
      <c r="A1455"/>
      <c r="D1455"/>
      <c r="G1455"/>
      <c r="H1455" s="20"/>
      <c r="I1455" s="20"/>
      <c r="J1455" s="20"/>
      <c r="K1455" s="20"/>
      <c r="L1455" s="20"/>
      <c r="Q1455" s="83"/>
      <c r="Y1455" s="20"/>
      <c r="AP1455" s="92"/>
      <c r="AQ1455" s="67"/>
      <c r="AR1455" s="67"/>
      <c r="AS1455" s="73"/>
      <c r="AT1455" s="67"/>
      <c r="AU1455" s="67"/>
      <c r="AV1455" s="73"/>
      <c r="AW1455" s="68"/>
      <c r="AX1455" s="68"/>
      <c r="AY1455" s="68"/>
      <c r="AZ1455" s="68"/>
      <c r="BA1455" s="68"/>
      <c r="BB1455" s="67"/>
      <c r="BC1455" s="67"/>
      <c r="BD1455" s="67"/>
      <c r="BE1455" s="67"/>
      <c r="BF1455" s="95"/>
      <c r="BG1455" s="52"/>
      <c r="BH1455" s="52"/>
      <c r="BI1455" s="52"/>
      <c r="BJ1455" s="52"/>
      <c r="BK1455" s="52"/>
      <c r="BL1455" s="52"/>
      <c r="BM1455" s="52"/>
      <c r="BN1455" s="53"/>
      <c r="BO1455" s="52"/>
      <c r="BP1455" s="52"/>
      <c r="BQ1455" s="54"/>
    </row>
    <row r="1456" spans="1:69" ht="16" x14ac:dyDescent="0.35">
      <c r="A1456"/>
      <c r="D1456"/>
      <c r="G1456"/>
      <c r="H1456" s="20"/>
      <c r="I1456" s="20"/>
      <c r="J1456" s="20"/>
      <c r="K1456" s="20"/>
      <c r="L1456" s="20"/>
      <c r="Q1456" s="83"/>
      <c r="Y1456" s="20"/>
      <c r="AP1456" s="93"/>
      <c r="AQ1456" s="31"/>
      <c r="AR1456" s="31"/>
      <c r="AS1456" s="94"/>
      <c r="AT1456" s="31"/>
      <c r="AU1456" s="31"/>
      <c r="AV1456" s="94"/>
      <c r="AW1456" s="32"/>
      <c r="AX1456" s="32"/>
      <c r="AY1456" s="32"/>
      <c r="AZ1456" s="32"/>
      <c r="BA1456" s="32"/>
      <c r="BB1456" s="31"/>
      <c r="BC1456" s="31"/>
      <c r="BD1456" s="31"/>
      <c r="BE1456" s="31"/>
      <c r="BF1456" s="96"/>
      <c r="BG1456" s="48"/>
      <c r="BH1456" s="48"/>
      <c r="BI1456" s="48"/>
      <c r="BJ1456" s="48"/>
      <c r="BK1456" s="48"/>
      <c r="BL1456" s="48"/>
      <c r="BM1456" s="48"/>
      <c r="BN1456" s="49"/>
      <c r="BO1456" s="48"/>
      <c r="BP1456" s="48"/>
      <c r="BQ1456" s="50"/>
    </row>
    <row r="1457" spans="1:69" ht="16" x14ac:dyDescent="0.35">
      <c r="A1457"/>
      <c r="D1457"/>
      <c r="G1457"/>
      <c r="H1457" s="20"/>
      <c r="I1457" s="20"/>
      <c r="J1457" s="20"/>
      <c r="K1457" s="20"/>
      <c r="L1457" s="20"/>
      <c r="Q1457" s="83"/>
      <c r="Y1457" s="20"/>
      <c r="AP1457" s="92"/>
      <c r="AQ1457" s="67"/>
      <c r="AR1457" s="67"/>
      <c r="AS1457" s="73"/>
      <c r="AT1457" s="67"/>
      <c r="AU1457" s="67"/>
      <c r="AV1457" s="73"/>
      <c r="AW1457" s="68"/>
      <c r="AX1457" s="68"/>
      <c r="AY1457" s="68"/>
      <c r="AZ1457" s="68"/>
      <c r="BA1457" s="68"/>
      <c r="BB1457" s="67"/>
      <c r="BC1457" s="67"/>
      <c r="BD1457" s="67"/>
      <c r="BE1457" s="67"/>
      <c r="BF1457" s="95"/>
      <c r="BG1457" s="52"/>
      <c r="BH1457" s="52"/>
      <c r="BI1457" s="52"/>
      <c r="BJ1457" s="52"/>
      <c r="BK1457" s="52"/>
      <c r="BL1457" s="52"/>
      <c r="BM1457" s="52"/>
      <c r="BN1457" s="53"/>
      <c r="BO1457" s="52"/>
      <c r="BP1457" s="52"/>
      <c r="BQ1457" s="54"/>
    </row>
    <row r="1458" spans="1:69" ht="16" x14ac:dyDescent="0.35">
      <c r="A1458"/>
      <c r="D1458"/>
      <c r="G1458"/>
      <c r="H1458" s="20"/>
      <c r="I1458" s="20"/>
      <c r="J1458" s="20"/>
      <c r="K1458" s="20"/>
      <c r="L1458" s="20"/>
      <c r="Q1458" s="83"/>
      <c r="Y1458" s="20"/>
      <c r="AP1458" s="93"/>
      <c r="AQ1458" s="31"/>
      <c r="AR1458" s="31"/>
      <c r="AS1458" s="94"/>
      <c r="AT1458" s="31"/>
      <c r="AU1458" s="31"/>
      <c r="AV1458" s="94"/>
      <c r="AW1458" s="32"/>
      <c r="AX1458" s="32"/>
      <c r="AY1458" s="32"/>
      <c r="AZ1458" s="32"/>
      <c r="BA1458" s="32"/>
      <c r="BB1458" s="31"/>
      <c r="BC1458" s="31"/>
      <c r="BD1458" s="31"/>
      <c r="BE1458" s="31"/>
      <c r="BF1458" s="96"/>
      <c r="BG1458" s="48"/>
      <c r="BH1458" s="48"/>
      <c r="BI1458" s="48"/>
      <c r="BJ1458" s="48"/>
      <c r="BK1458" s="48"/>
      <c r="BL1458" s="48"/>
      <c r="BM1458" s="48"/>
      <c r="BN1458" s="49"/>
      <c r="BO1458" s="48"/>
      <c r="BP1458" s="48"/>
      <c r="BQ1458" s="50"/>
    </row>
    <row r="1459" spans="1:69" ht="16" x14ac:dyDescent="0.35">
      <c r="A1459"/>
      <c r="D1459"/>
      <c r="G1459"/>
      <c r="H1459" s="20"/>
      <c r="I1459" s="20"/>
      <c r="J1459" s="20"/>
      <c r="K1459" s="20"/>
      <c r="L1459" s="20"/>
      <c r="Q1459" s="83"/>
      <c r="Y1459" s="20"/>
      <c r="AP1459" s="92"/>
      <c r="AQ1459" s="67"/>
      <c r="AR1459" s="67"/>
      <c r="AS1459" s="73"/>
      <c r="AT1459" s="67"/>
      <c r="AU1459" s="67"/>
      <c r="AV1459" s="73"/>
      <c r="AW1459" s="68"/>
      <c r="AX1459" s="68"/>
      <c r="AY1459" s="68"/>
      <c r="AZ1459" s="68"/>
      <c r="BA1459" s="68"/>
      <c r="BB1459" s="67"/>
      <c r="BC1459" s="67"/>
      <c r="BD1459" s="67"/>
      <c r="BE1459" s="67"/>
      <c r="BF1459" s="95"/>
      <c r="BG1459" s="52"/>
      <c r="BH1459" s="52"/>
      <c r="BI1459" s="52"/>
      <c r="BJ1459" s="52"/>
      <c r="BK1459" s="52"/>
      <c r="BL1459" s="52"/>
      <c r="BM1459" s="52"/>
      <c r="BN1459" s="53"/>
      <c r="BO1459" s="52"/>
      <c r="BP1459" s="52"/>
      <c r="BQ1459" s="54"/>
    </row>
    <row r="1460" spans="1:69" ht="16" x14ac:dyDescent="0.35">
      <c r="A1460"/>
      <c r="D1460"/>
      <c r="G1460"/>
      <c r="H1460" s="20"/>
      <c r="I1460" s="20"/>
      <c r="J1460" s="20"/>
      <c r="K1460" s="20"/>
      <c r="L1460" s="20"/>
      <c r="Q1460" s="83"/>
      <c r="Y1460" s="20"/>
      <c r="AP1460" s="93"/>
      <c r="AQ1460" s="31"/>
      <c r="AR1460" s="31"/>
      <c r="AS1460" s="94"/>
      <c r="AT1460" s="31"/>
      <c r="AU1460" s="31"/>
      <c r="AV1460" s="94"/>
      <c r="AW1460" s="32"/>
      <c r="AX1460" s="32"/>
      <c r="AY1460" s="32"/>
      <c r="AZ1460" s="32"/>
      <c r="BA1460" s="32"/>
      <c r="BB1460" s="31"/>
      <c r="BC1460" s="31"/>
      <c r="BD1460" s="31"/>
      <c r="BE1460" s="31"/>
      <c r="BF1460" s="96"/>
      <c r="BG1460" s="48"/>
      <c r="BH1460" s="48"/>
      <c r="BI1460" s="48"/>
      <c r="BJ1460" s="48"/>
      <c r="BK1460" s="48"/>
      <c r="BL1460" s="48"/>
      <c r="BM1460" s="48"/>
      <c r="BN1460" s="49"/>
      <c r="BO1460" s="48"/>
      <c r="BP1460" s="48"/>
      <c r="BQ1460" s="50"/>
    </row>
    <row r="1461" spans="1:69" ht="16" x14ac:dyDescent="0.35">
      <c r="A1461"/>
      <c r="D1461"/>
      <c r="G1461"/>
      <c r="H1461" s="20"/>
      <c r="I1461" s="20"/>
      <c r="J1461" s="20"/>
      <c r="K1461" s="20"/>
      <c r="L1461" s="20"/>
      <c r="Q1461" s="83"/>
      <c r="Y1461" s="20"/>
      <c r="AP1461" s="92"/>
      <c r="AQ1461" s="67"/>
      <c r="AR1461" s="67"/>
      <c r="AS1461" s="73"/>
      <c r="AT1461" s="67"/>
      <c r="AU1461" s="67"/>
      <c r="AV1461" s="73"/>
      <c r="AW1461" s="68"/>
      <c r="AX1461" s="68"/>
      <c r="AY1461" s="68"/>
      <c r="AZ1461" s="68"/>
      <c r="BA1461" s="68"/>
      <c r="BB1461" s="67"/>
      <c r="BC1461" s="67"/>
      <c r="BD1461" s="67"/>
      <c r="BE1461" s="67"/>
      <c r="BF1461" s="95"/>
      <c r="BG1461" s="52"/>
      <c r="BH1461" s="52"/>
      <c r="BI1461" s="52"/>
      <c r="BJ1461" s="52"/>
      <c r="BK1461" s="52"/>
      <c r="BL1461" s="52"/>
      <c r="BM1461" s="52"/>
      <c r="BN1461" s="53"/>
      <c r="BO1461" s="52"/>
      <c r="BP1461" s="52"/>
      <c r="BQ1461" s="54"/>
    </row>
    <row r="1462" spans="1:69" ht="16" x14ac:dyDescent="0.35">
      <c r="A1462"/>
      <c r="D1462"/>
      <c r="G1462"/>
      <c r="H1462" s="20"/>
      <c r="I1462" s="20"/>
      <c r="J1462" s="20"/>
      <c r="K1462" s="20"/>
      <c r="L1462" s="20"/>
      <c r="Q1462" s="83"/>
      <c r="Y1462" s="20"/>
      <c r="AP1462" s="93"/>
      <c r="AQ1462" s="31"/>
      <c r="AR1462" s="31"/>
      <c r="AS1462" s="94"/>
      <c r="AT1462" s="31"/>
      <c r="AU1462" s="31"/>
      <c r="AV1462" s="94"/>
      <c r="AW1462" s="32"/>
      <c r="AX1462" s="32"/>
      <c r="AY1462" s="32"/>
      <c r="AZ1462" s="32"/>
      <c r="BA1462" s="32"/>
      <c r="BB1462" s="31"/>
      <c r="BC1462" s="31"/>
      <c r="BD1462" s="31"/>
      <c r="BE1462" s="31"/>
      <c r="BF1462" s="96"/>
      <c r="BG1462" s="48"/>
      <c r="BH1462" s="48"/>
      <c r="BI1462" s="48"/>
      <c r="BJ1462" s="48"/>
      <c r="BK1462" s="48"/>
      <c r="BL1462" s="48"/>
      <c r="BM1462" s="48"/>
      <c r="BN1462" s="49"/>
      <c r="BO1462" s="48"/>
      <c r="BP1462" s="48"/>
      <c r="BQ1462" s="50"/>
    </row>
    <row r="1463" spans="1:69" ht="16" x14ac:dyDescent="0.35">
      <c r="A1463"/>
      <c r="D1463"/>
      <c r="G1463"/>
      <c r="H1463" s="20"/>
      <c r="I1463" s="20"/>
      <c r="J1463" s="20"/>
      <c r="K1463" s="20"/>
      <c r="L1463" s="20"/>
      <c r="Q1463" s="83"/>
      <c r="Y1463" s="20"/>
      <c r="AP1463" s="92"/>
      <c r="AQ1463" s="67"/>
      <c r="AR1463" s="67"/>
      <c r="AS1463" s="73"/>
      <c r="AT1463" s="67"/>
      <c r="AU1463" s="67"/>
      <c r="AV1463" s="73"/>
      <c r="AW1463" s="68"/>
      <c r="AX1463" s="68"/>
      <c r="AY1463" s="68"/>
      <c r="AZ1463" s="68"/>
      <c r="BA1463" s="68"/>
      <c r="BB1463" s="67"/>
      <c r="BC1463" s="67"/>
      <c r="BD1463" s="67"/>
      <c r="BE1463" s="67"/>
      <c r="BF1463" s="95"/>
      <c r="BG1463" s="52"/>
      <c r="BH1463" s="52"/>
      <c r="BI1463" s="52"/>
      <c r="BJ1463" s="52"/>
      <c r="BK1463" s="52"/>
      <c r="BL1463" s="52"/>
      <c r="BM1463" s="52"/>
      <c r="BN1463" s="53"/>
      <c r="BO1463" s="52"/>
      <c r="BP1463" s="52"/>
      <c r="BQ1463" s="54"/>
    </row>
    <row r="1464" spans="1:69" ht="16" x14ac:dyDescent="0.35">
      <c r="A1464"/>
      <c r="D1464"/>
      <c r="G1464"/>
      <c r="H1464" s="20"/>
      <c r="I1464" s="20"/>
      <c r="J1464" s="20"/>
      <c r="K1464" s="20"/>
      <c r="L1464" s="20"/>
      <c r="Q1464" s="83"/>
      <c r="Y1464" s="20"/>
      <c r="AP1464" s="93"/>
      <c r="AQ1464" s="31"/>
      <c r="AR1464" s="31"/>
      <c r="AS1464" s="94"/>
      <c r="AT1464" s="31"/>
      <c r="AU1464" s="31"/>
      <c r="AV1464" s="94"/>
      <c r="AW1464" s="32"/>
      <c r="AX1464" s="32"/>
      <c r="AY1464" s="32"/>
      <c r="AZ1464" s="32"/>
      <c r="BA1464" s="32"/>
      <c r="BB1464" s="31"/>
      <c r="BC1464" s="31"/>
      <c r="BD1464" s="31"/>
      <c r="BE1464" s="31"/>
      <c r="BF1464" s="96"/>
      <c r="BG1464" s="48"/>
      <c r="BH1464" s="48"/>
      <c r="BI1464" s="48"/>
      <c r="BJ1464" s="48"/>
      <c r="BK1464" s="48"/>
      <c r="BL1464" s="48"/>
      <c r="BM1464" s="48"/>
      <c r="BN1464" s="49"/>
      <c r="BO1464" s="48"/>
      <c r="BP1464" s="48"/>
      <c r="BQ1464" s="50"/>
    </row>
    <row r="1465" spans="1:69" ht="16" x14ac:dyDescent="0.35">
      <c r="A1465"/>
      <c r="D1465"/>
      <c r="G1465"/>
      <c r="H1465" s="20"/>
      <c r="I1465" s="20"/>
      <c r="J1465" s="20"/>
      <c r="K1465" s="20"/>
      <c r="L1465" s="20"/>
      <c r="Q1465" s="83"/>
      <c r="Y1465" s="20"/>
      <c r="AP1465" s="92"/>
      <c r="AQ1465" s="67"/>
      <c r="AR1465" s="67"/>
      <c r="AS1465" s="73"/>
      <c r="AT1465" s="67"/>
      <c r="AU1465" s="67"/>
      <c r="AV1465" s="73"/>
      <c r="AW1465" s="68"/>
      <c r="AX1465" s="68"/>
      <c r="AY1465" s="68"/>
      <c r="AZ1465" s="68"/>
      <c r="BA1465" s="68"/>
      <c r="BB1465" s="67"/>
      <c r="BC1465" s="67"/>
      <c r="BD1465" s="67"/>
      <c r="BE1465" s="67"/>
      <c r="BF1465" s="95"/>
      <c r="BG1465" s="52"/>
      <c r="BH1465" s="52"/>
      <c r="BI1465" s="52"/>
      <c r="BJ1465" s="52"/>
      <c r="BK1465" s="52"/>
      <c r="BL1465" s="52"/>
      <c r="BM1465" s="52"/>
      <c r="BN1465" s="53"/>
      <c r="BO1465" s="52"/>
      <c r="BP1465" s="52"/>
      <c r="BQ1465" s="54"/>
    </row>
    <row r="1466" spans="1:69" ht="16" x14ac:dyDescent="0.35">
      <c r="A1466"/>
      <c r="D1466"/>
      <c r="G1466"/>
      <c r="H1466" s="20"/>
      <c r="I1466" s="20"/>
      <c r="J1466" s="20"/>
      <c r="K1466" s="20"/>
      <c r="L1466" s="20"/>
      <c r="Q1466" s="83"/>
      <c r="Y1466" s="20"/>
      <c r="AP1466" s="93"/>
      <c r="AQ1466" s="31"/>
      <c r="AR1466" s="31"/>
      <c r="AS1466" s="94"/>
      <c r="AT1466" s="31"/>
      <c r="AU1466" s="31"/>
      <c r="AV1466" s="94"/>
      <c r="AW1466" s="32"/>
      <c r="AX1466" s="32"/>
      <c r="AY1466" s="32"/>
      <c r="AZ1466" s="32"/>
      <c r="BA1466" s="32"/>
      <c r="BB1466" s="31"/>
      <c r="BC1466" s="31"/>
      <c r="BD1466" s="31"/>
      <c r="BE1466" s="31"/>
      <c r="BF1466" s="96"/>
      <c r="BG1466" s="48"/>
      <c r="BH1466" s="48"/>
      <c r="BI1466" s="48"/>
      <c r="BJ1466" s="48"/>
      <c r="BK1466" s="48"/>
      <c r="BL1466" s="48"/>
      <c r="BM1466" s="48"/>
      <c r="BN1466" s="49"/>
      <c r="BO1466" s="48"/>
      <c r="BP1466" s="48"/>
      <c r="BQ1466" s="50"/>
    </row>
    <row r="1467" spans="1:69" ht="16" x14ac:dyDescent="0.35">
      <c r="A1467"/>
      <c r="D1467"/>
      <c r="G1467"/>
      <c r="H1467" s="20"/>
      <c r="I1467" s="20"/>
      <c r="J1467" s="20"/>
      <c r="K1467" s="20"/>
      <c r="L1467" s="20"/>
      <c r="Q1467" s="83"/>
      <c r="Y1467" s="20"/>
      <c r="AP1467" s="92"/>
      <c r="AQ1467" s="67"/>
      <c r="AR1467" s="67"/>
      <c r="AS1467" s="73"/>
      <c r="AT1467" s="67"/>
      <c r="AU1467" s="67"/>
      <c r="AV1467" s="73"/>
      <c r="AW1467" s="68"/>
      <c r="AX1467" s="68"/>
      <c r="AY1467" s="68"/>
      <c r="AZ1467" s="68"/>
      <c r="BA1467" s="68"/>
      <c r="BB1467" s="67"/>
      <c r="BC1467" s="67"/>
      <c r="BD1467" s="67"/>
      <c r="BE1467" s="67"/>
      <c r="BF1467" s="95"/>
      <c r="BG1467" s="52"/>
      <c r="BH1467" s="52"/>
      <c r="BI1467" s="52"/>
      <c r="BJ1467" s="52"/>
      <c r="BK1467" s="52"/>
      <c r="BL1467" s="52"/>
      <c r="BM1467" s="52"/>
      <c r="BN1467" s="53"/>
      <c r="BO1467" s="52"/>
      <c r="BP1467" s="52"/>
      <c r="BQ1467" s="54"/>
    </row>
    <row r="1468" spans="1:69" ht="16" x14ac:dyDescent="0.35">
      <c r="A1468"/>
      <c r="D1468"/>
      <c r="G1468"/>
      <c r="H1468" s="20"/>
      <c r="I1468" s="20"/>
      <c r="J1468" s="20"/>
      <c r="K1468" s="20"/>
      <c r="L1468" s="20"/>
      <c r="Q1468" s="83"/>
      <c r="Y1468" s="20"/>
      <c r="AP1468" s="93"/>
      <c r="AQ1468" s="31"/>
      <c r="AR1468" s="31"/>
      <c r="AS1468" s="94"/>
      <c r="AT1468" s="31"/>
      <c r="AU1468" s="31"/>
      <c r="AV1468" s="94"/>
      <c r="AW1468" s="32"/>
      <c r="AX1468" s="32"/>
      <c r="AY1468" s="32"/>
      <c r="AZ1468" s="32"/>
      <c r="BA1468" s="32"/>
      <c r="BB1468" s="31"/>
      <c r="BC1468" s="31"/>
      <c r="BD1468" s="31"/>
      <c r="BE1468" s="31"/>
      <c r="BF1468" s="96"/>
      <c r="BG1468" s="48"/>
      <c r="BH1468" s="48"/>
      <c r="BI1468" s="48"/>
      <c r="BJ1468" s="48"/>
      <c r="BK1468" s="48"/>
      <c r="BL1468" s="48"/>
      <c r="BM1468" s="48"/>
      <c r="BN1468" s="49"/>
      <c r="BO1468" s="48"/>
      <c r="BP1468" s="48"/>
      <c r="BQ1468" s="50"/>
    </row>
    <row r="1469" spans="1:69" ht="16" x14ac:dyDescent="0.35">
      <c r="A1469"/>
      <c r="D1469"/>
      <c r="G1469"/>
      <c r="H1469" s="20"/>
      <c r="I1469" s="20"/>
      <c r="J1469" s="20"/>
      <c r="K1469" s="20"/>
      <c r="L1469" s="20"/>
      <c r="Q1469" s="83"/>
      <c r="Y1469" s="20"/>
      <c r="AP1469" s="92"/>
      <c r="AQ1469" s="67"/>
      <c r="AR1469" s="67"/>
      <c r="AS1469" s="73"/>
      <c r="AT1469" s="67"/>
      <c r="AU1469" s="67"/>
      <c r="AV1469" s="73"/>
      <c r="AW1469" s="68"/>
      <c r="AX1469" s="68"/>
      <c r="AY1469" s="68"/>
      <c r="AZ1469" s="68"/>
      <c r="BA1469" s="68"/>
      <c r="BB1469" s="67"/>
      <c r="BC1469" s="67"/>
      <c r="BD1469" s="67"/>
      <c r="BE1469" s="67"/>
      <c r="BF1469" s="95"/>
      <c r="BG1469" s="52"/>
      <c r="BH1469" s="52"/>
      <c r="BI1469" s="52"/>
      <c r="BJ1469" s="52"/>
      <c r="BK1469" s="52"/>
      <c r="BL1469" s="52"/>
      <c r="BM1469" s="52"/>
      <c r="BN1469" s="53"/>
      <c r="BO1469" s="52"/>
      <c r="BP1469" s="52"/>
      <c r="BQ1469" s="54"/>
    </row>
    <row r="1470" spans="1:69" ht="16" x14ac:dyDescent="0.35">
      <c r="A1470"/>
      <c r="D1470"/>
      <c r="G1470"/>
      <c r="H1470" s="20"/>
      <c r="I1470" s="20"/>
      <c r="J1470" s="20"/>
      <c r="K1470" s="20"/>
      <c r="L1470" s="20"/>
      <c r="Q1470" s="83"/>
      <c r="Y1470" s="20"/>
      <c r="AP1470" s="93"/>
      <c r="AQ1470" s="31"/>
      <c r="AR1470" s="31"/>
      <c r="AS1470" s="94"/>
      <c r="AT1470" s="31"/>
      <c r="AU1470" s="31"/>
      <c r="AV1470" s="94"/>
      <c r="AW1470" s="32"/>
      <c r="AX1470" s="32"/>
      <c r="AY1470" s="32"/>
      <c r="AZ1470" s="32"/>
      <c r="BA1470" s="32"/>
      <c r="BB1470" s="31"/>
      <c r="BC1470" s="31"/>
      <c r="BD1470" s="31"/>
      <c r="BE1470" s="31"/>
      <c r="BF1470" s="96"/>
      <c r="BG1470" s="48"/>
      <c r="BH1470" s="48"/>
      <c r="BI1470" s="48"/>
      <c r="BJ1470" s="48"/>
      <c r="BK1470" s="48"/>
      <c r="BL1470" s="48"/>
      <c r="BM1470" s="48"/>
      <c r="BN1470" s="49"/>
      <c r="BO1470" s="48"/>
      <c r="BP1470" s="48"/>
      <c r="BQ1470" s="50"/>
    </row>
    <row r="1471" spans="1:69" ht="16" x14ac:dyDescent="0.35">
      <c r="A1471"/>
      <c r="D1471"/>
      <c r="G1471"/>
      <c r="H1471" s="20"/>
      <c r="I1471" s="20"/>
      <c r="J1471" s="20"/>
      <c r="K1471" s="20"/>
      <c r="L1471" s="20"/>
      <c r="Q1471" s="83"/>
      <c r="Y1471" s="20"/>
      <c r="AP1471" s="92"/>
      <c r="AQ1471" s="67"/>
      <c r="AR1471" s="67"/>
      <c r="AS1471" s="73"/>
      <c r="AT1471" s="67"/>
      <c r="AU1471" s="67"/>
      <c r="AV1471" s="73"/>
      <c r="AW1471" s="68"/>
      <c r="AX1471" s="68"/>
      <c r="AY1471" s="68"/>
      <c r="AZ1471" s="68"/>
      <c r="BA1471" s="68"/>
      <c r="BB1471" s="67"/>
      <c r="BC1471" s="67"/>
      <c r="BD1471" s="67"/>
      <c r="BE1471" s="67"/>
      <c r="BF1471" s="95"/>
      <c r="BG1471" s="52"/>
      <c r="BH1471" s="52"/>
      <c r="BI1471" s="52"/>
      <c r="BJ1471" s="52"/>
      <c r="BK1471" s="52"/>
      <c r="BL1471" s="52"/>
      <c r="BM1471" s="52"/>
      <c r="BN1471" s="53"/>
      <c r="BO1471" s="52"/>
      <c r="BP1471" s="52"/>
      <c r="BQ1471" s="54"/>
    </row>
    <row r="1472" spans="1:69" ht="16" x14ac:dyDescent="0.35">
      <c r="A1472"/>
      <c r="D1472"/>
      <c r="G1472"/>
      <c r="H1472" s="20"/>
      <c r="I1472" s="20"/>
      <c r="J1472" s="20"/>
      <c r="K1472" s="20"/>
      <c r="L1472" s="20"/>
      <c r="Q1472" s="83"/>
      <c r="Y1472" s="20"/>
      <c r="AP1472" s="93"/>
      <c r="AQ1472" s="31"/>
      <c r="AR1472" s="31"/>
      <c r="AS1472" s="94"/>
      <c r="AT1472" s="31"/>
      <c r="AU1472" s="31"/>
      <c r="AV1472" s="94"/>
      <c r="AW1472" s="32"/>
      <c r="AX1472" s="32"/>
      <c r="AY1472" s="32"/>
      <c r="AZ1472" s="32"/>
      <c r="BA1472" s="32"/>
      <c r="BB1472" s="31"/>
      <c r="BC1472" s="31"/>
      <c r="BD1472" s="31"/>
      <c r="BE1472" s="31"/>
      <c r="BF1472" s="96"/>
      <c r="BG1472" s="48"/>
      <c r="BH1472" s="48"/>
      <c r="BI1472" s="48"/>
      <c r="BJ1472" s="48"/>
      <c r="BK1472" s="48"/>
      <c r="BL1472" s="48"/>
      <c r="BM1472" s="48"/>
      <c r="BN1472" s="49"/>
      <c r="BO1472" s="48"/>
      <c r="BP1472" s="48"/>
      <c r="BQ1472" s="50"/>
    </row>
    <row r="1473" spans="1:69" ht="16" x14ac:dyDescent="0.35">
      <c r="A1473"/>
      <c r="D1473"/>
      <c r="G1473"/>
      <c r="H1473" s="20"/>
      <c r="I1473" s="20"/>
      <c r="J1473" s="20"/>
      <c r="K1473" s="20"/>
      <c r="L1473" s="20"/>
      <c r="Q1473" s="83"/>
      <c r="Y1473" s="20"/>
      <c r="AP1473" s="92"/>
      <c r="AQ1473" s="67"/>
      <c r="AR1473" s="67"/>
      <c r="AS1473" s="73"/>
      <c r="AT1473" s="67"/>
      <c r="AU1473" s="67"/>
      <c r="AV1473" s="73"/>
      <c r="AW1473" s="68"/>
      <c r="AX1473" s="68"/>
      <c r="AY1473" s="68"/>
      <c r="AZ1473" s="68"/>
      <c r="BA1473" s="68"/>
      <c r="BB1473" s="67"/>
      <c r="BC1473" s="67"/>
      <c r="BD1473" s="67"/>
      <c r="BE1473" s="67"/>
      <c r="BF1473" s="95"/>
      <c r="BG1473" s="52"/>
      <c r="BH1473" s="52"/>
      <c r="BI1473" s="52"/>
      <c r="BJ1473" s="52"/>
      <c r="BK1473" s="52"/>
      <c r="BL1473" s="52"/>
      <c r="BM1473" s="52"/>
      <c r="BN1473" s="53"/>
      <c r="BO1473" s="52"/>
      <c r="BP1473" s="52"/>
      <c r="BQ1473" s="54"/>
    </row>
    <row r="1474" spans="1:69" ht="16" x14ac:dyDescent="0.35">
      <c r="A1474"/>
      <c r="D1474"/>
      <c r="G1474"/>
      <c r="H1474" s="20"/>
      <c r="I1474" s="20"/>
      <c r="J1474" s="20"/>
      <c r="K1474" s="20"/>
      <c r="L1474" s="20"/>
      <c r="Q1474" s="83"/>
      <c r="Y1474" s="20"/>
      <c r="AP1474" s="93"/>
      <c r="AQ1474" s="31"/>
      <c r="AR1474" s="31"/>
      <c r="AS1474" s="94"/>
      <c r="AT1474" s="31"/>
      <c r="AU1474" s="31"/>
      <c r="AV1474" s="94"/>
      <c r="AW1474" s="32"/>
      <c r="AX1474" s="32"/>
      <c r="AY1474" s="32"/>
      <c r="AZ1474" s="32"/>
      <c r="BA1474" s="32"/>
      <c r="BB1474" s="31"/>
      <c r="BC1474" s="31"/>
      <c r="BD1474" s="31"/>
      <c r="BE1474" s="31"/>
      <c r="BF1474" s="96"/>
      <c r="BG1474" s="48"/>
      <c r="BH1474" s="48"/>
      <c r="BI1474" s="48"/>
      <c r="BJ1474" s="48"/>
      <c r="BK1474" s="48"/>
      <c r="BL1474" s="48"/>
      <c r="BM1474" s="48"/>
      <c r="BN1474" s="49"/>
      <c r="BO1474" s="48"/>
      <c r="BP1474" s="48"/>
      <c r="BQ1474" s="50"/>
    </row>
    <row r="1475" spans="1:69" ht="16" x14ac:dyDescent="0.35">
      <c r="A1475"/>
      <c r="D1475"/>
      <c r="G1475"/>
      <c r="H1475" s="20"/>
      <c r="I1475" s="20"/>
      <c r="J1475" s="20"/>
      <c r="K1475" s="20"/>
      <c r="L1475" s="20"/>
      <c r="Q1475" s="83"/>
      <c r="Y1475" s="20"/>
      <c r="AP1475" s="92"/>
      <c r="AQ1475" s="67"/>
      <c r="AR1475" s="67"/>
      <c r="AS1475" s="73"/>
      <c r="AT1475" s="67"/>
      <c r="AU1475" s="67"/>
      <c r="AV1475" s="73"/>
      <c r="AW1475" s="68"/>
      <c r="AX1475" s="68"/>
      <c r="AY1475" s="68"/>
      <c r="AZ1475" s="68"/>
      <c r="BA1475" s="68"/>
      <c r="BB1475" s="67"/>
      <c r="BC1475" s="67"/>
      <c r="BD1475" s="67"/>
      <c r="BE1475" s="67"/>
      <c r="BF1475" s="95"/>
      <c r="BG1475" s="52"/>
      <c r="BH1475" s="52"/>
      <c r="BI1475" s="52"/>
      <c r="BJ1475" s="52"/>
      <c r="BK1475" s="52"/>
      <c r="BL1475" s="52"/>
      <c r="BM1475" s="52"/>
      <c r="BN1475" s="53"/>
      <c r="BO1475" s="52"/>
      <c r="BP1475" s="52"/>
      <c r="BQ1475" s="54"/>
    </row>
    <row r="1476" spans="1:69" ht="16" x14ac:dyDescent="0.35">
      <c r="A1476"/>
      <c r="D1476"/>
      <c r="G1476"/>
      <c r="H1476" s="20"/>
      <c r="I1476" s="20"/>
      <c r="J1476" s="20"/>
      <c r="K1476" s="20"/>
      <c r="L1476" s="20"/>
      <c r="Q1476" s="83"/>
      <c r="Y1476" s="20"/>
      <c r="AP1476" s="93"/>
      <c r="AQ1476" s="31"/>
      <c r="AR1476" s="31"/>
      <c r="AS1476" s="94"/>
      <c r="AT1476" s="31"/>
      <c r="AU1476" s="31"/>
      <c r="AV1476" s="94"/>
      <c r="AW1476" s="32"/>
      <c r="AX1476" s="32"/>
      <c r="AY1476" s="32"/>
      <c r="AZ1476" s="32"/>
      <c r="BA1476" s="32"/>
      <c r="BB1476" s="31"/>
      <c r="BC1476" s="31"/>
      <c r="BD1476" s="31"/>
      <c r="BE1476" s="31"/>
      <c r="BF1476" s="96"/>
      <c r="BG1476" s="48"/>
      <c r="BH1476" s="48"/>
      <c r="BI1476" s="48"/>
      <c r="BJ1476" s="48"/>
      <c r="BK1476" s="48"/>
      <c r="BL1476" s="48"/>
      <c r="BM1476" s="48"/>
      <c r="BN1476" s="49"/>
      <c r="BO1476" s="48"/>
      <c r="BP1476" s="48"/>
      <c r="BQ1476" s="50"/>
    </row>
    <row r="1477" spans="1:69" ht="16" x14ac:dyDescent="0.35">
      <c r="A1477"/>
      <c r="D1477"/>
      <c r="G1477"/>
      <c r="H1477" s="20"/>
      <c r="I1477" s="20"/>
      <c r="J1477" s="20"/>
      <c r="K1477" s="20"/>
      <c r="L1477" s="20"/>
      <c r="Q1477" s="83"/>
      <c r="Y1477" s="20"/>
      <c r="AP1477" s="92"/>
      <c r="AQ1477" s="67"/>
      <c r="AR1477" s="67"/>
      <c r="AS1477" s="73"/>
      <c r="AT1477" s="67"/>
      <c r="AU1477" s="67"/>
      <c r="AV1477" s="73"/>
      <c r="AW1477" s="68"/>
      <c r="AX1477" s="68"/>
      <c r="AY1477" s="68"/>
      <c r="AZ1477" s="68"/>
      <c r="BA1477" s="68"/>
      <c r="BB1477" s="67"/>
      <c r="BC1477" s="67"/>
      <c r="BD1477" s="67"/>
      <c r="BE1477" s="67"/>
      <c r="BF1477" s="95"/>
      <c r="BG1477" s="52"/>
      <c r="BH1477" s="52"/>
      <c r="BI1477" s="52"/>
      <c r="BJ1477" s="52"/>
      <c r="BK1477" s="52"/>
      <c r="BL1477" s="52"/>
      <c r="BM1477" s="52"/>
      <c r="BN1477" s="53"/>
      <c r="BO1477" s="52"/>
      <c r="BP1477" s="52"/>
      <c r="BQ1477" s="54"/>
    </row>
    <row r="1478" spans="1:69" ht="16" x14ac:dyDescent="0.35">
      <c r="A1478"/>
      <c r="D1478"/>
      <c r="G1478"/>
      <c r="H1478" s="20"/>
      <c r="I1478" s="20"/>
      <c r="J1478" s="20"/>
      <c r="K1478" s="20"/>
      <c r="L1478" s="20"/>
      <c r="Q1478" s="83"/>
      <c r="Y1478" s="20"/>
      <c r="AP1478" s="93"/>
      <c r="AQ1478" s="31"/>
      <c r="AR1478" s="31"/>
      <c r="AS1478" s="94"/>
      <c r="AT1478" s="31"/>
      <c r="AU1478" s="31"/>
      <c r="AV1478" s="94"/>
      <c r="AW1478" s="32"/>
      <c r="AX1478" s="32"/>
      <c r="AY1478" s="32"/>
      <c r="AZ1478" s="32"/>
      <c r="BA1478" s="32"/>
      <c r="BB1478" s="31"/>
      <c r="BC1478" s="31"/>
      <c r="BD1478" s="31"/>
      <c r="BE1478" s="31"/>
      <c r="BF1478" s="96"/>
      <c r="BG1478" s="48"/>
      <c r="BH1478" s="48"/>
      <c r="BI1478" s="48"/>
      <c r="BJ1478" s="48"/>
      <c r="BK1478" s="48"/>
      <c r="BL1478" s="48"/>
      <c r="BM1478" s="48"/>
      <c r="BN1478" s="49"/>
      <c r="BO1478" s="48"/>
      <c r="BP1478" s="48"/>
      <c r="BQ1478" s="50"/>
    </row>
    <row r="1479" spans="1:69" ht="16" x14ac:dyDescent="0.35">
      <c r="A1479"/>
      <c r="D1479"/>
      <c r="G1479"/>
      <c r="H1479" s="20"/>
      <c r="I1479" s="20"/>
      <c r="J1479" s="20"/>
      <c r="K1479" s="20"/>
      <c r="L1479" s="20"/>
      <c r="Q1479" s="83"/>
      <c r="Y1479" s="20"/>
      <c r="AP1479" s="92"/>
      <c r="AQ1479" s="67"/>
      <c r="AR1479" s="67"/>
      <c r="AS1479" s="73"/>
      <c r="AT1479" s="67"/>
      <c r="AU1479" s="67"/>
      <c r="AV1479" s="73"/>
      <c r="AW1479" s="68"/>
      <c r="AX1479" s="68"/>
      <c r="AY1479" s="68"/>
      <c r="AZ1479" s="68"/>
      <c r="BA1479" s="68"/>
      <c r="BB1479" s="67"/>
      <c r="BC1479" s="67"/>
      <c r="BD1479" s="67"/>
      <c r="BE1479" s="67"/>
      <c r="BF1479" s="95"/>
      <c r="BG1479" s="52"/>
      <c r="BH1479" s="52"/>
      <c r="BI1479" s="52"/>
      <c r="BJ1479" s="52"/>
      <c r="BK1479" s="52"/>
      <c r="BL1479" s="52"/>
      <c r="BM1479" s="52"/>
      <c r="BN1479" s="53"/>
      <c r="BO1479" s="52"/>
      <c r="BP1479" s="52"/>
      <c r="BQ1479" s="54"/>
    </row>
    <row r="1480" spans="1:69" ht="16" x14ac:dyDescent="0.35">
      <c r="A1480"/>
      <c r="D1480"/>
      <c r="G1480"/>
      <c r="H1480" s="20"/>
      <c r="I1480" s="20"/>
      <c r="J1480" s="20"/>
      <c r="K1480" s="20"/>
      <c r="L1480" s="20"/>
      <c r="Q1480" s="83"/>
      <c r="Y1480" s="20"/>
      <c r="AP1480" s="93"/>
      <c r="AQ1480" s="31"/>
      <c r="AR1480" s="31"/>
      <c r="AS1480" s="94"/>
      <c r="AT1480" s="31"/>
      <c r="AU1480" s="31"/>
      <c r="AV1480" s="94"/>
      <c r="AW1480" s="32"/>
      <c r="AX1480" s="32"/>
      <c r="AY1480" s="32"/>
      <c r="AZ1480" s="32"/>
      <c r="BA1480" s="32"/>
      <c r="BB1480" s="31"/>
      <c r="BC1480" s="31"/>
      <c r="BD1480" s="31"/>
      <c r="BE1480" s="31"/>
      <c r="BF1480" s="96"/>
      <c r="BG1480" s="48"/>
      <c r="BH1480" s="48"/>
      <c r="BI1480" s="48"/>
      <c r="BJ1480" s="48"/>
      <c r="BK1480" s="48"/>
      <c r="BL1480" s="48"/>
      <c r="BM1480" s="48"/>
      <c r="BN1480" s="49"/>
      <c r="BO1480" s="48"/>
      <c r="BP1480" s="48"/>
      <c r="BQ1480" s="50"/>
    </row>
    <row r="1481" spans="1:69" ht="16" x14ac:dyDescent="0.35">
      <c r="A1481"/>
      <c r="D1481"/>
      <c r="G1481"/>
      <c r="H1481" s="20"/>
      <c r="I1481" s="20"/>
      <c r="J1481" s="20"/>
      <c r="K1481" s="20"/>
      <c r="L1481" s="20"/>
      <c r="Q1481" s="83"/>
      <c r="Y1481" s="20"/>
      <c r="AP1481" s="92"/>
      <c r="AQ1481" s="67"/>
      <c r="AR1481" s="67"/>
      <c r="AS1481" s="73"/>
      <c r="AT1481" s="67"/>
      <c r="AU1481" s="67"/>
      <c r="AV1481" s="73"/>
      <c r="AW1481" s="68"/>
      <c r="AX1481" s="68"/>
      <c r="AY1481" s="68"/>
      <c r="AZ1481" s="68"/>
      <c r="BA1481" s="68"/>
      <c r="BB1481" s="67"/>
      <c r="BC1481" s="67"/>
      <c r="BD1481" s="67"/>
      <c r="BE1481" s="67"/>
      <c r="BF1481" s="95"/>
      <c r="BG1481" s="52"/>
      <c r="BH1481" s="52"/>
      <c r="BI1481" s="52"/>
      <c r="BJ1481" s="52"/>
      <c r="BK1481" s="52"/>
      <c r="BL1481" s="52"/>
      <c r="BM1481" s="52"/>
      <c r="BN1481" s="53"/>
      <c r="BO1481" s="52"/>
      <c r="BP1481" s="52"/>
      <c r="BQ1481" s="54"/>
    </row>
    <row r="1482" spans="1:69" ht="16" x14ac:dyDescent="0.35">
      <c r="A1482"/>
      <c r="D1482"/>
      <c r="G1482"/>
      <c r="H1482" s="20"/>
      <c r="I1482" s="20"/>
      <c r="J1482" s="20"/>
      <c r="K1482" s="20"/>
      <c r="L1482" s="20"/>
      <c r="Q1482" s="83"/>
      <c r="Y1482" s="20"/>
      <c r="AP1482" s="93"/>
      <c r="AQ1482" s="31"/>
      <c r="AR1482" s="31"/>
      <c r="AS1482" s="94"/>
      <c r="AT1482" s="31"/>
      <c r="AU1482" s="31"/>
      <c r="AV1482" s="94"/>
      <c r="AW1482" s="32"/>
      <c r="AX1482" s="32"/>
      <c r="AY1482" s="32"/>
      <c r="AZ1482" s="32"/>
      <c r="BA1482" s="32"/>
      <c r="BB1482" s="31"/>
      <c r="BC1482" s="31"/>
      <c r="BD1482" s="31"/>
      <c r="BE1482" s="31"/>
      <c r="BF1482" s="96"/>
      <c r="BG1482" s="48"/>
      <c r="BH1482" s="48"/>
      <c r="BI1482" s="48"/>
      <c r="BJ1482" s="48"/>
      <c r="BK1482" s="48"/>
      <c r="BL1482" s="48"/>
      <c r="BM1482" s="48"/>
      <c r="BN1482" s="49"/>
      <c r="BO1482" s="48"/>
      <c r="BP1482" s="48"/>
      <c r="BQ1482" s="50"/>
    </row>
    <row r="1483" spans="1:69" ht="16" x14ac:dyDescent="0.35">
      <c r="A1483"/>
      <c r="D1483"/>
      <c r="G1483"/>
      <c r="H1483" s="20"/>
      <c r="I1483" s="20"/>
      <c r="J1483" s="20"/>
      <c r="K1483" s="20"/>
      <c r="L1483" s="20"/>
      <c r="Q1483" s="83"/>
      <c r="Y1483" s="20"/>
      <c r="AP1483" s="92"/>
      <c r="AQ1483" s="67"/>
      <c r="AR1483" s="67"/>
      <c r="AS1483" s="73"/>
      <c r="AT1483" s="67"/>
      <c r="AU1483" s="67"/>
      <c r="AV1483" s="73"/>
      <c r="AW1483" s="68"/>
      <c r="AX1483" s="68"/>
      <c r="AY1483" s="68"/>
      <c r="AZ1483" s="68"/>
      <c r="BA1483" s="68"/>
      <c r="BB1483" s="67"/>
      <c r="BC1483" s="67"/>
      <c r="BD1483" s="67"/>
      <c r="BE1483" s="67"/>
      <c r="BF1483" s="95"/>
      <c r="BG1483" s="52"/>
      <c r="BH1483" s="52"/>
      <c r="BI1483" s="52"/>
      <c r="BJ1483" s="52"/>
      <c r="BK1483" s="52"/>
      <c r="BL1483" s="52"/>
      <c r="BM1483" s="52"/>
      <c r="BN1483" s="53"/>
      <c r="BO1483" s="52"/>
      <c r="BP1483" s="52"/>
      <c r="BQ1483" s="54"/>
    </row>
    <row r="1484" spans="1:69" ht="16" x14ac:dyDescent="0.35">
      <c r="A1484"/>
      <c r="D1484"/>
      <c r="G1484"/>
      <c r="H1484" s="20"/>
      <c r="I1484" s="20"/>
      <c r="J1484" s="20"/>
      <c r="K1484" s="20"/>
      <c r="L1484" s="20"/>
      <c r="Q1484" s="83"/>
      <c r="Y1484" s="20"/>
      <c r="AP1484" s="92"/>
      <c r="AQ1484" s="67"/>
      <c r="AR1484" s="67"/>
      <c r="AS1484" s="73"/>
      <c r="AT1484" s="67"/>
      <c r="AU1484" s="67"/>
      <c r="AV1484" s="73"/>
      <c r="AW1484" s="68"/>
      <c r="AX1484" s="68"/>
      <c r="AY1484" s="68"/>
      <c r="AZ1484" s="68"/>
      <c r="BA1484" s="68"/>
      <c r="BB1484" s="67"/>
      <c r="BC1484" s="67"/>
      <c r="BD1484" s="67"/>
      <c r="BE1484" s="67"/>
      <c r="BF1484" s="95"/>
      <c r="BG1484" s="48"/>
      <c r="BH1484" s="48"/>
      <c r="BI1484" s="48"/>
      <c r="BJ1484" s="48"/>
      <c r="BK1484" s="48"/>
      <c r="BL1484" s="48"/>
      <c r="BM1484" s="48"/>
      <c r="BN1484" s="49"/>
      <c r="BO1484" s="48"/>
      <c r="BP1484" s="48"/>
      <c r="BQ1484" s="50"/>
    </row>
    <row r="1485" spans="1:69" ht="16" x14ac:dyDescent="0.35">
      <c r="A1485"/>
      <c r="D1485"/>
      <c r="G1485"/>
      <c r="H1485" s="20"/>
      <c r="I1485" s="20"/>
      <c r="J1485" s="20"/>
      <c r="K1485" s="20"/>
      <c r="L1485" s="20"/>
      <c r="Q1485" s="83"/>
      <c r="Y1485" s="20"/>
      <c r="AP1485" s="93"/>
      <c r="AQ1485" s="31"/>
      <c r="AR1485" s="31"/>
      <c r="AS1485" s="94"/>
      <c r="AT1485" s="31"/>
      <c r="AU1485" s="31"/>
      <c r="AV1485" s="94"/>
      <c r="AW1485" s="32"/>
      <c r="AX1485" s="32"/>
      <c r="AY1485" s="32"/>
      <c r="AZ1485" s="32"/>
      <c r="BA1485" s="32"/>
      <c r="BB1485" s="31"/>
      <c r="BC1485" s="31"/>
      <c r="BD1485" s="31"/>
      <c r="BE1485" s="31"/>
      <c r="BF1485" s="96"/>
      <c r="BG1485" s="52"/>
      <c r="BH1485" s="52"/>
      <c r="BI1485" s="52"/>
      <c r="BJ1485" s="52"/>
      <c r="BK1485" s="52"/>
      <c r="BL1485" s="52"/>
      <c r="BM1485" s="52"/>
      <c r="BN1485" s="53"/>
      <c r="BO1485" s="52"/>
      <c r="BP1485" s="52"/>
      <c r="BQ1485" s="54"/>
    </row>
    <row r="1486" spans="1:69" ht="16" x14ac:dyDescent="0.35">
      <c r="A1486"/>
      <c r="D1486"/>
      <c r="G1486"/>
      <c r="H1486" s="20"/>
      <c r="I1486" s="20"/>
      <c r="J1486" s="20"/>
      <c r="K1486" s="20"/>
      <c r="L1486" s="20"/>
      <c r="Q1486" s="83"/>
      <c r="Y1486" s="20"/>
      <c r="AP1486" s="92"/>
      <c r="AQ1486" s="67"/>
      <c r="AR1486" s="67"/>
      <c r="AS1486" s="73"/>
      <c r="AT1486" s="67"/>
      <c r="AU1486" s="67"/>
      <c r="AV1486" s="73"/>
      <c r="AW1486" s="68"/>
      <c r="AX1486" s="68"/>
      <c r="AY1486" s="68"/>
      <c r="AZ1486" s="68"/>
      <c r="BA1486" s="68"/>
      <c r="BB1486" s="67"/>
      <c r="BC1486" s="67"/>
      <c r="BD1486" s="67"/>
      <c r="BE1486" s="67"/>
      <c r="BF1486" s="95"/>
      <c r="BG1486" s="48"/>
      <c r="BH1486" s="48"/>
      <c r="BI1486" s="48"/>
      <c r="BJ1486" s="48"/>
      <c r="BK1486" s="48"/>
      <c r="BL1486" s="48"/>
      <c r="BM1486" s="48"/>
      <c r="BN1486" s="49"/>
      <c r="BO1486" s="48"/>
      <c r="BP1486" s="48"/>
      <c r="BQ1486" s="50"/>
    </row>
    <row r="1487" spans="1:69" ht="16" x14ac:dyDescent="0.35">
      <c r="A1487"/>
      <c r="D1487"/>
      <c r="G1487"/>
      <c r="H1487" s="20"/>
      <c r="I1487" s="20"/>
      <c r="J1487" s="20"/>
      <c r="K1487" s="20"/>
      <c r="L1487" s="20"/>
      <c r="Q1487" s="83"/>
      <c r="Y1487" s="20"/>
      <c r="AP1487" s="93"/>
      <c r="AQ1487" s="31"/>
      <c r="AR1487" s="31"/>
      <c r="AS1487" s="94"/>
      <c r="AT1487" s="31"/>
      <c r="AU1487" s="31"/>
      <c r="AV1487" s="94"/>
      <c r="AW1487" s="32"/>
      <c r="AX1487" s="32"/>
      <c r="AY1487" s="32"/>
      <c r="AZ1487" s="32"/>
      <c r="BA1487" s="32"/>
      <c r="BB1487" s="31"/>
      <c r="BC1487" s="31"/>
      <c r="BD1487" s="31"/>
      <c r="BE1487" s="31"/>
      <c r="BF1487" s="96"/>
      <c r="BG1487" s="52"/>
      <c r="BH1487" s="52"/>
      <c r="BI1487" s="52"/>
      <c r="BJ1487" s="52"/>
      <c r="BK1487" s="52"/>
      <c r="BL1487" s="52"/>
      <c r="BM1487" s="52"/>
      <c r="BN1487" s="53"/>
      <c r="BO1487" s="52"/>
      <c r="BP1487" s="52"/>
      <c r="BQ1487" s="54"/>
    </row>
    <row r="1488" spans="1:69" ht="16" x14ac:dyDescent="0.35">
      <c r="A1488"/>
      <c r="D1488"/>
      <c r="G1488"/>
      <c r="H1488" s="20"/>
      <c r="I1488" s="20"/>
      <c r="J1488" s="20"/>
      <c r="K1488" s="20"/>
      <c r="L1488" s="20"/>
      <c r="Q1488" s="83"/>
      <c r="Y1488" s="20"/>
      <c r="AP1488" s="92"/>
      <c r="AQ1488" s="67"/>
      <c r="AR1488" s="67"/>
      <c r="AS1488" s="73"/>
      <c r="AT1488" s="67"/>
      <c r="AU1488" s="67"/>
      <c r="AV1488" s="73"/>
      <c r="AW1488" s="68"/>
      <c r="AX1488" s="68"/>
      <c r="AY1488" s="68"/>
      <c r="AZ1488" s="68"/>
      <c r="BA1488" s="68"/>
      <c r="BB1488" s="67"/>
      <c r="BC1488" s="67"/>
      <c r="BD1488" s="67"/>
      <c r="BE1488" s="67"/>
      <c r="BF1488" s="95"/>
      <c r="BG1488" s="48"/>
      <c r="BH1488" s="48"/>
      <c r="BI1488" s="48"/>
      <c r="BJ1488" s="48"/>
      <c r="BK1488" s="48"/>
      <c r="BL1488" s="48"/>
      <c r="BM1488" s="48"/>
      <c r="BN1488" s="49"/>
      <c r="BO1488" s="48"/>
      <c r="BP1488" s="48"/>
      <c r="BQ1488" s="50"/>
    </row>
    <row r="1489" spans="1:69" ht="16" x14ac:dyDescent="0.35">
      <c r="A1489"/>
      <c r="D1489"/>
      <c r="G1489"/>
      <c r="H1489" s="20"/>
      <c r="I1489" s="20"/>
      <c r="J1489" s="20"/>
      <c r="K1489" s="20"/>
      <c r="L1489" s="20"/>
      <c r="Q1489" s="83"/>
      <c r="Y1489" s="20"/>
      <c r="AP1489" s="93"/>
      <c r="AQ1489" s="31"/>
      <c r="AR1489" s="31"/>
      <c r="AS1489" s="94"/>
      <c r="AT1489" s="31"/>
      <c r="AU1489" s="31"/>
      <c r="AV1489" s="94"/>
      <c r="AW1489" s="32"/>
      <c r="AX1489" s="32"/>
      <c r="AY1489" s="32"/>
      <c r="AZ1489" s="32"/>
      <c r="BA1489" s="32"/>
      <c r="BB1489" s="31"/>
      <c r="BC1489" s="31"/>
      <c r="BD1489" s="31"/>
      <c r="BE1489" s="31"/>
      <c r="BF1489" s="96"/>
      <c r="BG1489" s="52"/>
      <c r="BH1489" s="52"/>
      <c r="BI1489" s="52"/>
      <c r="BJ1489" s="52"/>
      <c r="BK1489" s="52"/>
      <c r="BL1489" s="52"/>
      <c r="BM1489" s="52"/>
      <c r="BN1489" s="53"/>
      <c r="BO1489" s="52"/>
      <c r="BP1489" s="52"/>
      <c r="BQ1489" s="54"/>
    </row>
    <row r="1490" spans="1:69" ht="16" x14ac:dyDescent="0.35">
      <c r="A1490"/>
      <c r="D1490"/>
      <c r="G1490"/>
      <c r="H1490" s="20"/>
      <c r="I1490" s="20"/>
      <c r="J1490" s="20"/>
      <c r="K1490" s="20"/>
      <c r="L1490" s="20"/>
      <c r="Q1490" s="83"/>
      <c r="Y1490" s="20"/>
      <c r="AP1490" s="92"/>
      <c r="AQ1490" s="67"/>
      <c r="AR1490" s="67"/>
      <c r="AS1490" s="73"/>
      <c r="AT1490" s="67"/>
      <c r="AU1490" s="67"/>
      <c r="AV1490" s="73"/>
      <c r="AW1490" s="68"/>
      <c r="AX1490" s="68"/>
      <c r="AY1490" s="68"/>
      <c r="AZ1490" s="68"/>
      <c r="BA1490" s="68"/>
      <c r="BB1490" s="67"/>
      <c r="BC1490" s="67"/>
      <c r="BD1490" s="67"/>
      <c r="BE1490" s="67"/>
      <c r="BF1490" s="95"/>
      <c r="BG1490" s="48"/>
      <c r="BH1490" s="48"/>
      <c r="BI1490" s="48"/>
      <c r="BJ1490" s="48"/>
      <c r="BK1490" s="48"/>
      <c r="BL1490" s="48"/>
      <c r="BM1490" s="48"/>
      <c r="BN1490" s="49"/>
      <c r="BO1490" s="48"/>
      <c r="BP1490" s="48"/>
      <c r="BQ1490" s="50"/>
    </row>
    <row r="1491" spans="1:69" ht="16" x14ac:dyDescent="0.35">
      <c r="A1491"/>
      <c r="D1491"/>
      <c r="G1491"/>
      <c r="H1491" s="20"/>
      <c r="I1491" s="20"/>
      <c r="J1491" s="20"/>
      <c r="K1491" s="20"/>
      <c r="L1491" s="20"/>
      <c r="Q1491" s="83"/>
      <c r="Y1491" s="20"/>
      <c r="AP1491" s="93"/>
      <c r="AQ1491" s="31"/>
      <c r="AR1491" s="31"/>
      <c r="AS1491" s="94"/>
      <c r="AT1491" s="31"/>
      <c r="AU1491" s="31"/>
      <c r="AV1491" s="94"/>
      <c r="AW1491" s="32"/>
      <c r="AX1491" s="32"/>
      <c r="AY1491" s="32"/>
      <c r="AZ1491" s="32"/>
      <c r="BA1491" s="32"/>
      <c r="BB1491" s="31"/>
      <c r="BC1491" s="31"/>
      <c r="BD1491" s="31"/>
      <c r="BE1491" s="31"/>
      <c r="BF1491" s="96"/>
      <c r="BG1491" s="52"/>
      <c r="BH1491" s="52"/>
      <c r="BI1491" s="52"/>
      <c r="BJ1491" s="52"/>
      <c r="BK1491" s="52"/>
      <c r="BL1491" s="52"/>
      <c r="BM1491" s="52"/>
      <c r="BN1491" s="53"/>
      <c r="BO1491" s="52"/>
      <c r="BP1491" s="52"/>
      <c r="BQ1491" s="54"/>
    </row>
    <row r="1492" spans="1:69" ht="16" x14ac:dyDescent="0.35">
      <c r="A1492"/>
      <c r="D1492"/>
      <c r="G1492"/>
      <c r="H1492" s="20"/>
      <c r="I1492" s="20"/>
      <c r="J1492" s="20"/>
      <c r="K1492" s="20"/>
      <c r="L1492" s="20"/>
      <c r="Q1492" s="83"/>
      <c r="Y1492" s="20"/>
      <c r="AP1492" s="92"/>
      <c r="AQ1492" s="67"/>
      <c r="AR1492" s="67"/>
      <c r="AS1492" s="73"/>
      <c r="AT1492" s="67"/>
      <c r="AU1492" s="67"/>
      <c r="AV1492" s="73"/>
      <c r="AW1492" s="68"/>
      <c r="AX1492" s="68"/>
      <c r="AY1492" s="68"/>
      <c r="AZ1492" s="68"/>
      <c r="BA1492" s="68"/>
      <c r="BB1492" s="67"/>
      <c r="BC1492" s="67"/>
      <c r="BD1492" s="67"/>
      <c r="BE1492" s="67"/>
      <c r="BF1492" s="95"/>
      <c r="BG1492" s="48"/>
      <c r="BH1492" s="48"/>
      <c r="BI1492" s="48"/>
      <c r="BJ1492" s="48"/>
      <c r="BK1492" s="48"/>
      <c r="BL1492" s="48"/>
      <c r="BM1492" s="48"/>
      <c r="BN1492" s="49"/>
      <c r="BO1492" s="48"/>
      <c r="BP1492" s="48"/>
      <c r="BQ1492" s="50"/>
    </row>
    <row r="1493" spans="1:69" ht="16" x14ac:dyDescent="0.35">
      <c r="A1493"/>
      <c r="D1493"/>
      <c r="G1493"/>
      <c r="H1493" s="20"/>
      <c r="I1493" s="20"/>
      <c r="J1493" s="20"/>
      <c r="K1493" s="20"/>
      <c r="L1493" s="20"/>
      <c r="Q1493" s="83"/>
      <c r="Y1493" s="20"/>
      <c r="AP1493" s="93"/>
      <c r="AQ1493" s="31"/>
      <c r="AR1493" s="31"/>
      <c r="AS1493" s="94"/>
      <c r="AT1493" s="31"/>
      <c r="AU1493" s="31"/>
      <c r="AV1493" s="94"/>
      <c r="AW1493" s="32"/>
      <c r="AX1493" s="32"/>
      <c r="AY1493" s="32"/>
      <c r="AZ1493" s="32"/>
      <c r="BA1493" s="32"/>
      <c r="BB1493" s="31"/>
      <c r="BC1493" s="31"/>
      <c r="BD1493" s="31"/>
      <c r="BE1493" s="31"/>
      <c r="BF1493" s="96"/>
      <c r="BG1493" s="52"/>
      <c r="BH1493" s="52"/>
      <c r="BI1493" s="52"/>
      <c r="BJ1493" s="52"/>
      <c r="BK1493" s="52"/>
      <c r="BL1493" s="52"/>
      <c r="BM1493" s="52"/>
      <c r="BN1493" s="53"/>
      <c r="BO1493" s="52"/>
      <c r="BP1493" s="52"/>
      <c r="BQ1493" s="54"/>
    </row>
    <row r="1494" spans="1:69" ht="16" x14ac:dyDescent="0.35">
      <c r="A1494"/>
      <c r="D1494"/>
      <c r="G1494"/>
      <c r="H1494" s="20"/>
      <c r="I1494" s="20"/>
      <c r="J1494" s="20"/>
      <c r="K1494" s="20"/>
      <c r="L1494" s="20"/>
      <c r="Q1494" s="83"/>
      <c r="Y1494" s="20"/>
      <c r="AP1494" s="92"/>
      <c r="AQ1494" s="67"/>
      <c r="AR1494" s="67"/>
      <c r="AS1494" s="73"/>
      <c r="AT1494" s="67"/>
      <c r="AU1494" s="67"/>
      <c r="AV1494" s="73"/>
      <c r="AW1494" s="68"/>
      <c r="AX1494" s="68"/>
      <c r="AY1494" s="68"/>
      <c r="AZ1494" s="68"/>
      <c r="BA1494" s="68"/>
      <c r="BB1494" s="67"/>
      <c r="BC1494" s="67"/>
      <c r="BD1494" s="67"/>
      <c r="BE1494" s="67"/>
      <c r="BF1494" s="95"/>
      <c r="BG1494" s="48"/>
      <c r="BH1494" s="48"/>
      <c r="BI1494" s="48"/>
      <c r="BJ1494" s="48"/>
      <c r="BK1494" s="48"/>
      <c r="BL1494" s="48"/>
      <c r="BM1494" s="48"/>
      <c r="BN1494" s="49"/>
      <c r="BO1494" s="48"/>
      <c r="BP1494" s="48"/>
      <c r="BQ1494" s="50"/>
    </row>
    <row r="1495" spans="1:69" ht="16" x14ac:dyDescent="0.35">
      <c r="A1495"/>
      <c r="D1495"/>
      <c r="G1495"/>
      <c r="H1495" s="20"/>
      <c r="I1495" s="20"/>
      <c r="J1495" s="20"/>
      <c r="K1495" s="20"/>
      <c r="L1495" s="20"/>
      <c r="Q1495" s="83"/>
      <c r="Y1495" s="20"/>
      <c r="AP1495" s="93"/>
      <c r="AQ1495" s="31"/>
      <c r="AR1495" s="31"/>
      <c r="AS1495" s="94"/>
      <c r="AT1495" s="31"/>
      <c r="AU1495" s="31"/>
      <c r="AV1495" s="94"/>
      <c r="AW1495" s="32"/>
      <c r="AX1495" s="32"/>
      <c r="AY1495" s="32"/>
      <c r="AZ1495" s="32"/>
      <c r="BA1495" s="32"/>
      <c r="BB1495" s="31"/>
      <c r="BC1495" s="31"/>
      <c r="BD1495" s="31"/>
      <c r="BE1495" s="31"/>
      <c r="BF1495" s="96"/>
      <c r="BG1495" s="52"/>
      <c r="BH1495" s="52"/>
      <c r="BI1495" s="52"/>
      <c r="BJ1495" s="52"/>
      <c r="BK1495" s="52"/>
      <c r="BL1495" s="52"/>
      <c r="BM1495" s="52"/>
      <c r="BN1495" s="53"/>
      <c r="BO1495" s="52"/>
      <c r="BP1495" s="52"/>
      <c r="BQ1495" s="54"/>
    </row>
    <row r="1496" spans="1:69" ht="16" x14ac:dyDescent="0.35">
      <c r="A1496"/>
      <c r="D1496"/>
      <c r="G1496"/>
      <c r="H1496" s="20"/>
      <c r="I1496" s="20"/>
      <c r="J1496" s="20"/>
      <c r="K1496" s="20"/>
      <c r="L1496" s="20"/>
      <c r="Q1496" s="83"/>
      <c r="Y1496" s="20"/>
      <c r="AP1496" s="92"/>
      <c r="AQ1496" s="67"/>
      <c r="AR1496" s="67"/>
      <c r="AS1496" s="73"/>
      <c r="AT1496" s="67"/>
      <c r="AU1496" s="67"/>
      <c r="AV1496" s="73"/>
      <c r="AW1496" s="68"/>
      <c r="AX1496" s="68"/>
      <c r="AY1496" s="68"/>
      <c r="AZ1496" s="68"/>
      <c r="BA1496" s="68"/>
      <c r="BB1496" s="67"/>
      <c r="BC1496" s="67"/>
      <c r="BD1496" s="67"/>
      <c r="BE1496" s="67"/>
      <c r="BF1496" s="95"/>
      <c r="BG1496" s="48"/>
      <c r="BH1496" s="48"/>
      <c r="BI1496" s="48"/>
      <c r="BJ1496" s="48"/>
      <c r="BK1496" s="48"/>
      <c r="BL1496" s="48"/>
      <c r="BM1496" s="48"/>
      <c r="BN1496" s="49"/>
      <c r="BO1496" s="48"/>
      <c r="BP1496" s="48"/>
      <c r="BQ1496" s="50"/>
    </row>
    <row r="1497" spans="1:69" ht="16" x14ac:dyDescent="0.35">
      <c r="A1497"/>
      <c r="D1497"/>
      <c r="G1497"/>
      <c r="H1497" s="20"/>
      <c r="I1497" s="20"/>
      <c r="J1497" s="20"/>
      <c r="K1497" s="20"/>
      <c r="L1497" s="20"/>
      <c r="Q1497" s="83"/>
      <c r="Y1497" s="20"/>
      <c r="AP1497" s="93"/>
      <c r="AQ1497" s="31"/>
      <c r="AR1497" s="31"/>
      <c r="AS1497" s="94"/>
      <c r="AT1497" s="31"/>
      <c r="AU1497" s="31"/>
      <c r="AV1497" s="94"/>
      <c r="AW1497" s="32"/>
      <c r="AX1497" s="32"/>
      <c r="AY1497" s="32"/>
      <c r="AZ1497" s="32"/>
      <c r="BA1497" s="32"/>
      <c r="BB1497" s="31"/>
      <c r="BC1497" s="31"/>
      <c r="BD1497" s="31"/>
      <c r="BE1497" s="31"/>
      <c r="BF1497" s="96"/>
      <c r="BG1497" s="52"/>
      <c r="BH1497" s="52"/>
      <c r="BI1497" s="52"/>
      <c r="BJ1497" s="52"/>
      <c r="BK1497" s="52"/>
      <c r="BL1497" s="52"/>
      <c r="BM1497" s="52"/>
      <c r="BN1497" s="53"/>
      <c r="BO1497" s="52"/>
      <c r="BP1497" s="52"/>
      <c r="BQ1497" s="54"/>
    </row>
    <row r="1498" spans="1:69" ht="16" x14ac:dyDescent="0.35">
      <c r="A1498"/>
      <c r="D1498"/>
      <c r="G1498"/>
      <c r="H1498" s="20"/>
      <c r="I1498" s="20"/>
      <c r="J1498" s="20"/>
      <c r="K1498" s="20"/>
      <c r="L1498" s="20"/>
      <c r="Q1498" s="83"/>
      <c r="Y1498" s="20"/>
      <c r="AP1498" s="92"/>
      <c r="AQ1498" s="67"/>
      <c r="AR1498" s="67"/>
      <c r="AS1498" s="73"/>
      <c r="AT1498" s="67"/>
      <c r="AU1498" s="67"/>
      <c r="AV1498" s="73"/>
      <c r="AW1498" s="68"/>
      <c r="AX1498" s="68"/>
      <c r="AY1498" s="68"/>
      <c r="AZ1498" s="68"/>
      <c r="BA1498" s="68"/>
      <c r="BB1498" s="67"/>
      <c r="BC1498" s="67"/>
      <c r="BD1498" s="67"/>
      <c r="BE1498" s="67"/>
      <c r="BF1498" s="95"/>
      <c r="BG1498" s="48"/>
      <c r="BH1498" s="48"/>
      <c r="BI1498" s="48"/>
      <c r="BJ1498" s="48"/>
      <c r="BK1498" s="48"/>
      <c r="BL1498" s="48"/>
      <c r="BM1498" s="48"/>
      <c r="BN1498" s="49"/>
      <c r="BO1498" s="48"/>
      <c r="BP1498" s="48"/>
      <c r="BQ1498" s="50"/>
    </row>
    <row r="1499" spans="1:69" ht="16" x14ac:dyDescent="0.35">
      <c r="A1499"/>
      <c r="D1499"/>
      <c r="G1499"/>
      <c r="H1499" s="20"/>
      <c r="I1499" s="20"/>
      <c r="J1499" s="20"/>
      <c r="K1499" s="20"/>
      <c r="L1499" s="20"/>
      <c r="Q1499" s="83"/>
      <c r="Y1499" s="20"/>
      <c r="AP1499" s="93"/>
      <c r="AQ1499" s="31"/>
      <c r="AR1499" s="31"/>
      <c r="AS1499" s="94"/>
      <c r="AT1499" s="31"/>
      <c r="AU1499" s="31"/>
      <c r="AV1499" s="94"/>
      <c r="AW1499" s="32"/>
      <c r="AX1499" s="32"/>
      <c r="AY1499" s="32"/>
      <c r="AZ1499" s="32"/>
      <c r="BA1499" s="32"/>
      <c r="BB1499" s="31"/>
      <c r="BC1499" s="31"/>
      <c r="BD1499" s="31"/>
      <c r="BE1499" s="31"/>
      <c r="BF1499" s="96"/>
      <c r="BG1499" s="52"/>
      <c r="BH1499" s="52"/>
      <c r="BI1499" s="52"/>
      <c r="BJ1499" s="52"/>
      <c r="BK1499" s="52"/>
      <c r="BL1499" s="52"/>
      <c r="BM1499" s="52"/>
      <c r="BN1499" s="53"/>
      <c r="BO1499" s="52"/>
      <c r="BP1499" s="52"/>
      <c r="BQ1499" s="54"/>
    </row>
    <row r="1500" spans="1:69" ht="16" x14ac:dyDescent="0.35">
      <c r="A1500"/>
      <c r="D1500"/>
      <c r="G1500"/>
      <c r="H1500" s="20"/>
      <c r="I1500" s="20"/>
      <c r="J1500" s="20"/>
      <c r="K1500" s="20"/>
      <c r="L1500" s="20"/>
      <c r="Q1500" s="83"/>
      <c r="Y1500" s="20"/>
      <c r="AP1500" s="92"/>
      <c r="AQ1500" s="67"/>
      <c r="AR1500" s="67"/>
      <c r="AS1500" s="73"/>
      <c r="AT1500" s="67"/>
      <c r="AU1500" s="67"/>
      <c r="AV1500" s="73"/>
      <c r="AW1500" s="68"/>
      <c r="AX1500" s="68"/>
      <c r="AY1500" s="68"/>
      <c r="AZ1500" s="68"/>
      <c r="BA1500" s="68"/>
      <c r="BB1500" s="67"/>
      <c r="BC1500" s="67"/>
      <c r="BD1500" s="67"/>
      <c r="BE1500" s="67"/>
      <c r="BF1500" s="95"/>
      <c r="BG1500" s="48"/>
      <c r="BH1500" s="48"/>
      <c r="BI1500" s="48"/>
      <c r="BJ1500" s="48"/>
      <c r="BK1500" s="48"/>
      <c r="BL1500" s="48"/>
      <c r="BM1500" s="48"/>
      <c r="BN1500" s="49"/>
      <c r="BO1500" s="48"/>
      <c r="BP1500" s="48"/>
      <c r="BQ1500" s="50"/>
    </row>
    <row r="1501" spans="1:69" ht="16" x14ac:dyDescent="0.35">
      <c r="A1501"/>
      <c r="D1501"/>
      <c r="G1501"/>
      <c r="H1501" s="20"/>
      <c r="I1501" s="20"/>
      <c r="J1501" s="20"/>
      <c r="K1501" s="20"/>
      <c r="L1501" s="20"/>
      <c r="Q1501" s="83"/>
      <c r="Y1501" s="20"/>
      <c r="AP1501" s="93"/>
      <c r="AQ1501" s="31"/>
      <c r="AR1501" s="31"/>
      <c r="AS1501" s="94"/>
      <c r="AT1501" s="31"/>
      <c r="AU1501" s="31"/>
      <c r="AV1501" s="94"/>
      <c r="AW1501" s="32"/>
      <c r="AX1501" s="32"/>
      <c r="AY1501" s="32"/>
      <c r="AZ1501" s="32"/>
      <c r="BA1501" s="32"/>
      <c r="BB1501" s="31"/>
      <c r="BC1501" s="31"/>
      <c r="BD1501" s="31"/>
      <c r="BE1501" s="31"/>
      <c r="BF1501" s="96"/>
      <c r="BG1501" s="52"/>
      <c r="BH1501" s="52"/>
      <c r="BI1501" s="52"/>
      <c r="BJ1501" s="52"/>
      <c r="BK1501" s="52"/>
      <c r="BL1501" s="52"/>
      <c r="BM1501" s="52"/>
      <c r="BN1501" s="53"/>
      <c r="BO1501" s="52"/>
      <c r="BP1501" s="52"/>
      <c r="BQ1501" s="54"/>
    </row>
    <row r="1502" spans="1:69" ht="16" x14ac:dyDescent="0.35">
      <c r="A1502"/>
      <c r="D1502"/>
      <c r="G1502"/>
      <c r="H1502" s="20"/>
      <c r="I1502" s="20"/>
      <c r="J1502" s="20"/>
      <c r="K1502" s="20"/>
      <c r="L1502" s="20"/>
      <c r="Q1502" s="83"/>
      <c r="Y1502" s="20"/>
      <c r="AP1502" s="92"/>
      <c r="AQ1502" s="67"/>
      <c r="AR1502" s="67"/>
      <c r="AS1502" s="73"/>
      <c r="AT1502" s="67"/>
      <c r="AU1502" s="67"/>
      <c r="AV1502" s="73"/>
      <c r="AW1502" s="68"/>
      <c r="AX1502" s="68"/>
      <c r="AY1502" s="68"/>
      <c r="AZ1502" s="68"/>
      <c r="BA1502" s="68"/>
      <c r="BB1502" s="67"/>
      <c r="BC1502" s="67"/>
      <c r="BD1502" s="67"/>
      <c r="BE1502" s="67"/>
      <c r="BF1502" s="95"/>
      <c r="BG1502" s="48"/>
      <c r="BH1502" s="48"/>
      <c r="BI1502" s="48"/>
      <c r="BJ1502" s="48"/>
      <c r="BK1502" s="48"/>
      <c r="BL1502" s="48"/>
      <c r="BM1502" s="48"/>
      <c r="BN1502" s="49"/>
      <c r="BO1502" s="48"/>
      <c r="BP1502" s="48"/>
      <c r="BQ1502" s="50"/>
    </row>
    <row r="1503" spans="1:69" ht="16" x14ac:dyDescent="0.35">
      <c r="A1503"/>
      <c r="D1503"/>
      <c r="G1503"/>
      <c r="H1503" s="20"/>
      <c r="I1503" s="20"/>
      <c r="J1503" s="20"/>
      <c r="K1503" s="20"/>
      <c r="L1503" s="20"/>
      <c r="Q1503" s="83"/>
      <c r="Y1503" s="20"/>
      <c r="AP1503" s="93"/>
      <c r="AQ1503" s="31"/>
      <c r="AR1503" s="31"/>
      <c r="AS1503" s="94"/>
      <c r="AT1503" s="31"/>
      <c r="AU1503" s="31"/>
      <c r="AV1503" s="94"/>
      <c r="AW1503" s="32"/>
      <c r="AX1503" s="32"/>
      <c r="AY1503" s="32"/>
      <c r="AZ1503" s="32"/>
      <c r="BA1503" s="32"/>
      <c r="BB1503" s="31"/>
      <c r="BC1503" s="31"/>
      <c r="BD1503" s="31"/>
      <c r="BE1503" s="31"/>
      <c r="BF1503" s="96"/>
      <c r="BG1503" s="52"/>
      <c r="BH1503" s="52"/>
      <c r="BI1503" s="52"/>
      <c r="BJ1503" s="52"/>
      <c r="BK1503" s="52"/>
      <c r="BL1503" s="52"/>
      <c r="BM1503" s="52"/>
      <c r="BN1503" s="53"/>
      <c r="BO1503" s="52"/>
      <c r="BP1503" s="52"/>
      <c r="BQ1503" s="54"/>
    </row>
    <row r="1504" spans="1:69" ht="16" x14ac:dyDescent="0.35">
      <c r="A1504"/>
      <c r="D1504"/>
      <c r="G1504"/>
      <c r="H1504" s="20"/>
      <c r="I1504" s="20"/>
      <c r="J1504" s="20"/>
      <c r="K1504" s="20"/>
      <c r="L1504" s="20"/>
      <c r="Q1504" s="83"/>
      <c r="Y1504" s="20"/>
      <c r="AP1504" s="92"/>
      <c r="AQ1504" s="67"/>
      <c r="AR1504" s="67"/>
      <c r="AS1504" s="73"/>
      <c r="AT1504" s="67"/>
      <c r="AU1504" s="67"/>
      <c r="AV1504" s="73"/>
      <c r="AW1504" s="68"/>
      <c r="AX1504" s="68"/>
      <c r="AY1504" s="68"/>
      <c r="AZ1504" s="68"/>
      <c r="BA1504" s="68"/>
      <c r="BB1504" s="67"/>
      <c r="BC1504" s="67"/>
      <c r="BD1504" s="67"/>
      <c r="BE1504" s="67"/>
      <c r="BF1504" s="95"/>
      <c r="BG1504" s="48"/>
      <c r="BH1504" s="48"/>
      <c r="BI1504" s="48"/>
      <c r="BJ1504" s="48"/>
      <c r="BK1504" s="48"/>
      <c r="BL1504" s="48"/>
      <c r="BM1504" s="48"/>
      <c r="BN1504" s="49"/>
      <c r="BO1504" s="48"/>
      <c r="BP1504" s="48"/>
      <c r="BQ1504" s="50"/>
    </row>
    <row r="1505" spans="1:69" ht="16" x14ac:dyDescent="0.35">
      <c r="A1505"/>
      <c r="D1505"/>
      <c r="G1505"/>
      <c r="H1505" s="20"/>
      <c r="I1505" s="20"/>
      <c r="J1505" s="20"/>
      <c r="K1505" s="20"/>
      <c r="L1505" s="20"/>
      <c r="Q1505" s="83"/>
      <c r="Y1505" s="20"/>
      <c r="AP1505" s="93"/>
      <c r="AQ1505" s="31"/>
      <c r="AR1505" s="31"/>
      <c r="AS1505" s="94"/>
      <c r="AT1505" s="31"/>
      <c r="AU1505" s="31"/>
      <c r="AV1505" s="94"/>
      <c r="AW1505" s="32"/>
      <c r="AX1505" s="32"/>
      <c r="AY1505" s="32"/>
      <c r="AZ1505" s="32"/>
      <c r="BA1505" s="32"/>
      <c r="BB1505" s="31"/>
      <c r="BC1505" s="31"/>
      <c r="BD1505" s="31"/>
      <c r="BE1505" s="31"/>
      <c r="BF1505" s="96"/>
      <c r="BG1505" s="52"/>
      <c r="BH1505" s="52"/>
      <c r="BI1505" s="52"/>
      <c r="BJ1505" s="52"/>
      <c r="BK1505" s="52"/>
      <c r="BL1505" s="52"/>
      <c r="BM1505" s="52"/>
      <c r="BN1505" s="53"/>
      <c r="BO1505" s="52"/>
      <c r="BP1505" s="52"/>
      <c r="BQ1505" s="54"/>
    </row>
    <row r="1506" spans="1:69" ht="16" x14ac:dyDescent="0.35">
      <c r="A1506"/>
      <c r="D1506"/>
      <c r="G1506"/>
      <c r="H1506" s="20"/>
      <c r="I1506" s="20"/>
      <c r="J1506" s="20"/>
      <c r="K1506" s="20"/>
      <c r="L1506" s="20"/>
      <c r="Q1506" s="83"/>
      <c r="Y1506" s="20"/>
      <c r="AP1506" s="92"/>
      <c r="AQ1506" s="67"/>
      <c r="AR1506" s="67"/>
      <c r="AS1506" s="73"/>
      <c r="AT1506" s="67"/>
      <c r="AU1506" s="67"/>
      <c r="AV1506" s="73"/>
      <c r="AW1506" s="68"/>
      <c r="AX1506" s="68"/>
      <c r="AY1506" s="68"/>
      <c r="AZ1506" s="68"/>
      <c r="BA1506" s="68"/>
      <c r="BB1506" s="67"/>
      <c r="BC1506" s="67"/>
      <c r="BD1506" s="67"/>
      <c r="BE1506" s="67"/>
      <c r="BF1506" s="95"/>
      <c r="BG1506" s="48"/>
      <c r="BH1506" s="48"/>
      <c r="BI1506" s="48"/>
      <c r="BJ1506" s="48"/>
      <c r="BK1506" s="48"/>
      <c r="BL1506" s="48"/>
      <c r="BM1506" s="48"/>
      <c r="BN1506" s="49"/>
      <c r="BO1506" s="48"/>
      <c r="BP1506" s="48"/>
      <c r="BQ1506" s="50"/>
    </row>
    <row r="1507" spans="1:69" ht="16" x14ac:dyDescent="0.35">
      <c r="A1507"/>
      <c r="D1507"/>
      <c r="G1507"/>
      <c r="H1507" s="20"/>
      <c r="I1507" s="20"/>
      <c r="J1507" s="20"/>
      <c r="K1507" s="20"/>
      <c r="L1507" s="20"/>
      <c r="Q1507" s="83"/>
      <c r="Y1507" s="20"/>
      <c r="AP1507" s="93"/>
      <c r="AQ1507" s="31"/>
      <c r="AR1507" s="31"/>
      <c r="AS1507" s="94"/>
      <c r="AT1507" s="31"/>
      <c r="AU1507" s="31"/>
      <c r="AV1507" s="94"/>
      <c r="AW1507" s="32"/>
      <c r="AX1507" s="32"/>
      <c r="AY1507" s="32"/>
      <c r="AZ1507" s="32"/>
      <c r="BA1507" s="32"/>
      <c r="BB1507" s="31"/>
      <c r="BC1507" s="31"/>
      <c r="BD1507" s="31"/>
      <c r="BE1507" s="31"/>
      <c r="BF1507" s="96"/>
      <c r="BG1507" s="52"/>
      <c r="BH1507" s="52"/>
      <c r="BI1507" s="52"/>
      <c r="BJ1507" s="52"/>
      <c r="BK1507" s="52"/>
      <c r="BL1507" s="52"/>
      <c r="BM1507" s="52"/>
      <c r="BN1507" s="53"/>
      <c r="BO1507" s="52"/>
      <c r="BP1507" s="52"/>
      <c r="BQ1507" s="54"/>
    </row>
    <row r="1508" spans="1:69" ht="16" x14ac:dyDescent="0.35">
      <c r="A1508"/>
      <c r="D1508"/>
      <c r="G1508"/>
      <c r="H1508" s="20"/>
      <c r="I1508" s="20"/>
      <c r="J1508" s="20"/>
      <c r="K1508" s="20"/>
      <c r="L1508" s="20"/>
      <c r="Q1508" s="83"/>
      <c r="Y1508" s="20"/>
      <c r="AP1508" s="92"/>
      <c r="AQ1508" s="67"/>
      <c r="AR1508" s="67"/>
      <c r="AS1508" s="73"/>
      <c r="AT1508" s="67"/>
      <c r="AU1508" s="67"/>
      <c r="AV1508" s="73"/>
      <c r="AW1508" s="68"/>
      <c r="AX1508" s="68"/>
      <c r="AY1508" s="68"/>
      <c r="AZ1508" s="68"/>
      <c r="BA1508" s="68"/>
      <c r="BB1508" s="67"/>
      <c r="BC1508" s="67"/>
      <c r="BD1508" s="67"/>
      <c r="BE1508" s="67"/>
      <c r="BF1508" s="95"/>
      <c r="BG1508" s="48"/>
      <c r="BH1508" s="48"/>
      <c r="BI1508" s="48"/>
      <c r="BJ1508" s="48"/>
      <c r="BK1508" s="48"/>
      <c r="BL1508" s="48"/>
      <c r="BM1508" s="48"/>
      <c r="BN1508" s="49"/>
      <c r="BO1508" s="48"/>
      <c r="BP1508" s="48"/>
      <c r="BQ1508" s="50"/>
    </row>
    <row r="1509" spans="1:69" ht="16" x14ac:dyDescent="0.35">
      <c r="A1509"/>
      <c r="D1509"/>
      <c r="G1509"/>
      <c r="H1509" s="20"/>
      <c r="I1509" s="20"/>
      <c r="J1509" s="20"/>
      <c r="K1509" s="20"/>
      <c r="L1509" s="20"/>
      <c r="Q1509" s="83"/>
      <c r="Y1509" s="20"/>
      <c r="AP1509" s="93"/>
      <c r="AQ1509" s="31"/>
      <c r="AR1509" s="31"/>
      <c r="AS1509" s="94"/>
      <c r="AT1509" s="31"/>
      <c r="AU1509" s="31"/>
      <c r="AV1509" s="94"/>
      <c r="AW1509" s="32"/>
      <c r="AX1509" s="32"/>
      <c r="AY1509" s="32"/>
      <c r="AZ1509" s="32"/>
      <c r="BA1509" s="32"/>
      <c r="BB1509" s="31"/>
      <c r="BC1509" s="31"/>
      <c r="BD1509" s="31"/>
      <c r="BE1509" s="31"/>
      <c r="BF1509" s="96"/>
      <c r="BG1509" s="52"/>
      <c r="BH1509" s="52"/>
      <c r="BI1509" s="52"/>
      <c r="BJ1509" s="52"/>
      <c r="BK1509" s="52"/>
      <c r="BL1509" s="52"/>
      <c r="BM1509" s="52"/>
      <c r="BN1509" s="53"/>
      <c r="BO1509" s="52"/>
      <c r="BP1509" s="52"/>
      <c r="BQ1509" s="54"/>
    </row>
    <row r="1510" spans="1:69" ht="16" x14ac:dyDescent="0.35">
      <c r="A1510"/>
      <c r="D1510"/>
      <c r="G1510"/>
      <c r="H1510" s="20"/>
      <c r="I1510" s="20"/>
      <c r="J1510" s="20"/>
      <c r="K1510" s="20"/>
      <c r="L1510" s="20"/>
      <c r="Q1510" s="83"/>
      <c r="Y1510" s="20"/>
      <c r="AP1510" s="92"/>
      <c r="AQ1510" s="67"/>
      <c r="AR1510" s="67"/>
      <c r="AS1510" s="73"/>
      <c r="AT1510" s="67"/>
      <c r="AU1510" s="67"/>
      <c r="AV1510" s="73"/>
      <c r="AW1510" s="68"/>
      <c r="AX1510" s="68"/>
      <c r="AY1510" s="68"/>
      <c r="AZ1510" s="68"/>
      <c r="BA1510" s="68"/>
      <c r="BB1510" s="67"/>
      <c r="BC1510" s="67"/>
      <c r="BD1510" s="67"/>
      <c r="BE1510" s="67"/>
      <c r="BF1510" s="95"/>
      <c r="BG1510" s="48"/>
      <c r="BH1510" s="48"/>
      <c r="BI1510" s="48"/>
      <c r="BJ1510" s="48"/>
      <c r="BK1510" s="48"/>
      <c r="BL1510" s="48"/>
      <c r="BM1510" s="48"/>
      <c r="BN1510" s="49"/>
      <c r="BO1510" s="48"/>
      <c r="BP1510" s="48"/>
      <c r="BQ1510" s="50"/>
    </row>
    <row r="1511" spans="1:69" ht="16" x14ac:dyDescent="0.35">
      <c r="A1511"/>
      <c r="D1511"/>
      <c r="G1511"/>
      <c r="H1511" s="20"/>
      <c r="I1511" s="20"/>
      <c r="J1511" s="20"/>
      <c r="K1511" s="20"/>
      <c r="L1511" s="20"/>
      <c r="Q1511" s="83"/>
      <c r="Y1511" s="20"/>
      <c r="AP1511" s="93"/>
      <c r="AQ1511" s="31"/>
      <c r="AR1511" s="31"/>
      <c r="AS1511" s="94"/>
      <c r="AT1511" s="31"/>
      <c r="AU1511" s="31"/>
      <c r="AV1511" s="94"/>
      <c r="AW1511" s="32"/>
      <c r="AX1511" s="32"/>
      <c r="AY1511" s="32"/>
      <c r="AZ1511" s="32"/>
      <c r="BA1511" s="32"/>
      <c r="BB1511" s="31"/>
      <c r="BC1511" s="31"/>
      <c r="BD1511" s="31"/>
      <c r="BE1511" s="31"/>
      <c r="BF1511" s="96"/>
      <c r="BG1511" s="52"/>
      <c r="BH1511" s="52"/>
      <c r="BI1511" s="52"/>
      <c r="BJ1511" s="52"/>
      <c r="BK1511" s="52"/>
      <c r="BL1511" s="52"/>
      <c r="BM1511" s="52"/>
      <c r="BN1511" s="53"/>
      <c r="BO1511" s="52"/>
      <c r="BP1511" s="52"/>
      <c r="BQ1511" s="54"/>
    </row>
    <row r="1512" spans="1:69" ht="16" x14ac:dyDescent="0.35">
      <c r="A1512"/>
      <c r="D1512"/>
      <c r="G1512"/>
      <c r="H1512" s="20"/>
      <c r="I1512" s="20"/>
      <c r="J1512" s="20"/>
      <c r="K1512" s="20"/>
      <c r="L1512" s="20"/>
      <c r="Q1512" s="83"/>
      <c r="Y1512" s="20"/>
      <c r="AP1512" s="92"/>
      <c r="AQ1512" s="67"/>
      <c r="AR1512" s="67"/>
      <c r="AS1512" s="73"/>
      <c r="AT1512" s="67"/>
      <c r="AU1512" s="67"/>
      <c r="AV1512" s="73"/>
      <c r="AW1512" s="68"/>
      <c r="AX1512" s="68"/>
      <c r="AY1512" s="68"/>
      <c r="AZ1512" s="68"/>
      <c r="BA1512" s="68"/>
      <c r="BB1512" s="67"/>
      <c r="BC1512" s="67"/>
      <c r="BD1512" s="67"/>
      <c r="BE1512" s="67"/>
      <c r="BF1512" s="95"/>
      <c r="BG1512" s="48"/>
      <c r="BH1512" s="48"/>
      <c r="BI1512" s="48"/>
      <c r="BJ1512" s="48"/>
      <c r="BK1512" s="48"/>
      <c r="BL1512" s="48"/>
      <c r="BM1512" s="48"/>
      <c r="BN1512" s="49"/>
      <c r="BO1512" s="48"/>
      <c r="BP1512" s="48"/>
      <c r="BQ1512" s="50"/>
    </row>
    <row r="1513" spans="1:69" ht="16" x14ac:dyDescent="0.35">
      <c r="A1513"/>
      <c r="D1513"/>
      <c r="G1513"/>
      <c r="H1513" s="20"/>
      <c r="I1513" s="20"/>
      <c r="J1513" s="20"/>
      <c r="K1513" s="20"/>
      <c r="L1513" s="20"/>
      <c r="Q1513" s="83"/>
      <c r="Y1513" s="20"/>
      <c r="AP1513" s="93"/>
      <c r="AQ1513" s="31"/>
      <c r="AR1513" s="31"/>
      <c r="AS1513" s="94"/>
      <c r="AT1513" s="31"/>
      <c r="AU1513" s="31"/>
      <c r="AV1513" s="94"/>
      <c r="AW1513" s="32"/>
      <c r="AX1513" s="32"/>
      <c r="AY1513" s="32"/>
      <c r="AZ1513" s="32"/>
      <c r="BA1513" s="32"/>
      <c r="BB1513" s="31"/>
      <c r="BC1513" s="31"/>
      <c r="BD1513" s="31"/>
      <c r="BE1513" s="31"/>
      <c r="BF1513" s="96"/>
      <c r="BG1513" s="52"/>
      <c r="BH1513" s="52"/>
      <c r="BI1513" s="52"/>
      <c r="BJ1513" s="52"/>
      <c r="BK1513" s="52"/>
      <c r="BL1513" s="52"/>
      <c r="BM1513" s="52"/>
      <c r="BN1513" s="53"/>
      <c r="BO1513" s="52"/>
      <c r="BP1513" s="52"/>
      <c r="BQ1513" s="54"/>
    </row>
    <row r="1514" spans="1:69" ht="16" x14ac:dyDescent="0.35">
      <c r="A1514"/>
      <c r="D1514"/>
      <c r="G1514"/>
      <c r="H1514" s="20"/>
      <c r="I1514" s="20"/>
      <c r="J1514" s="20"/>
      <c r="K1514" s="20"/>
      <c r="L1514" s="20"/>
      <c r="Q1514" s="83"/>
      <c r="Y1514" s="20"/>
      <c r="AP1514" s="92"/>
      <c r="AQ1514" s="67"/>
      <c r="AR1514" s="67"/>
      <c r="AS1514" s="73"/>
      <c r="AT1514" s="67"/>
      <c r="AU1514" s="67"/>
      <c r="AV1514" s="73"/>
      <c r="AW1514" s="68"/>
      <c r="AX1514" s="68"/>
      <c r="AY1514" s="68"/>
      <c r="AZ1514" s="68"/>
      <c r="BA1514" s="68"/>
      <c r="BB1514" s="67"/>
      <c r="BC1514" s="67"/>
      <c r="BD1514" s="67"/>
      <c r="BE1514" s="67"/>
      <c r="BF1514" s="95"/>
      <c r="BG1514" s="48"/>
      <c r="BH1514" s="48"/>
      <c r="BI1514" s="48"/>
      <c r="BJ1514" s="48"/>
      <c r="BK1514" s="48"/>
      <c r="BL1514" s="48"/>
      <c r="BM1514" s="48"/>
      <c r="BN1514" s="49"/>
      <c r="BO1514" s="48"/>
      <c r="BP1514" s="48"/>
      <c r="BQ1514" s="50"/>
    </row>
    <row r="1515" spans="1:69" ht="16" x14ac:dyDescent="0.35">
      <c r="A1515"/>
      <c r="D1515"/>
      <c r="G1515"/>
      <c r="H1515" s="20"/>
      <c r="I1515" s="20"/>
      <c r="J1515" s="20"/>
      <c r="K1515" s="20"/>
      <c r="L1515" s="20"/>
      <c r="Q1515" s="83"/>
      <c r="Y1515" s="20"/>
      <c r="AP1515" s="93"/>
      <c r="AQ1515" s="31"/>
      <c r="AR1515" s="31"/>
      <c r="AS1515" s="94"/>
      <c r="AT1515" s="31"/>
      <c r="AU1515" s="31"/>
      <c r="AV1515" s="94"/>
      <c r="AW1515" s="32"/>
      <c r="AX1515" s="32"/>
      <c r="AY1515" s="32"/>
      <c r="AZ1515" s="32"/>
      <c r="BA1515" s="32"/>
      <c r="BB1515" s="31"/>
      <c r="BC1515" s="31"/>
      <c r="BD1515" s="31"/>
      <c r="BE1515" s="31"/>
      <c r="BF1515" s="96"/>
      <c r="BG1515" s="52"/>
      <c r="BH1515" s="52"/>
      <c r="BI1515" s="52"/>
      <c r="BJ1515" s="52"/>
      <c r="BK1515" s="52"/>
      <c r="BL1515" s="52"/>
      <c r="BM1515" s="52"/>
      <c r="BN1515" s="53"/>
      <c r="BO1515" s="52"/>
      <c r="BP1515" s="52"/>
      <c r="BQ1515" s="54"/>
    </row>
    <row r="1516" spans="1:69" ht="16" x14ac:dyDescent="0.35">
      <c r="A1516"/>
      <c r="D1516"/>
      <c r="G1516"/>
      <c r="H1516" s="20"/>
      <c r="I1516" s="20"/>
      <c r="J1516" s="20"/>
      <c r="K1516" s="20"/>
      <c r="L1516" s="20"/>
      <c r="Q1516" s="83"/>
      <c r="Y1516" s="20"/>
      <c r="AP1516" s="92"/>
      <c r="AQ1516" s="67"/>
      <c r="AR1516" s="67"/>
      <c r="AS1516" s="73"/>
      <c r="AT1516" s="67"/>
      <c r="AU1516" s="67"/>
      <c r="AV1516" s="73"/>
      <c r="AW1516" s="68"/>
      <c r="AX1516" s="68"/>
      <c r="AY1516" s="68"/>
      <c r="AZ1516" s="68"/>
      <c r="BA1516" s="68"/>
      <c r="BB1516" s="67"/>
      <c r="BC1516" s="67"/>
      <c r="BD1516" s="67"/>
      <c r="BE1516" s="67"/>
      <c r="BF1516" s="95"/>
      <c r="BG1516" s="48"/>
      <c r="BH1516" s="48"/>
      <c r="BI1516" s="48"/>
      <c r="BJ1516" s="48"/>
      <c r="BK1516" s="48"/>
      <c r="BL1516" s="48"/>
      <c r="BM1516" s="48"/>
      <c r="BN1516" s="49"/>
      <c r="BO1516" s="48"/>
      <c r="BP1516" s="48"/>
      <c r="BQ1516" s="50"/>
    </row>
    <row r="1517" spans="1:69" ht="16" x14ac:dyDescent="0.35">
      <c r="A1517"/>
      <c r="D1517"/>
      <c r="G1517"/>
      <c r="H1517" s="20"/>
      <c r="I1517" s="20"/>
      <c r="J1517" s="20"/>
      <c r="K1517" s="20"/>
      <c r="L1517" s="20"/>
      <c r="Q1517" s="83"/>
      <c r="Y1517" s="20"/>
      <c r="AP1517" s="93"/>
      <c r="AQ1517" s="31"/>
      <c r="AR1517" s="31"/>
      <c r="AS1517" s="94"/>
      <c r="AT1517" s="31"/>
      <c r="AU1517" s="31"/>
      <c r="AV1517" s="94"/>
      <c r="AW1517" s="32"/>
      <c r="AX1517" s="32"/>
      <c r="AY1517" s="32"/>
      <c r="AZ1517" s="32"/>
      <c r="BA1517" s="32"/>
      <c r="BB1517" s="31"/>
      <c r="BC1517" s="31"/>
      <c r="BD1517" s="31"/>
      <c r="BE1517" s="31"/>
      <c r="BF1517" s="96"/>
      <c r="BG1517" s="52"/>
      <c r="BH1517" s="52"/>
      <c r="BI1517" s="52"/>
      <c r="BJ1517" s="52"/>
      <c r="BK1517" s="52"/>
      <c r="BL1517" s="52"/>
      <c r="BM1517" s="52"/>
      <c r="BN1517" s="53"/>
      <c r="BO1517" s="52"/>
      <c r="BP1517" s="52"/>
      <c r="BQ1517" s="54"/>
    </row>
    <row r="1518" spans="1:69" ht="16" x14ac:dyDescent="0.35">
      <c r="A1518"/>
      <c r="D1518"/>
      <c r="G1518"/>
      <c r="H1518" s="20"/>
      <c r="I1518" s="20"/>
      <c r="J1518" s="20"/>
      <c r="K1518" s="20"/>
      <c r="L1518" s="20"/>
      <c r="Q1518" s="83"/>
      <c r="Y1518" s="20"/>
      <c r="AP1518" s="92"/>
      <c r="AQ1518" s="67"/>
      <c r="AR1518" s="67"/>
      <c r="AS1518" s="73"/>
      <c r="AT1518" s="67"/>
      <c r="AU1518" s="67"/>
      <c r="AV1518" s="73"/>
      <c r="AW1518" s="68"/>
      <c r="AX1518" s="68"/>
      <c r="AY1518" s="68"/>
      <c r="AZ1518" s="68"/>
      <c r="BA1518" s="68"/>
      <c r="BB1518" s="67"/>
      <c r="BC1518" s="67"/>
      <c r="BD1518" s="67"/>
      <c r="BE1518" s="67"/>
      <c r="BF1518" s="95"/>
      <c r="BG1518" s="48"/>
      <c r="BH1518" s="48"/>
      <c r="BI1518" s="48"/>
      <c r="BJ1518" s="48"/>
      <c r="BK1518" s="48"/>
      <c r="BL1518" s="48"/>
      <c r="BM1518" s="48"/>
      <c r="BN1518" s="49"/>
      <c r="BO1518" s="48"/>
      <c r="BP1518" s="48"/>
      <c r="BQ1518" s="50"/>
    </row>
    <row r="1519" spans="1:69" ht="16" x14ac:dyDescent="0.35">
      <c r="A1519"/>
      <c r="D1519"/>
      <c r="G1519"/>
      <c r="H1519" s="20"/>
      <c r="I1519" s="20"/>
      <c r="J1519" s="20"/>
      <c r="K1519" s="20"/>
      <c r="L1519" s="20"/>
      <c r="Q1519" s="83"/>
      <c r="Y1519" s="20"/>
      <c r="AP1519" s="93"/>
      <c r="AQ1519" s="31"/>
      <c r="AR1519" s="31"/>
      <c r="AS1519" s="94"/>
      <c r="AT1519" s="31"/>
      <c r="AU1519" s="31"/>
      <c r="AV1519" s="94"/>
      <c r="AW1519" s="32"/>
      <c r="AX1519" s="32"/>
      <c r="AY1519" s="32"/>
      <c r="AZ1519" s="32"/>
      <c r="BA1519" s="32"/>
      <c r="BB1519" s="31"/>
      <c r="BC1519" s="31"/>
      <c r="BD1519" s="31"/>
      <c r="BE1519" s="31"/>
      <c r="BF1519" s="96"/>
      <c r="BG1519" s="52"/>
      <c r="BH1519" s="52"/>
      <c r="BI1519" s="52"/>
      <c r="BJ1519" s="52"/>
      <c r="BK1519" s="52"/>
      <c r="BL1519" s="52"/>
      <c r="BM1519" s="52"/>
      <c r="BN1519" s="53"/>
      <c r="BO1519" s="52"/>
      <c r="BP1519" s="52"/>
      <c r="BQ1519" s="54"/>
    </row>
    <row r="1520" spans="1:69" ht="16" x14ac:dyDescent="0.35">
      <c r="A1520"/>
      <c r="D1520"/>
      <c r="G1520"/>
      <c r="H1520" s="20"/>
      <c r="I1520" s="20"/>
      <c r="J1520" s="20"/>
      <c r="K1520" s="20"/>
      <c r="L1520" s="20"/>
      <c r="Q1520" s="83"/>
      <c r="Y1520" s="20"/>
      <c r="AP1520" s="92"/>
      <c r="AQ1520" s="67"/>
      <c r="AR1520" s="67"/>
      <c r="AS1520" s="73"/>
      <c r="AT1520" s="67"/>
      <c r="AU1520" s="67"/>
      <c r="AV1520" s="73"/>
      <c r="AW1520" s="68"/>
      <c r="AX1520" s="68"/>
      <c r="AY1520" s="68"/>
      <c r="AZ1520" s="68"/>
      <c r="BA1520" s="68"/>
      <c r="BB1520" s="67"/>
      <c r="BC1520" s="67"/>
      <c r="BD1520" s="67"/>
      <c r="BE1520" s="67"/>
      <c r="BF1520" s="95"/>
      <c r="BG1520" s="48"/>
      <c r="BH1520" s="48"/>
      <c r="BI1520" s="48"/>
      <c r="BJ1520" s="48"/>
      <c r="BK1520" s="48"/>
      <c r="BL1520" s="48"/>
      <c r="BM1520" s="48"/>
      <c r="BN1520" s="49"/>
      <c r="BO1520" s="48"/>
      <c r="BP1520" s="48"/>
      <c r="BQ1520" s="50"/>
    </row>
    <row r="1521" spans="1:69" ht="16" x14ac:dyDescent="0.35">
      <c r="A1521"/>
      <c r="D1521"/>
      <c r="G1521"/>
      <c r="H1521" s="20"/>
      <c r="I1521" s="20"/>
      <c r="J1521" s="20"/>
      <c r="K1521" s="20"/>
      <c r="L1521" s="20"/>
      <c r="Q1521" s="83"/>
      <c r="Y1521" s="20"/>
      <c r="AP1521" s="93"/>
      <c r="AQ1521" s="31"/>
      <c r="AR1521" s="31"/>
      <c r="AS1521" s="94"/>
      <c r="AT1521" s="31"/>
      <c r="AU1521" s="31"/>
      <c r="AV1521" s="94"/>
      <c r="AW1521" s="32"/>
      <c r="AX1521" s="32"/>
      <c r="AY1521" s="32"/>
      <c r="AZ1521" s="32"/>
      <c r="BA1521" s="32"/>
      <c r="BB1521" s="31"/>
      <c r="BC1521" s="31"/>
      <c r="BD1521" s="31"/>
      <c r="BE1521" s="31"/>
      <c r="BF1521" s="96"/>
      <c r="BG1521" s="52"/>
      <c r="BH1521" s="52"/>
      <c r="BI1521" s="52"/>
      <c r="BJ1521" s="52"/>
      <c r="BK1521" s="52"/>
      <c r="BL1521" s="52"/>
      <c r="BM1521" s="52"/>
      <c r="BN1521" s="53"/>
      <c r="BO1521" s="52"/>
      <c r="BP1521" s="52"/>
      <c r="BQ1521" s="54"/>
    </row>
    <row r="1522" spans="1:69" ht="16" x14ac:dyDescent="0.35">
      <c r="A1522"/>
      <c r="D1522"/>
      <c r="G1522"/>
      <c r="H1522" s="20"/>
      <c r="I1522" s="20"/>
      <c r="J1522" s="20"/>
      <c r="K1522" s="20"/>
      <c r="L1522" s="20"/>
      <c r="Q1522" s="83"/>
      <c r="Y1522" s="20"/>
      <c r="AP1522" s="92"/>
      <c r="AQ1522" s="67"/>
      <c r="AR1522" s="67"/>
      <c r="AS1522" s="73"/>
      <c r="AT1522" s="67"/>
      <c r="AU1522" s="67"/>
      <c r="AV1522" s="73"/>
      <c r="AW1522" s="68"/>
      <c r="AX1522" s="68"/>
      <c r="AY1522" s="68"/>
      <c r="AZ1522" s="68"/>
      <c r="BA1522" s="68"/>
      <c r="BB1522" s="67"/>
      <c r="BC1522" s="67"/>
      <c r="BD1522" s="67"/>
      <c r="BE1522" s="67"/>
      <c r="BF1522" s="95"/>
      <c r="BG1522" s="48"/>
      <c r="BH1522" s="48"/>
      <c r="BI1522" s="48"/>
      <c r="BJ1522" s="48"/>
      <c r="BK1522" s="48"/>
      <c r="BL1522" s="48"/>
      <c r="BM1522" s="48"/>
      <c r="BN1522" s="49"/>
      <c r="BO1522" s="48"/>
      <c r="BP1522" s="48"/>
      <c r="BQ1522" s="50"/>
    </row>
    <row r="1523" spans="1:69" ht="16" x14ac:dyDescent="0.35">
      <c r="A1523"/>
      <c r="D1523"/>
      <c r="G1523"/>
      <c r="H1523" s="20"/>
      <c r="I1523" s="20"/>
      <c r="J1523" s="20"/>
      <c r="K1523" s="20"/>
      <c r="L1523" s="20"/>
      <c r="Q1523" s="83"/>
      <c r="Y1523" s="20"/>
      <c r="AP1523" s="93"/>
      <c r="AQ1523" s="31"/>
      <c r="AR1523" s="31"/>
      <c r="AS1523" s="94"/>
      <c r="AT1523" s="31"/>
      <c r="AU1523" s="31"/>
      <c r="AV1523" s="94"/>
      <c r="AW1523" s="32"/>
      <c r="AX1523" s="32"/>
      <c r="AY1523" s="32"/>
      <c r="AZ1523" s="32"/>
      <c r="BA1523" s="32"/>
      <c r="BB1523" s="31"/>
      <c r="BC1523" s="31"/>
      <c r="BD1523" s="31"/>
      <c r="BE1523" s="31"/>
      <c r="BF1523" s="96"/>
      <c r="BG1523" s="52"/>
      <c r="BH1523" s="52"/>
      <c r="BI1523" s="52"/>
      <c r="BJ1523" s="52"/>
      <c r="BK1523" s="52"/>
      <c r="BL1523" s="52"/>
      <c r="BM1523" s="52"/>
      <c r="BN1523" s="53"/>
      <c r="BO1523" s="52"/>
      <c r="BP1523" s="52"/>
      <c r="BQ1523" s="54"/>
    </row>
    <row r="1524" spans="1:69" ht="16" x14ac:dyDescent="0.35">
      <c r="A1524"/>
      <c r="D1524"/>
      <c r="G1524"/>
      <c r="H1524" s="20"/>
      <c r="I1524" s="20"/>
      <c r="J1524" s="20"/>
      <c r="K1524" s="20"/>
      <c r="L1524" s="20"/>
      <c r="Q1524" s="83"/>
      <c r="Y1524" s="20"/>
      <c r="AP1524" s="92"/>
      <c r="AQ1524" s="67"/>
      <c r="AR1524" s="67"/>
      <c r="AS1524" s="73"/>
      <c r="AT1524" s="67"/>
      <c r="AU1524" s="67"/>
      <c r="AV1524" s="73"/>
      <c r="AW1524" s="68"/>
      <c r="AX1524" s="68"/>
      <c r="AY1524" s="68"/>
      <c r="AZ1524" s="68"/>
      <c r="BA1524" s="68"/>
      <c r="BB1524" s="67"/>
      <c r="BC1524" s="67"/>
      <c r="BD1524" s="67"/>
      <c r="BE1524" s="67"/>
      <c r="BF1524" s="95"/>
      <c r="BG1524" s="48"/>
      <c r="BH1524" s="48"/>
      <c r="BI1524" s="48"/>
      <c r="BJ1524" s="48"/>
      <c r="BK1524" s="48"/>
      <c r="BL1524" s="48"/>
      <c r="BM1524" s="48"/>
      <c r="BN1524" s="49"/>
      <c r="BO1524" s="48"/>
      <c r="BP1524" s="48"/>
      <c r="BQ1524" s="50"/>
    </row>
    <row r="1525" spans="1:69" ht="16" x14ac:dyDescent="0.35">
      <c r="A1525"/>
      <c r="D1525"/>
      <c r="G1525"/>
      <c r="H1525" s="20"/>
      <c r="I1525" s="20"/>
      <c r="J1525" s="20"/>
      <c r="K1525" s="20"/>
      <c r="L1525" s="20"/>
      <c r="Q1525" s="83"/>
      <c r="Y1525" s="20"/>
      <c r="AP1525" s="93"/>
      <c r="AQ1525" s="31"/>
      <c r="AR1525" s="31"/>
      <c r="AS1525" s="94"/>
      <c r="AT1525" s="31"/>
      <c r="AU1525" s="31"/>
      <c r="AV1525" s="94"/>
      <c r="AW1525" s="32"/>
      <c r="AX1525" s="32"/>
      <c r="AY1525" s="32"/>
      <c r="AZ1525" s="32"/>
      <c r="BA1525" s="32"/>
      <c r="BB1525" s="31"/>
      <c r="BC1525" s="31"/>
      <c r="BD1525" s="31"/>
      <c r="BE1525" s="31"/>
      <c r="BF1525" s="96"/>
      <c r="BG1525" s="52"/>
      <c r="BH1525" s="52"/>
      <c r="BI1525" s="52"/>
      <c r="BJ1525" s="52"/>
      <c r="BK1525" s="52"/>
      <c r="BL1525" s="52"/>
      <c r="BM1525" s="52"/>
      <c r="BN1525" s="53"/>
      <c r="BO1525" s="52"/>
      <c r="BP1525" s="52"/>
      <c r="BQ1525" s="54"/>
    </row>
    <row r="1526" spans="1:69" ht="16" x14ac:dyDescent="0.35">
      <c r="A1526"/>
      <c r="D1526"/>
      <c r="G1526"/>
      <c r="H1526" s="20"/>
      <c r="I1526" s="20"/>
      <c r="J1526" s="20"/>
      <c r="K1526" s="20"/>
      <c r="L1526" s="20"/>
      <c r="Q1526" s="83"/>
      <c r="Y1526" s="20"/>
      <c r="AP1526" s="92"/>
      <c r="AQ1526" s="67"/>
      <c r="AR1526" s="67"/>
      <c r="AS1526" s="73"/>
      <c r="AT1526" s="67"/>
      <c r="AU1526" s="67"/>
      <c r="AV1526" s="73"/>
      <c r="AW1526" s="68"/>
      <c r="AX1526" s="68"/>
      <c r="AY1526" s="68"/>
      <c r="AZ1526" s="68"/>
      <c r="BA1526" s="68"/>
      <c r="BB1526" s="67"/>
      <c r="BC1526" s="67"/>
      <c r="BD1526" s="67"/>
      <c r="BE1526" s="67"/>
      <c r="BF1526" s="95"/>
      <c r="BG1526" s="48"/>
      <c r="BH1526" s="48"/>
      <c r="BI1526" s="48"/>
      <c r="BJ1526" s="48"/>
      <c r="BK1526" s="48"/>
      <c r="BL1526" s="48"/>
      <c r="BM1526" s="48"/>
      <c r="BN1526" s="49"/>
      <c r="BO1526" s="48"/>
      <c r="BP1526" s="48"/>
      <c r="BQ1526" s="50"/>
    </row>
    <row r="1527" spans="1:69" ht="16" x14ac:dyDescent="0.35">
      <c r="A1527"/>
      <c r="D1527"/>
      <c r="G1527"/>
      <c r="H1527" s="20"/>
      <c r="I1527" s="20"/>
      <c r="J1527" s="20"/>
      <c r="K1527" s="20"/>
      <c r="L1527" s="20"/>
      <c r="Q1527" s="83"/>
      <c r="Y1527" s="20"/>
      <c r="AP1527" s="93"/>
      <c r="AQ1527" s="31"/>
      <c r="AR1527" s="31"/>
      <c r="AS1527" s="94"/>
      <c r="AT1527" s="31"/>
      <c r="AU1527" s="31"/>
      <c r="AV1527" s="94"/>
      <c r="AW1527" s="32"/>
      <c r="AX1527" s="32"/>
      <c r="AY1527" s="32"/>
      <c r="AZ1527" s="32"/>
      <c r="BA1527" s="32"/>
      <c r="BB1527" s="31"/>
      <c r="BC1527" s="31"/>
      <c r="BD1527" s="31"/>
      <c r="BE1527" s="31"/>
      <c r="BF1527" s="96"/>
      <c r="BG1527" s="52"/>
      <c r="BH1527" s="52"/>
      <c r="BI1527" s="52"/>
      <c r="BJ1527" s="52"/>
      <c r="BK1527" s="52"/>
      <c r="BL1527" s="52"/>
      <c r="BM1527" s="52"/>
      <c r="BN1527" s="53"/>
      <c r="BO1527" s="52"/>
      <c r="BP1527" s="52"/>
      <c r="BQ1527" s="54"/>
    </row>
    <row r="1528" spans="1:69" ht="16" x14ac:dyDescent="0.35">
      <c r="A1528"/>
      <c r="D1528"/>
      <c r="G1528"/>
      <c r="H1528" s="20"/>
      <c r="I1528" s="20"/>
      <c r="J1528" s="20"/>
      <c r="K1528" s="20"/>
      <c r="L1528" s="20"/>
      <c r="Q1528" s="83"/>
      <c r="Y1528" s="20"/>
      <c r="AP1528" s="92"/>
      <c r="AQ1528" s="67"/>
      <c r="AR1528" s="67"/>
      <c r="AS1528" s="73"/>
      <c r="AT1528" s="67"/>
      <c r="AU1528" s="67"/>
      <c r="AV1528" s="73"/>
      <c r="AW1528" s="68"/>
      <c r="AX1528" s="68"/>
      <c r="AY1528" s="68"/>
      <c r="AZ1528" s="68"/>
      <c r="BA1528" s="68"/>
      <c r="BB1528" s="67"/>
      <c r="BC1528" s="67"/>
      <c r="BD1528" s="67"/>
      <c r="BE1528" s="67"/>
      <c r="BF1528" s="95"/>
      <c r="BG1528" s="48"/>
      <c r="BH1528" s="48"/>
      <c r="BI1528" s="48"/>
      <c r="BJ1528" s="48"/>
      <c r="BK1528" s="48"/>
      <c r="BL1528" s="48"/>
      <c r="BM1528" s="48"/>
      <c r="BN1528" s="49"/>
      <c r="BO1528" s="48"/>
      <c r="BP1528" s="48"/>
      <c r="BQ1528" s="50"/>
    </row>
    <row r="1529" spans="1:69" ht="16" x14ac:dyDescent="0.35">
      <c r="A1529"/>
      <c r="D1529"/>
      <c r="G1529"/>
      <c r="H1529" s="20"/>
      <c r="I1529" s="20"/>
      <c r="J1529" s="20"/>
      <c r="K1529" s="20"/>
      <c r="L1529" s="20"/>
      <c r="Q1529" s="83"/>
      <c r="Y1529" s="20"/>
      <c r="AP1529" s="93"/>
      <c r="AQ1529" s="31"/>
      <c r="AR1529" s="31"/>
      <c r="AS1529" s="94"/>
      <c r="AT1529" s="31"/>
      <c r="AU1529" s="31"/>
      <c r="AV1529" s="94"/>
      <c r="AW1529" s="32"/>
      <c r="AX1529" s="32"/>
      <c r="AY1529" s="32"/>
      <c r="AZ1529" s="32"/>
      <c r="BA1529" s="32"/>
      <c r="BB1529" s="31"/>
      <c r="BC1529" s="31"/>
      <c r="BD1529" s="31"/>
      <c r="BE1529" s="31"/>
      <c r="BF1529" s="96"/>
      <c r="BG1529" s="52"/>
      <c r="BH1529" s="52"/>
      <c r="BI1529" s="52"/>
      <c r="BJ1529" s="52"/>
      <c r="BK1529" s="52"/>
      <c r="BL1529" s="52"/>
      <c r="BM1529" s="52"/>
      <c r="BN1529" s="53"/>
      <c r="BO1529" s="52"/>
      <c r="BP1529" s="52"/>
      <c r="BQ1529" s="54"/>
    </row>
    <row r="1530" spans="1:69" ht="16" x14ac:dyDescent="0.35">
      <c r="A1530"/>
      <c r="D1530"/>
      <c r="G1530"/>
      <c r="H1530" s="20"/>
      <c r="I1530" s="20"/>
      <c r="J1530" s="20"/>
      <c r="K1530" s="20"/>
      <c r="L1530" s="20"/>
      <c r="Q1530" s="83"/>
      <c r="Y1530" s="20"/>
      <c r="AP1530" s="92"/>
      <c r="AQ1530" s="67"/>
      <c r="AR1530" s="67"/>
      <c r="AS1530" s="73"/>
      <c r="AT1530" s="67"/>
      <c r="AU1530" s="67"/>
      <c r="AV1530" s="73"/>
      <c r="AW1530" s="68"/>
      <c r="AX1530" s="68"/>
      <c r="AY1530" s="68"/>
      <c r="AZ1530" s="68"/>
      <c r="BA1530" s="68"/>
      <c r="BB1530" s="67"/>
      <c r="BC1530" s="67"/>
      <c r="BD1530" s="67"/>
      <c r="BE1530" s="67"/>
      <c r="BF1530" s="95"/>
      <c r="BG1530" s="48"/>
      <c r="BH1530" s="48"/>
      <c r="BI1530" s="48"/>
      <c r="BJ1530" s="48"/>
      <c r="BK1530" s="48"/>
      <c r="BL1530" s="48"/>
      <c r="BM1530" s="48"/>
      <c r="BN1530" s="49"/>
      <c r="BO1530" s="48"/>
      <c r="BP1530" s="48"/>
      <c r="BQ1530" s="50"/>
    </row>
    <row r="1531" spans="1:69" ht="16" x14ac:dyDescent="0.35">
      <c r="A1531"/>
      <c r="D1531"/>
      <c r="G1531"/>
      <c r="H1531" s="20"/>
      <c r="I1531" s="20"/>
      <c r="J1531" s="20"/>
      <c r="K1531" s="20"/>
      <c r="L1531" s="20"/>
      <c r="Q1531" s="83"/>
      <c r="Y1531" s="20"/>
      <c r="AP1531" s="93"/>
      <c r="AQ1531" s="31"/>
      <c r="AR1531" s="31"/>
      <c r="AS1531" s="94"/>
      <c r="AT1531" s="31"/>
      <c r="AU1531" s="31"/>
      <c r="AV1531" s="94"/>
      <c r="AW1531" s="32"/>
      <c r="AX1531" s="32"/>
      <c r="AY1531" s="32"/>
      <c r="AZ1531" s="32"/>
      <c r="BA1531" s="32"/>
      <c r="BB1531" s="31"/>
      <c r="BC1531" s="31"/>
      <c r="BD1531" s="31"/>
      <c r="BE1531" s="31"/>
      <c r="BF1531" s="96"/>
      <c r="BG1531" s="52"/>
      <c r="BH1531" s="52"/>
      <c r="BI1531" s="52"/>
      <c r="BJ1531" s="52"/>
      <c r="BK1531" s="52"/>
      <c r="BL1531" s="52"/>
      <c r="BM1531" s="52"/>
      <c r="BN1531" s="53"/>
      <c r="BO1531" s="52"/>
      <c r="BP1531" s="52"/>
      <c r="BQ1531" s="54"/>
    </row>
    <row r="1532" spans="1:69" ht="16" x14ac:dyDescent="0.35">
      <c r="A1532"/>
      <c r="D1532"/>
      <c r="G1532"/>
      <c r="H1532" s="20"/>
      <c r="I1532" s="20"/>
      <c r="J1532" s="20"/>
      <c r="K1532" s="20"/>
      <c r="L1532" s="20"/>
      <c r="Q1532" s="83"/>
      <c r="Y1532" s="20"/>
      <c r="AP1532" s="92"/>
      <c r="AQ1532" s="67"/>
      <c r="AR1532" s="67"/>
      <c r="AS1532" s="73"/>
      <c r="AT1532" s="67"/>
      <c r="AU1532" s="67"/>
      <c r="AV1532" s="73"/>
      <c r="AW1532" s="68"/>
      <c r="AX1532" s="68"/>
      <c r="AY1532" s="68"/>
      <c r="AZ1532" s="68"/>
      <c r="BA1532" s="68"/>
      <c r="BB1532" s="67"/>
      <c r="BC1532" s="67"/>
      <c r="BD1532" s="67"/>
      <c r="BE1532" s="67"/>
      <c r="BF1532" s="95"/>
      <c r="BG1532" s="48"/>
      <c r="BH1532" s="48"/>
      <c r="BI1532" s="48"/>
      <c r="BJ1532" s="48"/>
      <c r="BK1532" s="48"/>
      <c r="BL1532" s="48"/>
      <c r="BM1532" s="48"/>
      <c r="BN1532" s="49"/>
      <c r="BO1532" s="48"/>
      <c r="BP1532" s="48"/>
      <c r="BQ1532" s="50"/>
    </row>
    <row r="1533" spans="1:69" ht="16" x14ac:dyDescent="0.35">
      <c r="A1533"/>
      <c r="D1533"/>
      <c r="G1533"/>
      <c r="H1533" s="20"/>
      <c r="I1533" s="20"/>
      <c r="J1533" s="20"/>
      <c r="K1533" s="20"/>
      <c r="L1533" s="20"/>
      <c r="Q1533" s="83"/>
      <c r="Y1533" s="20"/>
      <c r="AP1533" s="93"/>
      <c r="AQ1533" s="31"/>
      <c r="AR1533" s="31"/>
      <c r="AS1533" s="94"/>
      <c r="AT1533" s="31"/>
      <c r="AU1533" s="31"/>
      <c r="AV1533" s="94"/>
      <c r="AW1533" s="32"/>
      <c r="AX1533" s="32"/>
      <c r="AY1533" s="32"/>
      <c r="AZ1533" s="32"/>
      <c r="BA1533" s="32"/>
      <c r="BB1533" s="31"/>
      <c r="BC1533" s="31"/>
      <c r="BD1533" s="31"/>
      <c r="BE1533" s="31"/>
      <c r="BF1533" s="96"/>
      <c r="BG1533" s="52"/>
      <c r="BH1533" s="52"/>
      <c r="BI1533" s="52"/>
      <c r="BJ1533" s="52"/>
      <c r="BK1533" s="52"/>
      <c r="BL1533" s="52"/>
      <c r="BM1533" s="52"/>
      <c r="BN1533" s="53"/>
      <c r="BO1533" s="52"/>
      <c r="BP1533" s="52"/>
      <c r="BQ1533" s="54"/>
    </row>
    <row r="1534" spans="1:69" ht="16" x14ac:dyDescent="0.35">
      <c r="A1534"/>
      <c r="D1534"/>
      <c r="G1534"/>
      <c r="H1534" s="20"/>
      <c r="I1534" s="20"/>
      <c r="J1534" s="20"/>
      <c r="K1534" s="20"/>
      <c r="L1534" s="20"/>
      <c r="Q1534" s="83"/>
      <c r="Y1534" s="20"/>
      <c r="AP1534" s="92"/>
      <c r="AQ1534" s="67"/>
      <c r="AR1534" s="67"/>
      <c r="AS1534" s="73"/>
      <c r="AT1534" s="67"/>
      <c r="AU1534" s="67"/>
      <c r="AV1534" s="73"/>
      <c r="AW1534" s="68"/>
      <c r="AX1534" s="68"/>
      <c r="AY1534" s="68"/>
      <c r="AZ1534" s="68"/>
      <c r="BA1534" s="68"/>
      <c r="BB1534" s="67"/>
      <c r="BC1534" s="67"/>
      <c r="BD1534" s="67"/>
      <c r="BE1534" s="67"/>
      <c r="BF1534" s="95"/>
      <c r="BG1534" s="48"/>
      <c r="BH1534" s="48"/>
      <c r="BI1534" s="48"/>
      <c r="BJ1534" s="48"/>
      <c r="BK1534" s="48"/>
      <c r="BL1534" s="48"/>
      <c r="BM1534" s="48"/>
      <c r="BN1534" s="49"/>
      <c r="BO1534" s="48"/>
      <c r="BP1534" s="48"/>
      <c r="BQ1534" s="50"/>
    </row>
    <row r="1535" spans="1:69" ht="16" x14ac:dyDescent="0.35">
      <c r="A1535"/>
      <c r="D1535"/>
      <c r="G1535"/>
      <c r="H1535" s="20"/>
      <c r="I1535" s="20"/>
      <c r="J1535" s="20"/>
      <c r="K1535" s="20"/>
      <c r="L1535" s="20"/>
      <c r="Q1535" s="83"/>
      <c r="Y1535" s="20"/>
      <c r="AP1535" s="93"/>
      <c r="AQ1535" s="31"/>
      <c r="AR1535" s="31"/>
      <c r="AS1535" s="94"/>
      <c r="AT1535" s="31"/>
      <c r="AU1535" s="31"/>
      <c r="AV1535" s="94"/>
      <c r="AW1535" s="32"/>
      <c r="AX1535" s="32"/>
      <c r="AY1535" s="32"/>
      <c r="AZ1535" s="32"/>
      <c r="BA1535" s="32"/>
      <c r="BB1535" s="31"/>
      <c r="BC1535" s="31"/>
      <c r="BD1535" s="31"/>
      <c r="BE1535" s="31"/>
      <c r="BF1535" s="96"/>
      <c r="BG1535" s="52"/>
      <c r="BH1535" s="52"/>
      <c r="BI1535" s="52"/>
      <c r="BJ1535" s="52"/>
      <c r="BK1535" s="52"/>
      <c r="BL1535" s="52"/>
      <c r="BM1535" s="52"/>
      <c r="BN1535" s="53"/>
      <c r="BO1535" s="52"/>
      <c r="BP1535" s="52"/>
      <c r="BQ1535" s="54"/>
    </row>
    <row r="1536" spans="1:69" ht="16" x14ac:dyDescent="0.35">
      <c r="A1536"/>
      <c r="D1536"/>
      <c r="G1536"/>
      <c r="H1536" s="20"/>
      <c r="I1536" s="20"/>
      <c r="J1536" s="20"/>
      <c r="K1536" s="20"/>
      <c r="L1536" s="20"/>
      <c r="Q1536" s="83"/>
      <c r="Y1536" s="20"/>
      <c r="AP1536" s="92"/>
      <c r="AQ1536" s="67"/>
      <c r="AR1536" s="67"/>
      <c r="AS1536" s="73"/>
      <c r="AT1536" s="67"/>
      <c r="AU1536" s="67"/>
      <c r="AV1536" s="73"/>
      <c r="AW1536" s="68"/>
      <c r="AX1536" s="68"/>
      <c r="AY1536" s="68"/>
      <c r="AZ1536" s="68"/>
      <c r="BA1536" s="68"/>
      <c r="BB1536" s="67"/>
      <c r="BC1536" s="67"/>
      <c r="BD1536" s="67"/>
      <c r="BE1536" s="67"/>
      <c r="BF1536" s="95"/>
      <c r="BG1536" s="48"/>
      <c r="BH1536" s="48"/>
      <c r="BI1536" s="48"/>
      <c r="BJ1536" s="48"/>
      <c r="BK1536" s="48"/>
      <c r="BL1536" s="48"/>
      <c r="BM1536" s="48"/>
      <c r="BN1536" s="49"/>
      <c r="BO1536" s="48"/>
      <c r="BP1536" s="48"/>
      <c r="BQ1536" s="50"/>
    </row>
    <row r="1537" spans="1:69" ht="16" x14ac:dyDescent="0.35">
      <c r="A1537"/>
      <c r="D1537"/>
      <c r="G1537"/>
      <c r="H1537" s="20"/>
      <c r="I1537" s="20"/>
      <c r="J1537" s="20"/>
      <c r="K1537" s="20"/>
      <c r="L1537" s="20"/>
      <c r="Q1537" s="83"/>
      <c r="Y1537" s="20"/>
      <c r="AP1537" s="93"/>
      <c r="AQ1537" s="31"/>
      <c r="AR1537" s="31"/>
      <c r="AS1537" s="94"/>
      <c r="AT1537" s="31"/>
      <c r="AU1537" s="31"/>
      <c r="AV1537" s="94"/>
      <c r="AW1537" s="32"/>
      <c r="AX1537" s="32"/>
      <c r="AY1537" s="32"/>
      <c r="AZ1537" s="32"/>
      <c r="BA1537" s="32"/>
      <c r="BB1537" s="31"/>
      <c r="BC1537" s="31"/>
      <c r="BD1537" s="31"/>
      <c r="BE1537" s="31"/>
      <c r="BF1537" s="96"/>
      <c r="BG1537" s="52"/>
      <c r="BH1537" s="52"/>
      <c r="BI1537" s="52"/>
      <c r="BJ1537" s="52"/>
      <c r="BK1537" s="52"/>
      <c r="BL1537" s="52"/>
      <c r="BM1537" s="52"/>
      <c r="BN1537" s="53"/>
      <c r="BO1537" s="52"/>
      <c r="BP1537" s="52"/>
      <c r="BQ1537" s="54"/>
    </row>
    <row r="1538" spans="1:69" ht="16" x14ac:dyDescent="0.35">
      <c r="A1538"/>
      <c r="D1538"/>
      <c r="G1538"/>
      <c r="H1538" s="20"/>
      <c r="I1538" s="20"/>
      <c r="J1538" s="20"/>
      <c r="K1538" s="20"/>
      <c r="L1538" s="20"/>
      <c r="Q1538" s="83"/>
      <c r="Y1538" s="20"/>
      <c r="AP1538" s="92"/>
      <c r="AQ1538" s="67"/>
      <c r="AR1538" s="67"/>
      <c r="AS1538" s="73"/>
      <c r="AT1538" s="67"/>
      <c r="AU1538" s="67"/>
      <c r="AV1538" s="73"/>
      <c r="AW1538" s="68"/>
      <c r="AX1538" s="68"/>
      <c r="AY1538" s="68"/>
      <c r="AZ1538" s="68"/>
      <c r="BA1538" s="68"/>
      <c r="BB1538" s="67"/>
      <c r="BC1538" s="67"/>
      <c r="BD1538" s="67"/>
      <c r="BE1538" s="67"/>
      <c r="BF1538" s="95"/>
      <c r="BG1538" s="48"/>
      <c r="BH1538" s="48"/>
      <c r="BI1538" s="48"/>
      <c r="BJ1538" s="48"/>
      <c r="BK1538" s="48"/>
      <c r="BL1538" s="48"/>
      <c r="BM1538" s="48"/>
      <c r="BN1538" s="49"/>
      <c r="BO1538" s="48"/>
      <c r="BP1538" s="48"/>
      <c r="BQ1538" s="50"/>
    </row>
    <row r="1539" spans="1:69" ht="16" x14ac:dyDescent="0.35">
      <c r="A1539"/>
      <c r="D1539"/>
      <c r="G1539"/>
      <c r="H1539" s="20"/>
      <c r="I1539" s="20"/>
      <c r="J1539" s="20"/>
      <c r="K1539" s="20"/>
      <c r="L1539" s="20"/>
      <c r="Q1539" s="83"/>
      <c r="Y1539" s="20"/>
      <c r="AP1539" s="93"/>
      <c r="AQ1539" s="31"/>
      <c r="AR1539" s="31"/>
      <c r="AS1539" s="94"/>
      <c r="AT1539" s="31"/>
      <c r="AU1539" s="31"/>
      <c r="AV1539" s="94"/>
      <c r="AW1539" s="32"/>
      <c r="AX1539" s="32"/>
      <c r="AY1539" s="32"/>
      <c r="AZ1539" s="32"/>
      <c r="BA1539" s="32"/>
      <c r="BB1539" s="31"/>
      <c r="BC1539" s="31"/>
      <c r="BD1539" s="31"/>
      <c r="BE1539" s="31"/>
      <c r="BF1539" s="96"/>
      <c r="BG1539" s="52"/>
      <c r="BH1539" s="52"/>
      <c r="BI1539" s="52"/>
      <c r="BJ1539" s="52"/>
      <c r="BK1539" s="52"/>
      <c r="BL1539" s="52"/>
      <c r="BM1539" s="52"/>
      <c r="BN1539" s="53"/>
      <c r="BO1539" s="52"/>
      <c r="BP1539" s="52"/>
      <c r="BQ1539" s="54"/>
    </row>
    <row r="1540" spans="1:69" ht="16" x14ac:dyDescent="0.35">
      <c r="A1540"/>
      <c r="D1540"/>
      <c r="G1540"/>
      <c r="H1540" s="20"/>
      <c r="I1540" s="20"/>
      <c r="J1540" s="20"/>
      <c r="K1540" s="20"/>
      <c r="L1540" s="20"/>
      <c r="Q1540" s="83"/>
      <c r="Y1540" s="20"/>
      <c r="AP1540" s="92"/>
      <c r="AQ1540" s="67"/>
      <c r="AR1540" s="67"/>
      <c r="AS1540" s="73"/>
      <c r="AT1540" s="67"/>
      <c r="AU1540" s="67"/>
      <c r="AV1540" s="73"/>
      <c r="AW1540" s="68"/>
      <c r="AX1540" s="68"/>
      <c r="AY1540" s="68"/>
      <c r="AZ1540" s="68"/>
      <c r="BA1540" s="68"/>
      <c r="BB1540" s="67"/>
      <c r="BC1540" s="67"/>
      <c r="BD1540" s="67"/>
      <c r="BE1540" s="67"/>
      <c r="BF1540" s="95"/>
      <c r="BG1540" s="48"/>
      <c r="BH1540" s="48"/>
      <c r="BI1540" s="48"/>
      <c r="BJ1540" s="48"/>
      <c r="BK1540" s="48"/>
      <c r="BL1540" s="48"/>
      <c r="BM1540" s="48"/>
      <c r="BN1540" s="49"/>
      <c r="BO1540" s="48"/>
      <c r="BP1540" s="48"/>
      <c r="BQ1540" s="50"/>
    </row>
    <row r="1541" spans="1:69" ht="16" x14ac:dyDescent="0.35">
      <c r="A1541"/>
      <c r="D1541"/>
      <c r="G1541"/>
      <c r="H1541" s="20"/>
      <c r="I1541" s="20"/>
      <c r="J1541" s="20"/>
      <c r="K1541" s="20"/>
      <c r="L1541" s="20"/>
      <c r="Q1541" s="83"/>
      <c r="Y1541" s="20"/>
      <c r="AP1541" s="93"/>
      <c r="AQ1541" s="31"/>
      <c r="AR1541" s="31"/>
      <c r="AS1541" s="94"/>
      <c r="AT1541" s="31"/>
      <c r="AU1541" s="31"/>
      <c r="AV1541" s="94"/>
      <c r="AW1541" s="32"/>
      <c r="AX1541" s="32"/>
      <c r="AY1541" s="32"/>
      <c r="AZ1541" s="32"/>
      <c r="BA1541" s="32"/>
      <c r="BB1541" s="31"/>
      <c r="BC1541" s="31"/>
      <c r="BD1541" s="31"/>
      <c r="BE1541" s="31"/>
      <c r="BF1541" s="96"/>
      <c r="BG1541" s="52"/>
      <c r="BH1541" s="52"/>
      <c r="BI1541" s="52"/>
      <c r="BJ1541" s="52"/>
      <c r="BK1541" s="52"/>
      <c r="BL1541" s="52"/>
      <c r="BM1541" s="52"/>
      <c r="BN1541" s="53"/>
      <c r="BO1541" s="52"/>
      <c r="BP1541" s="52"/>
      <c r="BQ1541" s="54"/>
    </row>
    <row r="1542" spans="1:69" ht="16" x14ac:dyDescent="0.35">
      <c r="A1542"/>
      <c r="D1542"/>
      <c r="G1542"/>
      <c r="H1542" s="20"/>
      <c r="I1542" s="20"/>
      <c r="J1542" s="20"/>
      <c r="K1542" s="20"/>
      <c r="L1542" s="20"/>
      <c r="Q1542" s="83"/>
      <c r="Y1542" s="20"/>
      <c r="AP1542" s="92"/>
      <c r="AQ1542" s="67"/>
      <c r="AR1542" s="67"/>
      <c r="AS1542" s="73"/>
      <c r="AT1542" s="67"/>
      <c r="AU1542" s="67"/>
      <c r="AV1542" s="73"/>
      <c r="AW1542" s="68"/>
      <c r="AX1542" s="68"/>
      <c r="AY1542" s="68"/>
      <c r="AZ1542" s="68"/>
      <c r="BA1542" s="68"/>
      <c r="BB1542" s="67"/>
      <c r="BC1542" s="67"/>
      <c r="BD1542" s="67"/>
      <c r="BE1542" s="67"/>
      <c r="BF1542" s="95"/>
      <c r="BG1542" s="48"/>
      <c r="BH1542" s="48"/>
      <c r="BI1542" s="48"/>
      <c r="BJ1542" s="48"/>
      <c r="BK1542" s="48"/>
      <c r="BL1542" s="48"/>
      <c r="BM1542" s="48"/>
      <c r="BN1542" s="49"/>
      <c r="BO1542" s="48"/>
      <c r="BP1542" s="48"/>
      <c r="BQ1542" s="50"/>
    </row>
    <row r="1543" spans="1:69" ht="16" x14ac:dyDescent="0.35">
      <c r="A1543"/>
      <c r="D1543"/>
      <c r="G1543"/>
      <c r="H1543" s="20"/>
      <c r="I1543" s="20"/>
      <c r="J1543" s="20"/>
      <c r="K1543" s="20"/>
      <c r="L1543" s="20"/>
      <c r="Q1543" s="83"/>
      <c r="Y1543" s="20"/>
      <c r="AP1543" s="93"/>
      <c r="AQ1543" s="31"/>
      <c r="AR1543" s="31"/>
      <c r="AS1543" s="94"/>
      <c r="AT1543" s="31"/>
      <c r="AU1543" s="31"/>
      <c r="AV1543" s="94"/>
      <c r="AW1543" s="32"/>
      <c r="AX1543" s="32"/>
      <c r="AY1543" s="32"/>
      <c r="AZ1543" s="32"/>
      <c r="BA1543" s="32"/>
      <c r="BB1543" s="31"/>
      <c r="BC1543" s="31"/>
      <c r="BD1543" s="31"/>
      <c r="BE1543" s="31"/>
      <c r="BF1543" s="96"/>
      <c r="BG1543" s="52"/>
      <c r="BH1543" s="52"/>
      <c r="BI1543" s="52"/>
      <c r="BJ1543" s="52"/>
      <c r="BK1543" s="52"/>
      <c r="BL1543" s="52"/>
      <c r="BM1543" s="52"/>
      <c r="BN1543" s="53"/>
      <c r="BO1543" s="52"/>
      <c r="BP1543" s="52"/>
      <c r="BQ1543" s="54"/>
    </row>
    <row r="1544" spans="1:69" ht="16" x14ac:dyDescent="0.35">
      <c r="A1544"/>
      <c r="D1544"/>
      <c r="G1544"/>
      <c r="H1544" s="20"/>
      <c r="I1544" s="20"/>
      <c r="J1544" s="20"/>
      <c r="K1544" s="20"/>
      <c r="L1544" s="20"/>
      <c r="Q1544" s="83"/>
      <c r="Y1544" s="20"/>
      <c r="AP1544" s="92"/>
      <c r="AQ1544" s="67"/>
      <c r="AR1544" s="67"/>
      <c r="AS1544" s="73"/>
      <c r="AT1544" s="67"/>
      <c r="AU1544" s="67"/>
      <c r="AV1544" s="73"/>
      <c r="AW1544" s="68"/>
      <c r="AX1544" s="68"/>
      <c r="AY1544" s="68"/>
      <c r="AZ1544" s="68"/>
      <c r="BA1544" s="68"/>
      <c r="BB1544" s="67"/>
      <c r="BC1544" s="67"/>
      <c r="BD1544" s="67"/>
      <c r="BE1544" s="67"/>
      <c r="BF1544" s="95"/>
      <c r="BG1544" s="48"/>
      <c r="BH1544" s="48"/>
      <c r="BI1544" s="48"/>
      <c r="BJ1544" s="48"/>
      <c r="BK1544" s="48"/>
      <c r="BL1544" s="48"/>
      <c r="BM1544" s="48"/>
      <c r="BN1544" s="49"/>
      <c r="BO1544" s="48"/>
      <c r="BP1544" s="48"/>
      <c r="BQ1544" s="50"/>
    </row>
    <row r="1545" spans="1:69" ht="16" x14ac:dyDescent="0.35">
      <c r="A1545"/>
      <c r="D1545"/>
      <c r="G1545"/>
      <c r="H1545" s="20"/>
      <c r="I1545" s="20"/>
      <c r="J1545" s="20"/>
      <c r="K1545" s="20"/>
      <c r="L1545" s="20"/>
      <c r="Q1545" s="83"/>
      <c r="Y1545" s="20"/>
      <c r="AP1545" s="93"/>
      <c r="AQ1545" s="31"/>
      <c r="AR1545" s="31"/>
      <c r="AS1545" s="94"/>
      <c r="AT1545" s="31"/>
      <c r="AU1545" s="31"/>
      <c r="AV1545" s="94"/>
      <c r="AW1545" s="32"/>
      <c r="AX1545" s="32"/>
      <c r="AY1545" s="32"/>
      <c r="AZ1545" s="32"/>
      <c r="BA1545" s="32"/>
      <c r="BB1545" s="31"/>
      <c r="BC1545" s="31"/>
      <c r="BD1545" s="31"/>
      <c r="BE1545" s="31"/>
      <c r="BF1545" s="96"/>
      <c r="BG1545" s="52"/>
      <c r="BH1545" s="52"/>
      <c r="BI1545" s="52"/>
      <c r="BJ1545" s="52"/>
      <c r="BK1545" s="52"/>
      <c r="BL1545" s="52"/>
      <c r="BM1545" s="52"/>
      <c r="BN1545" s="53"/>
      <c r="BO1545" s="52"/>
      <c r="BP1545" s="52"/>
      <c r="BQ1545" s="54"/>
    </row>
    <row r="1546" spans="1:69" ht="16" x14ac:dyDescent="0.35">
      <c r="A1546"/>
      <c r="D1546"/>
      <c r="G1546"/>
      <c r="H1546" s="20"/>
      <c r="I1546" s="20"/>
      <c r="J1546" s="20"/>
      <c r="K1546" s="20"/>
      <c r="L1546" s="20"/>
      <c r="Q1546" s="83"/>
      <c r="Y1546" s="20"/>
      <c r="AP1546" s="92"/>
      <c r="AQ1546" s="67"/>
      <c r="AR1546" s="67"/>
      <c r="AS1546" s="73"/>
      <c r="AT1546" s="67"/>
      <c r="AU1546" s="67"/>
      <c r="AV1546" s="73"/>
      <c r="AW1546" s="68"/>
      <c r="AX1546" s="68"/>
      <c r="AY1546" s="68"/>
      <c r="AZ1546" s="68"/>
      <c r="BA1546" s="68"/>
      <c r="BB1546" s="67"/>
      <c r="BC1546" s="67"/>
      <c r="BD1546" s="67"/>
      <c r="BE1546" s="67"/>
      <c r="BF1546" s="95"/>
      <c r="BG1546" s="48"/>
      <c r="BH1546" s="48"/>
      <c r="BI1546" s="48"/>
      <c r="BJ1546" s="48"/>
      <c r="BK1546" s="48"/>
      <c r="BL1546" s="48"/>
      <c r="BM1546" s="48"/>
      <c r="BN1546" s="49"/>
      <c r="BO1546" s="48"/>
      <c r="BP1546" s="48"/>
      <c r="BQ1546" s="50"/>
    </row>
    <row r="1547" spans="1:69" ht="16" x14ac:dyDescent="0.35">
      <c r="A1547"/>
      <c r="D1547"/>
      <c r="G1547"/>
      <c r="H1547" s="20"/>
      <c r="I1547" s="20"/>
      <c r="J1547" s="20"/>
      <c r="K1547" s="20"/>
      <c r="L1547" s="20"/>
      <c r="Q1547" s="83"/>
      <c r="Y1547" s="20"/>
      <c r="AP1547" s="93"/>
      <c r="AQ1547" s="31"/>
      <c r="AR1547" s="31"/>
      <c r="AS1547" s="94"/>
      <c r="AT1547" s="31"/>
      <c r="AU1547" s="31"/>
      <c r="AV1547" s="94"/>
      <c r="AW1547" s="32"/>
      <c r="AX1547" s="32"/>
      <c r="AY1547" s="32"/>
      <c r="AZ1547" s="32"/>
      <c r="BA1547" s="32"/>
      <c r="BB1547" s="31"/>
      <c r="BC1547" s="31"/>
      <c r="BD1547" s="31"/>
      <c r="BE1547" s="31"/>
      <c r="BF1547" s="96"/>
      <c r="BG1547" s="52"/>
      <c r="BH1547" s="52"/>
      <c r="BI1547" s="52"/>
      <c r="BJ1547" s="52"/>
      <c r="BK1547" s="52"/>
      <c r="BL1547" s="52"/>
      <c r="BM1547" s="52"/>
      <c r="BN1547" s="53"/>
      <c r="BO1547" s="52"/>
      <c r="BP1547" s="52"/>
      <c r="BQ1547" s="54"/>
    </row>
    <row r="1548" spans="1:69" ht="16" x14ac:dyDescent="0.35">
      <c r="A1548"/>
      <c r="D1548"/>
      <c r="G1548"/>
      <c r="H1548" s="20"/>
      <c r="I1548" s="20"/>
      <c r="J1548" s="20"/>
      <c r="K1548" s="20"/>
      <c r="L1548" s="20"/>
      <c r="Q1548" s="83"/>
      <c r="Y1548" s="20"/>
      <c r="AP1548" s="92"/>
      <c r="AQ1548" s="67"/>
      <c r="AR1548" s="67"/>
      <c r="AS1548" s="73"/>
      <c r="AT1548" s="67"/>
      <c r="AU1548" s="67"/>
      <c r="AV1548" s="73"/>
      <c r="AW1548" s="68"/>
      <c r="AX1548" s="68"/>
      <c r="AY1548" s="68"/>
      <c r="AZ1548" s="68"/>
      <c r="BA1548" s="68"/>
      <c r="BB1548" s="67"/>
      <c r="BC1548" s="67"/>
      <c r="BD1548" s="67"/>
      <c r="BE1548" s="67"/>
      <c r="BF1548" s="95"/>
      <c r="BG1548" s="48"/>
      <c r="BH1548" s="48"/>
      <c r="BI1548" s="48"/>
      <c r="BJ1548" s="48"/>
      <c r="BK1548" s="48"/>
      <c r="BL1548" s="48"/>
      <c r="BM1548" s="48"/>
      <c r="BN1548" s="49"/>
      <c r="BO1548" s="48"/>
      <c r="BP1548" s="48"/>
      <c r="BQ1548" s="50"/>
    </row>
    <row r="1549" spans="1:69" ht="16" x14ac:dyDescent="0.35">
      <c r="A1549"/>
      <c r="D1549"/>
      <c r="G1549"/>
      <c r="H1549" s="20"/>
      <c r="I1549" s="20"/>
      <c r="J1549" s="20"/>
      <c r="K1549" s="20"/>
      <c r="L1549" s="20"/>
      <c r="Q1549" s="83"/>
      <c r="Y1549" s="20"/>
      <c r="AP1549" s="93"/>
      <c r="AQ1549" s="31"/>
      <c r="AR1549" s="31"/>
      <c r="AS1549" s="94"/>
      <c r="AT1549" s="31"/>
      <c r="AU1549" s="31"/>
      <c r="AV1549" s="94"/>
      <c r="AW1549" s="32"/>
      <c r="AX1549" s="32"/>
      <c r="AY1549" s="32"/>
      <c r="AZ1549" s="32"/>
      <c r="BA1549" s="32"/>
      <c r="BB1549" s="31"/>
      <c r="BC1549" s="31"/>
      <c r="BD1549" s="31"/>
      <c r="BE1549" s="31"/>
      <c r="BF1549" s="96"/>
      <c r="BG1549" s="52"/>
      <c r="BH1549" s="52"/>
      <c r="BI1549" s="52"/>
      <c r="BJ1549" s="52"/>
      <c r="BK1549" s="52"/>
      <c r="BL1549" s="52"/>
      <c r="BM1549" s="52"/>
      <c r="BN1549" s="53"/>
      <c r="BO1549" s="52"/>
      <c r="BP1549" s="52"/>
      <c r="BQ1549" s="54"/>
    </row>
    <row r="1550" spans="1:69" ht="16" x14ac:dyDescent="0.35">
      <c r="A1550"/>
      <c r="D1550"/>
      <c r="G1550"/>
      <c r="H1550" s="20"/>
      <c r="I1550" s="20"/>
      <c r="J1550" s="20"/>
      <c r="K1550" s="20"/>
      <c r="L1550" s="20"/>
      <c r="Q1550" s="83"/>
      <c r="Y1550" s="20"/>
      <c r="AP1550" s="92"/>
      <c r="AQ1550" s="67"/>
      <c r="AR1550" s="67"/>
      <c r="AS1550" s="73"/>
      <c r="AT1550" s="67"/>
      <c r="AU1550" s="67"/>
      <c r="AV1550" s="73"/>
      <c r="AW1550" s="68"/>
      <c r="AX1550" s="68"/>
      <c r="AY1550" s="68"/>
      <c r="AZ1550" s="68"/>
      <c r="BA1550" s="68"/>
      <c r="BB1550" s="67"/>
      <c r="BC1550" s="67"/>
      <c r="BD1550" s="67"/>
      <c r="BE1550" s="67"/>
      <c r="BF1550" s="95"/>
      <c r="BG1550" s="48"/>
      <c r="BH1550" s="48"/>
      <c r="BI1550" s="48"/>
      <c r="BJ1550" s="48"/>
      <c r="BK1550" s="48"/>
      <c r="BL1550" s="48"/>
      <c r="BM1550" s="48"/>
      <c r="BN1550" s="49"/>
      <c r="BO1550" s="48"/>
      <c r="BP1550" s="48"/>
      <c r="BQ1550" s="50"/>
    </row>
    <row r="1551" spans="1:69" ht="16" x14ac:dyDescent="0.35">
      <c r="A1551"/>
      <c r="D1551"/>
      <c r="G1551"/>
      <c r="H1551" s="20"/>
      <c r="I1551" s="20"/>
      <c r="J1551" s="20"/>
      <c r="K1551" s="20"/>
      <c r="L1551" s="20"/>
      <c r="Q1551" s="83"/>
      <c r="Y1551" s="20"/>
      <c r="AP1551" s="93"/>
      <c r="AQ1551" s="31"/>
      <c r="AR1551" s="31"/>
      <c r="AS1551" s="94"/>
      <c r="AT1551" s="31"/>
      <c r="AU1551" s="31"/>
      <c r="AV1551" s="94"/>
      <c r="AW1551" s="32"/>
      <c r="AX1551" s="32"/>
      <c r="AY1551" s="32"/>
      <c r="AZ1551" s="32"/>
      <c r="BA1551" s="32"/>
      <c r="BB1551" s="31"/>
      <c r="BC1551" s="31"/>
      <c r="BD1551" s="31"/>
      <c r="BE1551" s="31"/>
      <c r="BF1551" s="96"/>
      <c r="BG1551" s="52"/>
      <c r="BH1551" s="52"/>
      <c r="BI1551" s="52"/>
      <c r="BJ1551" s="52"/>
      <c r="BK1551" s="52"/>
      <c r="BL1551" s="52"/>
      <c r="BM1551" s="52"/>
      <c r="BN1551" s="53"/>
      <c r="BO1551" s="52"/>
      <c r="BP1551" s="52"/>
      <c r="BQ1551" s="54"/>
    </row>
    <row r="1552" spans="1:69" ht="16" x14ac:dyDescent="0.35">
      <c r="A1552"/>
      <c r="D1552"/>
      <c r="G1552"/>
      <c r="H1552" s="20"/>
      <c r="I1552" s="20"/>
      <c r="J1552" s="20"/>
      <c r="K1552" s="20"/>
      <c r="L1552" s="20"/>
      <c r="Q1552" s="83"/>
      <c r="Y1552" s="20"/>
      <c r="AP1552" s="92"/>
      <c r="AQ1552" s="67"/>
      <c r="AR1552" s="67"/>
      <c r="AS1552" s="73"/>
      <c r="AT1552" s="67"/>
      <c r="AU1552" s="67"/>
      <c r="AV1552" s="73"/>
      <c r="AW1552" s="68"/>
      <c r="AX1552" s="68"/>
      <c r="AY1552" s="68"/>
      <c r="AZ1552" s="68"/>
      <c r="BA1552" s="68"/>
      <c r="BB1552" s="67"/>
      <c r="BC1552" s="67"/>
      <c r="BD1552" s="67"/>
      <c r="BE1552" s="67"/>
      <c r="BF1552" s="95"/>
      <c r="BG1552" s="48"/>
      <c r="BH1552" s="48"/>
      <c r="BI1552" s="48"/>
      <c r="BJ1552" s="48"/>
      <c r="BK1552" s="48"/>
      <c r="BL1552" s="48"/>
      <c r="BM1552" s="48"/>
      <c r="BN1552" s="49"/>
      <c r="BO1552" s="48"/>
      <c r="BP1552" s="48"/>
      <c r="BQ1552" s="50"/>
    </row>
    <row r="1553" spans="1:69" ht="16" x14ac:dyDescent="0.35">
      <c r="A1553"/>
      <c r="D1553"/>
      <c r="G1553"/>
      <c r="H1553" s="20"/>
      <c r="I1553" s="20"/>
      <c r="J1553" s="20"/>
      <c r="K1553" s="20"/>
      <c r="L1553" s="20"/>
      <c r="Q1553" s="83"/>
      <c r="Y1553" s="20"/>
      <c r="AP1553" s="93"/>
      <c r="AQ1553" s="31"/>
      <c r="AR1553" s="31"/>
      <c r="AS1553" s="94"/>
      <c r="AT1553" s="31"/>
      <c r="AU1553" s="31"/>
      <c r="AV1553" s="94"/>
      <c r="AW1553" s="32"/>
      <c r="AX1553" s="32"/>
      <c r="AY1553" s="32"/>
      <c r="AZ1553" s="32"/>
      <c r="BA1553" s="32"/>
      <c r="BB1553" s="31"/>
      <c r="BC1553" s="31"/>
      <c r="BD1553" s="31"/>
      <c r="BE1553" s="31"/>
      <c r="BF1553" s="96"/>
      <c r="BG1553" s="52"/>
      <c r="BH1553" s="52"/>
      <c r="BI1553" s="52"/>
      <c r="BJ1553" s="52"/>
      <c r="BK1553" s="52"/>
      <c r="BL1553" s="52"/>
      <c r="BM1553" s="52"/>
      <c r="BN1553" s="53"/>
      <c r="BO1553" s="52"/>
      <c r="BP1553" s="52"/>
      <c r="BQ1553" s="54"/>
    </row>
    <row r="1554" spans="1:69" ht="16" x14ac:dyDescent="0.35">
      <c r="A1554"/>
      <c r="D1554"/>
      <c r="G1554"/>
      <c r="H1554" s="20"/>
      <c r="I1554" s="20"/>
      <c r="J1554" s="20"/>
      <c r="K1554" s="20"/>
      <c r="L1554" s="20"/>
      <c r="Q1554" s="83"/>
      <c r="Y1554" s="20"/>
      <c r="AP1554" s="92"/>
      <c r="AQ1554" s="67"/>
      <c r="AR1554" s="67"/>
      <c r="AS1554" s="73"/>
      <c r="AT1554" s="67"/>
      <c r="AU1554" s="67"/>
      <c r="AV1554" s="73"/>
      <c r="AW1554" s="68"/>
      <c r="AX1554" s="68"/>
      <c r="AY1554" s="68"/>
      <c r="AZ1554" s="68"/>
      <c r="BA1554" s="68"/>
      <c r="BB1554" s="67"/>
      <c r="BC1554" s="67"/>
      <c r="BD1554" s="67"/>
      <c r="BE1554" s="67"/>
      <c r="BF1554" s="95"/>
      <c r="BG1554" s="48"/>
      <c r="BH1554" s="48"/>
      <c r="BI1554" s="48"/>
      <c r="BJ1554" s="48"/>
      <c r="BK1554" s="48"/>
      <c r="BL1554" s="48"/>
      <c r="BM1554" s="48"/>
      <c r="BN1554" s="49"/>
      <c r="BO1554" s="48"/>
      <c r="BP1554" s="48"/>
      <c r="BQ1554" s="50"/>
    </row>
    <row r="1555" spans="1:69" ht="16" x14ac:dyDescent="0.35">
      <c r="A1555"/>
      <c r="D1555"/>
      <c r="G1555"/>
      <c r="H1555" s="20"/>
      <c r="I1555" s="20"/>
      <c r="J1555" s="20"/>
      <c r="K1555" s="20"/>
      <c r="L1555" s="20"/>
      <c r="Q1555" s="83"/>
      <c r="Y1555" s="20"/>
      <c r="AP1555" s="93"/>
      <c r="AQ1555" s="31"/>
      <c r="AR1555" s="31"/>
      <c r="AS1555" s="94"/>
      <c r="AT1555" s="31"/>
      <c r="AU1555" s="31"/>
      <c r="AV1555" s="94"/>
      <c r="AW1555" s="32"/>
      <c r="AX1555" s="32"/>
      <c r="AY1555" s="32"/>
      <c r="AZ1555" s="32"/>
      <c r="BA1555" s="32"/>
      <c r="BB1555" s="31"/>
      <c r="BC1555" s="31"/>
      <c r="BD1555" s="31"/>
      <c r="BE1555" s="31"/>
      <c r="BF1555" s="96"/>
      <c r="BG1555" s="52"/>
      <c r="BH1555" s="52"/>
      <c r="BI1555" s="52"/>
      <c r="BJ1555" s="52"/>
      <c r="BK1555" s="52"/>
      <c r="BL1555" s="52"/>
      <c r="BM1555" s="52"/>
      <c r="BN1555" s="53"/>
      <c r="BO1555" s="52"/>
      <c r="BP1555" s="52"/>
      <c r="BQ1555" s="54"/>
    </row>
    <row r="1556" spans="1:69" ht="16" x14ac:dyDescent="0.35">
      <c r="A1556"/>
      <c r="D1556"/>
      <c r="G1556"/>
      <c r="H1556" s="20"/>
      <c r="I1556" s="20"/>
      <c r="J1556" s="20"/>
      <c r="K1556" s="20"/>
      <c r="L1556" s="20"/>
      <c r="Q1556" s="83"/>
      <c r="Y1556" s="20"/>
      <c r="AP1556" s="92"/>
      <c r="AQ1556" s="67"/>
      <c r="AR1556" s="67"/>
      <c r="AS1556" s="73"/>
      <c r="AT1556" s="67"/>
      <c r="AU1556" s="67"/>
      <c r="AV1556" s="73"/>
      <c r="AW1556" s="68"/>
      <c r="AX1556" s="68"/>
      <c r="AY1556" s="68"/>
      <c r="AZ1556" s="68"/>
      <c r="BA1556" s="68"/>
      <c r="BB1556" s="67"/>
      <c r="BC1556" s="67"/>
      <c r="BD1556" s="67"/>
      <c r="BE1556" s="67"/>
      <c r="BF1556" s="95"/>
      <c r="BG1556" s="48"/>
      <c r="BH1556" s="48"/>
      <c r="BI1556" s="48"/>
      <c r="BJ1556" s="48"/>
      <c r="BK1556" s="48"/>
      <c r="BL1556" s="48"/>
      <c r="BM1556" s="48"/>
      <c r="BN1556" s="49"/>
      <c r="BO1556" s="48"/>
      <c r="BP1556" s="48"/>
      <c r="BQ1556" s="50"/>
    </row>
    <row r="1557" spans="1:69" ht="16" x14ac:dyDescent="0.35">
      <c r="A1557"/>
      <c r="D1557"/>
      <c r="G1557"/>
      <c r="H1557" s="20"/>
      <c r="I1557" s="20"/>
      <c r="J1557" s="20"/>
      <c r="K1557" s="20"/>
      <c r="L1557" s="20"/>
      <c r="Q1557" s="83"/>
      <c r="Y1557" s="20"/>
      <c r="AP1557" s="93"/>
      <c r="AQ1557" s="31"/>
      <c r="AR1557" s="31"/>
      <c r="AS1557" s="94"/>
      <c r="AT1557" s="31"/>
      <c r="AU1557" s="31"/>
      <c r="AV1557" s="94"/>
      <c r="AW1557" s="32"/>
      <c r="AX1557" s="32"/>
      <c r="AY1557" s="32"/>
      <c r="AZ1557" s="32"/>
      <c r="BA1557" s="32"/>
      <c r="BB1557" s="31"/>
      <c r="BC1557" s="31"/>
      <c r="BD1557" s="31"/>
      <c r="BE1557" s="31"/>
      <c r="BF1557" s="96"/>
      <c r="BG1557" s="52"/>
      <c r="BH1557" s="52"/>
      <c r="BI1557" s="52"/>
      <c r="BJ1557" s="52"/>
      <c r="BK1557" s="52"/>
      <c r="BL1557" s="52"/>
      <c r="BM1557" s="52"/>
      <c r="BN1557" s="53"/>
      <c r="BO1557" s="52"/>
      <c r="BP1557" s="52"/>
      <c r="BQ1557" s="54"/>
    </row>
    <row r="1558" spans="1:69" ht="16" x14ac:dyDescent="0.35">
      <c r="A1558"/>
      <c r="D1558"/>
      <c r="G1558"/>
      <c r="H1558" s="20"/>
      <c r="I1558" s="20"/>
      <c r="J1558" s="20"/>
      <c r="K1558" s="20"/>
      <c r="L1558" s="20"/>
      <c r="Q1558" s="83"/>
      <c r="Y1558" s="20"/>
      <c r="AP1558" s="92"/>
      <c r="AQ1558" s="67"/>
      <c r="AR1558" s="67"/>
      <c r="AS1558" s="73"/>
      <c r="AT1558" s="67"/>
      <c r="AU1558" s="67"/>
      <c r="AV1558" s="73"/>
      <c r="AW1558" s="68"/>
      <c r="AX1558" s="68"/>
      <c r="AY1558" s="68"/>
      <c r="AZ1558" s="68"/>
      <c r="BA1558" s="68"/>
      <c r="BB1558" s="67"/>
      <c r="BC1558" s="67"/>
      <c r="BD1558" s="67"/>
      <c r="BE1558" s="67"/>
      <c r="BF1558" s="95"/>
      <c r="BG1558" s="48"/>
      <c r="BH1558" s="48"/>
      <c r="BI1558" s="48"/>
      <c r="BJ1558" s="48"/>
      <c r="BK1558" s="48"/>
      <c r="BL1558" s="48"/>
      <c r="BM1558" s="48"/>
      <c r="BN1558" s="49"/>
      <c r="BO1558" s="48"/>
      <c r="BP1558" s="48"/>
      <c r="BQ1558" s="50"/>
    </row>
    <row r="1559" spans="1:69" ht="16" x14ac:dyDescent="0.35">
      <c r="A1559"/>
      <c r="D1559"/>
      <c r="G1559"/>
      <c r="H1559" s="20"/>
      <c r="I1559" s="20"/>
      <c r="J1559" s="20"/>
      <c r="K1559" s="20"/>
      <c r="L1559" s="20"/>
      <c r="Q1559" s="83"/>
      <c r="Y1559" s="20"/>
      <c r="AP1559" s="93"/>
      <c r="AQ1559" s="31"/>
      <c r="AR1559" s="31"/>
      <c r="AS1559" s="94"/>
      <c r="AT1559" s="31"/>
      <c r="AU1559" s="31"/>
      <c r="AV1559" s="94"/>
      <c r="AW1559" s="32"/>
      <c r="AX1559" s="32"/>
      <c r="AY1559" s="32"/>
      <c r="AZ1559" s="32"/>
      <c r="BA1559" s="32"/>
      <c r="BB1559" s="31"/>
      <c r="BC1559" s="31"/>
      <c r="BD1559" s="31"/>
      <c r="BE1559" s="31"/>
      <c r="BF1559" s="96"/>
      <c r="BG1559" s="52"/>
      <c r="BH1559" s="52"/>
      <c r="BI1559" s="52"/>
      <c r="BJ1559" s="52"/>
      <c r="BK1559" s="52"/>
      <c r="BL1559" s="52"/>
      <c r="BM1559" s="52"/>
      <c r="BN1559" s="53"/>
      <c r="BO1559" s="52"/>
      <c r="BP1559" s="52"/>
      <c r="BQ1559" s="54"/>
    </row>
    <row r="1560" spans="1:69" ht="16" x14ac:dyDescent="0.35">
      <c r="A1560"/>
      <c r="D1560"/>
      <c r="G1560"/>
      <c r="H1560" s="20"/>
      <c r="I1560" s="20"/>
      <c r="J1560" s="20"/>
      <c r="K1560" s="20"/>
      <c r="L1560" s="20"/>
      <c r="Q1560" s="83"/>
      <c r="Y1560" s="20"/>
      <c r="AP1560" s="92"/>
      <c r="AQ1560" s="67"/>
      <c r="AR1560" s="67"/>
      <c r="AS1560" s="73"/>
      <c r="AT1560" s="67"/>
      <c r="AU1560" s="67"/>
      <c r="AV1560" s="73"/>
      <c r="AW1560" s="68"/>
      <c r="AX1560" s="68"/>
      <c r="AY1560" s="68"/>
      <c r="AZ1560" s="68"/>
      <c r="BA1560" s="68"/>
      <c r="BB1560" s="67"/>
      <c r="BC1560" s="67"/>
      <c r="BD1560" s="67"/>
      <c r="BE1560" s="67"/>
      <c r="BF1560" s="95"/>
      <c r="BG1560" s="48"/>
      <c r="BH1560" s="48"/>
      <c r="BI1560" s="48"/>
      <c r="BJ1560" s="48"/>
      <c r="BK1560" s="48"/>
      <c r="BL1560" s="48"/>
      <c r="BM1560" s="48"/>
      <c r="BN1560" s="49"/>
      <c r="BO1560" s="48"/>
      <c r="BP1560" s="48"/>
      <c r="BQ1560" s="50"/>
    </row>
    <row r="1561" spans="1:69" ht="16" x14ac:dyDescent="0.35">
      <c r="A1561"/>
      <c r="D1561"/>
      <c r="G1561"/>
      <c r="H1561" s="20"/>
      <c r="I1561" s="20"/>
      <c r="J1561" s="20"/>
      <c r="K1561" s="20"/>
      <c r="L1561" s="20"/>
      <c r="Q1561" s="83"/>
      <c r="Y1561" s="20"/>
      <c r="AP1561" s="93"/>
      <c r="AQ1561" s="31"/>
      <c r="AR1561" s="31"/>
      <c r="AS1561" s="94"/>
      <c r="AT1561" s="31"/>
      <c r="AU1561" s="31"/>
      <c r="AV1561" s="94"/>
      <c r="AW1561" s="32"/>
      <c r="AX1561" s="32"/>
      <c r="AY1561" s="32"/>
      <c r="AZ1561" s="32"/>
      <c r="BA1561" s="32"/>
      <c r="BB1561" s="31"/>
      <c r="BC1561" s="31"/>
      <c r="BD1561" s="31"/>
      <c r="BE1561" s="31"/>
      <c r="BF1561" s="96"/>
      <c r="BG1561" s="52"/>
      <c r="BH1561" s="52"/>
      <c r="BI1561" s="52"/>
      <c r="BJ1561" s="52"/>
      <c r="BK1561" s="52"/>
      <c r="BL1561" s="52"/>
      <c r="BM1561" s="52"/>
      <c r="BN1561" s="53"/>
      <c r="BO1561" s="52"/>
      <c r="BP1561" s="52"/>
      <c r="BQ1561" s="54"/>
    </row>
    <row r="1562" spans="1:69" ht="16" x14ac:dyDescent="0.35">
      <c r="A1562"/>
      <c r="D1562"/>
      <c r="G1562"/>
      <c r="H1562" s="20"/>
      <c r="I1562" s="20"/>
      <c r="J1562" s="20"/>
      <c r="K1562" s="20"/>
      <c r="L1562" s="20"/>
      <c r="Q1562" s="83"/>
      <c r="Y1562" s="20"/>
      <c r="AP1562" s="92"/>
      <c r="AQ1562" s="67"/>
      <c r="AR1562" s="67"/>
      <c r="AS1562" s="73"/>
      <c r="AT1562" s="67"/>
      <c r="AU1562" s="67"/>
      <c r="AV1562" s="73"/>
      <c r="AW1562" s="68"/>
      <c r="AX1562" s="68"/>
      <c r="AY1562" s="68"/>
      <c r="AZ1562" s="68"/>
      <c r="BA1562" s="68"/>
      <c r="BB1562" s="67"/>
      <c r="BC1562" s="67"/>
      <c r="BD1562" s="67"/>
      <c r="BE1562" s="67"/>
      <c r="BF1562" s="95"/>
      <c r="BG1562" s="48"/>
      <c r="BH1562" s="48"/>
      <c r="BI1562" s="48"/>
      <c r="BJ1562" s="48"/>
      <c r="BK1562" s="48"/>
      <c r="BL1562" s="48"/>
      <c r="BM1562" s="48"/>
      <c r="BN1562" s="49"/>
      <c r="BO1562" s="48"/>
      <c r="BP1562" s="48"/>
      <c r="BQ1562" s="50"/>
    </row>
    <row r="1563" spans="1:69" ht="16" x14ac:dyDescent="0.35">
      <c r="A1563"/>
      <c r="D1563"/>
      <c r="G1563"/>
      <c r="H1563" s="20"/>
      <c r="I1563" s="20"/>
      <c r="J1563" s="20"/>
      <c r="K1563" s="20"/>
      <c r="L1563" s="20"/>
      <c r="Q1563" s="83"/>
      <c r="Y1563" s="20"/>
      <c r="AP1563" s="93"/>
      <c r="AQ1563" s="31"/>
      <c r="AR1563" s="31"/>
      <c r="AS1563" s="94"/>
      <c r="AT1563" s="31"/>
      <c r="AU1563" s="31"/>
      <c r="AV1563" s="94"/>
      <c r="AW1563" s="32"/>
      <c r="AX1563" s="32"/>
      <c r="AY1563" s="32"/>
      <c r="AZ1563" s="32"/>
      <c r="BA1563" s="32"/>
      <c r="BB1563" s="31"/>
      <c r="BC1563" s="31"/>
      <c r="BD1563" s="31"/>
      <c r="BE1563" s="31"/>
      <c r="BF1563" s="96"/>
      <c r="BG1563" s="52"/>
      <c r="BH1563" s="52"/>
      <c r="BI1563" s="52"/>
      <c r="BJ1563" s="52"/>
      <c r="BK1563" s="52"/>
      <c r="BL1563" s="52"/>
      <c r="BM1563" s="52"/>
      <c r="BN1563" s="53"/>
      <c r="BO1563" s="52"/>
      <c r="BP1563" s="52"/>
      <c r="BQ1563" s="54"/>
    </row>
    <row r="1564" spans="1:69" ht="16" x14ac:dyDescent="0.35">
      <c r="A1564"/>
      <c r="D1564"/>
      <c r="G1564"/>
      <c r="H1564" s="20"/>
      <c r="I1564" s="20"/>
      <c r="J1564" s="20"/>
      <c r="K1564" s="20"/>
      <c r="L1564" s="20"/>
      <c r="Q1564" s="83"/>
      <c r="Y1564" s="20"/>
      <c r="AP1564" s="92"/>
      <c r="AQ1564" s="67"/>
      <c r="AR1564" s="67"/>
      <c r="AS1564" s="73"/>
      <c r="AT1564" s="67"/>
      <c r="AU1564" s="67"/>
      <c r="AV1564" s="73"/>
      <c r="AW1564" s="68"/>
      <c r="AX1564" s="68"/>
      <c r="AY1564" s="68"/>
      <c r="AZ1564" s="68"/>
      <c r="BA1564" s="68"/>
      <c r="BB1564" s="67"/>
      <c r="BC1564" s="67"/>
      <c r="BD1564" s="67"/>
      <c r="BE1564" s="67"/>
      <c r="BF1564" s="95"/>
      <c r="BG1564" s="48"/>
      <c r="BH1564" s="48"/>
      <c r="BI1564" s="48"/>
      <c r="BJ1564" s="48"/>
      <c r="BK1564" s="48"/>
      <c r="BL1564" s="48"/>
      <c r="BM1564" s="48"/>
      <c r="BN1564" s="49"/>
      <c r="BO1564" s="48"/>
      <c r="BP1564" s="48"/>
      <c r="BQ1564" s="50"/>
    </row>
    <row r="1565" spans="1:69" ht="16" x14ac:dyDescent="0.35">
      <c r="A1565"/>
      <c r="D1565"/>
      <c r="G1565"/>
      <c r="H1565" s="20"/>
      <c r="I1565" s="20"/>
      <c r="J1565" s="20"/>
      <c r="K1565" s="20"/>
      <c r="L1565" s="20"/>
      <c r="Q1565" s="83"/>
      <c r="Y1565" s="20"/>
      <c r="AP1565" s="93"/>
      <c r="AQ1565" s="31"/>
      <c r="AR1565" s="31"/>
      <c r="AS1565" s="94"/>
      <c r="AT1565" s="31"/>
      <c r="AU1565" s="31"/>
      <c r="AV1565" s="94"/>
      <c r="AW1565" s="32"/>
      <c r="AX1565" s="32"/>
      <c r="AY1565" s="32"/>
      <c r="AZ1565" s="32"/>
      <c r="BA1565" s="32"/>
      <c r="BB1565" s="31"/>
      <c r="BC1565" s="31"/>
      <c r="BD1565" s="31"/>
      <c r="BE1565" s="31"/>
      <c r="BF1565" s="96"/>
      <c r="BG1565" s="52"/>
      <c r="BH1565" s="52"/>
      <c r="BI1565" s="52"/>
      <c r="BJ1565" s="52"/>
      <c r="BK1565" s="52"/>
      <c r="BL1565" s="52"/>
      <c r="BM1565" s="52"/>
      <c r="BN1565" s="53"/>
      <c r="BO1565" s="52"/>
      <c r="BP1565" s="52"/>
      <c r="BQ1565" s="54"/>
    </row>
    <row r="1566" spans="1:69" ht="16" x14ac:dyDescent="0.35">
      <c r="A1566"/>
      <c r="D1566"/>
      <c r="G1566"/>
      <c r="H1566" s="20"/>
      <c r="I1566" s="20"/>
      <c r="J1566" s="20"/>
      <c r="K1566" s="20"/>
      <c r="L1566" s="20"/>
      <c r="Q1566" s="83"/>
      <c r="Y1566" s="20"/>
      <c r="AP1566" s="92"/>
      <c r="AQ1566" s="67"/>
      <c r="AR1566" s="67"/>
      <c r="AS1566" s="73"/>
      <c r="AT1566" s="67"/>
      <c r="AU1566" s="67"/>
      <c r="AV1566" s="73"/>
      <c r="AW1566" s="68"/>
      <c r="AX1566" s="68"/>
      <c r="AY1566" s="68"/>
      <c r="AZ1566" s="68"/>
      <c r="BA1566" s="68"/>
      <c r="BB1566" s="67"/>
      <c r="BC1566" s="67"/>
      <c r="BD1566" s="67"/>
      <c r="BE1566" s="67"/>
      <c r="BF1566" s="95"/>
      <c r="BG1566" s="48"/>
      <c r="BH1566" s="48"/>
      <c r="BI1566" s="48"/>
      <c r="BJ1566" s="48"/>
      <c r="BK1566" s="48"/>
      <c r="BL1566" s="48"/>
      <c r="BM1566" s="48"/>
      <c r="BN1566" s="49"/>
      <c r="BO1566" s="48"/>
      <c r="BP1566" s="48"/>
      <c r="BQ1566" s="50"/>
    </row>
    <row r="1567" spans="1:69" ht="16" x14ac:dyDescent="0.35">
      <c r="A1567"/>
      <c r="D1567"/>
      <c r="G1567"/>
      <c r="H1567" s="20"/>
      <c r="I1567" s="20"/>
      <c r="J1567" s="20"/>
      <c r="K1567" s="20"/>
      <c r="L1567" s="20"/>
      <c r="Q1567" s="83"/>
      <c r="Y1567" s="20"/>
      <c r="AP1567" s="93"/>
      <c r="AQ1567" s="31"/>
      <c r="AR1567" s="31"/>
      <c r="AS1567" s="94"/>
      <c r="AT1567" s="31"/>
      <c r="AU1567" s="31"/>
      <c r="AV1567" s="94"/>
      <c r="AW1567" s="32"/>
      <c r="AX1567" s="32"/>
      <c r="AY1567" s="32"/>
      <c r="AZ1567" s="32"/>
      <c r="BA1567" s="32"/>
      <c r="BB1567" s="31"/>
      <c r="BC1567" s="31"/>
      <c r="BD1567" s="31"/>
      <c r="BE1567" s="31"/>
      <c r="BF1567" s="96"/>
      <c r="BG1567" s="52"/>
      <c r="BH1567" s="52"/>
      <c r="BI1567" s="52"/>
      <c r="BJ1567" s="52"/>
      <c r="BK1567" s="52"/>
      <c r="BL1567" s="52"/>
      <c r="BM1567" s="52"/>
      <c r="BN1567" s="53"/>
      <c r="BO1567" s="52"/>
      <c r="BP1567" s="52"/>
      <c r="BQ1567" s="54"/>
    </row>
    <row r="1568" spans="1:69" ht="16" x14ac:dyDescent="0.35">
      <c r="A1568"/>
      <c r="D1568"/>
      <c r="G1568"/>
      <c r="H1568" s="20"/>
      <c r="I1568" s="20"/>
      <c r="J1568" s="20"/>
      <c r="K1568" s="20"/>
      <c r="L1568" s="20"/>
      <c r="Q1568" s="83"/>
      <c r="Y1568" s="20"/>
      <c r="AP1568" s="92"/>
      <c r="AQ1568" s="67"/>
      <c r="AR1568" s="67"/>
      <c r="AS1568" s="73"/>
      <c r="AT1568" s="67"/>
      <c r="AU1568" s="67"/>
      <c r="AV1568" s="73"/>
      <c r="AW1568" s="68"/>
      <c r="AX1568" s="68"/>
      <c r="AY1568" s="68"/>
      <c r="AZ1568" s="68"/>
      <c r="BA1568" s="68"/>
      <c r="BB1568" s="67"/>
      <c r="BC1568" s="67"/>
      <c r="BD1568" s="67"/>
      <c r="BE1568" s="67"/>
      <c r="BF1568" s="95"/>
      <c r="BG1568" s="48"/>
      <c r="BH1568" s="48"/>
      <c r="BI1568" s="48"/>
      <c r="BJ1568" s="48"/>
      <c r="BK1568" s="48"/>
      <c r="BL1568" s="48"/>
      <c r="BM1568" s="48"/>
      <c r="BN1568" s="49"/>
      <c r="BO1568" s="48"/>
      <c r="BP1568" s="48"/>
      <c r="BQ1568" s="50"/>
    </row>
    <row r="1569" spans="1:69" ht="16" x14ac:dyDescent="0.35">
      <c r="A1569"/>
      <c r="D1569"/>
      <c r="G1569"/>
      <c r="H1569" s="20"/>
      <c r="I1569" s="20"/>
      <c r="J1569" s="20"/>
      <c r="K1569" s="20"/>
      <c r="L1569" s="20"/>
      <c r="Q1569" s="83"/>
      <c r="Y1569" s="20"/>
      <c r="AP1569" s="93"/>
      <c r="AQ1569" s="31"/>
      <c r="AR1569" s="31"/>
      <c r="AS1569" s="94"/>
      <c r="AT1569" s="31"/>
      <c r="AU1569" s="31"/>
      <c r="AV1569" s="94"/>
      <c r="AW1569" s="32"/>
      <c r="AX1569" s="32"/>
      <c r="AY1569" s="32"/>
      <c r="AZ1569" s="32"/>
      <c r="BA1569" s="32"/>
      <c r="BB1569" s="31"/>
      <c r="BC1569" s="31"/>
      <c r="BD1569" s="31"/>
      <c r="BE1569" s="31"/>
      <c r="BF1569" s="96"/>
      <c r="BG1569" s="52"/>
      <c r="BH1569" s="52"/>
      <c r="BI1569" s="52"/>
      <c r="BJ1569" s="52"/>
      <c r="BK1569" s="52"/>
      <c r="BL1569" s="52"/>
      <c r="BM1569" s="52"/>
      <c r="BN1569" s="53"/>
      <c r="BO1569" s="52"/>
      <c r="BP1569" s="52"/>
      <c r="BQ1569" s="54"/>
    </row>
    <row r="1570" spans="1:69" ht="16" x14ac:dyDescent="0.35">
      <c r="A1570"/>
      <c r="D1570"/>
      <c r="G1570"/>
      <c r="H1570" s="20"/>
      <c r="I1570" s="20"/>
      <c r="J1570" s="20"/>
      <c r="K1570" s="20"/>
      <c r="L1570" s="20"/>
      <c r="Q1570" s="83"/>
      <c r="Y1570" s="20"/>
      <c r="AP1570" s="92"/>
      <c r="AQ1570" s="67"/>
      <c r="AR1570" s="67"/>
      <c r="AS1570" s="73"/>
      <c r="AT1570" s="67"/>
      <c r="AU1570" s="67"/>
      <c r="AV1570" s="73"/>
      <c r="AW1570" s="68"/>
      <c r="AX1570" s="68"/>
      <c r="AY1570" s="68"/>
      <c r="AZ1570" s="68"/>
      <c r="BA1570" s="68"/>
      <c r="BB1570" s="67"/>
      <c r="BC1570" s="67"/>
      <c r="BD1570" s="67"/>
      <c r="BE1570" s="67"/>
      <c r="BF1570" s="95"/>
      <c r="BG1570" s="48"/>
      <c r="BH1570" s="48"/>
      <c r="BI1570" s="48"/>
      <c r="BJ1570" s="48"/>
      <c r="BK1570" s="48"/>
      <c r="BL1570" s="48"/>
      <c r="BM1570" s="48"/>
      <c r="BN1570" s="49"/>
      <c r="BO1570" s="48"/>
      <c r="BP1570" s="48"/>
      <c r="BQ1570" s="50"/>
    </row>
    <row r="1571" spans="1:69" ht="16" x14ac:dyDescent="0.35">
      <c r="A1571"/>
      <c r="D1571"/>
      <c r="G1571"/>
      <c r="H1571" s="20"/>
      <c r="I1571" s="20"/>
      <c r="J1571" s="20"/>
      <c r="K1571" s="20"/>
      <c r="L1571" s="20"/>
      <c r="Q1571" s="83"/>
      <c r="Y1571" s="20"/>
      <c r="AP1571" s="93"/>
      <c r="AQ1571" s="31"/>
      <c r="AR1571" s="31"/>
      <c r="AS1571" s="94"/>
      <c r="AT1571" s="31"/>
      <c r="AU1571" s="31"/>
      <c r="AV1571" s="94"/>
      <c r="AW1571" s="32"/>
      <c r="AX1571" s="32"/>
      <c r="AY1571" s="32"/>
      <c r="AZ1571" s="32"/>
      <c r="BA1571" s="32"/>
      <c r="BB1571" s="31"/>
      <c r="BC1571" s="31"/>
      <c r="BD1571" s="31"/>
      <c r="BE1571" s="31"/>
      <c r="BF1571" s="96"/>
      <c r="BG1571" s="52"/>
      <c r="BH1571" s="52"/>
      <c r="BI1571" s="52"/>
      <c r="BJ1571" s="52"/>
      <c r="BK1571" s="52"/>
      <c r="BL1571" s="52"/>
      <c r="BM1571" s="52"/>
      <c r="BN1571" s="53"/>
      <c r="BO1571" s="52"/>
      <c r="BP1571" s="52"/>
      <c r="BQ1571" s="54"/>
    </row>
    <row r="1572" spans="1:69" ht="16" x14ac:dyDescent="0.35">
      <c r="A1572"/>
      <c r="D1572"/>
      <c r="G1572"/>
      <c r="H1572" s="20"/>
      <c r="I1572" s="20"/>
      <c r="J1572" s="20"/>
      <c r="K1572" s="20"/>
      <c r="L1572" s="20"/>
      <c r="Q1572" s="83"/>
      <c r="Y1572" s="20"/>
      <c r="AP1572" s="92"/>
      <c r="AQ1572" s="67"/>
      <c r="AR1572" s="67"/>
      <c r="AS1572" s="73"/>
      <c r="AT1572" s="67"/>
      <c r="AU1572" s="67"/>
      <c r="AV1572" s="73"/>
      <c r="AW1572" s="68"/>
      <c r="AX1572" s="68"/>
      <c r="AY1572" s="68"/>
      <c r="AZ1572" s="68"/>
      <c r="BA1572" s="68"/>
      <c r="BB1572" s="67"/>
      <c r="BC1572" s="67"/>
      <c r="BD1572" s="67"/>
      <c r="BE1572" s="67"/>
      <c r="BF1572" s="95"/>
      <c r="BG1572" s="48"/>
      <c r="BH1572" s="48"/>
      <c r="BI1572" s="48"/>
      <c r="BJ1572" s="48"/>
      <c r="BK1572" s="48"/>
      <c r="BL1572" s="48"/>
      <c r="BM1572" s="48"/>
      <c r="BN1572" s="49"/>
      <c r="BO1572" s="48"/>
      <c r="BP1572" s="48"/>
      <c r="BQ1572" s="50"/>
    </row>
    <row r="1573" spans="1:69" ht="16" x14ac:dyDescent="0.35">
      <c r="A1573"/>
      <c r="D1573"/>
      <c r="G1573"/>
      <c r="H1573" s="20"/>
      <c r="I1573" s="20"/>
      <c r="J1573" s="20"/>
      <c r="K1573" s="20"/>
      <c r="L1573" s="20"/>
      <c r="Q1573" s="83"/>
      <c r="Y1573" s="20"/>
      <c r="AP1573" s="93"/>
      <c r="AQ1573" s="31"/>
      <c r="AR1573" s="31"/>
      <c r="AS1573" s="94"/>
      <c r="AT1573" s="31"/>
      <c r="AU1573" s="31"/>
      <c r="AV1573" s="94"/>
      <c r="AW1573" s="32"/>
      <c r="AX1573" s="32"/>
      <c r="AY1573" s="32"/>
      <c r="AZ1573" s="32"/>
      <c r="BA1573" s="32"/>
      <c r="BB1573" s="31"/>
      <c r="BC1573" s="31"/>
      <c r="BD1573" s="31"/>
      <c r="BE1573" s="31"/>
      <c r="BF1573" s="96"/>
      <c r="BG1573" s="52"/>
      <c r="BH1573" s="52"/>
      <c r="BI1573" s="52"/>
      <c r="BJ1573" s="52"/>
      <c r="BK1573" s="52"/>
      <c r="BL1573" s="52"/>
      <c r="BM1573" s="52"/>
      <c r="BN1573" s="53"/>
      <c r="BO1573" s="52"/>
      <c r="BP1573" s="52"/>
      <c r="BQ1573" s="54"/>
    </row>
    <row r="1574" spans="1:69" ht="16" x14ac:dyDescent="0.35">
      <c r="A1574"/>
      <c r="D1574"/>
      <c r="G1574"/>
      <c r="H1574" s="20"/>
      <c r="I1574" s="20"/>
      <c r="J1574" s="20"/>
      <c r="K1574" s="20"/>
      <c r="L1574" s="20"/>
      <c r="Q1574" s="83"/>
      <c r="Y1574" s="20"/>
      <c r="AP1574" s="92"/>
      <c r="AQ1574" s="67"/>
      <c r="AR1574" s="67"/>
      <c r="AS1574" s="73"/>
      <c r="AT1574" s="67"/>
      <c r="AU1574" s="67"/>
      <c r="AV1574" s="73"/>
      <c r="AW1574" s="68"/>
      <c r="AX1574" s="68"/>
      <c r="AY1574" s="68"/>
      <c r="AZ1574" s="68"/>
      <c r="BA1574" s="68"/>
      <c r="BB1574" s="67"/>
      <c r="BC1574" s="67"/>
      <c r="BD1574" s="67"/>
      <c r="BE1574" s="67"/>
      <c r="BF1574" s="95"/>
      <c r="BG1574" s="48"/>
      <c r="BH1574" s="48"/>
      <c r="BI1574" s="48"/>
      <c r="BJ1574" s="48"/>
      <c r="BK1574" s="48"/>
      <c r="BL1574" s="48"/>
      <c r="BM1574" s="48"/>
      <c r="BN1574" s="49"/>
      <c r="BO1574" s="48"/>
      <c r="BP1574" s="48"/>
      <c r="BQ1574" s="50"/>
    </row>
    <row r="1575" spans="1:69" ht="16" x14ac:dyDescent="0.35">
      <c r="A1575"/>
      <c r="D1575"/>
      <c r="G1575"/>
      <c r="H1575" s="20"/>
      <c r="I1575" s="20"/>
      <c r="J1575" s="20"/>
      <c r="K1575" s="20"/>
      <c r="L1575" s="20"/>
      <c r="Q1575" s="83"/>
      <c r="Y1575" s="20"/>
      <c r="AP1575" s="93"/>
      <c r="AQ1575" s="31"/>
      <c r="AR1575" s="31"/>
      <c r="AS1575" s="94"/>
      <c r="AT1575" s="31"/>
      <c r="AU1575" s="31"/>
      <c r="AV1575" s="94"/>
      <c r="AW1575" s="32"/>
      <c r="AX1575" s="32"/>
      <c r="AY1575" s="32"/>
      <c r="AZ1575" s="32"/>
      <c r="BA1575" s="32"/>
      <c r="BB1575" s="31"/>
      <c r="BC1575" s="31"/>
      <c r="BD1575" s="31"/>
      <c r="BE1575" s="31"/>
      <c r="BF1575" s="96"/>
      <c r="BG1575" s="52"/>
      <c r="BH1575" s="52"/>
      <c r="BI1575" s="52"/>
      <c r="BJ1575" s="52"/>
      <c r="BK1575" s="52"/>
      <c r="BL1575" s="52"/>
      <c r="BM1575" s="52"/>
      <c r="BN1575" s="53"/>
      <c r="BO1575" s="52"/>
      <c r="BP1575" s="52"/>
      <c r="BQ1575" s="54"/>
    </row>
    <row r="1576" spans="1:69" ht="16" x14ac:dyDescent="0.35">
      <c r="A1576"/>
      <c r="D1576"/>
      <c r="G1576"/>
      <c r="H1576" s="20"/>
      <c r="I1576" s="20"/>
      <c r="J1576" s="20"/>
      <c r="K1576" s="20"/>
      <c r="L1576" s="20"/>
      <c r="Q1576" s="83"/>
      <c r="Y1576" s="20"/>
      <c r="AP1576" s="92"/>
      <c r="AQ1576" s="67"/>
      <c r="AR1576" s="67"/>
      <c r="AS1576" s="73"/>
      <c r="AT1576" s="67"/>
      <c r="AU1576" s="67"/>
      <c r="AV1576" s="73"/>
      <c r="AW1576" s="68"/>
      <c r="AX1576" s="68"/>
      <c r="AY1576" s="68"/>
      <c r="AZ1576" s="68"/>
      <c r="BA1576" s="68"/>
      <c r="BB1576" s="67"/>
      <c r="BC1576" s="67"/>
      <c r="BD1576" s="67"/>
      <c r="BE1576" s="67"/>
      <c r="BF1576" s="95"/>
      <c r="BG1576" s="48"/>
      <c r="BH1576" s="48"/>
      <c r="BI1576" s="48"/>
      <c r="BJ1576" s="48"/>
      <c r="BK1576" s="48"/>
      <c r="BL1576" s="48"/>
      <c r="BM1576" s="48"/>
      <c r="BN1576" s="49"/>
      <c r="BO1576" s="48"/>
      <c r="BP1576" s="48"/>
      <c r="BQ1576" s="50"/>
    </row>
    <row r="1577" spans="1:69" ht="16" x14ac:dyDescent="0.35">
      <c r="A1577"/>
      <c r="D1577"/>
      <c r="G1577"/>
      <c r="H1577" s="20"/>
      <c r="I1577" s="20"/>
      <c r="J1577" s="20"/>
      <c r="K1577" s="20"/>
      <c r="L1577" s="20"/>
      <c r="Q1577" s="83"/>
      <c r="Y1577" s="20"/>
      <c r="AP1577" s="93"/>
      <c r="AQ1577" s="31"/>
      <c r="AR1577" s="31"/>
      <c r="AS1577" s="94"/>
      <c r="AT1577" s="31"/>
      <c r="AU1577" s="31"/>
      <c r="AV1577" s="94"/>
      <c r="AW1577" s="32"/>
      <c r="AX1577" s="32"/>
      <c r="AY1577" s="32"/>
      <c r="AZ1577" s="32"/>
      <c r="BA1577" s="32"/>
      <c r="BB1577" s="31"/>
      <c r="BC1577" s="31"/>
      <c r="BD1577" s="31"/>
      <c r="BE1577" s="31"/>
      <c r="BF1577" s="96"/>
      <c r="BG1577" s="52"/>
      <c r="BH1577" s="52"/>
      <c r="BI1577" s="52"/>
      <c r="BJ1577" s="52"/>
      <c r="BK1577" s="52"/>
      <c r="BL1577" s="52"/>
      <c r="BM1577" s="52"/>
      <c r="BN1577" s="53"/>
      <c r="BO1577" s="52"/>
      <c r="BP1577" s="52"/>
      <c r="BQ1577" s="54"/>
    </row>
    <row r="1578" spans="1:69" ht="16" x14ac:dyDescent="0.35">
      <c r="A1578"/>
      <c r="D1578"/>
      <c r="G1578"/>
      <c r="H1578" s="20"/>
      <c r="I1578" s="20"/>
      <c r="J1578" s="20"/>
      <c r="K1578" s="20"/>
      <c r="L1578" s="20"/>
      <c r="Q1578" s="83"/>
      <c r="Y1578" s="20"/>
      <c r="AP1578" s="92"/>
      <c r="AQ1578" s="67"/>
      <c r="AR1578" s="67"/>
      <c r="AS1578" s="73"/>
      <c r="AT1578" s="67"/>
      <c r="AU1578" s="67"/>
      <c r="AV1578" s="73"/>
      <c r="AW1578" s="68"/>
      <c r="AX1578" s="68"/>
      <c r="AY1578" s="68"/>
      <c r="AZ1578" s="68"/>
      <c r="BA1578" s="68"/>
      <c r="BB1578" s="67"/>
      <c r="BC1578" s="67"/>
      <c r="BD1578" s="67"/>
      <c r="BE1578" s="67"/>
      <c r="BF1578" s="95"/>
      <c r="BG1578" s="48"/>
      <c r="BH1578" s="48"/>
      <c r="BI1578" s="48"/>
      <c r="BJ1578" s="48"/>
      <c r="BK1578" s="48"/>
      <c r="BL1578" s="48"/>
      <c r="BM1578" s="48"/>
      <c r="BN1578" s="49"/>
      <c r="BO1578" s="48"/>
      <c r="BP1578" s="48"/>
      <c r="BQ1578" s="50"/>
    </row>
    <row r="1579" spans="1:69" ht="16" x14ac:dyDescent="0.35">
      <c r="A1579"/>
      <c r="D1579"/>
      <c r="G1579"/>
      <c r="H1579" s="20"/>
      <c r="I1579" s="20"/>
      <c r="J1579" s="20"/>
      <c r="K1579" s="20"/>
      <c r="L1579" s="20"/>
      <c r="Q1579" s="83"/>
      <c r="Y1579" s="20"/>
      <c r="AP1579" s="93"/>
      <c r="AQ1579" s="31"/>
      <c r="AR1579" s="31"/>
      <c r="AS1579" s="94"/>
      <c r="AT1579" s="31"/>
      <c r="AU1579" s="31"/>
      <c r="AV1579" s="94"/>
      <c r="AW1579" s="32"/>
      <c r="AX1579" s="32"/>
      <c r="AY1579" s="32"/>
      <c r="AZ1579" s="32"/>
      <c r="BA1579" s="32"/>
      <c r="BB1579" s="31"/>
      <c r="BC1579" s="31"/>
      <c r="BD1579" s="31"/>
      <c r="BE1579" s="31"/>
      <c r="BF1579" s="96"/>
      <c r="BG1579" s="52"/>
      <c r="BH1579" s="52"/>
      <c r="BI1579" s="52"/>
      <c r="BJ1579" s="52"/>
      <c r="BK1579" s="52"/>
      <c r="BL1579" s="52"/>
      <c r="BM1579" s="52"/>
      <c r="BN1579" s="53"/>
      <c r="BO1579" s="52"/>
      <c r="BP1579" s="52"/>
      <c r="BQ1579" s="54"/>
    </row>
    <row r="1580" spans="1:69" ht="16" x14ac:dyDescent="0.35">
      <c r="A1580"/>
      <c r="D1580"/>
      <c r="G1580"/>
      <c r="H1580" s="20"/>
      <c r="I1580" s="20"/>
      <c r="J1580" s="20"/>
      <c r="K1580" s="20"/>
      <c r="L1580" s="20"/>
      <c r="Q1580" s="83"/>
      <c r="Y1580" s="20"/>
      <c r="AP1580" s="92"/>
      <c r="AQ1580" s="67"/>
      <c r="AR1580" s="67"/>
      <c r="AS1580" s="73"/>
      <c r="AT1580" s="67"/>
      <c r="AU1580" s="67"/>
      <c r="AV1580" s="73"/>
      <c r="AW1580" s="68"/>
      <c r="AX1580" s="68"/>
      <c r="AY1580" s="68"/>
      <c r="AZ1580" s="68"/>
      <c r="BA1580" s="68"/>
      <c r="BB1580" s="67"/>
      <c r="BC1580" s="67"/>
      <c r="BD1580" s="67"/>
      <c r="BE1580" s="67"/>
      <c r="BF1580" s="95"/>
      <c r="BG1580" s="48"/>
      <c r="BH1580" s="48"/>
      <c r="BI1580" s="48"/>
      <c r="BJ1580" s="48"/>
      <c r="BK1580" s="48"/>
      <c r="BL1580" s="48"/>
      <c r="BM1580" s="48"/>
      <c r="BN1580" s="49"/>
      <c r="BO1580" s="48"/>
      <c r="BP1580" s="48"/>
      <c r="BQ1580" s="50"/>
    </row>
    <row r="1581" spans="1:69" ht="16" x14ac:dyDescent="0.35">
      <c r="A1581"/>
      <c r="D1581"/>
      <c r="G1581"/>
      <c r="H1581" s="20"/>
      <c r="I1581" s="20"/>
      <c r="J1581" s="20"/>
      <c r="K1581" s="20"/>
      <c r="L1581" s="20"/>
      <c r="Q1581" s="83"/>
      <c r="Y1581" s="20"/>
      <c r="AP1581" s="93"/>
      <c r="AQ1581" s="31"/>
      <c r="AR1581" s="31"/>
      <c r="AS1581" s="94"/>
      <c r="AT1581" s="31"/>
      <c r="AU1581" s="31"/>
      <c r="AV1581" s="94"/>
      <c r="AW1581" s="32"/>
      <c r="AX1581" s="32"/>
      <c r="AY1581" s="32"/>
      <c r="AZ1581" s="32"/>
      <c r="BA1581" s="32"/>
      <c r="BB1581" s="31"/>
      <c r="BC1581" s="31"/>
      <c r="BD1581" s="31"/>
      <c r="BE1581" s="31"/>
      <c r="BF1581" s="96"/>
      <c r="BG1581" s="52"/>
      <c r="BH1581" s="52"/>
      <c r="BI1581" s="52"/>
      <c r="BJ1581" s="52"/>
      <c r="BK1581" s="52"/>
      <c r="BL1581" s="52"/>
      <c r="BM1581" s="52"/>
      <c r="BN1581" s="53"/>
      <c r="BO1581" s="52"/>
      <c r="BP1581" s="52"/>
      <c r="BQ1581" s="54"/>
    </row>
    <row r="1582" spans="1:69" ht="16" x14ac:dyDescent="0.35">
      <c r="A1582"/>
      <c r="D1582"/>
      <c r="G1582"/>
      <c r="H1582" s="20"/>
      <c r="I1582" s="20"/>
      <c r="J1582" s="20"/>
      <c r="K1582" s="20"/>
      <c r="L1582" s="20"/>
      <c r="Q1582" s="83"/>
      <c r="Y1582" s="20"/>
      <c r="AP1582" s="92"/>
      <c r="AQ1582" s="67"/>
      <c r="AR1582" s="67"/>
      <c r="AS1582" s="73"/>
      <c r="AT1582" s="67"/>
      <c r="AU1582" s="67"/>
      <c r="AV1582" s="73"/>
      <c r="AW1582" s="68"/>
      <c r="AX1582" s="68"/>
      <c r="AY1582" s="68"/>
      <c r="AZ1582" s="68"/>
      <c r="BA1582" s="68"/>
      <c r="BB1582" s="67"/>
      <c r="BC1582" s="67"/>
      <c r="BD1582" s="67"/>
      <c r="BE1582" s="67"/>
      <c r="BF1582" s="95"/>
      <c r="BG1582" s="48"/>
      <c r="BH1582" s="48"/>
      <c r="BI1582" s="48"/>
      <c r="BJ1582" s="48"/>
      <c r="BK1582" s="48"/>
      <c r="BL1582" s="48"/>
      <c r="BM1582" s="48"/>
      <c r="BN1582" s="49"/>
      <c r="BO1582" s="48"/>
      <c r="BP1582" s="48"/>
      <c r="BQ1582" s="50"/>
    </row>
    <row r="1583" spans="1:69" ht="16" x14ac:dyDescent="0.35">
      <c r="A1583"/>
      <c r="D1583"/>
      <c r="G1583"/>
      <c r="H1583" s="20"/>
      <c r="I1583" s="20"/>
      <c r="J1583" s="20"/>
      <c r="K1583" s="20"/>
      <c r="L1583" s="20"/>
      <c r="Q1583" s="83"/>
      <c r="Y1583" s="20"/>
      <c r="AP1583" s="93"/>
      <c r="AQ1583" s="31"/>
      <c r="AR1583" s="31"/>
      <c r="AS1583" s="94"/>
      <c r="AT1583" s="31"/>
      <c r="AU1583" s="31"/>
      <c r="AV1583" s="94"/>
      <c r="AW1583" s="32"/>
      <c r="AX1583" s="32"/>
      <c r="AY1583" s="32"/>
      <c r="AZ1583" s="32"/>
      <c r="BA1583" s="32"/>
      <c r="BB1583" s="31"/>
      <c r="BC1583" s="31"/>
      <c r="BD1583" s="31"/>
      <c r="BE1583" s="31"/>
      <c r="BF1583" s="96"/>
      <c r="BG1583" s="52"/>
      <c r="BH1583" s="52"/>
      <c r="BI1583" s="52"/>
      <c r="BJ1583" s="52"/>
      <c r="BK1583" s="52"/>
      <c r="BL1583" s="52"/>
      <c r="BM1583" s="52"/>
      <c r="BN1583" s="53"/>
      <c r="BO1583" s="52"/>
      <c r="BP1583" s="52"/>
      <c r="BQ1583" s="54"/>
    </row>
    <row r="1584" spans="1:69" ht="16" x14ac:dyDescent="0.35">
      <c r="A1584"/>
      <c r="D1584"/>
      <c r="G1584"/>
      <c r="H1584" s="20"/>
      <c r="I1584" s="20"/>
      <c r="J1584" s="20"/>
      <c r="K1584" s="20"/>
      <c r="L1584" s="20"/>
      <c r="Q1584" s="83"/>
      <c r="Y1584" s="20"/>
      <c r="AP1584" s="92"/>
      <c r="AQ1584" s="67"/>
      <c r="AR1584" s="67"/>
      <c r="AS1584" s="73"/>
      <c r="AT1584" s="67"/>
      <c r="AU1584" s="67"/>
      <c r="AV1584" s="73"/>
      <c r="AW1584" s="68"/>
      <c r="AX1584" s="68"/>
      <c r="AY1584" s="68"/>
      <c r="AZ1584" s="68"/>
      <c r="BA1584" s="68"/>
      <c r="BB1584" s="67"/>
      <c r="BC1584" s="67"/>
      <c r="BD1584" s="67"/>
      <c r="BE1584" s="67"/>
      <c r="BF1584" s="95"/>
      <c r="BG1584" s="48"/>
      <c r="BH1584" s="48"/>
      <c r="BI1584" s="48"/>
      <c r="BJ1584" s="48"/>
      <c r="BK1584" s="48"/>
      <c r="BL1584" s="48"/>
      <c r="BM1584" s="48"/>
      <c r="BN1584" s="49"/>
      <c r="BO1584" s="48"/>
      <c r="BP1584" s="48"/>
      <c r="BQ1584" s="50"/>
    </row>
    <row r="1585" spans="1:69" ht="16" x14ac:dyDescent="0.35">
      <c r="A1585"/>
      <c r="D1585"/>
      <c r="G1585"/>
      <c r="H1585" s="20"/>
      <c r="I1585" s="20"/>
      <c r="J1585" s="20"/>
      <c r="K1585" s="20"/>
      <c r="L1585" s="20"/>
      <c r="Q1585" s="83"/>
      <c r="Y1585" s="20"/>
      <c r="AP1585" s="93"/>
      <c r="AQ1585" s="31"/>
      <c r="AR1585" s="31"/>
      <c r="AS1585" s="94"/>
      <c r="AT1585" s="31"/>
      <c r="AU1585" s="31"/>
      <c r="AV1585" s="94"/>
      <c r="AW1585" s="32"/>
      <c r="AX1585" s="32"/>
      <c r="AY1585" s="32"/>
      <c r="AZ1585" s="32"/>
      <c r="BA1585" s="32"/>
      <c r="BB1585" s="31"/>
      <c r="BC1585" s="31"/>
      <c r="BD1585" s="31"/>
      <c r="BE1585" s="31"/>
      <c r="BF1585" s="96"/>
      <c r="BG1585" s="52"/>
      <c r="BH1585" s="52"/>
      <c r="BI1585" s="52"/>
      <c r="BJ1585" s="52"/>
      <c r="BK1585" s="52"/>
      <c r="BL1585" s="52"/>
      <c r="BM1585" s="52"/>
      <c r="BN1585" s="53"/>
      <c r="BO1585" s="52"/>
      <c r="BP1585" s="52"/>
      <c r="BQ1585" s="54"/>
    </row>
    <row r="1586" spans="1:69" ht="16" x14ac:dyDescent="0.35">
      <c r="A1586"/>
      <c r="D1586"/>
      <c r="G1586"/>
      <c r="H1586" s="20"/>
      <c r="I1586" s="20"/>
      <c r="J1586" s="20"/>
      <c r="K1586" s="20"/>
      <c r="L1586" s="20"/>
      <c r="Q1586" s="83"/>
      <c r="Y1586" s="20"/>
      <c r="AP1586" s="92"/>
      <c r="AQ1586" s="67"/>
      <c r="AR1586" s="67"/>
      <c r="AS1586" s="73"/>
      <c r="AT1586" s="67"/>
      <c r="AU1586" s="67"/>
      <c r="AV1586" s="73"/>
      <c r="AW1586" s="68"/>
      <c r="AX1586" s="68"/>
      <c r="AY1586" s="68"/>
      <c r="AZ1586" s="68"/>
      <c r="BA1586" s="68"/>
      <c r="BB1586" s="67"/>
      <c r="BC1586" s="67"/>
      <c r="BD1586" s="67"/>
      <c r="BE1586" s="67"/>
      <c r="BF1586" s="95"/>
      <c r="BG1586" s="48"/>
      <c r="BH1586" s="48"/>
      <c r="BI1586" s="48"/>
      <c r="BJ1586" s="48"/>
      <c r="BK1586" s="48"/>
      <c r="BL1586" s="48"/>
      <c r="BM1586" s="48"/>
      <c r="BN1586" s="49"/>
      <c r="BO1586" s="48"/>
      <c r="BP1586" s="48"/>
      <c r="BQ1586" s="50"/>
    </row>
    <row r="1587" spans="1:69" ht="16" x14ac:dyDescent="0.35">
      <c r="A1587"/>
      <c r="D1587"/>
      <c r="G1587"/>
      <c r="H1587" s="20"/>
      <c r="I1587" s="20"/>
      <c r="J1587" s="20"/>
      <c r="K1587" s="20"/>
      <c r="L1587" s="20"/>
      <c r="Q1587" s="83"/>
      <c r="Y1587" s="20"/>
      <c r="AP1587" s="93"/>
      <c r="AQ1587" s="31"/>
      <c r="AR1587" s="31"/>
      <c r="AS1587" s="94"/>
      <c r="AT1587" s="31"/>
      <c r="AU1587" s="31"/>
      <c r="AV1587" s="94"/>
      <c r="AW1587" s="32"/>
      <c r="AX1587" s="32"/>
      <c r="AY1587" s="32"/>
      <c r="AZ1587" s="32"/>
      <c r="BA1587" s="32"/>
      <c r="BB1587" s="31"/>
      <c r="BC1587" s="31"/>
      <c r="BD1587" s="31"/>
      <c r="BE1587" s="31"/>
      <c r="BF1587" s="96"/>
      <c r="BG1587" s="52"/>
      <c r="BH1587" s="52"/>
      <c r="BI1587" s="52"/>
      <c r="BJ1587" s="52"/>
      <c r="BK1587" s="52"/>
      <c r="BL1587" s="52"/>
      <c r="BM1587" s="52"/>
      <c r="BN1587" s="53"/>
      <c r="BO1587" s="52"/>
      <c r="BP1587" s="52"/>
      <c r="BQ1587" s="54"/>
    </row>
    <row r="1588" spans="1:69" ht="16" x14ac:dyDescent="0.35">
      <c r="A1588"/>
      <c r="D1588"/>
      <c r="G1588"/>
      <c r="H1588" s="20"/>
      <c r="I1588" s="20"/>
      <c r="J1588" s="20"/>
      <c r="K1588" s="20"/>
      <c r="L1588" s="20"/>
      <c r="Q1588" s="83"/>
      <c r="Y1588" s="20"/>
      <c r="AP1588" s="92"/>
      <c r="AQ1588" s="67"/>
      <c r="AR1588" s="67"/>
      <c r="AS1588" s="73"/>
      <c r="AT1588" s="67"/>
      <c r="AU1588" s="67"/>
      <c r="AV1588" s="73"/>
      <c r="AW1588" s="68"/>
      <c r="AX1588" s="68"/>
      <c r="AY1588" s="68"/>
      <c r="AZ1588" s="68"/>
      <c r="BA1588" s="68"/>
      <c r="BB1588" s="67"/>
      <c r="BC1588" s="67"/>
      <c r="BD1588" s="67"/>
      <c r="BE1588" s="67"/>
      <c r="BF1588" s="95"/>
      <c r="BG1588" s="48"/>
      <c r="BH1588" s="48"/>
      <c r="BI1588" s="48"/>
      <c r="BJ1588" s="48"/>
      <c r="BK1588" s="48"/>
      <c r="BL1588" s="48"/>
      <c r="BM1588" s="48"/>
      <c r="BN1588" s="49"/>
      <c r="BO1588" s="48"/>
      <c r="BP1588" s="48"/>
      <c r="BQ1588" s="50"/>
    </row>
    <row r="1589" spans="1:69" ht="16" x14ac:dyDescent="0.35">
      <c r="A1589"/>
      <c r="D1589"/>
      <c r="G1589"/>
      <c r="H1589" s="20"/>
      <c r="I1589" s="20"/>
      <c r="J1589" s="20"/>
      <c r="K1589" s="20"/>
      <c r="L1589" s="20"/>
      <c r="Q1589" s="83"/>
      <c r="Y1589" s="20"/>
      <c r="AP1589" s="93"/>
      <c r="AQ1589" s="31"/>
      <c r="AR1589" s="31"/>
      <c r="AS1589" s="94"/>
      <c r="AT1589" s="31"/>
      <c r="AU1589" s="31"/>
      <c r="AV1589" s="94"/>
      <c r="AW1589" s="32"/>
      <c r="AX1589" s="32"/>
      <c r="AY1589" s="32"/>
      <c r="AZ1589" s="32"/>
      <c r="BA1589" s="32"/>
      <c r="BB1589" s="31"/>
      <c r="BC1589" s="31"/>
      <c r="BD1589" s="31"/>
      <c r="BE1589" s="31"/>
      <c r="BF1589" s="96"/>
      <c r="BG1589" s="52"/>
      <c r="BH1589" s="52"/>
      <c r="BI1589" s="52"/>
      <c r="BJ1589" s="52"/>
      <c r="BK1589" s="52"/>
      <c r="BL1589" s="52"/>
      <c r="BM1589" s="52"/>
      <c r="BN1589" s="53"/>
      <c r="BO1589" s="52"/>
      <c r="BP1589" s="52"/>
      <c r="BQ1589" s="54"/>
    </row>
    <row r="1590" spans="1:69" ht="16" x14ac:dyDescent="0.35">
      <c r="A1590"/>
      <c r="D1590"/>
      <c r="G1590"/>
      <c r="H1590" s="20"/>
      <c r="I1590" s="20"/>
      <c r="J1590" s="20"/>
      <c r="K1590" s="20"/>
      <c r="L1590" s="20"/>
      <c r="Q1590" s="83"/>
      <c r="Y1590" s="20"/>
      <c r="AP1590" s="92"/>
      <c r="AQ1590" s="67"/>
      <c r="AR1590" s="67"/>
      <c r="AS1590" s="73"/>
      <c r="AT1590" s="67"/>
      <c r="AU1590" s="67"/>
      <c r="AV1590" s="73"/>
      <c r="AW1590" s="68"/>
      <c r="AX1590" s="68"/>
      <c r="AY1590" s="68"/>
      <c r="AZ1590" s="68"/>
      <c r="BA1590" s="68"/>
      <c r="BB1590" s="67"/>
      <c r="BC1590" s="67"/>
      <c r="BD1590" s="67"/>
      <c r="BE1590" s="67"/>
      <c r="BF1590" s="95"/>
      <c r="BG1590" s="48"/>
      <c r="BH1590" s="48"/>
      <c r="BI1590" s="48"/>
      <c r="BJ1590" s="48"/>
      <c r="BK1590" s="48"/>
      <c r="BL1590" s="48"/>
      <c r="BM1590" s="48"/>
      <c r="BN1590" s="49"/>
      <c r="BO1590" s="48"/>
      <c r="BP1590" s="48"/>
      <c r="BQ1590" s="50"/>
    </row>
    <row r="1591" spans="1:69" ht="16" x14ac:dyDescent="0.35">
      <c r="A1591"/>
      <c r="D1591"/>
      <c r="G1591"/>
      <c r="H1591" s="20"/>
      <c r="I1591" s="20"/>
      <c r="J1591" s="20"/>
      <c r="K1591" s="20"/>
      <c r="L1591" s="20"/>
      <c r="Q1591" s="83"/>
      <c r="Y1591" s="20"/>
      <c r="AP1591" s="93"/>
      <c r="AQ1591" s="31"/>
      <c r="AR1591" s="31"/>
      <c r="AS1591" s="94"/>
      <c r="AT1591" s="31"/>
      <c r="AU1591" s="31"/>
      <c r="AV1591" s="94"/>
      <c r="AW1591" s="32"/>
      <c r="AX1591" s="32"/>
      <c r="AY1591" s="32"/>
      <c r="AZ1591" s="32"/>
      <c r="BA1591" s="32"/>
      <c r="BB1591" s="31"/>
      <c r="BC1591" s="31"/>
      <c r="BD1591" s="31"/>
      <c r="BE1591" s="31"/>
      <c r="BF1591" s="96"/>
      <c r="BG1591" s="52"/>
      <c r="BH1591" s="52"/>
      <c r="BI1591" s="52"/>
      <c r="BJ1591" s="52"/>
      <c r="BK1591" s="52"/>
      <c r="BL1591" s="52"/>
      <c r="BM1591" s="52"/>
      <c r="BN1591" s="53"/>
      <c r="BO1591" s="52"/>
      <c r="BP1591" s="52"/>
      <c r="BQ1591" s="54"/>
    </row>
    <row r="1592" spans="1:69" ht="16" x14ac:dyDescent="0.35">
      <c r="A1592"/>
      <c r="D1592"/>
      <c r="G1592"/>
      <c r="H1592" s="20"/>
      <c r="I1592" s="20"/>
      <c r="J1592" s="20"/>
      <c r="K1592" s="20"/>
      <c r="L1592" s="20"/>
      <c r="Q1592" s="83"/>
      <c r="Y1592" s="20"/>
      <c r="AP1592" s="92"/>
      <c r="AQ1592" s="67"/>
      <c r="AR1592" s="67"/>
      <c r="AS1592" s="73"/>
      <c r="AT1592" s="67"/>
      <c r="AU1592" s="67"/>
      <c r="AV1592" s="73"/>
      <c r="AW1592" s="68"/>
      <c r="AX1592" s="68"/>
      <c r="AY1592" s="68"/>
      <c r="AZ1592" s="68"/>
      <c r="BA1592" s="68"/>
      <c r="BB1592" s="67"/>
      <c r="BC1592" s="67"/>
      <c r="BD1592" s="67"/>
      <c r="BE1592" s="67"/>
      <c r="BF1592" s="95"/>
      <c r="BG1592" s="48"/>
      <c r="BH1592" s="48"/>
      <c r="BI1592" s="48"/>
      <c r="BJ1592" s="48"/>
      <c r="BK1592" s="48"/>
      <c r="BL1592" s="48"/>
      <c r="BM1592" s="48"/>
      <c r="BN1592" s="49"/>
      <c r="BO1592" s="48"/>
      <c r="BP1592" s="48"/>
      <c r="BQ1592" s="50"/>
    </row>
    <row r="1593" spans="1:69" ht="16" x14ac:dyDescent="0.35">
      <c r="A1593"/>
      <c r="D1593"/>
      <c r="G1593"/>
      <c r="H1593" s="20"/>
      <c r="I1593" s="20"/>
      <c r="J1593" s="20"/>
      <c r="K1593" s="20"/>
      <c r="L1593" s="20"/>
      <c r="Q1593" s="83"/>
      <c r="Y1593" s="20"/>
      <c r="AP1593" s="93"/>
      <c r="AQ1593" s="31"/>
      <c r="AR1593" s="31"/>
      <c r="AS1593" s="94"/>
      <c r="AT1593" s="31"/>
      <c r="AU1593" s="31"/>
      <c r="AV1593" s="94"/>
      <c r="AW1593" s="32"/>
      <c r="AX1593" s="32"/>
      <c r="AY1593" s="32"/>
      <c r="AZ1593" s="32"/>
      <c r="BA1593" s="32"/>
      <c r="BB1593" s="31"/>
      <c r="BC1593" s="31"/>
      <c r="BD1593" s="31"/>
      <c r="BE1593" s="31"/>
      <c r="BF1593" s="96"/>
      <c r="BG1593" s="52"/>
      <c r="BH1593" s="52"/>
      <c r="BI1593" s="52"/>
      <c r="BJ1593" s="52"/>
      <c r="BK1593" s="52"/>
      <c r="BL1593" s="52"/>
      <c r="BM1593" s="52"/>
      <c r="BN1593" s="53"/>
      <c r="BO1593" s="52"/>
      <c r="BP1593" s="52"/>
      <c r="BQ1593" s="54"/>
    </row>
    <row r="1594" spans="1:69" ht="16" x14ac:dyDescent="0.35">
      <c r="A1594"/>
      <c r="D1594"/>
      <c r="G1594"/>
      <c r="H1594" s="20"/>
      <c r="I1594" s="20"/>
      <c r="J1594" s="20"/>
      <c r="K1594" s="20"/>
      <c r="L1594" s="20"/>
      <c r="Q1594" s="83"/>
      <c r="Y1594" s="20"/>
      <c r="AP1594" s="92"/>
      <c r="AQ1594" s="67"/>
      <c r="AR1594" s="67"/>
      <c r="AS1594" s="73"/>
      <c r="AT1594" s="67"/>
      <c r="AU1594" s="67"/>
      <c r="AV1594" s="73"/>
      <c r="AW1594" s="68"/>
      <c r="AX1594" s="68"/>
      <c r="AY1594" s="68"/>
      <c r="AZ1594" s="68"/>
      <c r="BA1594" s="68"/>
      <c r="BB1594" s="67"/>
      <c r="BC1594" s="67"/>
      <c r="BD1594" s="67"/>
      <c r="BE1594" s="67"/>
      <c r="BF1594" s="95"/>
      <c r="BG1594" s="48"/>
      <c r="BH1594" s="48"/>
      <c r="BI1594" s="48"/>
      <c r="BJ1594" s="48"/>
      <c r="BK1594" s="48"/>
      <c r="BL1594" s="48"/>
      <c r="BM1594" s="48"/>
      <c r="BN1594" s="49"/>
      <c r="BO1594" s="48"/>
      <c r="BP1594" s="48"/>
      <c r="BQ1594" s="50"/>
    </row>
    <row r="1595" spans="1:69" ht="16" x14ac:dyDescent="0.35">
      <c r="A1595"/>
      <c r="D1595"/>
      <c r="G1595"/>
      <c r="H1595" s="20"/>
      <c r="I1595" s="20"/>
      <c r="J1595" s="20"/>
      <c r="K1595" s="20"/>
      <c r="L1595" s="20"/>
      <c r="Q1595" s="83"/>
      <c r="Y1595" s="20"/>
      <c r="AP1595" s="93"/>
      <c r="AQ1595" s="31"/>
      <c r="AR1595" s="31"/>
      <c r="AS1595" s="94"/>
      <c r="AT1595" s="31"/>
      <c r="AU1595" s="31"/>
      <c r="AV1595" s="94"/>
      <c r="AW1595" s="32"/>
      <c r="AX1595" s="32"/>
      <c r="AY1595" s="32"/>
      <c r="AZ1595" s="32"/>
      <c r="BA1595" s="32"/>
      <c r="BB1595" s="31"/>
      <c r="BC1595" s="31"/>
      <c r="BD1595" s="31"/>
      <c r="BE1595" s="31"/>
      <c r="BF1595" s="96"/>
      <c r="BG1595" s="52"/>
      <c r="BH1595" s="52"/>
      <c r="BI1595" s="52"/>
      <c r="BJ1595" s="52"/>
      <c r="BK1595" s="52"/>
      <c r="BL1595" s="52"/>
      <c r="BM1595" s="52"/>
      <c r="BN1595" s="53"/>
      <c r="BO1595" s="52"/>
      <c r="BP1595" s="52"/>
      <c r="BQ1595" s="54"/>
    </row>
    <row r="1596" spans="1:69" ht="16" x14ac:dyDescent="0.35">
      <c r="A1596"/>
      <c r="D1596"/>
      <c r="G1596"/>
      <c r="H1596" s="20"/>
      <c r="I1596" s="20"/>
      <c r="J1596" s="20"/>
      <c r="K1596" s="20"/>
      <c r="L1596" s="20"/>
      <c r="Q1596" s="83"/>
      <c r="Y1596" s="20"/>
      <c r="AP1596" s="92"/>
      <c r="AQ1596" s="67"/>
      <c r="AR1596" s="67"/>
      <c r="AS1596" s="73"/>
      <c r="AT1596" s="67"/>
      <c r="AU1596" s="67"/>
      <c r="AV1596" s="73"/>
      <c r="AW1596" s="68"/>
      <c r="AX1596" s="68"/>
      <c r="AY1596" s="68"/>
      <c r="AZ1596" s="68"/>
      <c r="BA1596" s="68"/>
      <c r="BB1596" s="67"/>
      <c r="BC1596" s="67"/>
      <c r="BD1596" s="67"/>
      <c r="BE1596" s="67"/>
      <c r="BF1596" s="95"/>
      <c r="BG1596" s="48"/>
      <c r="BH1596" s="48"/>
      <c r="BI1596" s="48"/>
      <c r="BJ1596" s="48"/>
      <c r="BK1596" s="48"/>
      <c r="BL1596" s="48"/>
      <c r="BM1596" s="48"/>
      <c r="BN1596" s="49"/>
      <c r="BO1596" s="48"/>
      <c r="BP1596" s="48"/>
      <c r="BQ1596" s="50"/>
    </row>
    <row r="1597" spans="1:69" ht="16" x14ac:dyDescent="0.35">
      <c r="A1597"/>
      <c r="D1597"/>
      <c r="G1597"/>
      <c r="H1597" s="20"/>
      <c r="I1597" s="20"/>
      <c r="J1597" s="20"/>
      <c r="K1597" s="20"/>
      <c r="L1597" s="20"/>
      <c r="Q1597" s="83"/>
      <c r="Y1597" s="20"/>
      <c r="AP1597" s="93"/>
      <c r="AQ1597" s="31"/>
      <c r="AR1597" s="31"/>
      <c r="AS1597" s="94"/>
      <c r="AT1597" s="31"/>
      <c r="AU1597" s="31"/>
      <c r="AV1597" s="94"/>
      <c r="AW1597" s="32"/>
      <c r="AX1597" s="32"/>
      <c r="AY1597" s="32"/>
      <c r="AZ1597" s="32"/>
      <c r="BA1597" s="32"/>
      <c r="BB1597" s="31"/>
      <c r="BC1597" s="31"/>
      <c r="BD1597" s="31"/>
      <c r="BE1597" s="31"/>
      <c r="BF1597" s="96"/>
      <c r="BG1597" s="52"/>
      <c r="BH1597" s="52"/>
      <c r="BI1597" s="52"/>
      <c r="BJ1597" s="52"/>
      <c r="BK1597" s="52"/>
      <c r="BL1597" s="52"/>
      <c r="BM1597" s="52"/>
      <c r="BN1597" s="53"/>
      <c r="BO1597" s="52"/>
      <c r="BP1597" s="52"/>
      <c r="BQ1597" s="54"/>
    </row>
    <row r="1598" spans="1:69" ht="16" x14ac:dyDescent="0.35">
      <c r="A1598"/>
      <c r="D1598"/>
      <c r="G1598"/>
      <c r="H1598" s="20"/>
      <c r="I1598" s="20"/>
      <c r="J1598" s="20"/>
      <c r="K1598" s="20"/>
      <c r="L1598" s="20"/>
      <c r="Q1598" s="83"/>
      <c r="Y1598" s="20"/>
      <c r="AP1598" s="92"/>
      <c r="AQ1598" s="67"/>
      <c r="AR1598" s="67"/>
      <c r="AS1598" s="73"/>
      <c r="AT1598" s="67"/>
      <c r="AU1598" s="67"/>
      <c r="AV1598" s="73"/>
      <c r="AW1598" s="68"/>
      <c r="AX1598" s="68"/>
      <c r="AY1598" s="68"/>
      <c r="AZ1598" s="68"/>
      <c r="BA1598" s="68"/>
      <c r="BB1598" s="67"/>
      <c r="BC1598" s="67"/>
      <c r="BD1598" s="67"/>
      <c r="BE1598" s="67"/>
      <c r="BF1598" s="95"/>
      <c r="BG1598" s="48"/>
      <c r="BH1598" s="48"/>
      <c r="BI1598" s="48"/>
      <c r="BJ1598" s="48"/>
      <c r="BK1598" s="48"/>
      <c r="BL1598" s="48"/>
      <c r="BM1598" s="48"/>
      <c r="BN1598" s="49"/>
      <c r="BO1598" s="48"/>
      <c r="BP1598" s="48"/>
      <c r="BQ1598" s="50"/>
    </row>
    <row r="1599" spans="1:69" ht="16" x14ac:dyDescent="0.35">
      <c r="A1599"/>
      <c r="D1599"/>
      <c r="G1599"/>
      <c r="H1599" s="20"/>
      <c r="I1599" s="20"/>
      <c r="J1599" s="20"/>
      <c r="K1599" s="20"/>
      <c r="L1599" s="20"/>
      <c r="Q1599" s="83"/>
      <c r="Y1599" s="20"/>
      <c r="AP1599" s="93"/>
      <c r="AQ1599" s="31"/>
      <c r="AR1599" s="31"/>
      <c r="AS1599" s="94"/>
      <c r="AT1599" s="31"/>
      <c r="AU1599" s="31"/>
      <c r="AV1599" s="94"/>
      <c r="AW1599" s="32"/>
      <c r="AX1599" s="32"/>
      <c r="AY1599" s="32"/>
      <c r="AZ1599" s="32"/>
      <c r="BA1599" s="32"/>
      <c r="BB1599" s="31"/>
      <c r="BC1599" s="31"/>
      <c r="BD1599" s="31"/>
      <c r="BE1599" s="31"/>
      <c r="BF1599" s="96"/>
      <c r="BG1599" s="52"/>
      <c r="BH1599" s="52"/>
      <c r="BI1599" s="52"/>
      <c r="BJ1599" s="52"/>
      <c r="BK1599" s="52"/>
      <c r="BL1599" s="52"/>
      <c r="BM1599" s="52"/>
      <c r="BN1599" s="53"/>
      <c r="BO1599" s="52"/>
      <c r="BP1599" s="52"/>
      <c r="BQ1599" s="54"/>
    </row>
    <row r="1600" spans="1:69" ht="16" x14ac:dyDescent="0.35">
      <c r="A1600"/>
      <c r="D1600"/>
      <c r="G1600"/>
      <c r="H1600" s="20"/>
      <c r="I1600" s="20"/>
      <c r="J1600" s="20"/>
      <c r="K1600" s="20"/>
      <c r="L1600" s="20"/>
      <c r="Q1600" s="83"/>
      <c r="Y1600" s="20"/>
      <c r="AP1600" s="92"/>
      <c r="AQ1600" s="67"/>
      <c r="AR1600" s="67"/>
      <c r="AS1600" s="73"/>
      <c r="AT1600" s="67"/>
      <c r="AU1600" s="67"/>
      <c r="AV1600" s="73"/>
      <c r="AW1600" s="68"/>
      <c r="AX1600" s="68"/>
      <c r="AY1600" s="68"/>
      <c r="AZ1600" s="68"/>
      <c r="BA1600" s="68"/>
      <c r="BB1600" s="67"/>
      <c r="BC1600" s="67"/>
      <c r="BD1600" s="67"/>
      <c r="BE1600" s="67"/>
      <c r="BF1600" s="95"/>
      <c r="BG1600" s="48"/>
      <c r="BH1600" s="48"/>
      <c r="BI1600" s="48"/>
      <c r="BJ1600" s="48"/>
      <c r="BK1600" s="48"/>
      <c r="BL1600" s="48"/>
      <c r="BM1600" s="48"/>
      <c r="BN1600" s="49"/>
      <c r="BO1600" s="48"/>
      <c r="BP1600" s="48"/>
      <c r="BQ1600" s="50"/>
    </row>
    <row r="1601" spans="1:69" ht="16" x14ac:dyDescent="0.35">
      <c r="A1601"/>
      <c r="D1601"/>
      <c r="G1601"/>
      <c r="H1601" s="20"/>
      <c r="I1601" s="20"/>
      <c r="J1601" s="20"/>
      <c r="K1601" s="20"/>
      <c r="L1601" s="20"/>
      <c r="Q1601" s="83"/>
      <c r="Y1601" s="20"/>
      <c r="AP1601" s="93"/>
      <c r="AQ1601" s="31"/>
      <c r="AR1601" s="31"/>
      <c r="AS1601" s="94"/>
      <c r="AT1601" s="31"/>
      <c r="AU1601" s="31"/>
      <c r="AV1601" s="94"/>
      <c r="AW1601" s="32"/>
      <c r="AX1601" s="32"/>
      <c r="AY1601" s="32"/>
      <c r="AZ1601" s="32"/>
      <c r="BA1601" s="32"/>
      <c r="BB1601" s="31"/>
      <c r="BC1601" s="31"/>
      <c r="BD1601" s="31"/>
      <c r="BE1601" s="31"/>
      <c r="BF1601" s="96"/>
      <c r="BG1601" s="52"/>
      <c r="BH1601" s="52"/>
      <c r="BI1601" s="52"/>
      <c r="BJ1601" s="52"/>
      <c r="BK1601" s="52"/>
      <c r="BL1601" s="52"/>
      <c r="BM1601" s="52"/>
      <c r="BN1601" s="53"/>
      <c r="BO1601" s="52"/>
      <c r="BP1601" s="52"/>
      <c r="BQ1601" s="54"/>
    </row>
    <row r="1602" spans="1:69" ht="16" x14ac:dyDescent="0.35">
      <c r="A1602"/>
      <c r="D1602"/>
      <c r="G1602"/>
      <c r="H1602" s="20"/>
      <c r="I1602" s="20"/>
      <c r="J1602" s="20"/>
      <c r="K1602" s="20"/>
      <c r="L1602" s="20"/>
      <c r="Q1602" s="83"/>
      <c r="Y1602" s="20"/>
      <c r="AP1602" s="92"/>
      <c r="AQ1602" s="67"/>
      <c r="AR1602" s="67"/>
      <c r="AS1602" s="73"/>
      <c r="AT1602" s="67"/>
      <c r="AU1602" s="67"/>
      <c r="AV1602" s="73"/>
      <c r="AW1602" s="68"/>
      <c r="AX1602" s="68"/>
      <c r="AY1602" s="68"/>
      <c r="AZ1602" s="68"/>
      <c r="BA1602" s="68"/>
      <c r="BB1602" s="67"/>
      <c r="BC1602" s="67"/>
      <c r="BD1602" s="67"/>
      <c r="BE1602" s="67"/>
      <c r="BF1602" s="95"/>
      <c r="BG1602" s="48"/>
      <c r="BH1602" s="48"/>
      <c r="BI1602" s="48"/>
      <c r="BJ1602" s="48"/>
      <c r="BK1602" s="48"/>
      <c r="BL1602" s="48"/>
      <c r="BM1602" s="48"/>
      <c r="BN1602" s="49"/>
      <c r="BO1602" s="48"/>
      <c r="BP1602" s="48"/>
      <c r="BQ1602" s="50"/>
    </row>
    <row r="1603" spans="1:69" ht="16" x14ac:dyDescent="0.35">
      <c r="A1603"/>
      <c r="D1603"/>
      <c r="G1603"/>
      <c r="H1603" s="20"/>
      <c r="I1603" s="20"/>
      <c r="J1603" s="20"/>
      <c r="K1603" s="20"/>
      <c r="L1603" s="20"/>
      <c r="Q1603" s="83"/>
      <c r="Y1603" s="20"/>
      <c r="AP1603" s="93"/>
      <c r="AQ1603" s="31"/>
      <c r="AR1603" s="31"/>
      <c r="AS1603" s="94"/>
      <c r="AT1603" s="31"/>
      <c r="AU1603" s="31"/>
      <c r="AV1603" s="94"/>
      <c r="AW1603" s="32"/>
      <c r="AX1603" s="32"/>
      <c r="AY1603" s="32"/>
      <c r="AZ1603" s="32"/>
      <c r="BA1603" s="32"/>
      <c r="BB1603" s="31"/>
      <c r="BC1603" s="31"/>
      <c r="BD1603" s="31"/>
      <c r="BE1603" s="31"/>
      <c r="BF1603" s="96"/>
      <c r="BG1603" s="52"/>
      <c r="BH1603" s="52"/>
      <c r="BI1603" s="52"/>
      <c r="BJ1603" s="52"/>
      <c r="BK1603" s="52"/>
      <c r="BL1603" s="52"/>
      <c r="BM1603" s="52"/>
      <c r="BN1603" s="53"/>
      <c r="BO1603" s="52"/>
      <c r="BP1603" s="52"/>
      <c r="BQ1603" s="54"/>
    </row>
    <row r="1604" spans="1:69" ht="16" x14ac:dyDescent="0.35">
      <c r="A1604"/>
      <c r="D1604"/>
      <c r="G1604"/>
      <c r="H1604" s="20"/>
      <c r="I1604" s="20"/>
      <c r="J1604" s="20"/>
      <c r="K1604" s="20"/>
      <c r="L1604" s="20"/>
      <c r="Q1604" s="83"/>
      <c r="Y1604" s="20"/>
      <c r="AP1604" s="92"/>
      <c r="AQ1604" s="67"/>
      <c r="AR1604" s="67"/>
      <c r="AS1604" s="73"/>
      <c r="AT1604" s="67"/>
      <c r="AU1604" s="67"/>
      <c r="AV1604" s="73"/>
      <c r="AW1604" s="68"/>
      <c r="AX1604" s="68"/>
      <c r="AY1604" s="68"/>
      <c r="AZ1604" s="68"/>
      <c r="BA1604" s="68"/>
      <c r="BB1604" s="67"/>
      <c r="BC1604" s="67"/>
      <c r="BD1604" s="67"/>
      <c r="BE1604" s="67"/>
      <c r="BF1604" s="95"/>
      <c r="BG1604" s="48"/>
      <c r="BH1604" s="48"/>
      <c r="BI1604" s="48"/>
      <c r="BJ1604" s="48"/>
      <c r="BK1604" s="48"/>
      <c r="BL1604" s="48"/>
      <c r="BM1604" s="48"/>
      <c r="BN1604" s="49"/>
      <c r="BO1604" s="48"/>
      <c r="BP1604" s="48"/>
      <c r="BQ1604" s="50"/>
    </row>
    <row r="1605" spans="1:69" ht="16" x14ac:dyDescent="0.35">
      <c r="A1605"/>
      <c r="D1605"/>
      <c r="G1605"/>
      <c r="H1605" s="20"/>
      <c r="I1605" s="20"/>
      <c r="J1605" s="20"/>
      <c r="K1605" s="20"/>
      <c r="L1605" s="20"/>
      <c r="Q1605" s="83"/>
      <c r="Y1605" s="20"/>
      <c r="AP1605" s="93"/>
      <c r="AQ1605" s="31"/>
      <c r="AR1605" s="31"/>
      <c r="AS1605" s="94"/>
      <c r="AT1605" s="31"/>
      <c r="AU1605" s="31"/>
      <c r="AV1605" s="94"/>
      <c r="AW1605" s="32"/>
      <c r="AX1605" s="32"/>
      <c r="AY1605" s="32"/>
      <c r="AZ1605" s="32"/>
      <c r="BA1605" s="32"/>
      <c r="BB1605" s="31"/>
      <c r="BC1605" s="31"/>
      <c r="BD1605" s="31"/>
      <c r="BE1605" s="31"/>
      <c r="BF1605" s="96"/>
      <c r="BG1605" s="52"/>
      <c r="BH1605" s="52"/>
      <c r="BI1605" s="52"/>
      <c r="BJ1605" s="52"/>
      <c r="BK1605" s="52"/>
      <c r="BL1605" s="52"/>
      <c r="BM1605" s="52"/>
      <c r="BN1605" s="53"/>
      <c r="BO1605" s="52"/>
      <c r="BP1605" s="52"/>
      <c r="BQ1605" s="54"/>
    </row>
    <row r="1606" spans="1:69" ht="16" x14ac:dyDescent="0.35">
      <c r="A1606"/>
      <c r="D1606"/>
      <c r="G1606"/>
      <c r="H1606" s="20"/>
      <c r="I1606" s="20"/>
      <c r="J1606" s="20"/>
      <c r="K1606" s="20"/>
      <c r="L1606" s="20"/>
      <c r="Q1606" s="83"/>
      <c r="Y1606" s="20"/>
      <c r="AP1606" s="92"/>
      <c r="AQ1606" s="67"/>
      <c r="AR1606" s="67"/>
      <c r="AS1606" s="73"/>
      <c r="AT1606" s="67"/>
      <c r="AU1606" s="67"/>
      <c r="AV1606" s="73"/>
      <c r="AW1606" s="68"/>
      <c r="AX1606" s="68"/>
      <c r="AY1606" s="68"/>
      <c r="AZ1606" s="68"/>
      <c r="BA1606" s="68"/>
      <c r="BB1606" s="67"/>
      <c r="BC1606" s="67"/>
      <c r="BD1606" s="67"/>
      <c r="BE1606" s="67"/>
      <c r="BF1606" s="95"/>
      <c r="BG1606" s="48"/>
      <c r="BH1606" s="48"/>
      <c r="BI1606" s="48"/>
      <c r="BJ1606" s="48"/>
      <c r="BK1606" s="48"/>
      <c r="BL1606" s="48"/>
      <c r="BM1606" s="48"/>
      <c r="BN1606" s="49"/>
      <c r="BO1606" s="48"/>
      <c r="BP1606" s="48"/>
      <c r="BQ1606" s="50"/>
    </row>
    <row r="1607" spans="1:69" ht="16" x14ac:dyDescent="0.35">
      <c r="A1607"/>
      <c r="D1607"/>
      <c r="G1607"/>
      <c r="H1607" s="20"/>
      <c r="I1607" s="20"/>
      <c r="J1607" s="20"/>
      <c r="K1607" s="20"/>
      <c r="L1607" s="20"/>
      <c r="Q1607" s="83"/>
      <c r="Y1607" s="20"/>
      <c r="AP1607" s="93"/>
      <c r="AQ1607" s="31"/>
      <c r="AR1607" s="31"/>
      <c r="AS1607" s="94"/>
      <c r="AT1607" s="31"/>
      <c r="AU1607" s="31"/>
      <c r="AV1607" s="94"/>
      <c r="AW1607" s="32"/>
      <c r="AX1607" s="32"/>
      <c r="AY1607" s="32"/>
      <c r="AZ1607" s="32"/>
      <c r="BA1607" s="32"/>
      <c r="BB1607" s="31"/>
      <c r="BC1607" s="31"/>
      <c r="BD1607" s="31"/>
      <c r="BE1607" s="31"/>
      <c r="BF1607" s="96"/>
      <c r="BG1607" s="52"/>
      <c r="BH1607" s="52"/>
      <c r="BI1607" s="52"/>
      <c r="BJ1607" s="52"/>
      <c r="BK1607" s="52"/>
      <c r="BL1607" s="52"/>
      <c r="BM1607" s="52"/>
      <c r="BN1607" s="53"/>
      <c r="BO1607" s="52"/>
      <c r="BP1607" s="52"/>
      <c r="BQ1607" s="54"/>
    </row>
    <row r="1608" spans="1:69" ht="16" x14ac:dyDescent="0.35">
      <c r="A1608"/>
      <c r="D1608"/>
      <c r="G1608"/>
      <c r="H1608" s="20"/>
      <c r="I1608" s="20"/>
      <c r="J1608" s="20"/>
      <c r="K1608" s="20"/>
      <c r="L1608" s="20"/>
      <c r="Q1608" s="83"/>
      <c r="Y1608" s="20"/>
      <c r="AP1608" s="92"/>
      <c r="AQ1608" s="67"/>
      <c r="AR1608" s="67"/>
      <c r="AS1608" s="73"/>
      <c r="AT1608" s="67"/>
      <c r="AU1608" s="67"/>
      <c r="AV1608" s="73"/>
      <c r="AW1608" s="68"/>
      <c r="AX1608" s="68"/>
      <c r="AY1608" s="68"/>
      <c r="AZ1608" s="68"/>
      <c r="BA1608" s="68"/>
      <c r="BB1608" s="67"/>
      <c r="BC1608" s="67"/>
      <c r="BD1608" s="67"/>
      <c r="BE1608" s="67"/>
      <c r="BF1608" s="95"/>
      <c r="BG1608" s="48"/>
      <c r="BH1608" s="48"/>
      <c r="BI1608" s="48"/>
      <c r="BJ1608" s="48"/>
      <c r="BK1608" s="48"/>
      <c r="BL1608" s="48"/>
      <c r="BM1608" s="48"/>
      <c r="BN1608" s="49"/>
      <c r="BO1608" s="48"/>
      <c r="BP1608" s="48"/>
      <c r="BQ1608" s="50"/>
    </row>
    <row r="1609" spans="1:69" ht="16" x14ac:dyDescent="0.35">
      <c r="A1609"/>
      <c r="D1609"/>
      <c r="G1609"/>
      <c r="H1609" s="20"/>
      <c r="I1609" s="20"/>
      <c r="J1609" s="20"/>
      <c r="K1609" s="20"/>
      <c r="L1609" s="20"/>
      <c r="Q1609" s="83"/>
      <c r="Y1609" s="20"/>
      <c r="AP1609" s="93"/>
      <c r="AQ1609" s="31"/>
      <c r="AR1609" s="31"/>
      <c r="AS1609" s="94"/>
      <c r="AT1609" s="31"/>
      <c r="AU1609" s="31"/>
      <c r="AV1609" s="94"/>
      <c r="AW1609" s="32"/>
      <c r="AX1609" s="32"/>
      <c r="AY1609" s="32"/>
      <c r="AZ1609" s="32"/>
      <c r="BA1609" s="32"/>
      <c r="BB1609" s="31"/>
      <c r="BC1609" s="31"/>
      <c r="BD1609" s="31"/>
      <c r="BE1609" s="31"/>
      <c r="BF1609" s="96"/>
      <c r="BG1609" s="52"/>
      <c r="BH1609" s="52"/>
      <c r="BI1609" s="52"/>
      <c r="BJ1609" s="52"/>
      <c r="BK1609" s="52"/>
      <c r="BL1609" s="52"/>
      <c r="BM1609" s="52"/>
      <c r="BN1609" s="53"/>
      <c r="BO1609" s="52"/>
      <c r="BP1609" s="52"/>
      <c r="BQ1609" s="54"/>
    </row>
    <row r="1610" spans="1:69" ht="16" x14ac:dyDescent="0.35">
      <c r="A1610"/>
      <c r="D1610"/>
      <c r="G1610"/>
      <c r="H1610" s="20"/>
      <c r="I1610" s="20"/>
      <c r="J1610" s="20"/>
      <c r="K1610" s="20"/>
      <c r="L1610" s="20"/>
      <c r="Q1610" s="83"/>
      <c r="Y1610" s="20"/>
      <c r="AP1610" s="92"/>
      <c r="AQ1610" s="67"/>
      <c r="AR1610" s="67"/>
      <c r="AS1610" s="73"/>
      <c r="AT1610" s="67"/>
      <c r="AU1610" s="67"/>
      <c r="AV1610" s="73"/>
      <c r="AW1610" s="68"/>
      <c r="AX1610" s="68"/>
      <c r="AY1610" s="68"/>
      <c r="AZ1610" s="68"/>
      <c r="BA1610" s="68"/>
      <c r="BB1610" s="67"/>
      <c r="BC1610" s="67"/>
      <c r="BD1610" s="67"/>
      <c r="BE1610" s="67"/>
      <c r="BF1610" s="95"/>
      <c r="BG1610" s="48"/>
      <c r="BH1610" s="48"/>
      <c r="BI1610" s="48"/>
      <c r="BJ1610" s="48"/>
      <c r="BK1610" s="48"/>
      <c r="BL1610" s="48"/>
      <c r="BM1610" s="48"/>
      <c r="BN1610" s="49"/>
      <c r="BO1610" s="48"/>
      <c r="BP1610" s="48"/>
      <c r="BQ1610" s="50"/>
    </row>
    <row r="1611" spans="1:69" ht="16" x14ac:dyDescent="0.35">
      <c r="A1611"/>
      <c r="D1611"/>
      <c r="G1611"/>
      <c r="H1611" s="20"/>
      <c r="I1611" s="20"/>
      <c r="J1611" s="20"/>
      <c r="K1611" s="20"/>
      <c r="L1611" s="20"/>
      <c r="Q1611" s="83"/>
      <c r="Y1611" s="20"/>
      <c r="AP1611" s="93"/>
      <c r="AQ1611" s="31"/>
      <c r="AR1611" s="31"/>
      <c r="AS1611" s="94"/>
      <c r="AT1611" s="31"/>
      <c r="AU1611" s="31"/>
      <c r="AV1611" s="94"/>
      <c r="AW1611" s="32"/>
      <c r="AX1611" s="32"/>
      <c r="AY1611" s="32"/>
      <c r="AZ1611" s="32"/>
      <c r="BA1611" s="32"/>
      <c r="BB1611" s="31"/>
      <c r="BC1611" s="31"/>
      <c r="BD1611" s="31"/>
      <c r="BE1611" s="31"/>
      <c r="BF1611" s="96"/>
      <c r="BG1611" s="52"/>
      <c r="BH1611" s="52"/>
      <c r="BI1611" s="52"/>
      <c r="BJ1611" s="52"/>
      <c r="BK1611" s="52"/>
      <c r="BL1611" s="52"/>
      <c r="BM1611" s="52"/>
      <c r="BN1611" s="53"/>
      <c r="BO1611" s="52"/>
      <c r="BP1611" s="52"/>
      <c r="BQ1611" s="54"/>
    </row>
    <row r="1612" spans="1:69" ht="16" x14ac:dyDescent="0.35">
      <c r="A1612"/>
      <c r="D1612"/>
      <c r="G1612"/>
      <c r="H1612" s="20"/>
      <c r="I1612" s="20"/>
      <c r="J1612" s="20"/>
      <c r="K1612" s="20"/>
      <c r="L1612" s="20"/>
      <c r="Q1612" s="83"/>
      <c r="Y1612" s="20"/>
      <c r="AP1612" s="92"/>
      <c r="AQ1612" s="67"/>
      <c r="AR1612" s="67"/>
      <c r="AS1612" s="73"/>
      <c r="AT1612" s="67"/>
      <c r="AU1612" s="67"/>
      <c r="AV1612" s="73"/>
      <c r="AW1612" s="68"/>
      <c r="AX1612" s="68"/>
      <c r="AY1612" s="68"/>
      <c r="AZ1612" s="68"/>
      <c r="BA1612" s="68"/>
      <c r="BB1612" s="67"/>
      <c r="BC1612" s="67"/>
      <c r="BD1612" s="67"/>
      <c r="BE1612" s="67"/>
      <c r="BF1612" s="95"/>
      <c r="BG1612" s="48"/>
      <c r="BH1612" s="48"/>
      <c r="BI1612" s="48"/>
      <c r="BJ1612" s="48"/>
      <c r="BK1612" s="48"/>
      <c r="BL1612" s="48"/>
      <c r="BM1612" s="48"/>
      <c r="BN1612" s="49"/>
      <c r="BO1612" s="48"/>
      <c r="BP1612" s="48"/>
      <c r="BQ1612" s="50"/>
    </row>
    <row r="1613" spans="1:69" ht="16" x14ac:dyDescent="0.35">
      <c r="A1613"/>
      <c r="D1613"/>
      <c r="G1613"/>
      <c r="H1613" s="20"/>
      <c r="I1613" s="20"/>
      <c r="J1613" s="20"/>
      <c r="K1613" s="20"/>
      <c r="L1613" s="20"/>
      <c r="Q1613" s="83"/>
      <c r="Y1613" s="20"/>
      <c r="AP1613" s="93"/>
      <c r="AQ1613" s="31"/>
      <c r="AR1613" s="31"/>
      <c r="AS1613" s="94"/>
      <c r="AT1613" s="31"/>
      <c r="AU1613" s="31"/>
      <c r="AV1613" s="94"/>
      <c r="AW1613" s="32"/>
      <c r="AX1613" s="32"/>
      <c r="AY1613" s="32"/>
      <c r="AZ1613" s="32"/>
      <c r="BA1613" s="32"/>
      <c r="BB1613" s="31"/>
      <c r="BC1613" s="31"/>
      <c r="BD1613" s="31"/>
      <c r="BE1613" s="31"/>
      <c r="BF1613" s="96"/>
      <c r="BG1613" s="52"/>
      <c r="BH1613" s="52"/>
      <c r="BI1613" s="52"/>
      <c r="BJ1613" s="52"/>
      <c r="BK1613" s="52"/>
      <c r="BL1613" s="52"/>
      <c r="BM1613" s="52"/>
      <c r="BN1613" s="53"/>
      <c r="BO1613" s="52"/>
      <c r="BP1613" s="52"/>
      <c r="BQ1613" s="54"/>
    </row>
    <row r="1614" spans="1:69" ht="16" x14ac:dyDescent="0.35">
      <c r="A1614"/>
      <c r="D1614"/>
      <c r="G1614"/>
      <c r="H1614" s="20"/>
      <c r="I1614" s="20"/>
      <c r="J1614" s="20"/>
      <c r="K1614" s="20"/>
      <c r="L1614" s="20"/>
      <c r="Q1614" s="83"/>
      <c r="Y1614" s="20"/>
      <c r="AP1614" s="92"/>
      <c r="AQ1614" s="67"/>
      <c r="AR1614" s="67"/>
      <c r="AS1614" s="73"/>
      <c r="AT1614" s="67"/>
      <c r="AU1614" s="67"/>
      <c r="AV1614" s="73"/>
      <c r="AW1614" s="68"/>
      <c r="AX1614" s="68"/>
      <c r="AY1614" s="68"/>
      <c r="AZ1614" s="68"/>
      <c r="BA1614" s="68"/>
      <c r="BB1614" s="67"/>
      <c r="BC1614" s="67"/>
      <c r="BD1614" s="67"/>
      <c r="BE1614" s="67"/>
      <c r="BF1614" s="95"/>
      <c r="BG1614" s="48"/>
      <c r="BH1614" s="48"/>
      <c r="BI1614" s="48"/>
      <c r="BJ1614" s="48"/>
      <c r="BK1614" s="48"/>
      <c r="BL1614" s="48"/>
      <c r="BM1614" s="48"/>
      <c r="BN1614" s="49"/>
      <c r="BO1614" s="48"/>
      <c r="BP1614" s="48"/>
      <c r="BQ1614" s="50"/>
    </row>
    <row r="1615" spans="1:69" ht="16" x14ac:dyDescent="0.35">
      <c r="A1615"/>
      <c r="D1615"/>
      <c r="G1615"/>
      <c r="H1615" s="20"/>
      <c r="I1615" s="20"/>
      <c r="J1615" s="20"/>
      <c r="K1615" s="20"/>
      <c r="L1615" s="20"/>
      <c r="Q1615" s="83"/>
      <c r="Y1615" s="20"/>
      <c r="AP1615" s="93"/>
      <c r="AQ1615" s="31"/>
      <c r="AR1615" s="31"/>
      <c r="AS1615" s="94"/>
      <c r="AT1615" s="31"/>
      <c r="AU1615" s="31"/>
      <c r="AV1615" s="94"/>
      <c r="AW1615" s="32"/>
      <c r="AX1615" s="32"/>
      <c r="AY1615" s="32"/>
      <c r="AZ1615" s="32"/>
      <c r="BA1615" s="32"/>
      <c r="BB1615" s="31"/>
      <c r="BC1615" s="31"/>
      <c r="BD1615" s="31"/>
      <c r="BE1615" s="31"/>
      <c r="BF1615" s="96"/>
      <c r="BG1615" s="52"/>
      <c r="BH1615" s="52"/>
      <c r="BI1615" s="52"/>
      <c r="BJ1615" s="52"/>
      <c r="BK1615" s="52"/>
      <c r="BL1615" s="52"/>
      <c r="BM1615" s="52"/>
      <c r="BN1615" s="53"/>
      <c r="BO1615" s="52"/>
      <c r="BP1615" s="52"/>
      <c r="BQ1615" s="54"/>
    </row>
    <row r="1616" spans="1:69" ht="16" x14ac:dyDescent="0.35">
      <c r="A1616"/>
      <c r="D1616"/>
      <c r="G1616"/>
      <c r="H1616" s="20"/>
      <c r="I1616" s="20"/>
      <c r="J1616" s="20"/>
      <c r="K1616" s="20"/>
      <c r="L1616" s="20"/>
      <c r="Q1616" s="83"/>
      <c r="Y1616" s="20"/>
      <c r="AP1616" s="92"/>
      <c r="AQ1616" s="67"/>
      <c r="AR1616" s="67"/>
      <c r="AS1616" s="73"/>
      <c r="AT1616" s="67"/>
      <c r="AU1616" s="67"/>
      <c r="AV1616" s="73"/>
      <c r="AW1616" s="68"/>
      <c r="AX1616" s="68"/>
      <c r="AY1616" s="68"/>
      <c r="AZ1616" s="68"/>
      <c r="BA1616" s="68"/>
      <c r="BB1616" s="67"/>
      <c r="BC1616" s="67"/>
      <c r="BD1616" s="67"/>
      <c r="BE1616" s="67"/>
      <c r="BF1616" s="95"/>
      <c r="BG1616" s="48"/>
      <c r="BH1616" s="48"/>
      <c r="BI1616" s="48"/>
      <c r="BJ1616" s="48"/>
      <c r="BK1616" s="48"/>
      <c r="BL1616" s="48"/>
      <c r="BM1616" s="48"/>
      <c r="BN1616" s="49"/>
      <c r="BO1616" s="48"/>
      <c r="BP1616" s="48"/>
      <c r="BQ1616" s="50"/>
    </row>
    <row r="1617" spans="1:69" ht="16" x14ac:dyDescent="0.35">
      <c r="A1617"/>
      <c r="D1617"/>
      <c r="G1617"/>
      <c r="H1617" s="20"/>
      <c r="I1617" s="20"/>
      <c r="J1617" s="20"/>
      <c r="K1617" s="20"/>
      <c r="L1617" s="20"/>
      <c r="Q1617" s="83"/>
      <c r="Y1617" s="20"/>
      <c r="AP1617" s="93"/>
      <c r="AQ1617" s="31"/>
      <c r="AR1617" s="31"/>
      <c r="AS1617" s="94"/>
      <c r="AT1617" s="31"/>
      <c r="AU1617" s="31"/>
      <c r="AV1617" s="94"/>
      <c r="AW1617" s="32"/>
      <c r="AX1617" s="32"/>
      <c r="AY1617" s="32"/>
      <c r="AZ1617" s="32"/>
      <c r="BA1617" s="32"/>
      <c r="BB1617" s="31"/>
      <c r="BC1617" s="31"/>
      <c r="BD1617" s="31"/>
      <c r="BE1617" s="31"/>
      <c r="BF1617" s="96"/>
      <c r="BG1617" s="52"/>
      <c r="BH1617" s="52"/>
      <c r="BI1617" s="52"/>
      <c r="BJ1617" s="52"/>
      <c r="BK1617" s="52"/>
      <c r="BL1617" s="52"/>
      <c r="BM1617" s="52"/>
      <c r="BN1617" s="53"/>
      <c r="BO1617" s="52"/>
      <c r="BP1617" s="52"/>
      <c r="BQ1617" s="54"/>
    </row>
    <row r="1618" spans="1:69" ht="16" x14ac:dyDescent="0.35">
      <c r="A1618"/>
      <c r="D1618"/>
      <c r="G1618"/>
      <c r="H1618" s="20"/>
      <c r="I1618" s="20"/>
      <c r="J1618" s="20"/>
      <c r="K1618" s="20"/>
      <c r="L1618" s="20"/>
      <c r="Q1618" s="83"/>
      <c r="Y1618" s="20"/>
      <c r="AP1618" s="92"/>
      <c r="AQ1618" s="67"/>
      <c r="AR1618" s="67"/>
      <c r="AS1618" s="73"/>
      <c r="AT1618" s="67"/>
      <c r="AU1618" s="67"/>
      <c r="AV1618" s="73"/>
      <c r="AW1618" s="68"/>
      <c r="AX1618" s="68"/>
      <c r="AY1618" s="68"/>
      <c r="AZ1618" s="68"/>
      <c r="BA1618" s="68"/>
      <c r="BB1618" s="67"/>
      <c r="BC1618" s="67"/>
      <c r="BD1618" s="67"/>
      <c r="BE1618" s="67"/>
      <c r="BF1618" s="95"/>
      <c r="BG1618" s="48"/>
      <c r="BH1618" s="48"/>
      <c r="BI1618" s="48"/>
      <c r="BJ1618" s="48"/>
      <c r="BK1618" s="48"/>
      <c r="BL1618" s="48"/>
      <c r="BM1618" s="48"/>
      <c r="BN1618" s="49"/>
      <c r="BO1618" s="48"/>
      <c r="BP1618" s="48"/>
      <c r="BQ1618" s="50"/>
    </row>
    <row r="1619" spans="1:69" ht="16" x14ac:dyDescent="0.35">
      <c r="A1619"/>
      <c r="D1619"/>
      <c r="G1619"/>
      <c r="H1619" s="20"/>
      <c r="I1619" s="20"/>
      <c r="J1619" s="20"/>
      <c r="K1619" s="20"/>
      <c r="L1619" s="20"/>
      <c r="Q1619" s="83"/>
      <c r="Y1619" s="20"/>
      <c r="AP1619" s="93"/>
      <c r="AQ1619" s="31"/>
      <c r="AR1619" s="31"/>
      <c r="AS1619" s="94"/>
      <c r="AT1619" s="31"/>
      <c r="AU1619" s="31"/>
      <c r="AV1619" s="94"/>
      <c r="AW1619" s="32"/>
      <c r="AX1619" s="32"/>
      <c r="AY1619" s="32"/>
      <c r="AZ1619" s="32"/>
      <c r="BA1619" s="32"/>
      <c r="BB1619" s="31"/>
      <c r="BC1619" s="31"/>
      <c r="BD1619" s="31"/>
      <c r="BE1619" s="31"/>
      <c r="BF1619" s="96"/>
      <c r="BG1619" s="52"/>
      <c r="BH1619" s="52"/>
      <c r="BI1619" s="52"/>
      <c r="BJ1619" s="52"/>
      <c r="BK1619" s="52"/>
      <c r="BL1619" s="52"/>
      <c r="BM1619" s="52"/>
      <c r="BN1619" s="53"/>
      <c r="BO1619" s="52"/>
      <c r="BP1619" s="52"/>
      <c r="BQ1619" s="54"/>
    </row>
    <row r="1620" spans="1:69" ht="16" x14ac:dyDescent="0.35">
      <c r="A1620"/>
      <c r="D1620"/>
      <c r="G1620"/>
      <c r="H1620" s="20"/>
      <c r="I1620" s="20"/>
      <c r="J1620" s="20"/>
      <c r="K1620" s="20"/>
      <c r="L1620" s="20"/>
      <c r="Q1620" s="83"/>
      <c r="Y1620" s="20"/>
      <c r="AP1620" s="92"/>
      <c r="AQ1620" s="67"/>
      <c r="AR1620" s="67"/>
      <c r="AS1620" s="73"/>
      <c r="AT1620" s="67"/>
      <c r="AU1620" s="67"/>
      <c r="AV1620" s="73"/>
      <c r="AW1620" s="68"/>
      <c r="AX1620" s="68"/>
      <c r="AY1620" s="68"/>
      <c r="AZ1620" s="68"/>
      <c r="BA1620" s="68"/>
      <c r="BB1620" s="67"/>
      <c r="BC1620" s="67"/>
      <c r="BD1620" s="67"/>
      <c r="BE1620" s="67"/>
      <c r="BF1620" s="95"/>
      <c r="BG1620" s="48"/>
      <c r="BH1620" s="48"/>
      <c r="BI1620" s="48"/>
      <c r="BJ1620" s="48"/>
      <c r="BK1620" s="48"/>
      <c r="BL1620" s="48"/>
      <c r="BM1620" s="48"/>
      <c r="BN1620" s="49"/>
      <c r="BO1620" s="48"/>
      <c r="BP1620" s="48"/>
      <c r="BQ1620" s="50"/>
    </row>
    <row r="1621" spans="1:69" ht="16" x14ac:dyDescent="0.35">
      <c r="A1621"/>
      <c r="D1621"/>
      <c r="G1621"/>
      <c r="H1621" s="20"/>
      <c r="I1621" s="20"/>
      <c r="J1621" s="20"/>
      <c r="K1621" s="20"/>
      <c r="L1621" s="20"/>
      <c r="Q1621" s="83"/>
      <c r="Y1621" s="20"/>
      <c r="AP1621" s="93"/>
      <c r="AQ1621" s="31"/>
      <c r="AR1621" s="31"/>
      <c r="AS1621" s="94"/>
      <c r="AT1621" s="31"/>
      <c r="AU1621" s="31"/>
      <c r="AV1621" s="94"/>
      <c r="AW1621" s="32"/>
      <c r="AX1621" s="32"/>
      <c r="AY1621" s="32"/>
      <c r="AZ1621" s="32"/>
      <c r="BA1621" s="32"/>
      <c r="BB1621" s="31"/>
      <c r="BC1621" s="31"/>
      <c r="BD1621" s="31"/>
      <c r="BE1621" s="31"/>
      <c r="BF1621" s="96"/>
      <c r="BG1621" s="52"/>
      <c r="BH1621" s="52"/>
      <c r="BI1621" s="52"/>
      <c r="BJ1621" s="52"/>
      <c r="BK1621" s="52"/>
      <c r="BL1621" s="52"/>
      <c r="BM1621" s="52"/>
      <c r="BN1621" s="53"/>
      <c r="BO1621" s="52"/>
      <c r="BP1621" s="52"/>
      <c r="BQ1621" s="54"/>
    </row>
    <row r="1622" spans="1:69" ht="16" x14ac:dyDescent="0.35">
      <c r="A1622"/>
      <c r="D1622"/>
      <c r="G1622"/>
      <c r="H1622" s="20"/>
      <c r="I1622" s="20"/>
      <c r="J1622" s="20"/>
      <c r="K1622" s="20"/>
      <c r="L1622" s="20"/>
      <c r="Q1622" s="83"/>
      <c r="Y1622" s="20"/>
      <c r="AP1622" s="92"/>
      <c r="AQ1622" s="67"/>
      <c r="AR1622" s="67"/>
      <c r="AS1622" s="73"/>
      <c r="AT1622" s="67"/>
      <c r="AU1622" s="67"/>
      <c r="AV1622" s="73"/>
      <c r="AW1622" s="68"/>
      <c r="AX1622" s="68"/>
      <c r="AY1622" s="68"/>
      <c r="AZ1622" s="68"/>
      <c r="BA1622" s="68"/>
      <c r="BB1622" s="67"/>
      <c r="BC1622" s="67"/>
      <c r="BD1622" s="67"/>
      <c r="BE1622" s="67"/>
      <c r="BF1622" s="95"/>
      <c r="BG1622" s="48"/>
      <c r="BH1622" s="48"/>
      <c r="BI1622" s="48"/>
      <c r="BJ1622" s="48"/>
      <c r="BK1622" s="48"/>
      <c r="BL1622" s="48"/>
      <c r="BM1622" s="48"/>
      <c r="BN1622" s="49"/>
      <c r="BO1622" s="48"/>
      <c r="BP1622" s="48"/>
      <c r="BQ1622" s="50"/>
    </row>
    <row r="1623" spans="1:69" ht="16" x14ac:dyDescent="0.35">
      <c r="A1623"/>
      <c r="D1623"/>
      <c r="G1623"/>
      <c r="H1623" s="20"/>
      <c r="I1623" s="20"/>
      <c r="J1623" s="20"/>
      <c r="K1623" s="20"/>
      <c r="L1623" s="20"/>
      <c r="Q1623" s="83"/>
      <c r="Y1623" s="20"/>
      <c r="AP1623" s="93"/>
      <c r="AQ1623" s="31"/>
      <c r="AR1623" s="31"/>
      <c r="AS1623" s="94"/>
      <c r="AT1623" s="31"/>
      <c r="AU1623" s="31"/>
      <c r="AV1623" s="94"/>
      <c r="AW1623" s="32"/>
      <c r="AX1623" s="32"/>
      <c r="AY1623" s="32"/>
      <c r="AZ1623" s="32"/>
      <c r="BA1623" s="32"/>
      <c r="BB1623" s="31"/>
      <c r="BC1623" s="31"/>
      <c r="BD1623" s="31"/>
      <c r="BE1623" s="31"/>
      <c r="BF1623" s="96"/>
      <c r="BG1623" s="52"/>
      <c r="BH1623" s="52"/>
      <c r="BI1623" s="52"/>
      <c r="BJ1623" s="52"/>
      <c r="BK1623" s="52"/>
      <c r="BL1623" s="52"/>
      <c r="BM1623" s="52"/>
      <c r="BN1623" s="53"/>
      <c r="BO1623" s="52"/>
      <c r="BP1623" s="52"/>
      <c r="BQ1623" s="54"/>
    </row>
    <row r="1624" spans="1:69" ht="16" x14ac:dyDescent="0.35">
      <c r="A1624"/>
      <c r="D1624"/>
      <c r="G1624"/>
      <c r="H1624" s="20"/>
      <c r="I1624" s="20"/>
      <c r="J1624" s="20"/>
      <c r="K1624" s="20"/>
      <c r="L1624" s="20"/>
      <c r="Q1624" s="83"/>
      <c r="Y1624" s="20"/>
      <c r="AP1624" s="92"/>
      <c r="AQ1624" s="67"/>
      <c r="AR1624" s="67"/>
      <c r="AS1624" s="73"/>
      <c r="AT1624" s="67"/>
      <c r="AU1624" s="67"/>
      <c r="AV1624" s="73"/>
      <c r="AW1624" s="68"/>
      <c r="AX1624" s="68"/>
      <c r="AY1624" s="68"/>
      <c r="AZ1624" s="68"/>
      <c r="BA1624" s="68"/>
      <c r="BB1624" s="67"/>
      <c r="BC1624" s="67"/>
      <c r="BD1624" s="67"/>
      <c r="BE1624" s="67"/>
      <c r="BF1624" s="95"/>
      <c r="BG1624" s="48"/>
      <c r="BH1624" s="48"/>
      <c r="BI1624" s="48"/>
      <c r="BJ1624" s="48"/>
      <c r="BK1624" s="48"/>
      <c r="BL1624" s="48"/>
      <c r="BM1624" s="48"/>
      <c r="BN1624" s="49"/>
      <c r="BO1624" s="48"/>
      <c r="BP1624" s="48"/>
      <c r="BQ1624" s="50"/>
    </row>
    <row r="1625" spans="1:69" ht="16" x14ac:dyDescent="0.35">
      <c r="A1625"/>
      <c r="D1625"/>
      <c r="G1625"/>
      <c r="H1625" s="20"/>
      <c r="I1625" s="20"/>
      <c r="J1625" s="20"/>
      <c r="K1625" s="20"/>
      <c r="L1625" s="20"/>
      <c r="Q1625" s="83"/>
      <c r="Y1625" s="20"/>
      <c r="AP1625" s="93"/>
      <c r="AQ1625" s="31"/>
      <c r="AR1625" s="31"/>
      <c r="AS1625" s="94"/>
      <c r="AT1625" s="31"/>
      <c r="AU1625" s="31"/>
      <c r="AV1625" s="94"/>
      <c r="AW1625" s="32"/>
      <c r="AX1625" s="32"/>
      <c r="AY1625" s="32"/>
      <c r="AZ1625" s="32"/>
      <c r="BA1625" s="32"/>
      <c r="BB1625" s="31"/>
      <c r="BC1625" s="31"/>
      <c r="BD1625" s="31"/>
      <c r="BE1625" s="31"/>
      <c r="BF1625" s="96"/>
      <c r="BG1625" s="52"/>
      <c r="BH1625" s="52"/>
      <c r="BI1625" s="52"/>
      <c r="BJ1625" s="52"/>
      <c r="BK1625" s="52"/>
      <c r="BL1625" s="52"/>
      <c r="BM1625" s="52"/>
      <c r="BN1625" s="53"/>
      <c r="BO1625" s="52"/>
      <c r="BP1625" s="52"/>
      <c r="BQ1625" s="54"/>
    </row>
    <row r="1626" spans="1:69" ht="16" x14ac:dyDescent="0.35">
      <c r="A1626"/>
      <c r="D1626"/>
      <c r="G1626"/>
      <c r="H1626" s="20"/>
      <c r="I1626" s="20"/>
      <c r="J1626" s="20"/>
      <c r="K1626" s="20"/>
      <c r="L1626" s="20"/>
      <c r="Q1626" s="83"/>
      <c r="Y1626" s="20"/>
      <c r="AP1626" s="92"/>
      <c r="AQ1626" s="67"/>
      <c r="AR1626" s="67"/>
      <c r="AS1626" s="73"/>
      <c r="AT1626" s="67"/>
      <c r="AU1626" s="67"/>
      <c r="AV1626" s="73"/>
      <c r="AW1626" s="68"/>
      <c r="AX1626" s="68"/>
      <c r="AY1626" s="68"/>
      <c r="AZ1626" s="68"/>
      <c r="BA1626" s="68"/>
      <c r="BB1626" s="67"/>
      <c r="BC1626" s="67"/>
      <c r="BD1626" s="67"/>
      <c r="BE1626" s="67"/>
      <c r="BF1626" s="95"/>
      <c r="BG1626" s="48"/>
      <c r="BH1626" s="48"/>
      <c r="BI1626" s="48"/>
      <c r="BJ1626" s="48"/>
      <c r="BK1626" s="48"/>
      <c r="BL1626" s="48"/>
      <c r="BM1626" s="48"/>
      <c r="BN1626" s="49"/>
      <c r="BO1626" s="48"/>
      <c r="BP1626" s="48"/>
      <c r="BQ1626" s="50"/>
    </row>
    <row r="1627" spans="1:69" ht="16" x14ac:dyDescent="0.35">
      <c r="A1627"/>
      <c r="D1627"/>
      <c r="G1627"/>
      <c r="H1627" s="20"/>
      <c r="I1627" s="20"/>
      <c r="J1627" s="20"/>
      <c r="K1627" s="20"/>
      <c r="L1627" s="20"/>
      <c r="Q1627" s="83"/>
      <c r="Y1627" s="20"/>
      <c r="AP1627" s="93"/>
      <c r="AQ1627" s="31"/>
      <c r="AR1627" s="31"/>
      <c r="AS1627" s="94"/>
      <c r="AT1627" s="31"/>
      <c r="AU1627" s="31"/>
      <c r="AV1627" s="94"/>
      <c r="AW1627" s="32"/>
      <c r="AX1627" s="32"/>
      <c r="AY1627" s="32"/>
      <c r="AZ1627" s="32"/>
      <c r="BA1627" s="32"/>
      <c r="BB1627" s="31"/>
      <c r="BC1627" s="31"/>
      <c r="BD1627" s="31"/>
      <c r="BE1627" s="31"/>
      <c r="BF1627" s="96"/>
      <c r="BG1627" s="52"/>
      <c r="BH1627" s="52"/>
      <c r="BI1627" s="52"/>
      <c r="BJ1627" s="52"/>
      <c r="BK1627" s="52"/>
      <c r="BL1627" s="52"/>
      <c r="BM1627" s="52"/>
      <c r="BN1627" s="53"/>
      <c r="BO1627" s="52"/>
      <c r="BP1627" s="52"/>
      <c r="BQ1627" s="54"/>
    </row>
    <row r="1628" spans="1:69" ht="16" x14ac:dyDescent="0.35">
      <c r="A1628"/>
      <c r="D1628"/>
      <c r="G1628"/>
      <c r="H1628" s="20"/>
      <c r="I1628" s="20"/>
      <c r="J1628" s="20"/>
      <c r="K1628" s="20"/>
      <c r="L1628" s="20"/>
      <c r="Q1628" s="83"/>
      <c r="Y1628" s="20"/>
      <c r="AP1628" s="92"/>
      <c r="AQ1628" s="67"/>
      <c r="AR1628" s="67"/>
      <c r="AS1628" s="73"/>
      <c r="AT1628" s="67"/>
      <c r="AU1628" s="67"/>
      <c r="AV1628" s="73"/>
      <c r="AW1628" s="68"/>
      <c r="AX1628" s="68"/>
      <c r="AY1628" s="68"/>
      <c r="AZ1628" s="68"/>
      <c r="BA1628" s="68"/>
      <c r="BB1628" s="67"/>
      <c r="BC1628" s="67"/>
      <c r="BD1628" s="67"/>
      <c r="BE1628" s="67"/>
      <c r="BF1628" s="95"/>
      <c r="BG1628" s="48"/>
      <c r="BH1628" s="48"/>
      <c r="BI1628" s="48"/>
      <c r="BJ1628" s="48"/>
      <c r="BK1628" s="48"/>
      <c r="BL1628" s="48"/>
      <c r="BM1628" s="48"/>
      <c r="BN1628" s="49"/>
      <c r="BO1628" s="48"/>
      <c r="BP1628" s="48"/>
      <c r="BQ1628" s="50"/>
    </row>
    <row r="1629" spans="1:69" ht="16" x14ac:dyDescent="0.35">
      <c r="A1629"/>
      <c r="D1629"/>
      <c r="G1629"/>
      <c r="H1629" s="20"/>
      <c r="I1629" s="20"/>
      <c r="J1629" s="20"/>
      <c r="K1629" s="20"/>
      <c r="L1629" s="20"/>
      <c r="Q1629" s="83"/>
      <c r="Y1629" s="20"/>
      <c r="AP1629" s="93"/>
      <c r="AQ1629" s="31"/>
      <c r="AR1629" s="31"/>
      <c r="AS1629" s="94"/>
      <c r="AT1629" s="31"/>
      <c r="AU1629" s="31"/>
      <c r="AV1629" s="94"/>
      <c r="AW1629" s="32"/>
      <c r="AX1629" s="32"/>
      <c r="AY1629" s="32"/>
      <c r="AZ1629" s="32"/>
      <c r="BA1629" s="32"/>
      <c r="BB1629" s="31"/>
      <c r="BC1629" s="31"/>
      <c r="BD1629" s="31"/>
      <c r="BE1629" s="31"/>
      <c r="BF1629" s="96"/>
      <c r="BG1629" s="52"/>
      <c r="BH1629" s="52"/>
      <c r="BI1629" s="52"/>
      <c r="BJ1629" s="52"/>
      <c r="BK1629" s="52"/>
      <c r="BL1629" s="52"/>
      <c r="BM1629" s="52"/>
      <c r="BN1629" s="53"/>
      <c r="BO1629" s="52"/>
      <c r="BP1629" s="52"/>
      <c r="BQ1629" s="54"/>
    </row>
    <row r="1630" spans="1:69" ht="16" x14ac:dyDescent="0.35">
      <c r="A1630"/>
      <c r="D1630"/>
      <c r="G1630"/>
      <c r="H1630" s="20"/>
      <c r="I1630" s="20"/>
      <c r="J1630" s="20"/>
      <c r="K1630" s="20"/>
      <c r="L1630" s="20"/>
      <c r="Q1630" s="83"/>
      <c r="Y1630" s="20"/>
      <c r="AP1630" s="92"/>
      <c r="AQ1630" s="67"/>
      <c r="AR1630" s="67"/>
      <c r="AS1630" s="73"/>
      <c r="AT1630" s="67"/>
      <c r="AU1630" s="67"/>
      <c r="AV1630" s="73"/>
      <c r="AW1630" s="68"/>
      <c r="AX1630" s="68"/>
      <c r="AY1630" s="68"/>
      <c r="AZ1630" s="68"/>
      <c r="BA1630" s="68"/>
      <c r="BB1630" s="67"/>
      <c r="BC1630" s="67"/>
      <c r="BD1630" s="67"/>
      <c r="BE1630" s="67"/>
      <c r="BF1630" s="95"/>
      <c r="BG1630" s="48"/>
      <c r="BH1630" s="48"/>
      <c r="BI1630" s="48"/>
      <c r="BJ1630" s="48"/>
      <c r="BK1630" s="48"/>
      <c r="BL1630" s="48"/>
      <c r="BM1630" s="48"/>
      <c r="BN1630" s="49"/>
      <c r="BO1630" s="48"/>
      <c r="BP1630" s="48"/>
      <c r="BQ1630" s="50"/>
    </row>
    <row r="1631" spans="1:69" ht="16" x14ac:dyDescent="0.35">
      <c r="A1631"/>
      <c r="D1631"/>
      <c r="G1631"/>
      <c r="H1631" s="20"/>
      <c r="I1631" s="20"/>
      <c r="J1631" s="20"/>
      <c r="K1631" s="20"/>
      <c r="L1631" s="20"/>
      <c r="Q1631" s="83"/>
      <c r="Y1631" s="20"/>
      <c r="AP1631" s="93"/>
      <c r="AQ1631" s="31"/>
      <c r="AR1631" s="31"/>
      <c r="AS1631" s="94"/>
      <c r="AT1631" s="31"/>
      <c r="AU1631" s="31"/>
      <c r="AV1631" s="94"/>
      <c r="AW1631" s="32"/>
      <c r="AX1631" s="32"/>
      <c r="AY1631" s="32"/>
      <c r="AZ1631" s="32"/>
      <c r="BA1631" s="32"/>
      <c r="BB1631" s="31"/>
      <c r="BC1631" s="31"/>
      <c r="BD1631" s="31"/>
      <c r="BE1631" s="31"/>
      <c r="BF1631" s="96"/>
      <c r="BG1631" s="52"/>
      <c r="BH1631" s="52"/>
      <c r="BI1631" s="52"/>
      <c r="BJ1631" s="52"/>
      <c r="BK1631" s="52"/>
      <c r="BL1631" s="52"/>
      <c r="BM1631" s="52"/>
      <c r="BN1631" s="53"/>
      <c r="BO1631" s="52"/>
      <c r="BP1631" s="52"/>
      <c r="BQ1631" s="54"/>
    </row>
    <row r="1632" spans="1:69" ht="16" x14ac:dyDescent="0.35">
      <c r="A1632"/>
      <c r="D1632"/>
      <c r="G1632"/>
      <c r="H1632" s="20"/>
      <c r="I1632" s="20"/>
      <c r="J1632" s="20"/>
      <c r="K1632" s="20"/>
      <c r="L1632" s="20"/>
      <c r="Q1632" s="83"/>
      <c r="Y1632" s="20"/>
      <c r="AP1632" s="92"/>
      <c r="AQ1632" s="67"/>
      <c r="AR1632" s="67"/>
      <c r="AS1632" s="73"/>
      <c r="AT1632" s="67"/>
      <c r="AU1632" s="67"/>
      <c r="AV1632" s="73"/>
      <c r="AW1632" s="68"/>
      <c r="AX1632" s="68"/>
      <c r="AY1632" s="68"/>
      <c r="AZ1632" s="68"/>
      <c r="BA1632" s="68"/>
      <c r="BB1632" s="67"/>
      <c r="BC1632" s="67"/>
      <c r="BD1632" s="67"/>
      <c r="BE1632" s="67"/>
      <c r="BF1632" s="95"/>
      <c r="BG1632" s="48"/>
      <c r="BH1632" s="48"/>
      <c r="BI1632" s="48"/>
      <c r="BJ1632" s="48"/>
      <c r="BK1632" s="48"/>
      <c r="BL1632" s="48"/>
      <c r="BM1632" s="48"/>
      <c r="BN1632" s="49"/>
      <c r="BO1632" s="48"/>
      <c r="BP1632" s="48"/>
      <c r="BQ1632" s="50"/>
    </row>
    <row r="1633" spans="1:69" ht="16" x14ac:dyDescent="0.35">
      <c r="A1633"/>
      <c r="D1633"/>
      <c r="G1633"/>
      <c r="H1633" s="20"/>
      <c r="I1633" s="20"/>
      <c r="J1633" s="20"/>
      <c r="K1633" s="20"/>
      <c r="L1633" s="20"/>
      <c r="Q1633" s="83"/>
      <c r="Y1633" s="20"/>
      <c r="AP1633" s="93"/>
      <c r="AQ1633" s="31"/>
      <c r="AR1633" s="31"/>
      <c r="AS1633" s="94"/>
      <c r="AT1633" s="31"/>
      <c r="AU1633" s="31"/>
      <c r="AV1633" s="94"/>
      <c r="AW1633" s="32"/>
      <c r="AX1633" s="32"/>
      <c r="AY1633" s="32"/>
      <c r="AZ1633" s="32"/>
      <c r="BA1633" s="32"/>
      <c r="BB1633" s="31"/>
      <c r="BC1633" s="31"/>
      <c r="BD1633" s="31"/>
      <c r="BE1633" s="31"/>
      <c r="BF1633" s="96"/>
      <c r="BG1633" s="52"/>
      <c r="BH1633" s="52"/>
      <c r="BI1633" s="52"/>
      <c r="BJ1633" s="52"/>
      <c r="BK1633" s="52"/>
      <c r="BL1633" s="52"/>
      <c r="BM1633" s="52"/>
      <c r="BN1633" s="53"/>
      <c r="BO1633" s="52"/>
      <c r="BP1633" s="52"/>
      <c r="BQ1633" s="54"/>
    </row>
    <row r="1634" spans="1:69" ht="16" x14ac:dyDescent="0.35">
      <c r="A1634"/>
      <c r="D1634"/>
      <c r="G1634"/>
      <c r="H1634" s="20"/>
      <c r="I1634" s="20"/>
      <c r="J1634" s="20"/>
      <c r="K1634" s="20"/>
      <c r="L1634" s="20"/>
      <c r="Q1634" s="83"/>
      <c r="Y1634" s="20"/>
      <c r="AP1634" s="92"/>
      <c r="AQ1634" s="67"/>
      <c r="AR1634" s="67"/>
      <c r="AS1634" s="73"/>
      <c r="AT1634" s="67"/>
      <c r="AU1634" s="67"/>
      <c r="AV1634" s="73"/>
      <c r="AW1634" s="68"/>
      <c r="AX1634" s="68"/>
      <c r="AY1634" s="68"/>
      <c r="AZ1634" s="68"/>
      <c r="BA1634" s="68"/>
      <c r="BB1634" s="67"/>
      <c r="BC1634" s="67"/>
      <c r="BD1634" s="67"/>
      <c r="BE1634" s="67"/>
      <c r="BF1634" s="95"/>
      <c r="BG1634" s="48"/>
      <c r="BH1634" s="48"/>
      <c r="BI1634" s="48"/>
      <c r="BJ1634" s="48"/>
      <c r="BK1634" s="48"/>
      <c r="BL1634" s="48"/>
      <c r="BM1634" s="48"/>
      <c r="BN1634" s="49"/>
      <c r="BO1634" s="48"/>
      <c r="BP1634" s="48"/>
      <c r="BQ1634" s="50"/>
    </row>
    <row r="1635" spans="1:69" ht="16" x14ac:dyDescent="0.35">
      <c r="A1635"/>
      <c r="D1635"/>
      <c r="G1635"/>
      <c r="H1635" s="20"/>
      <c r="I1635" s="20"/>
      <c r="J1635" s="20"/>
      <c r="K1635" s="20"/>
      <c r="L1635" s="20"/>
      <c r="Q1635" s="83"/>
      <c r="Y1635" s="20"/>
      <c r="AP1635" s="93"/>
      <c r="AQ1635" s="31"/>
      <c r="AR1635" s="31"/>
      <c r="AS1635" s="94"/>
      <c r="AT1635" s="31"/>
      <c r="AU1635" s="31"/>
      <c r="AV1635" s="94"/>
      <c r="AW1635" s="32"/>
      <c r="AX1635" s="32"/>
      <c r="AY1635" s="32"/>
      <c r="AZ1635" s="32"/>
      <c r="BA1635" s="32"/>
      <c r="BB1635" s="31"/>
      <c r="BC1635" s="31"/>
      <c r="BD1635" s="31"/>
      <c r="BE1635" s="31"/>
      <c r="BF1635" s="96"/>
      <c r="BG1635" s="52"/>
      <c r="BH1635" s="52"/>
      <c r="BI1635" s="52"/>
      <c r="BJ1635" s="52"/>
      <c r="BK1635" s="52"/>
      <c r="BL1635" s="52"/>
      <c r="BM1635" s="52"/>
      <c r="BN1635" s="53"/>
      <c r="BO1635" s="52"/>
      <c r="BP1635" s="52"/>
      <c r="BQ1635" s="54"/>
    </row>
    <row r="1636" spans="1:69" ht="16" x14ac:dyDescent="0.35">
      <c r="A1636"/>
      <c r="D1636"/>
      <c r="G1636"/>
      <c r="H1636" s="20"/>
      <c r="I1636" s="20"/>
      <c r="J1636" s="20"/>
      <c r="K1636" s="20"/>
      <c r="L1636" s="20"/>
      <c r="Q1636" s="83"/>
      <c r="Y1636" s="20"/>
      <c r="AP1636" s="92"/>
      <c r="AQ1636" s="67"/>
      <c r="AR1636" s="67"/>
      <c r="AS1636" s="73"/>
      <c r="AT1636" s="67"/>
      <c r="AU1636" s="67"/>
      <c r="AV1636" s="73"/>
      <c r="AW1636" s="68"/>
      <c r="AX1636" s="68"/>
      <c r="AY1636" s="68"/>
      <c r="AZ1636" s="68"/>
      <c r="BA1636" s="68"/>
      <c r="BB1636" s="67"/>
      <c r="BC1636" s="67"/>
      <c r="BD1636" s="67"/>
      <c r="BE1636" s="67"/>
      <c r="BF1636" s="95"/>
      <c r="BG1636" s="48"/>
      <c r="BH1636" s="48"/>
      <c r="BI1636" s="48"/>
      <c r="BJ1636" s="48"/>
      <c r="BK1636" s="48"/>
      <c r="BL1636" s="48"/>
      <c r="BM1636" s="48"/>
      <c r="BN1636" s="49"/>
      <c r="BO1636" s="48"/>
      <c r="BP1636" s="48"/>
      <c r="BQ1636" s="50"/>
    </row>
    <row r="1637" spans="1:69" ht="16" x14ac:dyDescent="0.35">
      <c r="A1637"/>
      <c r="D1637"/>
      <c r="G1637"/>
      <c r="H1637" s="20"/>
      <c r="I1637" s="20"/>
      <c r="J1637" s="20"/>
      <c r="K1637" s="20"/>
      <c r="L1637" s="20"/>
      <c r="Q1637" s="83"/>
      <c r="Y1637" s="20"/>
      <c r="AP1637" s="93"/>
      <c r="AQ1637" s="31"/>
      <c r="AR1637" s="31"/>
      <c r="AS1637" s="94"/>
      <c r="AT1637" s="31"/>
      <c r="AU1637" s="31"/>
      <c r="AV1637" s="94"/>
      <c r="AW1637" s="32"/>
      <c r="AX1637" s="32"/>
      <c r="AY1637" s="32"/>
      <c r="AZ1637" s="32"/>
      <c r="BA1637" s="32"/>
      <c r="BB1637" s="31"/>
      <c r="BC1637" s="31"/>
      <c r="BD1637" s="31"/>
      <c r="BE1637" s="31"/>
      <c r="BF1637" s="96"/>
      <c r="BG1637" s="52"/>
      <c r="BH1637" s="52"/>
      <c r="BI1637" s="52"/>
      <c r="BJ1637" s="52"/>
      <c r="BK1637" s="52"/>
      <c r="BL1637" s="52"/>
      <c r="BM1637" s="52"/>
      <c r="BN1637" s="53"/>
      <c r="BO1637" s="52"/>
      <c r="BP1637" s="52"/>
      <c r="BQ1637" s="54"/>
    </row>
    <row r="1638" spans="1:69" ht="16" x14ac:dyDescent="0.35">
      <c r="A1638"/>
      <c r="D1638"/>
      <c r="G1638"/>
      <c r="H1638" s="20"/>
      <c r="I1638" s="20"/>
      <c r="J1638" s="20"/>
      <c r="K1638" s="20"/>
      <c r="L1638" s="20"/>
      <c r="Q1638" s="83"/>
      <c r="Y1638" s="20"/>
      <c r="AP1638" s="92"/>
      <c r="AQ1638" s="67"/>
      <c r="AR1638" s="67"/>
      <c r="AS1638" s="73"/>
      <c r="AT1638" s="67"/>
      <c r="AU1638" s="67"/>
      <c r="AV1638" s="73"/>
      <c r="AW1638" s="68"/>
      <c r="AX1638" s="68"/>
      <c r="AY1638" s="68"/>
      <c r="AZ1638" s="68"/>
      <c r="BA1638" s="68"/>
      <c r="BB1638" s="67"/>
      <c r="BC1638" s="67"/>
      <c r="BD1638" s="67"/>
      <c r="BE1638" s="67"/>
      <c r="BF1638" s="95"/>
      <c r="BG1638" s="48"/>
      <c r="BH1638" s="48"/>
      <c r="BI1638" s="48"/>
      <c r="BJ1638" s="48"/>
      <c r="BK1638" s="48"/>
      <c r="BL1638" s="48"/>
      <c r="BM1638" s="48"/>
      <c r="BN1638" s="49"/>
      <c r="BO1638" s="48"/>
      <c r="BP1638" s="48"/>
      <c r="BQ1638" s="50"/>
    </row>
    <row r="1639" spans="1:69" ht="16" x14ac:dyDescent="0.35">
      <c r="A1639"/>
      <c r="D1639"/>
      <c r="G1639"/>
      <c r="H1639" s="20"/>
      <c r="I1639" s="20"/>
      <c r="J1639" s="20"/>
      <c r="K1639" s="20"/>
      <c r="L1639" s="20"/>
      <c r="Q1639" s="83"/>
      <c r="Y1639" s="20"/>
      <c r="AP1639" s="93"/>
      <c r="AQ1639" s="31"/>
      <c r="AR1639" s="31"/>
      <c r="AS1639" s="94"/>
      <c r="AT1639" s="31"/>
      <c r="AU1639" s="31"/>
      <c r="AV1639" s="94"/>
      <c r="AW1639" s="32"/>
      <c r="AX1639" s="32"/>
      <c r="AY1639" s="32"/>
      <c r="AZ1639" s="32"/>
      <c r="BA1639" s="32"/>
      <c r="BB1639" s="31"/>
      <c r="BC1639" s="31"/>
      <c r="BD1639" s="31"/>
      <c r="BE1639" s="31"/>
      <c r="BF1639" s="96"/>
      <c r="BG1639" s="52"/>
      <c r="BH1639" s="52"/>
      <c r="BI1639" s="52"/>
      <c r="BJ1639" s="52"/>
      <c r="BK1639" s="52"/>
      <c r="BL1639" s="52"/>
      <c r="BM1639" s="52"/>
      <c r="BN1639" s="53"/>
      <c r="BO1639" s="52"/>
      <c r="BP1639" s="52"/>
      <c r="BQ1639" s="54"/>
    </row>
    <row r="1640" spans="1:69" ht="16" x14ac:dyDescent="0.35">
      <c r="A1640"/>
      <c r="D1640"/>
      <c r="G1640"/>
      <c r="H1640" s="20"/>
      <c r="I1640" s="20"/>
      <c r="J1640" s="20"/>
      <c r="K1640" s="20"/>
      <c r="L1640" s="20"/>
      <c r="Q1640" s="83"/>
      <c r="Y1640" s="20"/>
      <c r="AP1640" s="92"/>
      <c r="AQ1640" s="67"/>
      <c r="AR1640" s="67"/>
      <c r="AS1640" s="73"/>
      <c r="AT1640" s="67"/>
      <c r="AU1640" s="67"/>
      <c r="AV1640" s="73"/>
      <c r="AW1640" s="68"/>
      <c r="AX1640" s="68"/>
      <c r="AY1640" s="68"/>
      <c r="AZ1640" s="68"/>
      <c r="BA1640" s="68"/>
      <c r="BB1640" s="67"/>
      <c r="BC1640" s="67"/>
      <c r="BD1640" s="67"/>
      <c r="BE1640" s="67"/>
      <c r="BF1640" s="95"/>
      <c r="BG1640" s="48"/>
      <c r="BH1640" s="48"/>
      <c r="BI1640" s="48"/>
      <c r="BJ1640" s="48"/>
      <c r="BK1640" s="48"/>
      <c r="BL1640" s="48"/>
      <c r="BM1640" s="48"/>
      <c r="BN1640" s="49"/>
      <c r="BO1640" s="48"/>
      <c r="BP1640" s="48"/>
      <c r="BQ1640" s="50"/>
    </row>
    <row r="1641" spans="1:69" ht="16" x14ac:dyDescent="0.35">
      <c r="A1641"/>
      <c r="D1641"/>
      <c r="G1641"/>
      <c r="H1641" s="20"/>
      <c r="I1641" s="20"/>
      <c r="J1641" s="20"/>
      <c r="K1641" s="20"/>
      <c r="L1641" s="20"/>
      <c r="Q1641" s="83"/>
      <c r="Y1641" s="20"/>
      <c r="AP1641" s="93"/>
      <c r="AQ1641" s="31"/>
      <c r="AR1641" s="31"/>
      <c r="AS1641" s="94"/>
      <c r="AT1641" s="31"/>
      <c r="AU1641" s="31"/>
      <c r="AV1641" s="94"/>
      <c r="AW1641" s="32"/>
      <c r="AX1641" s="32"/>
      <c r="AY1641" s="32"/>
      <c r="AZ1641" s="32"/>
      <c r="BA1641" s="32"/>
      <c r="BB1641" s="31"/>
      <c r="BC1641" s="31"/>
      <c r="BD1641" s="31"/>
      <c r="BE1641" s="31"/>
      <c r="BF1641" s="96"/>
      <c r="BG1641" s="52"/>
      <c r="BH1641" s="52"/>
      <c r="BI1641" s="52"/>
      <c r="BJ1641" s="52"/>
      <c r="BK1641" s="52"/>
      <c r="BL1641" s="52"/>
      <c r="BM1641" s="52"/>
      <c r="BN1641" s="53"/>
      <c r="BO1641" s="52"/>
      <c r="BP1641" s="52"/>
      <c r="BQ1641" s="54"/>
    </row>
    <row r="1642" spans="1:69" ht="16" x14ac:dyDescent="0.35">
      <c r="A1642"/>
      <c r="D1642"/>
      <c r="G1642"/>
      <c r="H1642" s="20"/>
      <c r="I1642" s="20"/>
      <c r="J1642" s="20"/>
      <c r="K1642" s="20"/>
      <c r="L1642" s="20"/>
      <c r="Q1642" s="83"/>
      <c r="Y1642" s="20"/>
      <c r="AP1642" s="92"/>
      <c r="AQ1642" s="67"/>
      <c r="AR1642" s="67"/>
      <c r="AS1642" s="73"/>
      <c r="AT1642" s="67"/>
      <c r="AU1642" s="67"/>
      <c r="AV1642" s="73"/>
      <c r="AW1642" s="68"/>
      <c r="AX1642" s="68"/>
      <c r="AY1642" s="68"/>
      <c r="AZ1642" s="68"/>
      <c r="BA1642" s="68"/>
      <c r="BB1642" s="67"/>
      <c r="BC1642" s="67"/>
      <c r="BD1642" s="67"/>
      <c r="BE1642" s="67"/>
      <c r="BF1642" s="95"/>
      <c r="BG1642" s="48"/>
      <c r="BH1642" s="48"/>
      <c r="BI1642" s="48"/>
      <c r="BJ1642" s="48"/>
      <c r="BK1642" s="48"/>
      <c r="BL1642" s="48"/>
      <c r="BM1642" s="48"/>
      <c r="BN1642" s="49"/>
      <c r="BO1642" s="48"/>
      <c r="BP1642" s="48"/>
      <c r="BQ1642" s="50"/>
    </row>
    <row r="1643" spans="1:69" ht="16" x14ac:dyDescent="0.35">
      <c r="A1643"/>
      <c r="D1643"/>
      <c r="G1643"/>
      <c r="H1643" s="20"/>
      <c r="I1643" s="20"/>
      <c r="J1643" s="20"/>
      <c r="K1643" s="20"/>
      <c r="L1643" s="20"/>
      <c r="Q1643" s="83"/>
      <c r="Y1643" s="20"/>
      <c r="AP1643" s="93"/>
      <c r="AQ1643" s="31"/>
      <c r="AR1643" s="31"/>
      <c r="AS1643" s="94"/>
      <c r="AT1643" s="31"/>
      <c r="AU1643" s="31"/>
      <c r="AV1643" s="94"/>
      <c r="AW1643" s="32"/>
      <c r="AX1643" s="32"/>
      <c r="AY1643" s="32"/>
      <c r="AZ1643" s="32"/>
      <c r="BA1643" s="32"/>
      <c r="BB1643" s="31"/>
      <c r="BC1643" s="31"/>
      <c r="BD1643" s="31"/>
      <c r="BE1643" s="31"/>
      <c r="BF1643" s="96"/>
      <c r="BG1643" s="52"/>
      <c r="BH1643" s="52"/>
      <c r="BI1643" s="52"/>
      <c r="BJ1643" s="52"/>
      <c r="BK1643" s="52"/>
      <c r="BL1643" s="52"/>
      <c r="BM1643" s="52"/>
      <c r="BN1643" s="53"/>
      <c r="BO1643" s="52"/>
      <c r="BP1643" s="52"/>
      <c r="BQ1643" s="54"/>
    </row>
    <row r="1644" spans="1:69" ht="16" x14ac:dyDescent="0.35">
      <c r="A1644"/>
      <c r="D1644"/>
      <c r="G1644"/>
      <c r="H1644" s="20"/>
      <c r="I1644" s="20"/>
      <c r="J1644" s="20"/>
      <c r="K1644" s="20"/>
      <c r="L1644" s="20"/>
      <c r="Q1644" s="83"/>
      <c r="Y1644" s="20"/>
      <c r="AP1644" s="92"/>
      <c r="AQ1644" s="67"/>
      <c r="AR1644" s="67"/>
      <c r="AS1644" s="73"/>
      <c r="AT1644" s="67"/>
      <c r="AU1644" s="67"/>
      <c r="AV1644" s="73"/>
      <c r="AW1644" s="68"/>
      <c r="AX1644" s="68"/>
      <c r="AY1644" s="68"/>
      <c r="AZ1644" s="68"/>
      <c r="BA1644" s="68"/>
      <c r="BB1644" s="67"/>
      <c r="BC1644" s="67"/>
      <c r="BD1644" s="67"/>
      <c r="BE1644" s="67"/>
      <c r="BF1644" s="95"/>
      <c r="BG1644" s="48"/>
      <c r="BH1644" s="48"/>
      <c r="BI1644" s="48"/>
      <c r="BJ1644" s="48"/>
      <c r="BK1644" s="48"/>
      <c r="BL1644" s="48"/>
      <c r="BM1644" s="48"/>
      <c r="BN1644" s="49"/>
      <c r="BO1644" s="48"/>
      <c r="BP1644" s="48"/>
      <c r="BQ1644" s="50"/>
    </row>
    <row r="1645" spans="1:69" ht="16" x14ac:dyDescent="0.35">
      <c r="A1645"/>
      <c r="D1645"/>
      <c r="G1645"/>
      <c r="H1645" s="20"/>
      <c r="I1645" s="20"/>
      <c r="J1645" s="20"/>
      <c r="K1645" s="20"/>
      <c r="L1645" s="20"/>
      <c r="Q1645" s="83"/>
      <c r="Y1645" s="20"/>
      <c r="AP1645" s="93"/>
      <c r="AQ1645" s="31"/>
      <c r="AR1645" s="31"/>
      <c r="AS1645" s="94"/>
      <c r="AT1645" s="31"/>
      <c r="AU1645" s="31"/>
      <c r="AV1645" s="94"/>
      <c r="AW1645" s="32"/>
      <c r="AX1645" s="32"/>
      <c r="AY1645" s="32"/>
      <c r="AZ1645" s="32"/>
      <c r="BA1645" s="32"/>
      <c r="BB1645" s="31"/>
      <c r="BC1645" s="31"/>
      <c r="BD1645" s="31"/>
      <c r="BE1645" s="31"/>
      <c r="BF1645" s="96"/>
      <c r="BG1645" s="52"/>
      <c r="BH1645" s="52"/>
      <c r="BI1645" s="52"/>
      <c r="BJ1645" s="52"/>
      <c r="BK1645" s="52"/>
      <c r="BL1645" s="52"/>
      <c r="BM1645" s="52"/>
      <c r="BN1645" s="53"/>
      <c r="BO1645" s="52"/>
      <c r="BP1645" s="52"/>
      <c r="BQ1645" s="54"/>
    </row>
    <row r="1646" spans="1:69" ht="16" x14ac:dyDescent="0.35">
      <c r="A1646"/>
      <c r="D1646"/>
      <c r="G1646"/>
      <c r="H1646" s="20"/>
      <c r="I1646" s="20"/>
      <c r="J1646" s="20"/>
      <c r="K1646" s="20"/>
      <c r="L1646" s="20"/>
      <c r="Q1646" s="83"/>
      <c r="Y1646" s="20"/>
      <c r="AP1646" s="92"/>
      <c r="AQ1646" s="67"/>
      <c r="AR1646" s="67"/>
      <c r="AS1646" s="73"/>
      <c r="AT1646" s="67"/>
      <c r="AU1646" s="67"/>
      <c r="AV1646" s="73"/>
      <c r="AW1646" s="68"/>
      <c r="AX1646" s="68"/>
      <c r="AY1646" s="68"/>
      <c r="AZ1646" s="68"/>
      <c r="BA1646" s="68"/>
      <c r="BB1646" s="67"/>
      <c r="BC1646" s="67"/>
      <c r="BD1646" s="67"/>
      <c r="BE1646" s="67"/>
      <c r="BF1646" s="95"/>
      <c r="BG1646" s="48"/>
      <c r="BH1646" s="48"/>
      <c r="BI1646" s="48"/>
      <c r="BJ1646" s="48"/>
      <c r="BK1646" s="48"/>
      <c r="BL1646" s="48"/>
      <c r="BM1646" s="48"/>
      <c r="BN1646" s="49"/>
      <c r="BO1646" s="48"/>
      <c r="BP1646" s="48"/>
      <c r="BQ1646" s="50"/>
    </row>
    <row r="1647" spans="1:69" ht="16" x14ac:dyDescent="0.35">
      <c r="A1647"/>
      <c r="D1647"/>
      <c r="G1647"/>
      <c r="H1647" s="20"/>
      <c r="I1647" s="20"/>
      <c r="J1647" s="20"/>
      <c r="K1647" s="20"/>
      <c r="L1647" s="20"/>
      <c r="Q1647" s="83"/>
      <c r="Y1647" s="20"/>
      <c r="AP1647" s="93"/>
      <c r="AQ1647" s="31"/>
      <c r="AR1647" s="31"/>
      <c r="AS1647" s="94"/>
      <c r="AT1647" s="31"/>
      <c r="AU1647" s="31"/>
      <c r="AV1647" s="94"/>
      <c r="AW1647" s="32"/>
      <c r="AX1647" s="32"/>
      <c r="AY1647" s="32"/>
      <c r="AZ1647" s="32"/>
      <c r="BA1647" s="32"/>
      <c r="BB1647" s="31"/>
      <c r="BC1647" s="31"/>
      <c r="BD1647" s="31"/>
      <c r="BE1647" s="31"/>
      <c r="BF1647" s="96"/>
      <c r="BG1647" s="52"/>
      <c r="BH1647" s="52"/>
      <c r="BI1647" s="52"/>
      <c r="BJ1647" s="52"/>
      <c r="BK1647" s="52"/>
      <c r="BL1647" s="52"/>
      <c r="BM1647" s="52"/>
      <c r="BN1647" s="53"/>
      <c r="BO1647" s="52"/>
      <c r="BP1647" s="52"/>
      <c r="BQ1647" s="54"/>
    </row>
    <row r="1648" spans="1:69" ht="16" x14ac:dyDescent="0.35">
      <c r="A1648"/>
      <c r="D1648"/>
      <c r="G1648"/>
      <c r="H1648" s="20"/>
      <c r="I1648" s="20"/>
      <c r="J1648" s="20"/>
      <c r="K1648" s="20"/>
      <c r="L1648" s="20"/>
      <c r="Q1648" s="83"/>
      <c r="Y1648" s="20"/>
      <c r="AP1648" s="92"/>
      <c r="AQ1648" s="67"/>
      <c r="AR1648" s="67"/>
      <c r="AS1648" s="73"/>
      <c r="AT1648" s="67"/>
      <c r="AU1648" s="67"/>
      <c r="AV1648" s="73"/>
      <c r="AW1648" s="68"/>
      <c r="AX1648" s="68"/>
      <c r="AY1648" s="68"/>
      <c r="AZ1648" s="68"/>
      <c r="BA1648" s="68"/>
      <c r="BB1648" s="67"/>
      <c r="BC1648" s="67"/>
      <c r="BD1648" s="67"/>
      <c r="BE1648" s="67"/>
      <c r="BF1648" s="95"/>
      <c r="BG1648" s="48"/>
      <c r="BH1648" s="48"/>
      <c r="BI1648" s="48"/>
      <c r="BJ1648" s="48"/>
      <c r="BK1648" s="48"/>
      <c r="BL1648" s="48"/>
      <c r="BM1648" s="48"/>
      <c r="BN1648" s="49"/>
      <c r="BO1648" s="48"/>
      <c r="BP1648" s="48"/>
      <c r="BQ1648" s="50"/>
    </row>
    <row r="1649" spans="1:69" ht="16" x14ac:dyDescent="0.35">
      <c r="A1649"/>
      <c r="D1649"/>
      <c r="G1649"/>
      <c r="H1649" s="20"/>
      <c r="I1649" s="20"/>
      <c r="J1649" s="20"/>
      <c r="K1649" s="20"/>
      <c r="L1649" s="20"/>
      <c r="Q1649" s="83"/>
      <c r="Y1649" s="20"/>
      <c r="AP1649" s="93"/>
      <c r="AQ1649" s="31"/>
      <c r="AR1649" s="31"/>
      <c r="AS1649" s="94"/>
      <c r="AT1649" s="31"/>
      <c r="AU1649" s="31"/>
      <c r="AV1649" s="94"/>
      <c r="AW1649" s="32"/>
      <c r="AX1649" s="32"/>
      <c r="AY1649" s="32"/>
      <c r="AZ1649" s="32"/>
      <c r="BA1649" s="32"/>
      <c r="BB1649" s="31"/>
      <c r="BC1649" s="31"/>
      <c r="BD1649" s="31"/>
      <c r="BE1649" s="31"/>
      <c r="BF1649" s="96"/>
      <c r="BG1649" s="52"/>
      <c r="BH1649" s="52"/>
      <c r="BI1649" s="52"/>
      <c r="BJ1649" s="52"/>
      <c r="BK1649" s="52"/>
      <c r="BL1649" s="52"/>
      <c r="BM1649" s="52"/>
      <c r="BN1649" s="53"/>
      <c r="BO1649" s="52"/>
      <c r="BP1649" s="52"/>
      <c r="BQ1649" s="54"/>
    </row>
    <row r="1650" spans="1:69" ht="16" x14ac:dyDescent="0.35">
      <c r="A1650"/>
      <c r="D1650"/>
      <c r="G1650"/>
      <c r="H1650" s="20"/>
      <c r="I1650" s="20"/>
      <c r="J1650" s="20"/>
      <c r="K1650" s="20"/>
      <c r="L1650" s="20"/>
      <c r="Q1650" s="83"/>
      <c r="Y1650" s="20"/>
      <c r="AP1650" s="92"/>
      <c r="AQ1650" s="67"/>
      <c r="AR1650" s="67"/>
      <c r="AS1650" s="73"/>
      <c r="AT1650" s="67"/>
      <c r="AU1650" s="67"/>
      <c r="AV1650" s="73"/>
      <c r="AW1650" s="68"/>
      <c r="AX1650" s="68"/>
      <c r="AY1650" s="68"/>
      <c r="AZ1650" s="68"/>
      <c r="BA1650" s="68"/>
      <c r="BB1650" s="67"/>
      <c r="BC1650" s="67"/>
      <c r="BD1650" s="67"/>
      <c r="BE1650" s="67"/>
      <c r="BF1650" s="95"/>
      <c r="BG1650" s="48"/>
      <c r="BH1650" s="48"/>
      <c r="BI1650" s="48"/>
      <c r="BJ1650" s="48"/>
      <c r="BK1650" s="48"/>
      <c r="BL1650" s="48"/>
      <c r="BM1650" s="48"/>
      <c r="BN1650" s="49"/>
      <c r="BO1650" s="48"/>
      <c r="BP1650" s="48"/>
      <c r="BQ1650" s="50"/>
    </row>
    <row r="1651" spans="1:69" ht="16" x14ac:dyDescent="0.35">
      <c r="A1651"/>
      <c r="D1651"/>
      <c r="G1651"/>
      <c r="H1651" s="20"/>
      <c r="I1651" s="20"/>
      <c r="J1651" s="20"/>
      <c r="K1651" s="20"/>
      <c r="L1651" s="20"/>
      <c r="Q1651" s="83"/>
      <c r="Y1651" s="20"/>
      <c r="AP1651" s="93"/>
      <c r="AQ1651" s="31"/>
      <c r="AR1651" s="31"/>
      <c r="AS1651" s="94"/>
      <c r="AT1651" s="31"/>
      <c r="AU1651" s="31"/>
      <c r="AV1651" s="94"/>
      <c r="AW1651" s="32"/>
      <c r="AX1651" s="32"/>
      <c r="AY1651" s="32"/>
      <c r="AZ1651" s="32"/>
      <c r="BA1651" s="32"/>
      <c r="BB1651" s="31"/>
      <c r="BC1651" s="31"/>
      <c r="BD1651" s="31"/>
      <c r="BE1651" s="31"/>
      <c r="BF1651" s="96"/>
      <c r="BG1651" s="52"/>
      <c r="BH1651" s="52"/>
      <c r="BI1651" s="52"/>
      <c r="BJ1651" s="52"/>
      <c r="BK1651" s="52"/>
      <c r="BL1651" s="52"/>
      <c r="BM1651" s="52"/>
      <c r="BN1651" s="53"/>
      <c r="BO1651" s="52"/>
      <c r="BP1651" s="52"/>
      <c r="BQ1651" s="54"/>
    </row>
    <row r="1652" spans="1:69" ht="16" x14ac:dyDescent="0.35">
      <c r="A1652"/>
      <c r="D1652"/>
      <c r="G1652"/>
      <c r="H1652" s="20"/>
      <c r="I1652" s="20"/>
      <c r="J1652" s="20"/>
      <c r="K1652" s="20"/>
      <c r="L1652" s="20"/>
      <c r="Q1652" s="83"/>
      <c r="Y1652" s="20"/>
      <c r="AP1652" s="92"/>
      <c r="AQ1652" s="67"/>
      <c r="AR1652" s="67"/>
      <c r="AS1652" s="73"/>
      <c r="AT1652" s="67"/>
      <c r="AU1652" s="67"/>
      <c r="AV1652" s="73"/>
      <c r="AW1652" s="68"/>
      <c r="AX1652" s="68"/>
      <c r="AY1652" s="68"/>
      <c r="AZ1652" s="68"/>
      <c r="BA1652" s="68"/>
      <c r="BB1652" s="67"/>
      <c r="BC1652" s="67"/>
      <c r="BD1652" s="67"/>
      <c r="BE1652" s="67"/>
      <c r="BF1652" s="95"/>
      <c r="BG1652" s="48"/>
      <c r="BH1652" s="48"/>
      <c r="BI1652" s="48"/>
      <c r="BJ1652" s="48"/>
      <c r="BK1652" s="48"/>
      <c r="BL1652" s="48"/>
      <c r="BM1652" s="48"/>
      <c r="BN1652" s="49"/>
      <c r="BO1652" s="48"/>
      <c r="BP1652" s="48"/>
      <c r="BQ1652" s="50"/>
    </row>
    <row r="1653" spans="1:69" ht="16" x14ac:dyDescent="0.35">
      <c r="A1653"/>
      <c r="D1653"/>
      <c r="G1653"/>
      <c r="H1653" s="20"/>
      <c r="I1653" s="20"/>
      <c r="J1653" s="20"/>
      <c r="K1653" s="20"/>
      <c r="L1653" s="20"/>
      <c r="Q1653" s="83"/>
      <c r="Y1653" s="20"/>
      <c r="AP1653" s="93"/>
      <c r="AQ1653" s="31"/>
      <c r="AR1653" s="31"/>
      <c r="AS1653" s="94"/>
      <c r="AT1653" s="31"/>
      <c r="AU1653" s="31"/>
      <c r="AV1653" s="94"/>
      <c r="AW1653" s="32"/>
      <c r="AX1653" s="32"/>
      <c r="AY1653" s="32"/>
      <c r="AZ1653" s="32"/>
      <c r="BA1653" s="32"/>
      <c r="BB1653" s="31"/>
      <c r="BC1653" s="31"/>
      <c r="BD1653" s="31"/>
      <c r="BE1653" s="31"/>
      <c r="BF1653" s="96"/>
      <c r="BG1653" s="52"/>
      <c r="BH1653" s="52"/>
      <c r="BI1653" s="52"/>
      <c r="BJ1653" s="52"/>
      <c r="BK1653" s="52"/>
      <c r="BL1653" s="52"/>
      <c r="BM1653" s="52"/>
      <c r="BN1653" s="53"/>
      <c r="BO1653" s="52"/>
      <c r="BP1653" s="52"/>
      <c r="BQ1653" s="54"/>
    </row>
    <row r="1654" spans="1:69" ht="16" x14ac:dyDescent="0.35">
      <c r="A1654"/>
      <c r="D1654"/>
      <c r="G1654"/>
      <c r="H1654" s="20"/>
      <c r="I1654" s="20"/>
      <c r="J1654" s="20"/>
      <c r="K1654" s="20"/>
      <c r="L1654" s="20"/>
      <c r="Q1654" s="83"/>
      <c r="Y1654" s="20"/>
      <c r="AP1654" s="92"/>
      <c r="AQ1654" s="67"/>
      <c r="AR1654" s="67"/>
      <c r="AS1654" s="73"/>
      <c r="AT1654" s="67"/>
      <c r="AU1654" s="67"/>
      <c r="AV1654" s="73"/>
      <c r="AW1654" s="68"/>
      <c r="AX1654" s="68"/>
      <c r="AY1654" s="68"/>
      <c r="AZ1654" s="68"/>
      <c r="BA1654" s="68"/>
      <c r="BB1654" s="67"/>
      <c r="BC1654" s="67"/>
      <c r="BD1654" s="67"/>
      <c r="BE1654" s="67"/>
      <c r="BF1654" s="95"/>
      <c r="BG1654" s="48"/>
      <c r="BH1654" s="48"/>
      <c r="BI1654" s="48"/>
      <c r="BJ1654" s="48"/>
      <c r="BK1654" s="48"/>
      <c r="BL1654" s="48"/>
      <c r="BM1654" s="48"/>
      <c r="BN1654" s="49"/>
      <c r="BO1654" s="48"/>
      <c r="BP1654" s="48"/>
      <c r="BQ1654" s="50"/>
    </row>
    <row r="1655" spans="1:69" ht="16" x14ac:dyDescent="0.35">
      <c r="A1655"/>
      <c r="D1655"/>
      <c r="G1655"/>
      <c r="H1655" s="20"/>
      <c r="I1655" s="20"/>
      <c r="J1655" s="20"/>
      <c r="K1655" s="20"/>
      <c r="L1655" s="20"/>
      <c r="Q1655" s="83"/>
      <c r="Y1655" s="20"/>
      <c r="AP1655" s="93"/>
      <c r="AQ1655" s="31"/>
      <c r="AR1655" s="31"/>
      <c r="AS1655" s="94"/>
      <c r="AT1655" s="31"/>
      <c r="AU1655" s="31"/>
      <c r="AV1655" s="94"/>
      <c r="AW1655" s="32"/>
      <c r="AX1655" s="32"/>
      <c r="AY1655" s="32"/>
      <c r="AZ1655" s="32"/>
      <c r="BA1655" s="32"/>
      <c r="BB1655" s="31"/>
      <c r="BC1655" s="31"/>
      <c r="BD1655" s="31"/>
      <c r="BE1655" s="31"/>
      <c r="BF1655" s="96"/>
      <c r="BG1655" s="52"/>
      <c r="BH1655" s="52"/>
      <c r="BI1655" s="52"/>
      <c r="BJ1655" s="52"/>
      <c r="BK1655" s="52"/>
      <c r="BL1655" s="52"/>
      <c r="BM1655" s="52"/>
      <c r="BN1655" s="53"/>
      <c r="BO1655" s="52"/>
      <c r="BP1655" s="52"/>
      <c r="BQ1655" s="54"/>
    </row>
    <row r="1656" spans="1:69" ht="16" x14ac:dyDescent="0.35">
      <c r="A1656"/>
      <c r="D1656"/>
      <c r="G1656"/>
      <c r="H1656" s="20"/>
      <c r="I1656" s="20"/>
      <c r="J1656" s="20"/>
      <c r="K1656" s="20"/>
      <c r="L1656" s="20"/>
      <c r="Q1656" s="83"/>
      <c r="Y1656" s="20"/>
      <c r="AP1656" s="92"/>
      <c r="AQ1656" s="67"/>
      <c r="AR1656" s="67"/>
      <c r="AS1656" s="73"/>
      <c r="AT1656" s="67"/>
      <c r="AU1656" s="67"/>
      <c r="AV1656" s="73"/>
      <c r="AW1656" s="68"/>
      <c r="AX1656" s="68"/>
      <c r="AY1656" s="68"/>
      <c r="AZ1656" s="68"/>
      <c r="BA1656" s="68"/>
      <c r="BB1656" s="67"/>
      <c r="BC1656" s="67"/>
      <c r="BD1656" s="67"/>
      <c r="BE1656" s="67"/>
      <c r="BF1656" s="95"/>
      <c r="BG1656" s="48"/>
      <c r="BH1656" s="48"/>
      <c r="BI1656" s="48"/>
      <c r="BJ1656" s="48"/>
      <c r="BK1656" s="48"/>
      <c r="BL1656" s="48"/>
      <c r="BM1656" s="48"/>
      <c r="BN1656" s="49"/>
      <c r="BO1656" s="48"/>
      <c r="BP1656" s="48"/>
      <c r="BQ1656" s="50"/>
    </row>
    <row r="1657" spans="1:69" ht="16" x14ac:dyDescent="0.35">
      <c r="A1657"/>
      <c r="D1657"/>
      <c r="G1657"/>
      <c r="H1657" s="20"/>
      <c r="I1657" s="20"/>
      <c r="J1657" s="20"/>
      <c r="K1657" s="20"/>
      <c r="L1657" s="20"/>
      <c r="Q1657" s="83"/>
      <c r="Y1657" s="20"/>
      <c r="AP1657" s="93"/>
      <c r="AQ1657" s="31"/>
      <c r="AR1657" s="31"/>
      <c r="AS1657" s="94"/>
      <c r="AT1657" s="31"/>
      <c r="AU1657" s="31"/>
      <c r="AV1657" s="94"/>
      <c r="AW1657" s="32"/>
      <c r="AX1657" s="32"/>
      <c r="AY1657" s="32"/>
      <c r="AZ1657" s="32"/>
      <c r="BA1657" s="32"/>
      <c r="BB1657" s="31"/>
      <c r="BC1657" s="31"/>
      <c r="BD1657" s="31"/>
      <c r="BE1657" s="31"/>
      <c r="BF1657" s="96"/>
      <c r="BG1657" s="52"/>
      <c r="BH1657" s="52"/>
      <c r="BI1657" s="52"/>
      <c r="BJ1657" s="52"/>
      <c r="BK1657" s="52"/>
      <c r="BL1657" s="52"/>
      <c r="BM1657" s="52"/>
      <c r="BN1657" s="53"/>
      <c r="BO1657" s="52"/>
      <c r="BP1657" s="52"/>
      <c r="BQ1657" s="54"/>
    </row>
    <row r="1658" spans="1:69" ht="16" x14ac:dyDescent="0.35">
      <c r="A1658"/>
      <c r="D1658"/>
      <c r="G1658"/>
      <c r="H1658" s="20"/>
      <c r="I1658" s="20"/>
      <c r="J1658" s="20"/>
      <c r="K1658" s="20"/>
      <c r="L1658" s="20"/>
      <c r="Q1658" s="83"/>
      <c r="Y1658" s="20"/>
      <c r="AP1658" s="92"/>
      <c r="AQ1658" s="67"/>
      <c r="AR1658" s="67"/>
      <c r="AS1658" s="73"/>
      <c r="AT1658" s="67"/>
      <c r="AU1658" s="67"/>
      <c r="AV1658" s="73"/>
      <c r="AW1658" s="68"/>
      <c r="AX1658" s="68"/>
      <c r="AY1658" s="68"/>
      <c r="AZ1658" s="68"/>
      <c r="BA1658" s="68"/>
      <c r="BB1658" s="67"/>
      <c r="BC1658" s="67"/>
      <c r="BD1658" s="67"/>
      <c r="BE1658" s="67"/>
      <c r="BF1658" s="95"/>
      <c r="BG1658" s="48"/>
      <c r="BH1658" s="48"/>
      <c r="BI1658" s="48"/>
      <c r="BJ1658" s="48"/>
      <c r="BK1658" s="48"/>
      <c r="BL1658" s="48"/>
      <c r="BM1658" s="48"/>
      <c r="BN1658" s="49"/>
      <c r="BO1658" s="48"/>
      <c r="BP1658" s="48"/>
      <c r="BQ1658" s="50"/>
    </row>
    <row r="1659" spans="1:69" ht="16" x14ac:dyDescent="0.35">
      <c r="A1659"/>
      <c r="D1659"/>
      <c r="G1659"/>
      <c r="H1659" s="20"/>
      <c r="I1659" s="20"/>
      <c r="J1659" s="20"/>
      <c r="K1659" s="20"/>
      <c r="L1659" s="20"/>
      <c r="Q1659" s="83"/>
      <c r="Y1659" s="20"/>
      <c r="AP1659" s="93"/>
      <c r="AQ1659" s="31"/>
      <c r="AR1659" s="31"/>
      <c r="AS1659" s="94"/>
      <c r="AT1659" s="31"/>
      <c r="AU1659" s="31"/>
      <c r="AV1659" s="94"/>
      <c r="AW1659" s="32"/>
      <c r="AX1659" s="32"/>
      <c r="AY1659" s="32"/>
      <c r="AZ1659" s="32"/>
      <c r="BA1659" s="32"/>
      <c r="BB1659" s="31"/>
      <c r="BC1659" s="31"/>
      <c r="BD1659" s="31"/>
      <c r="BE1659" s="31"/>
      <c r="BF1659" s="96"/>
      <c r="BG1659" s="52"/>
      <c r="BH1659" s="52"/>
      <c r="BI1659" s="52"/>
      <c r="BJ1659" s="52"/>
      <c r="BK1659" s="52"/>
      <c r="BL1659" s="52"/>
      <c r="BM1659" s="52"/>
      <c r="BN1659" s="53"/>
      <c r="BO1659" s="52"/>
      <c r="BP1659" s="52"/>
      <c r="BQ1659" s="54"/>
    </row>
    <row r="1660" spans="1:69" ht="16" x14ac:dyDescent="0.35">
      <c r="A1660"/>
      <c r="D1660"/>
      <c r="G1660"/>
      <c r="H1660" s="20"/>
      <c r="I1660" s="20"/>
      <c r="J1660" s="20"/>
      <c r="K1660" s="20"/>
      <c r="L1660" s="20"/>
      <c r="Q1660" s="83"/>
      <c r="Y1660" s="20"/>
      <c r="AP1660" s="92"/>
      <c r="AQ1660" s="67"/>
      <c r="AR1660" s="67"/>
      <c r="AS1660" s="73"/>
      <c r="AT1660" s="67"/>
      <c r="AU1660" s="67"/>
      <c r="AV1660" s="73"/>
      <c r="AW1660" s="68"/>
      <c r="AX1660" s="68"/>
      <c r="AY1660" s="68"/>
      <c r="AZ1660" s="68"/>
      <c r="BA1660" s="68"/>
      <c r="BB1660" s="67"/>
      <c r="BC1660" s="67"/>
      <c r="BD1660" s="67"/>
      <c r="BE1660" s="67"/>
      <c r="BF1660" s="95"/>
      <c r="BG1660" s="48"/>
      <c r="BH1660" s="48"/>
      <c r="BI1660" s="48"/>
      <c r="BJ1660" s="48"/>
      <c r="BK1660" s="48"/>
      <c r="BL1660" s="48"/>
      <c r="BM1660" s="48"/>
      <c r="BN1660" s="49"/>
      <c r="BO1660" s="48"/>
      <c r="BP1660" s="48"/>
      <c r="BQ1660" s="50"/>
    </row>
    <row r="1661" spans="1:69" ht="16" x14ac:dyDescent="0.35">
      <c r="A1661"/>
      <c r="D1661"/>
      <c r="G1661"/>
      <c r="H1661" s="20"/>
      <c r="I1661" s="20"/>
      <c r="J1661" s="20"/>
      <c r="K1661" s="20"/>
      <c r="L1661" s="20"/>
      <c r="Q1661" s="83"/>
      <c r="Y1661" s="20"/>
      <c r="AP1661" s="93"/>
      <c r="AQ1661" s="31"/>
      <c r="AR1661" s="31"/>
      <c r="AS1661" s="94"/>
      <c r="AT1661" s="31"/>
      <c r="AU1661" s="31"/>
      <c r="AV1661" s="94"/>
      <c r="AW1661" s="32"/>
      <c r="AX1661" s="32"/>
      <c r="AY1661" s="32"/>
      <c r="AZ1661" s="32"/>
      <c r="BA1661" s="32"/>
      <c r="BB1661" s="31"/>
      <c r="BC1661" s="31"/>
      <c r="BD1661" s="31"/>
      <c r="BE1661" s="31"/>
      <c r="BF1661" s="96"/>
      <c r="BG1661" s="52"/>
      <c r="BH1661" s="52"/>
      <c r="BI1661" s="52"/>
      <c r="BJ1661" s="52"/>
      <c r="BK1661" s="52"/>
      <c r="BL1661" s="52"/>
      <c r="BM1661" s="52"/>
      <c r="BN1661" s="53"/>
      <c r="BO1661" s="52"/>
      <c r="BP1661" s="52"/>
      <c r="BQ1661" s="54"/>
    </row>
    <row r="1662" spans="1:69" ht="16" x14ac:dyDescent="0.35">
      <c r="A1662"/>
      <c r="D1662"/>
      <c r="G1662"/>
      <c r="H1662" s="20"/>
      <c r="I1662" s="20"/>
      <c r="J1662" s="20"/>
      <c r="K1662" s="20"/>
      <c r="L1662" s="20"/>
      <c r="Q1662" s="83"/>
      <c r="Y1662" s="20"/>
      <c r="AP1662" s="92"/>
      <c r="AQ1662" s="67"/>
      <c r="AR1662" s="67"/>
      <c r="AS1662" s="73"/>
      <c r="AT1662" s="67"/>
      <c r="AU1662" s="67"/>
      <c r="AV1662" s="73"/>
      <c r="AW1662" s="68"/>
      <c r="AX1662" s="68"/>
      <c r="AY1662" s="68"/>
      <c r="AZ1662" s="68"/>
      <c r="BA1662" s="68"/>
      <c r="BB1662" s="67"/>
      <c r="BC1662" s="67"/>
      <c r="BD1662" s="67"/>
      <c r="BE1662" s="67"/>
      <c r="BF1662" s="95"/>
      <c r="BG1662" s="48"/>
      <c r="BH1662" s="48"/>
      <c r="BI1662" s="48"/>
      <c r="BJ1662" s="48"/>
      <c r="BK1662" s="48"/>
      <c r="BL1662" s="48"/>
      <c r="BM1662" s="48"/>
      <c r="BN1662" s="49"/>
      <c r="BO1662" s="48"/>
      <c r="BP1662" s="48"/>
      <c r="BQ1662" s="50"/>
    </row>
    <row r="1663" spans="1:69" ht="16" x14ac:dyDescent="0.35">
      <c r="A1663"/>
      <c r="D1663"/>
      <c r="G1663"/>
      <c r="H1663" s="20"/>
      <c r="I1663" s="20"/>
      <c r="J1663" s="20"/>
      <c r="K1663" s="20"/>
      <c r="L1663" s="20"/>
      <c r="Q1663" s="83"/>
      <c r="Y1663" s="20"/>
      <c r="AP1663" s="93"/>
      <c r="AQ1663" s="31"/>
      <c r="AR1663" s="31"/>
      <c r="AS1663" s="94"/>
      <c r="AT1663" s="31"/>
      <c r="AU1663" s="31"/>
      <c r="AV1663" s="94"/>
      <c r="AW1663" s="32"/>
      <c r="AX1663" s="32"/>
      <c r="AY1663" s="32"/>
      <c r="AZ1663" s="32"/>
      <c r="BA1663" s="32"/>
      <c r="BB1663" s="31"/>
      <c r="BC1663" s="31"/>
      <c r="BD1663" s="31"/>
      <c r="BE1663" s="31"/>
      <c r="BF1663" s="96"/>
      <c r="BG1663" s="52"/>
      <c r="BH1663" s="52"/>
      <c r="BI1663" s="52"/>
      <c r="BJ1663" s="52"/>
      <c r="BK1663" s="52"/>
      <c r="BL1663" s="52"/>
      <c r="BM1663" s="52"/>
      <c r="BN1663" s="53"/>
      <c r="BO1663" s="52"/>
      <c r="BP1663" s="52"/>
      <c r="BQ1663" s="54"/>
    </row>
    <row r="1664" spans="1:69" ht="16" x14ac:dyDescent="0.35">
      <c r="A1664"/>
      <c r="D1664"/>
      <c r="G1664"/>
      <c r="H1664" s="20"/>
      <c r="I1664" s="20"/>
      <c r="J1664" s="20"/>
      <c r="K1664" s="20"/>
      <c r="L1664" s="20"/>
      <c r="Q1664" s="83"/>
      <c r="Y1664" s="20"/>
      <c r="AP1664" s="92"/>
      <c r="AQ1664" s="67"/>
      <c r="AR1664" s="67"/>
      <c r="AS1664" s="73"/>
      <c r="AT1664" s="67"/>
      <c r="AU1664" s="67"/>
      <c r="AV1664" s="73"/>
      <c r="AW1664" s="68"/>
      <c r="AX1664" s="68"/>
      <c r="AY1664" s="68"/>
      <c r="AZ1664" s="68"/>
      <c r="BA1664" s="68"/>
      <c r="BB1664" s="67"/>
      <c r="BC1664" s="67"/>
      <c r="BD1664" s="67"/>
      <c r="BE1664" s="67"/>
      <c r="BF1664" s="95"/>
      <c r="BG1664" s="48"/>
      <c r="BH1664" s="48"/>
      <c r="BI1664" s="48"/>
      <c r="BJ1664" s="48"/>
      <c r="BK1664" s="48"/>
      <c r="BL1664" s="48"/>
      <c r="BM1664" s="48"/>
      <c r="BN1664" s="49"/>
      <c r="BO1664" s="48"/>
      <c r="BP1664" s="48"/>
      <c r="BQ1664" s="50"/>
    </row>
    <row r="1665" spans="1:69" ht="16" x14ac:dyDescent="0.35">
      <c r="A1665"/>
      <c r="D1665"/>
      <c r="G1665"/>
      <c r="H1665" s="20"/>
      <c r="I1665" s="20"/>
      <c r="J1665" s="20"/>
      <c r="K1665" s="20"/>
      <c r="L1665" s="20"/>
      <c r="Q1665" s="83"/>
      <c r="Y1665" s="20"/>
      <c r="AP1665" s="93"/>
      <c r="AQ1665" s="31"/>
      <c r="AR1665" s="31"/>
      <c r="AS1665" s="94"/>
      <c r="AT1665" s="31"/>
      <c r="AU1665" s="31"/>
      <c r="AV1665" s="94"/>
      <c r="AW1665" s="32"/>
      <c r="AX1665" s="32"/>
      <c r="AY1665" s="32"/>
      <c r="AZ1665" s="32"/>
      <c r="BA1665" s="32"/>
      <c r="BB1665" s="31"/>
      <c r="BC1665" s="31"/>
      <c r="BD1665" s="31"/>
      <c r="BE1665" s="31"/>
      <c r="BF1665" s="96"/>
      <c r="BG1665" s="52"/>
      <c r="BH1665" s="52"/>
      <c r="BI1665" s="52"/>
      <c r="BJ1665" s="52"/>
      <c r="BK1665" s="52"/>
      <c r="BL1665" s="52"/>
      <c r="BM1665" s="52"/>
      <c r="BN1665" s="53"/>
      <c r="BO1665" s="52"/>
      <c r="BP1665" s="52"/>
      <c r="BQ1665" s="54"/>
    </row>
    <row r="1666" spans="1:69" ht="16" x14ac:dyDescent="0.35">
      <c r="A1666"/>
      <c r="D1666"/>
      <c r="G1666"/>
      <c r="H1666" s="20"/>
      <c r="I1666" s="20"/>
      <c r="J1666" s="20"/>
      <c r="K1666" s="20"/>
      <c r="L1666" s="20"/>
      <c r="Q1666" s="83"/>
      <c r="Y1666" s="20"/>
      <c r="AP1666" s="92"/>
      <c r="AQ1666" s="67"/>
      <c r="AR1666" s="67"/>
      <c r="AS1666" s="73"/>
      <c r="AT1666" s="67"/>
      <c r="AU1666" s="67"/>
      <c r="AV1666" s="73"/>
      <c r="AW1666" s="68"/>
      <c r="AX1666" s="68"/>
      <c r="AY1666" s="68"/>
      <c r="AZ1666" s="68"/>
      <c r="BA1666" s="68"/>
      <c r="BB1666" s="67"/>
      <c r="BC1666" s="67"/>
      <c r="BD1666" s="67"/>
      <c r="BE1666" s="67"/>
      <c r="BF1666" s="95"/>
      <c r="BG1666" s="48"/>
      <c r="BH1666" s="48"/>
      <c r="BI1666" s="48"/>
      <c r="BJ1666" s="48"/>
      <c r="BK1666" s="48"/>
      <c r="BL1666" s="48"/>
      <c r="BM1666" s="48"/>
      <c r="BN1666" s="49"/>
      <c r="BO1666" s="48"/>
      <c r="BP1666" s="48"/>
      <c r="BQ1666" s="50"/>
    </row>
    <row r="1667" spans="1:69" ht="16" x14ac:dyDescent="0.35">
      <c r="A1667"/>
      <c r="D1667"/>
      <c r="G1667"/>
      <c r="H1667" s="20"/>
      <c r="I1667" s="20"/>
      <c r="J1667" s="20"/>
      <c r="K1667" s="20"/>
      <c r="L1667" s="20"/>
      <c r="Q1667" s="83"/>
      <c r="Y1667" s="20"/>
      <c r="AP1667" s="93"/>
      <c r="AQ1667" s="31"/>
      <c r="AR1667" s="31"/>
      <c r="AS1667" s="94"/>
      <c r="AT1667" s="31"/>
      <c r="AU1667" s="31"/>
      <c r="AV1667" s="94"/>
      <c r="AW1667" s="32"/>
      <c r="AX1667" s="32"/>
      <c r="AY1667" s="32"/>
      <c r="AZ1667" s="32"/>
      <c r="BA1667" s="32"/>
      <c r="BB1667" s="31"/>
      <c r="BC1667" s="31"/>
      <c r="BD1667" s="31"/>
      <c r="BE1667" s="31"/>
      <c r="BF1667" s="96"/>
      <c r="BG1667" s="52"/>
      <c r="BH1667" s="52"/>
      <c r="BI1667" s="52"/>
      <c r="BJ1667" s="52"/>
      <c r="BK1667" s="52"/>
      <c r="BL1667" s="52"/>
      <c r="BM1667" s="52"/>
      <c r="BN1667" s="53"/>
      <c r="BO1667" s="52"/>
      <c r="BP1667" s="52"/>
      <c r="BQ1667" s="54"/>
    </row>
    <row r="1668" spans="1:69" ht="16" x14ac:dyDescent="0.35">
      <c r="A1668"/>
      <c r="D1668"/>
      <c r="G1668"/>
      <c r="H1668" s="20"/>
      <c r="I1668" s="20"/>
      <c r="J1668" s="20"/>
      <c r="K1668" s="20"/>
      <c r="L1668" s="20"/>
      <c r="Q1668" s="83"/>
      <c r="Y1668" s="20"/>
      <c r="AP1668" s="92"/>
      <c r="AQ1668" s="67"/>
      <c r="AR1668" s="67"/>
      <c r="AS1668" s="73"/>
      <c r="AT1668" s="67"/>
      <c r="AU1668" s="67"/>
      <c r="AV1668" s="73"/>
      <c r="AW1668" s="68"/>
      <c r="AX1668" s="68"/>
      <c r="AY1668" s="68"/>
      <c r="AZ1668" s="68"/>
      <c r="BA1668" s="68"/>
      <c r="BB1668" s="67"/>
      <c r="BC1668" s="67"/>
      <c r="BD1668" s="67"/>
      <c r="BE1668" s="67"/>
      <c r="BF1668" s="95"/>
      <c r="BG1668" s="48"/>
      <c r="BH1668" s="48"/>
      <c r="BI1668" s="48"/>
      <c r="BJ1668" s="48"/>
      <c r="BK1668" s="48"/>
      <c r="BL1668" s="48"/>
      <c r="BM1668" s="48"/>
      <c r="BN1668" s="49"/>
      <c r="BO1668" s="48"/>
      <c r="BP1668" s="48"/>
      <c r="BQ1668" s="50"/>
    </row>
    <row r="1669" spans="1:69" ht="16" x14ac:dyDescent="0.35">
      <c r="A1669"/>
      <c r="D1669"/>
      <c r="G1669"/>
      <c r="H1669" s="20"/>
      <c r="I1669" s="20"/>
      <c r="J1669" s="20"/>
      <c r="K1669" s="20"/>
      <c r="L1669" s="20"/>
      <c r="Q1669" s="83"/>
      <c r="Y1669" s="20"/>
      <c r="AP1669" s="93"/>
      <c r="AQ1669" s="31"/>
      <c r="AR1669" s="31"/>
      <c r="AS1669" s="94"/>
      <c r="AT1669" s="31"/>
      <c r="AU1669" s="31"/>
      <c r="AV1669" s="94"/>
      <c r="AW1669" s="32"/>
      <c r="AX1669" s="32"/>
      <c r="AY1669" s="32"/>
      <c r="AZ1669" s="32"/>
      <c r="BA1669" s="32"/>
      <c r="BB1669" s="31"/>
      <c r="BC1669" s="31"/>
      <c r="BD1669" s="31"/>
      <c r="BE1669" s="31"/>
      <c r="BF1669" s="96"/>
      <c r="BG1669" s="52"/>
      <c r="BH1669" s="52"/>
      <c r="BI1669" s="52"/>
      <c r="BJ1669" s="52"/>
      <c r="BK1669" s="52"/>
      <c r="BL1669" s="52"/>
      <c r="BM1669" s="52"/>
      <c r="BN1669" s="53"/>
      <c r="BO1669" s="52"/>
      <c r="BP1669" s="52"/>
      <c r="BQ1669" s="54"/>
    </row>
    <row r="1670" spans="1:69" ht="16" x14ac:dyDescent="0.35">
      <c r="A1670"/>
      <c r="D1670"/>
      <c r="G1670"/>
      <c r="H1670" s="20"/>
      <c r="I1670" s="20"/>
      <c r="J1670" s="20"/>
      <c r="K1670" s="20"/>
      <c r="L1670" s="20"/>
      <c r="Q1670" s="83"/>
      <c r="Y1670" s="20"/>
      <c r="AP1670" s="92"/>
      <c r="AQ1670" s="67"/>
      <c r="AR1670" s="67"/>
      <c r="AS1670" s="73"/>
      <c r="AT1670" s="67"/>
      <c r="AU1670" s="67"/>
      <c r="AV1670" s="73"/>
      <c r="AW1670" s="68"/>
      <c r="AX1670" s="68"/>
      <c r="AY1670" s="68"/>
      <c r="AZ1670" s="68"/>
      <c r="BA1670" s="68"/>
      <c r="BB1670" s="67"/>
      <c r="BC1670" s="67"/>
      <c r="BD1670" s="67"/>
      <c r="BE1670" s="67"/>
      <c r="BF1670" s="95"/>
      <c r="BG1670" s="48"/>
      <c r="BH1670" s="48"/>
      <c r="BI1670" s="48"/>
      <c r="BJ1670" s="48"/>
      <c r="BK1670" s="48"/>
      <c r="BL1670" s="48"/>
      <c r="BM1670" s="48"/>
      <c r="BN1670" s="49"/>
      <c r="BO1670" s="48"/>
      <c r="BP1670" s="48"/>
      <c r="BQ1670" s="50"/>
    </row>
    <row r="1671" spans="1:69" ht="16" x14ac:dyDescent="0.35">
      <c r="A1671"/>
      <c r="D1671"/>
      <c r="G1671"/>
      <c r="H1671" s="20"/>
      <c r="I1671" s="20"/>
      <c r="J1671" s="20"/>
      <c r="K1671" s="20"/>
      <c r="L1671" s="20"/>
      <c r="Q1671" s="83"/>
      <c r="Y1671" s="20"/>
      <c r="AP1671" s="93"/>
      <c r="AQ1671" s="31"/>
      <c r="AR1671" s="31"/>
      <c r="AS1671" s="94"/>
      <c r="AT1671" s="31"/>
      <c r="AU1671" s="31"/>
      <c r="AV1671" s="94"/>
      <c r="AW1671" s="32"/>
      <c r="AX1671" s="32"/>
      <c r="AY1671" s="32"/>
      <c r="AZ1671" s="32"/>
      <c r="BA1671" s="32"/>
      <c r="BB1671" s="31"/>
      <c r="BC1671" s="31"/>
      <c r="BD1671" s="31"/>
      <c r="BE1671" s="31"/>
      <c r="BF1671" s="96"/>
      <c r="BG1671" s="52"/>
      <c r="BH1671" s="52"/>
      <c r="BI1671" s="52"/>
      <c r="BJ1671" s="52"/>
      <c r="BK1671" s="52"/>
      <c r="BL1671" s="52"/>
      <c r="BM1671" s="52"/>
      <c r="BN1671" s="53"/>
      <c r="BO1671" s="52"/>
      <c r="BP1671" s="52"/>
      <c r="BQ1671" s="54"/>
    </row>
    <row r="1672" spans="1:69" ht="16" x14ac:dyDescent="0.35">
      <c r="A1672"/>
      <c r="D1672"/>
      <c r="G1672"/>
      <c r="H1672" s="20"/>
      <c r="I1672" s="20"/>
      <c r="J1672" s="20"/>
      <c r="K1672" s="20"/>
      <c r="L1672" s="20"/>
      <c r="Q1672" s="83"/>
      <c r="Y1672" s="20"/>
      <c r="AP1672" s="92"/>
      <c r="AQ1672" s="67"/>
      <c r="AR1672" s="67"/>
      <c r="AS1672" s="73"/>
      <c r="AT1672" s="67"/>
      <c r="AU1672" s="67"/>
      <c r="AV1672" s="73"/>
      <c r="AW1672" s="68"/>
      <c r="AX1672" s="68"/>
      <c r="AY1672" s="68"/>
      <c r="AZ1672" s="68"/>
      <c r="BA1672" s="68"/>
      <c r="BB1672" s="67"/>
      <c r="BC1672" s="67"/>
      <c r="BD1672" s="67"/>
      <c r="BE1672" s="67"/>
      <c r="BF1672" s="95"/>
      <c r="BG1672" s="48"/>
      <c r="BH1672" s="48"/>
      <c r="BI1672" s="48"/>
      <c r="BJ1672" s="48"/>
      <c r="BK1672" s="48"/>
      <c r="BL1672" s="48"/>
      <c r="BM1672" s="48"/>
      <c r="BN1672" s="49"/>
      <c r="BO1672" s="48"/>
      <c r="BP1672" s="48"/>
      <c r="BQ1672" s="50"/>
    </row>
    <row r="1673" spans="1:69" ht="16" x14ac:dyDescent="0.35">
      <c r="A1673"/>
      <c r="D1673"/>
      <c r="G1673"/>
      <c r="H1673" s="20"/>
      <c r="I1673" s="20"/>
      <c r="J1673" s="20"/>
      <c r="K1673" s="20"/>
      <c r="L1673" s="20"/>
      <c r="Q1673" s="83"/>
      <c r="Y1673" s="20"/>
      <c r="AP1673" s="93"/>
      <c r="AQ1673" s="31"/>
      <c r="AR1673" s="31"/>
      <c r="AS1673" s="94"/>
      <c r="AT1673" s="31"/>
      <c r="AU1673" s="31"/>
      <c r="AV1673" s="94"/>
      <c r="AW1673" s="32"/>
      <c r="AX1673" s="32"/>
      <c r="AY1673" s="32"/>
      <c r="AZ1673" s="32"/>
      <c r="BA1673" s="32"/>
      <c r="BB1673" s="31"/>
      <c r="BC1673" s="31"/>
      <c r="BD1673" s="31"/>
      <c r="BE1673" s="31"/>
      <c r="BF1673" s="96"/>
      <c r="BG1673" s="52"/>
      <c r="BH1673" s="52"/>
      <c r="BI1673" s="52"/>
      <c r="BJ1673" s="52"/>
      <c r="BK1673" s="52"/>
      <c r="BL1673" s="52"/>
      <c r="BM1673" s="52"/>
      <c r="BN1673" s="53"/>
      <c r="BO1673" s="52"/>
      <c r="BP1673" s="52"/>
      <c r="BQ1673" s="54"/>
    </row>
    <row r="1674" spans="1:69" ht="16" x14ac:dyDescent="0.35">
      <c r="A1674"/>
      <c r="D1674"/>
      <c r="G1674"/>
      <c r="H1674" s="20"/>
      <c r="I1674" s="20"/>
      <c r="J1674" s="20"/>
      <c r="K1674" s="20"/>
      <c r="L1674" s="20"/>
      <c r="Q1674" s="83"/>
      <c r="Y1674" s="20"/>
      <c r="AP1674" s="92"/>
      <c r="AQ1674" s="67"/>
      <c r="AR1674" s="67"/>
      <c r="AS1674" s="73"/>
      <c r="AT1674" s="67"/>
      <c r="AU1674" s="67"/>
      <c r="AV1674" s="73"/>
      <c r="AW1674" s="68"/>
      <c r="AX1674" s="68"/>
      <c r="AY1674" s="68"/>
      <c r="AZ1674" s="68"/>
      <c r="BA1674" s="68"/>
      <c r="BB1674" s="67"/>
      <c r="BC1674" s="67"/>
      <c r="BD1674" s="67"/>
      <c r="BE1674" s="67"/>
      <c r="BF1674" s="95"/>
      <c r="BG1674" s="48"/>
      <c r="BH1674" s="48"/>
      <c r="BI1674" s="48"/>
      <c r="BJ1674" s="48"/>
      <c r="BK1674" s="48"/>
      <c r="BL1674" s="48"/>
      <c r="BM1674" s="48"/>
      <c r="BN1674" s="49"/>
      <c r="BO1674" s="48"/>
      <c r="BP1674" s="48"/>
      <c r="BQ1674" s="50"/>
    </row>
    <row r="1675" spans="1:69" ht="16" x14ac:dyDescent="0.35">
      <c r="A1675"/>
      <c r="D1675"/>
      <c r="G1675"/>
      <c r="H1675" s="20"/>
      <c r="I1675" s="20"/>
      <c r="J1675" s="20"/>
      <c r="K1675" s="20"/>
      <c r="L1675" s="20"/>
      <c r="Q1675" s="83"/>
      <c r="Y1675" s="20"/>
      <c r="AP1675" s="93"/>
      <c r="AQ1675" s="31"/>
      <c r="AR1675" s="31"/>
      <c r="AS1675" s="94"/>
      <c r="AT1675" s="31"/>
      <c r="AU1675" s="31"/>
      <c r="AV1675" s="94"/>
      <c r="AW1675" s="32"/>
      <c r="AX1675" s="32"/>
      <c r="AY1675" s="32"/>
      <c r="AZ1675" s="32"/>
      <c r="BA1675" s="32"/>
      <c r="BB1675" s="31"/>
      <c r="BC1675" s="31"/>
      <c r="BD1675" s="31"/>
      <c r="BE1675" s="31"/>
      <c r="BF1675" s="96"/>
      <c r="BG1675" s="52"/>
      <c r="BH1675" s="52"/>
      <c r="BI1675" s="52"/>
      <c r="BJ1675" s="52"/>
      <c r="BK1675" s="52"/>
      <c r="BL1675" s="52"/>
      <c r="BM1675" s="52"/>
      <c r="BN1675" s="53"/>
      <c r="BO1675" s="52"/>
      <c r="BP1675" s="52"/>
      <c r="BQ1675" s="54"/>
    </row>
    <row r="1676" spans="1:69" ht="16" x14ac:dyDescent="0.35">
      <c r="A1676"/>
      <c r="D1676"/>
      <c r="G1676"/>
      <c r="H1676" s="20"/>
      <c r="I1676" s="20"/>
      <c r="J1676" s="20"/>
      <c r="K1676" s="20"/>
      <c r="L1676" s="20"/>
      <c r="Q1676" s="83"/>
      <c r="Y1676" s="20"/>
      <c r="AP1676" s="92"/>
      <c r="AQ1676" s="67"/>
      <c r="AR1676" s="67"/>
      <c r="AS1676" s="73"/>
      <c r="AT1676" s="67"/>
      <c r="AU1676" s="67"/>
      <c r="AV1676" s="73"/>
      <c r="AW1676" s="68"/>
      <c r="AX1676" s="68"/>
      <c r="AY1676" s="68"/>
      <c r="AZ1676" s="68"/>
      <c r="BA1676" s="68"/>
      <c r="BB1676" s="67"/>
      <c r="BC1676" s="67"/>
      <c r="BD1676" s="67"/>
      <c r="BE1676" s="67"/>
      <c r="BF1676" s="95"/>
      <c r="BG1676" s="48"/>
      <c r="BH1676" s="48"/>
      <c r="BI1676" s="48"/>
      <c r="BJ1676" s="48"/>
      <c r="BK1676" s="48"/>
      <c r="BL1676" s="48"/>
      <c r="BM1676" s="48"/>
      <c r="BN1676" s="49"/>
      <c r="BO1676" s="48"/>
      <c r="BP1676" s="48"/>
      <c r="BQ1676" s="50"/>
    </row>
    <row r="1677" spans="1:69" ht="16" x14ac:dyDescent="0.35">
      <c r="A1677"/>
      <c r="D1677"/>
      <c r="G1677"/>
      <c r="H1677" s="20"/>
      <c r="I1677" s="20"/>
      <c r="J1677" s="20"/>
      <c r="K1677" s="20"/>
      <c r="L1677" s="20"/>
      <c r="Q1677" s="83"/>
      <c r="Y1677" s="20"/>
      <c r="AP1677" s="93"/>
      <c r="AQ1677" s="31"/>
      <c r="AR1677" s="31"/>
      <c r="AS1677" s="94"/>
      <c r="AT1677" s="31"/>
      <c r="AU1677" s="31"/>
      <c r="AV1677" s="94"/>
      <c r="AW1677" s="32"/>
      <c r="AX1677" s="32"/>
      <c r="AY1677" s="32"/>
      <c r="AZ1677" s="32"/>
      <c r="BA1677" s="32"/>
      <c r="BB1677" s="31"/>
      <c r="BC1677" s="31"/>
      <c r="BD1677" s="31"/>
      <c r="BE1677" s="31"/>
      <c r="BF1677" s="96"/>
      <c r="BG1677" s="52"/>
      <c r="BH1677" s="52"/>
      <c r="BI1677" s="52"/>
      <c r="BJ1677" s="52"/>
      <c r="BK1677" s="52"/>
      <c r="BL1677" s="52"/>
      <c r="BM1677" s="52"/>
      <c r="BN1677" s="53"/>
      <c r="BO1677" s="52"/>
      <c r="BP1677" s="52"/>
      <c r="BQ1677" s="54"/>
    </row>
    <row r="1678" spans="1:69" ht="16" x14ac:dyDescent="0.35">
      <c r="A1678"/>
      <c r="D1678"/>
      <c r="G1678"/>
      <c r="H1678" s="20"/>
      <c r="I1678" s="20"/>
      <c r="J1678" s="20"/>
      <c r="K1678" s="20"/>
      <c r="L1678" s="20"/>
      <c r="Q1678" s="83"/>
      <c r="Y1678" s="20"/>
      <c r="AP1678" s="92"/>
      <c r="AQ1678" s="67"/>
      <c r="AR1678" s="67"/>
      <c r="AS1678" s="73"/>
      <c r="AT1678" s="67"/>
      <c r="AU1678" s="67"/>
      <c r="AV1678" s="73"/>
      <c r="AW1678" s="68"/>
      <c r="AX1678" s="68"/>
      <c r="AY1678" s="68"/>
      <c r="AZ1678" s="68"/>
      <c r="BA1678" s="68"/>
      <c r="BB1678" s="67"/>
      <c r="BC1678" s="67"/>
      <c r="BD1678" s="67"/>
      <c r="BE1678" s="67"/>
      <c r="BF1678" s="95"/>
      <c r="BG1678" s="48"/>
      <c r="BH1678" s="48"/>
      <c r="BI1678" s="48"/>
      <c r="BJ1678" s="48"/>
      <c r="BK1678" s="48"/>
      <c r="BL1678" s="48"/>
      <c r="BM1678" s="48"/>
      <c r="BN1678" s="49"/>
      <c r="BO1678" s="48"/>
      <c r="BP1678" s="48"/>
      <c r="BQ1678" s="50"/>
    </row>
    <row r="1679" spans="1:69" ht="16" x14ac:dyDescent="0.35">
      <c r="A1679"/>
      <c r="D1679"/>
      <c r="G1679"/>
      <c r="H1679" s="20"/>
      <c r="I1679" s="20"/>
      <c r="J1679" s="20"/>
      <c r="K1679" s="20"/>
      <c r="L1679" s="20"/>
      <c r="Q1679" s="83"/>
      <c r="Y1679" s="20"/>
      <c r="AP1679" s="93"/>
      <c r="AQ1679" s="31"/>
      <c r="AR1679" s="31"/>
      <c r="AS1679" s="94"/>
      <c r="AT1679" s="31"/>
      <c r="AU1679" s="31"/>
      <c r="AV1679" s="94"/>
      <c r="AW1679" s="32"/>
      <c r="AX1679" s="32"/>
      <c r="AY1679" s="32"/>
      <c r="AZ1679" s="32"/>
      <c r="BA1679" s="32"/>
      <c r="BB1679" s="31"/>
      <c r="BC1679" s="31"/>
      <c r="BD1679" s="31"/>
      <c r="BE1679" s="31"/>
      <c r="BF1679" s="96"/>
      <c r="BG1679" s="52"/>
      <c r="BH1679" s="52"/>
      <c r="BI1679" s="52"/>
      <c r="BJ1679" s="52"/>
      <c r="BK1679" s="52"/>
      <c r="BL1679" s="52"/>
      <c r="BM1679" s="52"/>
      <c r="BN1679" s="53"/>
      <c r="BO1679" s="52"/>
      <c r="BP1679" s="52"/>
      <c r="BQ1679" s="54"/>
    </row>
    <row r="1680" spans="1:69" ht="16" x14ac:dyDescent="0.35">
      <c r="A1680"/>
      <c r="D1680"/>
      <c r="G1680"/>
      <c r="H1680" s="20"/>
      <c r="I1680" s="20"/>
      <c r="J1680" s="20"/>
      <c r="K1680" s="20"/>
      <c r="L1680" s="20"/>
      <c r="Q1680" s="83"/>
      <c r="Y1680" s="20"/>
      <c r="AP1680" s="92"/>
      <c r="AQ1680" s="67"/>
      <c r="AR1680" s="67"/>
      <c r="AS1680" s="73"/>
      <c r="AT1680" s="67"/>
      <c r="AU1680" s="67"/>
      <c r="AV1680" s="73"/>
      <c r="AW1680" s="68"/>
      <c r="AX1680" s="68"/>
      <c r="AY1680" s="68"/>
      <c r="AZ1680" s="68"/>
      <c r="BA1680" s="68"/>
      <c r="BB1680" s="67"/>
      <c r="BC1680" s="67"/>
      <c r="BD1680" s="67"/>
      <c r="BE1680" s="67"/>
      <c r="BF1680" s="95"/>
      <c r="BG1680" s="48"/>
      <c r="BH1680" s="48"/>
      <c r="BI1680" s="48"/>
      <c r="BJ1680" s="48"/>
      <c r="BK1680" s="48"/>
      <c r="BL1680" s="48"/>
      <c r="BM1680" s="48"/>
      <c r="BN1680" s="49"/>
      <c r="BO1680" s="48"/>
      <c r="BP1680" s="48"/>
      <c r="BQ1680" s="50"/>
    </row>
    <row r="1681" spans="1:69" ht="16" x14ac:dyDescent="0.35">
      <c r="A1681"/>
      <c r="D1681"/>
      <c r="G1681"/>
      <c r="H1681" s="20"/>
      <c r="I1681" s="20"/>
      <c r="J1681" s="20"/>
      <c r="K1681" s="20"/>
      <c r="L1681" s="20"/>
      <c r="Q1681" s="83"/>
      <c r="Y1681" s="20"/>
      <c r="AP1681" s="93"/>
      <c r="AQ1681" s="31"/>
      <c r="AR1681" s="31"/>
      <c r="AS1681" s="94"/>
      <c r="AT1681" s="31"/>
      <c r="AU1681" s="31"/>
      <c r="AV1681" s="94"/>
      <c r="AW1681" s="32"/>
      <c r="AX1681" s="32"/>
      <c r="AY1681" s="32"/>
      <c r="AZ1681" s="32"/>
      <c r="BA1681" s="32"/>
      <c r="BB1681" s="31"/>
      <c r="BC1681" s="31"/>
      <c r="BD1681" s="31"/>
      <c r="BE1681" s="31"/>
      <c r="BF1681" s="96"/>
      <c r="BG1681" s="52"/>
      <c r="BH1681" s="52"/>
      <c r="BI1681" s="52"/>
      <c r="BJ1681" s="52"/>
      <c r="BK1681" s="52"/>
      <c r="BL1681" s="52"/>
      <c r="BM1681" s="52"/>
      <c r="BN1681" s="53"/>
      <c r="BO1681" s="52"/>
      <c r="BP1681" s="52"/>
      <c r="BQ1681" s="54"/>
    </row>
    <row r="1682" spans="1:69" ht="16" x14ac:dyDescent="0.35">
      <c r="A1682"/>
      <c r="D1682"/>
      <c r="G1682"/>
      <c r="H1682" s="20"/>
      <c r="I1682" s="20"/>
      <c r="J1682" s="20"/>
      <c r="K1682" s="20"/>
      <c r="L1682" s="20"/>
      <c r="Q1682" s="83"/>
      <c r="Y1682" s="20"/>
      <c r="AP1682" s="92"/>
      <c r="AQ1682" s="67"/>
      <c r="AR1682" s="67"/>
      <c r="AS1682" s="73"/>
      <c r="AT1682" s="67"/>
      <c r="AU1682" s="67"/>
      <c r="AV1682" s="73"/>
      <c r="AW1682" s="68"/>
      <c r="AX1682" s="68"/>
      <c r="AY1682" s="68"/>
      <c r="AZ1682" s="68"/>
      <c r="BA1682" s="68"/>
      <c r="BB1682" s="67"/>
      <c r="BC1682" s="67"/>
      <c r="BD1682" s="67"/>
      <c r="BE1682" s="67"/>
      <c r="BF1682" s="95"/>
      <c r="BG1682" s="48"/>
      <c r="BH1682" s="48"/>
      <c r="BI1682" s="48"/>
      <c r="BJ1682" s="48"/>
      <c r="BK1682" s="48"/>
      <c r="BL1682" s="48"/>
      <c r="BM1682" s="48"/>
      <c r="BN1682" s="49"/>
      <c r="BO1682" s="48"/>
      <c r="BP1682" s="48"/>
      <c r="BQ1682" s="50"/>
    </row>
    <row r="1683" spans="1:69" ht="16" x14ac:dyDescent="0.35">
      <c r="A1683"/>
      <c r="D1683"/>
      <c r="G1683"/>
      <c r="H1683" s="20"/>
      <c r="I1683" s="20"/>
      <c r="J1683" s="20"/>
      <c r="K1683" s="20"/>
      <c r="L1683" s="20"/>
      <c r="Q1683" s="83"/>
      <c r="Y1683" s="20"/>
      <c r="AP1683" s="93"/>
      <c r="AQ1683" s="31"/>
      <c r="AR1683" s="31"/>
      <c r="AS1683" s="94"/>
      <c r="AT1683" s="31"/>
      <c r="AU1683" s="31"/>
      <c r="AV1683" s="94"/>
      <c r="AW1683" s="32"/>
      <c r="AX1683" s="32"/>
      <c r="AY1683" s="32"/>
      <c r="AZ1683" s="32"/>
      <c r="BA1683" s="32"/>
      <c r="BB1683" s="31"/>
      <c r="BC1683" s="31"/>
      <c r="BD1683" s="31"/>
      <c r="BE1683" s="31"/>
      <c r="BF1683" s="96"/>
      <c r="BG1683" s="52"/>
      <c r="BH1683" s="52"/>
      <c r="BI1683" s="52"/>
      <c r="BJ1683" s="52"/>
      <c r="BK1683" s="52"/>
      <c r="BL1683" s="52"/>
      <c r="BM1683" s="52"/>
      <c r="BN1683" s="53"/>
      <c r="BO1683" s="52"/>
      <c r="BP1683" s="52"/>
      <c r="BQ1683" s="54"/>
    </row>
    <row r="1684" spans="1:69" ht="16" x14ac:dyDescent="0.35">
      <c r="A1684"/>
      <c r="D1684"/>
      <c r="G1684"/>
      <c r="H1684" s="20"/>
      <c r="I1684" s="20"/>
      <c r="J1684" s="20"/>
      <c r="K1684" s="20"/>
      <c r="L1684" s="20"/>
      <c r="Q1684" s="83"/>
      <c r="Y1684" s="20"/>
      <c r="AP1684" s="92"/>
      <c r="AQ1684" s="67"/>
      <c r="AR1684" s="67"/>
      <c r="AS1684" s="73"/>
      <c r="AT1684" s="67"/>
      <c r="AU1684" s="67"/>
      <c r="AV1684" s="73"/>
      <c r="AW1684" s="68"/>
      <c r="AX1684" s="68"/>
      <c r="AY1684" s="68"/>
      <c r="AZ1684" s="68"/>
      <c r="BA1684" s="68"/>
      <c r="BB1684" s="67"/>
      <c r="BC1684" s="67"/>
      <c r="BD1684" s="67"/>
      <c r="BE1684" s="67"/>
      <c r="BF1684" s="95"/>
      <c r="BG1684" s="48"/>
      <c r="BH1684" s="48"/>
      <c r="BI1684" s="48"/>
      <c r="BJ1684" s="48"/>
      <c r="BK1684" s="48"/>
      <c r="BL1684" s="48"/>
      <c r="BM1684" s="48"/>
      <c r="BN1684" s="49"/>
      <c r="BO1684" s="48"/>
      <c r="BP1684" s="48"/>
      <c r="BQ1684" s="50"/>
    </row>
    <row r="1685" spans="1:69" ht="16" x14ac:dyDescent="0.35">
      <c r="A1685"/>
      <c r="D1685"/>
      <c r="G1685"/>
      <c r="H1685" s="20"/>
      <c r="I1685" s="20"/>
      <c r="J1685" s="20"/>
      <c r="K1685" s="20"/>
      <c r="L1685" s="20"/>
      <c r="Q1685" s="83"/>
      <c r="Y1685" s="20"/>
      <c r="AP1685" s="93"/>
      <c r="AQ1685" s="31"/>
      <c r="AR1685" s="31"/>
      <c r="AS1685" s="94"/>
      <c r="AT1685" s="31"/>
      <c r="AU1685" s="31"/>
      <c r="AV1685" s="94"/>
      <c r="AW1685" s="32"/>
      <c r="AX1685" s="32"/>
      <c r="AY1685" s="32"/>
      <c r="AZ1685" s="32"/>
      <c r="BA1685" s="32"/>
      <c r="BB1685" s="31"/>
      <c r="BC1685" s="31"/>
      <c r="BD1685" s="31"/>
      <c r="BE1685" s="31"/>
      <c r="BF1685" s="96"/>
      <c r="BG1685" s="52"/>
      <c r="BH1685" s="52"/>
      <c r="BI1685" s="52"/>
      <c r="BJ1685" s="52"/>
      <c r="BK1685" s="52"/>
      <c r="BL1685" s="52"/>
      <c r="BM1685" s="52"/>
      <c r="BN1685" s="53"/>
      <c r="BO1685" s="52"/>
      <c r="BP1685" s="52"/>
      <c r="BQ1685" s="54"/>
    </row>
    <row r="1686" spans="1:69" ht="16" x14ac:dyDescent="0.35">
      <c r="A1686"/>
      <c r="D1686"/>
      <c r="G1686"/>
      <c r="H1686" s="20"/>
      <c r="I1686" s="20"/>
      <c r="J1686" s="20"/>
      <c r="K1686" s="20"/>
      <c r="L1686" s="20"/>
      <c r="Q1686" s="83"/>
      <c r="Y1686" s="20"/>
      <c r="AP1686" s="92"/>
      <c r="AQ1686" s="67"/>
      <c r="AR1686" s="67"/>
      <c r="AS1686" s="73"/>
      <c r="AT1686" s="67"/>
      <c r="AU1686" s="67"/>
      <c r="AV1686" s="73"/>
      <c r="AW1686" s="68"/>
      <c r="AX1686" s="68"/>
      <c r="AY1686" s="68"/>
      <c r="AZ1686" s="68"/>
      <c r="BA1686" s="68"/>
      <c r="BB1686" s="67"/>
      <c r="BC1686" s="67"/>
      <c r="BD1686" s="67"/>
      <c r="BE1686" s="67"/>
      <c r="BF1686" s="95"/>
      <c r="BG1686" s="48"/>
      <c r="BH1686" s="48"/>
      <c r="BI1686" s="48"/>
      <c r="BJ1686" s="48"/>
      <c r="BK1686" s="48"/>
      <c r="BL1686" s="48"/>
      <c r="BM1686" s="48"/>
      <c r="BN1686" s="49"/>
      <c r="BO1686" s="48"/>
      <c r="BP1686" s="48"/>
      <c r="BQ1686" s="50"/>
    </row>
    <row r="1687" spans="1:69" ht="16" x14ac:dyDescent="0.35">
      <c r="A1687"/>
      <c r="D1687"/>
      <c r="G1687"/>
      <c r="H1687" s="20"/>
      <c r="I1687" s="20"/>
      <c r="J1687" s="20"/>
      <c r="K1687" s="20"/>
      <c r="L1687" s="20"/>
      <c r="Q1687" s="83"/>
      <c r="Y1687" s="20"/>
      <c r="AP1687" s="93"/>
      <c r="AQ1687" s="31"/>
      <c r="AR1687" s="31"/>
      <c r="AS1687" s="94"/>
      <c r="AT1687" s="31"/>
      <c r="AU1687" s="31"/>
      <c r="AV1687" s="94"/>
      <c r="AW1687" s="32"/>
      <c r="AX1687" s="32"/>
      <c r="AY1687" s="32"/>
      <c r="AZ1687" s="32"/>
      <c r="BA1687" s="32"/>
      <c r="BB1687" s="31"/>
      <c r="BC1687" s="31"/>
      <c r="BD1687" s="31"/>
      <c r="BE1687" s="31"/>
      <c r="BF1687" s="96"/>
      <c r="BG1687" s="52"/>
      <c r="BH1687" s="52"/>
      <c r="BI1687" s="52"/>
      <c r="BJ1687" s="52"/>
      <c r="BK1687" s="52"/>
      <c r="BL1687" s="52"/>
      <c r="BM1687" s="52"/>
      <c r="BN1687" s="53"/>
      <c r="BO1687" s="52"/>
      <c r="BP1687" s="52"/>
      <c r="BQ1687" s="54"/>
    </row>
    <row r="1688" spans="1:69" ht="16" x14ac:dyDescent="0.35">
      <c r="A1688"/>
      <c r="D1688"/>
      <c r="G1688"/>
      <c r="H1688" s="20"/>
      <c r="I1688" s="20"/>
      <c r="J1688" s="20"/>
      <c r="K1688" s="20"/>
      <c r="L1688" s="20"/>
      <c r="Q1688" s="83"/>
      <c r="Y1688" s="20"/>
      <c r="AP1688" s="92"/>
      <c r="AQ1688" s="67"/>
      <c r="AR1688" s="67"/>
      <c r="AS1688" s="73"/>
      <c r="AT1688" s="67"/>
      <c r="AU1688" s="67"/>
      <c r="AV1688" s="73"/>
      <c r="AW1688" s="68"/>
      <c r="AX1688" s="68"/>
      <c r="AY1688" s="68"/>
      <c r="AZ1688" s="68"/>
      <c r="BA1688" s="68"/>
      <c r="BB1688" s="67"/>
      <c r="BC1688" s="67"/>
      <c r="BD1688" s="67"/>
      <c r="BE1688" s="67"/>
      <c r="BF1688" s="95"/>
      <c r="BG1688" s="48"/>
      <c r="BH1688" s="48"/>
      <c r="BI1688" s="48"/>
      <c r="BJ1688" s="48"/>
      <c r="BK1688" s="48"/>
      <c r="BL1688" s="48"/>
      <c r="BM1688" s="48"/>
      <c r="BN1688" s="49"/>
      <c r="BO1688" s="48"/>
      <c r="BP1688" s="48"/>
      <c r="BQ1688" s="50"/>
    </row>
    <row r="1689" spans="1:69" ht="16" x14ac:dyDescent="0.35">
      <c r="A1689"/>
      <c r="D1689"/>
      <c r="G1689"/>
      <c r="H1689" s="20"/>
      <c r="I1689" s="20"/>
      <c r="J1689" s="20"/>
      <c r="K1689" s="20"/>
      <c r="L1689" s="20"/>
      <c r="Q1689" s="83"/>
      <c r="Y1689" s="20"/>
      <c r="AP1689" s="93"/>
      <c r="AQ1689" s="31"/>
      <c r="AR1689" s="31"/>
      <c r="AS1689" s="94"/>
      <c r="AT1689" s="31"/>
      <c r="AU1689" s="31"/>
      <c r="AV1689" s="94"/>
      <c r="AW1689" s="32"/>
      <c r="AX1689" s="32"/>
      <c r="AY1689" s="32"/>
      <c r="AZ1689" s="32"/>
      <c r="BA1689" s="32"/>
      <c r="BB1689" s="31"/>
      <c r="BC1689" s="31"/>
      <c r="BD1689" s="31"/>
      <c r="BE1689" s="31"/>
      <c r="BF1689" s="96"/>
      <c r="BG1689" s="52"/>
      <c r="BH1689" s="52"/>
      <c r="BI1689" s="52"/>
      <c r="BJ1689" s="52"/>
      <c r="BK1689" s="52"/>
      <c r="BL1689" s="52"/>
      <c r="BM1689" s="52"/>
      <c r="BN1689" s="53"/>
      <c r="BO1689" s="52"/>
      <c r="BP1689" s="52"/>
      <c r="BQ1689" s="54"/>
    </row>
    <row r="1690" spans="1:69" ht="16" x14ac:dyDescent="0.35">
      <c r="A1690"/>
      <c r="D1690"/>
      <c r="G1690"/>
      <c r="H1690" s="20"/>
      <c r="I1690" s="20"/>
      <c r="J1690" s="20"/>
      <c r="K1690" s="20"/>
      <c r="L1690" s="20"/>
      <c r="Q1690" s="83"/>
      <c r="Y1690" s="20"/>
      <c r="AP1690" s="92"/>
      <c r="AQ1690" s="67"/>
      <c r="AR1690" s="67"/>
      <c r="AS1690" s="73"/>
      <c r="AT1690" s="67"/>
      <c r="AU1690" s="67"/>
      <c r="AV1690" s="73"/>
      <c r="AW1690" s="68"/>
      <c r="AX1690" s="68"/>
      <c r="AY1690" s="68"/>
      <c r="AZ1690" s="68"/>
      <c r="BA1690" s="68"/>
      <c r="BB1690" s="67"/>
      <c r="BC1690" s="67"/>
      <c r="BD1690" s="67"/>
      <c r="BE1690" s="67"/>
      <c r="BF1690" s="95"/>
      <c r="BG1690" s="48"/>
      <c r="BH1690" s="48"/>
      <c r="BI1690" s="48"/>
      <c r="BJ1690" s="48"/>
      <c r="BK1690" s="48"/>
      <c r="BL1690" s="48"/>
      <c r="BM1690" s="48"/>
      <c r="BN1690" s="49"/>
      <c r="BO1690" s="48"/>
      <c r="BP1690" s="48"/>
      <c r="BQ1690" s="50"/>
    </row>
    <row r="1691" spans="1:69" ht="16" x14ac:dyDescent="0.35">
      <c r="A1691"/>
      <c r="D1691"/>
      <c r="G1691"/>
      <c r="H1691" s="20"/>
      <c r="I1691" s="20"/>
      <c r="J1691" s="20"/>
      <c r="K1691" s="20"/>
      <c r="L1691" s="20"/>
      <c r="Q1691" s="83"/>
      <c r="Y1691" s="20"/>
      <c r="AP1691" s="93"/>
      <c r="AQ1691" s="31"/>
      <c r="AR1691" s="31"/>
      <c r="AS1691" s="94"/>
      <c r="AT1691" s="31"/>
      <c r="AU1691" s="31"/>
      <c r="AV1691" s="94"/>
      <c r="AW1691" s="32"/>
      <c r="AX1691" s="32"/>
      <c r="AY1691" s="32"/>
      <c r="AZ1691" s="32"/>
      <c r="BA1691" s="32"/>
      <c r="BB1691" s="31"/>
      <c r="BC1691" s="31"/>
      <c r="BD1691" s="31"/>
      <c r="BE1691" s="31"/>
      <c r="BF1691" s="96"/>
      <c r="BG1691" s="52"/>
      <c r="BH1691" s="52"/>
      <c r="BI1691" s="52"/>
      <c r="BJ1691" s="52"/>
      <c r="BK1691" s="52"/>
      <c r="BL1691" s="52"/>
      <c r="BM1691" s="52"/>
      <c r="BN1691" s="53"/>
      <c r="BO1691" s="52"/>
      <c r="BP1691" s="52"/>
      <c r="BQ1691" s="54"/>
    </row>
    <row r="1692" spans="1:69" ht="16" x14ac:dyDescent="0.35">
      <c r="A1692"/>
      <c r="D1692"/>
      <c r="G1692"/>
      <c r="H1692" s="20"/>
      <c r="I1692" s="20"/>
      <c r="J1692" s="20"/>
      <c r="K1692" s="20"/>
      <c r="L1692" s="20"/>
      <c r="Q1692" s="83"/>
      <c r="Y1692" s="20"/>
      <c r="AP1692" s="92"/>
      <c r="AQ1692" s="67"/>
      <c r="AR1692" s="67"/>
      <c r="AS1692" s="73"/>
      <c r="AT1692" s="67"/>
      <c r="AU1692" s="67"/>
      <c r="AV1692" s="73"/>
      <c r="AW1692" s="68"/>
      <c r="AX1692" s="68"/>
      <c r="AY1692" s="68"/>
      <c r="AZ1692" s="68"/>
      <c r="BA1692" s="68"/>
      <c r="BB1692" s="67"/>
      <c r="BC1692" s="67"/>
      <c r="BD1692" s="67"/>
      <c r="BE1692" s="67"/>
      <c r="BF1692" s="95"/>
      <c r="BG1692" s="48"/>
      <c r="BH1692" s="48"/>
      <c r="BI1692" s="48"/>
      <c r="BJ1692" s="48"/>
      <c r="BK1692" s="48"/>
      <c r="BL1692" s="48"/>
      <c r="BM1692" s="48"/>
      <c r="BN1692" s="49"/>
      <c r="BO1692" s="48"/>
      <c r="BP1692" s="48"/>
      <c r="BQ1692" s="50"/>
    </row>
    <row r="1693" spans="1:69" ht="16" x14ac:dyDescent="0.35">
      <c r="A1693"/>
      <c r="D1693"/>
      <c r="G1693"/>
      <c r="H1693" s="20"/>
      <c r="I1693" s="20"/>
      <c r="J1693" s="20"/>
      <c r="K1693" s="20"/>
      <c r="L1693" s="20"/>
      <c r="Q1693" s="83"/>
      <c r="Y1693" s="20"/>
      <c r="AP1693" s="93"/>
      <c r="AQ1693" s="31"/>
      <c r="AR1693" s="31"/>
      <c r="AS1693" s="94"/>
      <c r="AT1693" s="31"/>
      <c r="AU1693" s="31"/>
      <c r="AV1693" s="94"/>
      <c r="AW1693" s="32"/>
      <c r="AX1693" s="32"/>
      <c r="AY1693" s="32"/>
      <c r="AZ1693" s="32"/>
      <c r="BA1693" s="32"/>
      <c r="BB1693" s="31"/>
      <c r="BC1693" s="31"/>
      <c r="BD1693" s="31"/>
      <c r="BE1693" s="31"/>
      <c r="BF1693" s="96"/>
      <c r="BG1693" s="52"/>
      <c r="BH1693" s="52"/>
      <c r="BI1693" s="52"/>
      <c r="BJ1693" s="52"/>
      <c r="BK1693" s="52"/>
      <c r="BL1693" s="52"/>
      <c r="BM1693" s="52"/>
      <c r="BN1693" s="53"/>
      <c r="BO1693" s="52"/>
      <c r="BP1693" s="52"/>
      <c r="BQ1693" s="54"/>
    </row>
    <row r="1694" spans="1:69" ht="16" x14ac:dyDescent="0.35">
      <c r="A1694"/>
      <c r="D1694"/>
      <c r="G1694"/>
      <c r="H1694" s="20"/>
      <c r="I1694" s="20"/>
      <c r="J1694" s="20"/>
      <c r="K1694" s="20"/>
      <c r="L1694" s="20"/>
      <c r="Q1694" s="83"/>
      <c r="Y1694" s="20"/>
      <c r="AP1694" s="92"/>
      <c r="AQ1694" s="67"/>
      <c r="AR1694" s="67"/>
      <c r="AS1694" s="73"/>
      <c r="AT1694" s="67"/>
      <c r="AU1694" s="67"/>
      <c r="AV1694" s="73"/>
      <c r="AW1694" s="68"/>
      <c r="AX1694" s="68"/>
      <c r="AY1694" s="68"/>
      <c r="AZ1694" s="68"/>
      <c r="BA1694" s="68"/>
      <c r="BB1694" s="67"/>
      <c r="BC1694" s="67"/>
      <c r="BD1694" s="67"/>
      <c r="BE1694" s="67"/>
      <c r="BF1694" s="95"/>
      <c r="BG1694" s="48"/>
      <c r="BH1694" s="48"/>
      <c r="BI1694" s="48"/>
      <c r="BJ1694" s="48"/>
      <c r="BK1694" s="48"/>
      <c r="BL1694" s="48"/>
      <c r="BM1694" s="48"/>
      <c r="BN1694" s="49"/>
      <c r="BO1694" s="48"/>
      <c r="BP1694" s="48"/>
      <c r="BQ1694" s="50"/>
    </row>
    <row r="1695" spans="1:69" ht="16" x14ac:dyDescent="0.35">
      <c r="A1695"/>
      <c r="D1695"/>
      <c r="G1695"/>
      <c r="H1695" s="20"/>
      <c r="I1695" s="20"/>
      <c r="J1695" s="20"/>
      <c r="K1695" s="20"/>
      <c r="L1695" s="20"/>
      <c r="Q1695" s="83"/>
      <c r="Y1695" s="20"/>
      <c r="AP1695" s="93"/>
      <c r="AQ1695" s="31"/>
      <c r="AR1695" s="31"/>
      <c r="AS1695" s="94"/>
      <c r="AT1695" s="31"/>
      <c r="AU1695" s="31"/>
      <c r="AV1695" s="94"/>
      <c r="AW1695" s="32"/>
      <c r="AX1695" s="32"/>
      <c r="AY1695" s="32"/>
      <c r="AZ1695" s="32"/>
      <c r="BA1695" s="32"/>
      <c r="BB1695" s="31"/>
      <c r="BC1695" s="31"/>
      <c r="BD1695" s="31"/>
      <c r="BE1695" s="31"/>
      <c r="BF1695" s="96"/>
      <c r="BG1695" s="52"/>
      <c r="BH1695" s="52"/>
      <c r="BI1695" s="52"/>
      <c r="BJ1695" s="52"/>
      <c r="BK1695" s="52"/>
      <c r="BL1695" s="52"/>
      <c r="BM1695" s="52"/>
      <c r="BN1695" s="53"/>
      <c r="BO1695" s="52"/>
      <c r="BP1695" s="52"/>
      <c r="BQ1695" s="54"/>
    </row>
    <row r="1696" spans="1:69" ht="16" x14ac:dyDescent="0.35">
      <c r="A1696"/>
      <c r="D1696"/>
      <c r="G1696"/>
      <c r="H1696" s="20"/>
      <c r="I1696" s="20"/>
      <c r="J1696" s="20"/>
      <c r="K1696" s="20"/>
      <c r="L1696" s="20"/>
      <c r="Q1696" s="83"/>
      <c r="Y1696" s="20"/>
      <c r="AP1696" s="92"/>
      <c r="AQ1696" s="67"/>
      <c r="AR1696" s="67"/>
      <c r="AS1696" s="73"/>
      <c r="AT1696" s="67"/>
      <c r="AU1696" s="67"/>
      <c r="AV1696" s="73"/>
      <c r="AW1696" s="68"/>
      <c r="AX1696" s="68"/>
      <c r="AY1696" s="68"/>
      <c r="AZ1696" s="68"/>
      <c r="BA1696" s="68"/>
      <c r="BB1696" s="67"/>
      <c r="BC1696" s="67"/>
      <c r="BD1696" s="67"/>
      <c r="BE1696" s="67"/>
      <c r="BF1696" s="95"/>
      <c r="BG1696" s="48"/>
      <c r="BH1696" s="48"/>
      <c r="BI1696" s="48"/>
      <c r="BJ1696" s="48"/>
      <c r="BK1696" s="48"/>
      <c r="BL1696" s="48"/>
      <c r="BM1696" s="48"/>
      <c r="BN1696" s="49"/>
      <c r="BO1696" s="48"/>
      <c r="BP1696" s="48"/>
      <c r="BQ1696" s="50"/>
    </row>
    <row r="1697" spans="1:69" ht="16" x14ac:dyDescent="0.35">
      <c r="A1697"/>
      <c r="D1697"/>
      <c r="G1697"/>
      <c r="H1697" s="20"/>
      <c r="I1697" s="20"/>
      <c r="J1697" s="20"/>
      <c r="K1697" s="20"/>
      <c r="L1697" s="20"/>
      <c r="Q1697" s="83"/>
      <c r="Y1697" s="20"/>
      <c r="AP1697" s="93"/>
      <c r="AQ1697" s="31"/>
      <c r="AR1697" s="31"/>
      <c r="AS1697" s="94"/>
      <c r="AT1697" s="31"/>
      <c r="AU1697" s="31"/>
      <c r="AV1697" s="94"/>
      <c r="AW1697" s="32"/>
      <c r="AX1697" s="32"/>
      <c r="AY1697" s="32"/>
      <c r="AZ1697" s="32"/>
      <c r="BA1697" s="32"/>
      <c r="BB1697" s="31"/>
      <c r="BC1697" s="31"/>
      <c r="BD1697" s="31"/>
      <c r="BE1697" s="31"/>
      <c r="BF1697" s="96"/>
      <c r="BG1697" s="52"/>
      <c r="BH1697" s="52"/>
      <c r="BI1697" s="52"/>
      <c r="BJ1697" s="52"/>
      <c r="BK1697" s="52"/>
      <c r="BL1697" s="52"/>
      <c r="BM1697" s="52"/>
      <c r="BN1697" s="53"/>
      <c r="BO1697" s="52"/>
      <c r="BP1697" s="52"/>
      <c r="BQ1697" s="54"/>
    </row>
    <row r="1698" spans="1:69" ht="16" x14ac:dyDescent="0.35">
      <c r="A1698"/>
      <c r="D1698"/>
      <c r="G1698"/>
      <c r="H1698" s="20"/>
      <c r="I1698" s="20"/>
      <c r="J1698" s="20"/>
      <c r="K1698" s="20"/>
      <c r="L1698" s="20"/>
      <c r="Q1698" s="83"/>
      <c r="Y1698" s="20"/>
      <c r="AP1698" s="92"/>
      <c r="AQ1698" s="67"/>
      <c r="AR1698" s="67"/>
      <c r="AS1698" s="73"/>
      <c r="AT1698" s="67"/>
      <c r="AU1698" s="67"/>
      <c r="AV1698" s="73"/>
      <c r="AW1698" s="68"/>
      <c r="AX1698" s="68"/>
      <c r="AY1698" s="68"/>
      <c r="AZ1698" s="68"/>
      <c r="BA1698" s="68"/>
      <c r="BB1698" s="67"/>
      <c r="BC1698" s="67"/>
      <c r="BD1698" s="67"/>
      <c r="BE1698" s="67"/>
      <c r="BF1698" s="95"/>
      <c r="BG1698" s="48"/>
      <c r="BH1698" s="48"/>
      <c r="BI1698" s="48"/>
      <c r="BJ1698" s="48"/>
      <c r="BK1698" s="48"/>
      <c r="BL1698" s="48"/>
      <c r="BM1698" s="48"/>
      <c r="BN1698" s="49"/>
      <c r="BO1698" s="48"/>
      <c r="BP1698" s="48"/>
      <c r="BQ1698" s="50"/>
    </row>
    <row r="1699" spans="1:69" ht="16" x14ac:dyDescent="0.35">
      <c r="A1699"/>
      <c r="D1699"/>
      <c r="G1699"/>
      <c r="H1699" s="20"/>
      <c r="I1699" s="20"/>
      <c r="J1699" s="20"/>
      <c r="K1699" s="20"/>
      <c r="L1699" s="20"/>
      <c r="Q1699" s="83"/>
      <c r="Y1699" s="20"/>
      <c r="AP1699" s="93"/>
      <c r="AQ1699" s="31"/>
      <c r="AR1699" s="31"/>
      <c r="AS1699" s="94"/>
      <c r="AT1699" s="31"/>
      <c r="AU1699" s="31"/>
      <c r="AV1699" s="94"/>
      <c r="AW1699" s="32"/>
      <c r="AX1699" s="32"/>
      <c r="AY1699" s="32"/>
      <c r="AZ1699" s="32"/>
      <c r="BA1699" s="32"/>
      <c r="BB1699" s="31"/>
      <c r="BC1699" s="31"/>
      <c r="BD1699" s="31"/>
      <c r="BE1699" s="31"/>
      <c r="BF1699" s="96"/>
      <c r="BG1699" s="52"/>
      <c r="BH1699" s="52"/>
      <c r="BI1699" s="52"/>
      <c r="BJ1699" s="52"/>
      <c r="BK1699" s="52"/>
      <c r="BL1699" s="52"/>
      <c r="BM1699" s="52"/>
      <c r="BN1699" s="53"/>
      <c r="BO1699" s="52"/>
      <c r="BP1699" s="52"/>
      <c r="BQ1699" s="54"/>
    </row>
    <row r="1700" spans="1:69" ht="16" x14ac:dyDescent="0.35">
      <c r="A1700"/>
      <c r="D1700"/>
      <c r="G1700"/>
      <c r="H1700" s="20"/>
      <c r="I1700" s="20"/>
      <c r="J1700" s="20"/>
      <c r="K1700" s="20"/>
      <c r="L1700" s="20"/>
      <c r="Q1700" s="83"/>
      <c r="Y1700" s="20"/>
      <c r="AP1700" s="92"/>
      <c r="AQ1700" s="67"/>
      <c r="AR1700" s="67"/>
      <c r="AS1700" s="73"/>
      <c r="AT1700" s="67"/>
      <c r="AU1700" s="67"/>
      <c r="AV1700" s="73"/>
      <c r="AW1700" s="68"/>
      <c r="AX1700" s="68"/>
      <c r="AY1700" s="68"/>
      <c r="AZ1700" s="68"/>
      <c r="BA1700" s="68"/>
      <c r="BB1700" s="67"/>
      <c r="BC1700" s="67"/>
      <c r="BD1700" s="67"/>
      <c r="BE1700" s="67"/>
      <c r="BF1700" s="95"/>
      <c r="BG1700" s="48"/>
      <c r="BH1700" s="48"/>
      <c r="BI1700" s="48"/>
      <c r="BJ1700" s="48"/>
      <c r="BK1700" s="48"/>
      <c r="BL1700" s="48"/>
      <c r="BM1700" s="48"/>
      <c r="BN1700" s="49"/>
      <c r="BO1700" s="48"/>
      <c r="BP1700" s="48"/>
      <c r="BQ1700" s="50"/>
    </row>
    <row r="1701" spans="1:69" ht="16" x14ac:dyDescent="0.35">
      <c r="A1701"/>
      <c r="D1701"/>
      <c r="G1701"/>
      <c r="H1701" s="20"/>
      <c r="I1701" s="20"/>
      <c r="J1701" s="20"/>
      <c r="K1701" s="20"/>
      <c r="L1701" s="20"/>
      <c r="Q1701" s="83"/>
      <c r="Y1701" s="20"/>
      <c r="AP1701" s="93"/>
      <c r="AQ1701" s="31"/>
      <c r="AR1701" s="31"/>
      <c r="AS1701" s="94"/>
      <c r="AT1701" s="31"/>
      <c r="AU1701" s="31"/>
      <c r="AV1701" s="94"/>
      <c r="AW1701" s="32"/>
      <c r="AX1701" s="32"/>
      <c r="AY1701" s="32"/>
      <c r="AZ1701" s="32"/>
      <c r="BA1701" s="32"/>
      <c r="BB1701" s="31"/>
      <c r="BC1701" s="31"/>
      <c r="BD1701" s="31"/>
      <c r="BE1701" s="31"/>
      <c r="BF1701" s="96"/>
      <c r="BG1701" s="52"/>
      <c r="BH1701" s="52"/>
      <c r="BI1701" s="52"/>
      <c r="BJ1701" s="52"/>
      <c r="BK1701" s="52"/>
      <c r="BL1701" s="52"/>
      <c r="BM1701" s="52"/>
      <c r="BN1701" s="53"/>
      <c r="BO1701" s="52"/>
      <c r="BP1701" s="52"/>
      <c r="BQ1701" s="54"/>
    </row>
    <row r="1702" spans="1:69" ht="16" x14ac:dyDescent="0.35">
      <c r="A1702"/>
      <c r="D1702"/>
      <c r="G1702"/>
      <c r="H1702" s="20"/>
      <c r="I1702" s="20"/>
      <c r="J1702" s="20"/>
      <c r="K1702" s="20"/>
      <c r="L1702" s="20"/>
      <c r="Q1702" s="83"/>
      <c r="Y1702" s="20"/>
      <c r="AP1702" s="92"/>
      <c r="AQ1702" s="67"/>
      <c r="AR1702" s="67"/>
      <c r="AS1702" s="73"/>
      <c r="AT1702" s="67"/>
      <c r="AU1702" s="67"/>
      <c r="AV1702" s="73"/>
      <c r="AW1702" s="68"/>
      <c r="AX1702" s="68"/>
      <c r="AY1702" s="68"/>
      <c r="AZ1702" s="68"/>
      <c r="BA1702" s="68"/>
      <c r="BB1702" s="67"/>
      <c r="BC1702" s="67"/>
      <c r="BD1702" s="67"/>
      <c r="BE1702" s="67"/>
      <c r="BF1702" s="95"/>
      <c r="BG1702" s="48"/>
      <c r="BH1702" s="48"/>
      <c r="BI1702" s="48"/>
      <c r="BJ1702" s="48"/>
      <c r="BK1702" s="48"/>
      <c r="BL1702" s="48"/>
      <c r="BM1702" s="48"/>
      <c r="BN1702" s="49"/>
      <c r="BO1702" s="48"/>
      <c r="BP1702" s="48"/>
      <c r="BQ1702" s="50"/>
    </row>
    <row r="1703" spans="1:69" ht="16" x14ac:dyDescent="0.35">
      <c r="A1703"/>
      <c r="D1703"/>
      <c r="G1703"/>
      <c r="H1703" s="20"/>
      <c r="I1703" s="20"/>
      <c r="J1703" s="20"/>
      <c r="K1703" s="20"/>
      <c r="L1703" s="20"/>
      <c r="Q1703" s="83"/>
      <c r="Y1703" s="20"/>
      <c r="AP1703" s="93"/>
      <c r="AQ1703" s="31"/>
      <c r="AR1703" s="31"/>
      <c r="AS1703" s="94"/>
      <c r="AT1703" s="31"/>
      <c r="AU1703" s="31"/>
      <c r="AV1703" s="94"/>
      <c r="AW1703" s="32"/>
      <c r="AX1703" s="32"/>
      <c r="AY1703" s="32"/>
      <c r="AZ1703" s="32"/>
      <c r="BA1703" s="32"/>
      <c r="BB1703" s="31"/>
      <c r="BC1703" s="31"/>
      <c r="BD1703" s="31"/>
      <c r="BE1703" s="31"/>
      <c r="BF1703" s="96"/>
      <c r="BG1703" s="52"/>
      <c r="BH1703" s="52"/>
      <c r="BI1703" s="52"/>
      <c r="BJ1703" s="52"/>
      <c r="BK1703" s="52"/>
      <c r="BL1703" s="52"/>
      <c r="BM1703" s="52"/>
      <c r="BN1703" s="53"/>
      <c r="BO1703" s="52"/>
      <c r="BP1703" s="52"/>
      <c r="BQ1703" s="54"/>
    </row>
    <row r="1704" spans="1:69" ht="16" x14ac:dyDescent="0.35">
      <c r="A1704"/>
      <c r="D1704"/>
      <c r="G1704"/>
      <c r="H1704" s="20"/>
      <c r="I1704" s="20"/>
      <c r="J1704" s="20"/>
      <c r="K1704" s="20"/>
      <c r="L1704" s="20"/>
      <c r="Q1704" s="83"/>
      <c r="Y1704" s="20"/>
      <c r="AP1704" s="92"/>
      <c r="AQ1704" s="67"/>
      <c r="AR1704" s="67"/>
      <c r="AS1704" s="73"/>
      <c r="AT1704" s="67"/>
      <c r="AU1704" s="67"/>
      <c r="AV1704" s="73"/>
      <c r="AW1704" s="68"/>
      <c r="AX1704" s="68"/>
      <c r="AY1704" s="68"/>
      <c r="AZ1704" s="68"/>
      <c r="BA1704" s="68"/>
      <c r="BB1704" s="67"/>
      <c r="BC1704" s="67"/>
      <c r="BD1704" s="67"/>
      <c r="BE1704" s="67"/>
      <c r="BF1704" s="95"/>
      <c r="BG1704" s="48"/>
      <c r="BH1704" s="48"/>
      <c r="BI1704" s="48"/>
      <c r="BJ1704" s="48"/>
      <c r="BK1704" s="48"/>
      <c r="BL1704" s="48"/>
      <c r="BM1704" s="48"/>
      <c r="BN1704" s="49"/>
      <c r="BO1704" s="48"/>
      <c r="BP1704" s="48"/>
      <c r="BQ1704" s="50"/>
    </row>
    <row r="1705" spans="1:69" ht="16" x14ac:dyDescent="0.35">
      <c r="A1705"/>
      <c r="D1705"/>
      <c r="G1705"/>
      <c r="H1705" s="20"/>
      <c r="I1705" s="20"/>
      <c r="J1705" s="20"/>
      <c r="K1705" s="20"/>
      <c r="L1705" s="20"/>
      <c r="Q1705" s="83"/>
      <c r="Y1705" s="20"/>
      <c r="AP1705" s="93"/>
      <c r="AQ1705" s="31"/>
      <c r="AR1705" s="31"/>
      <c r="AS1705" s="94"/>
      <c r="AT1705" s="31"/>
      <c r="AU1705" s="31"/>
      <c r="AV1705" s="94"/>
      <c r="AW1705" s="32"/>
      <c r="AX1705" s="32"/>
      <c r="AY1705" s="32"/>
      <c r="AZ1705" s="32"/>
      <c r="BA1705" s="32"/>
      <c r="BB1705" s="31"/>
      <c r="BC1705" s="31"/>
      <c r="BD1705" s="31"/>
      <c r="BE1705" s="31"/>
      <c r="BF1705" s="96"/>
      <c r="BG1705" s="52"/>
      <c r="BH1705" s="52"/>
      <c r="BI1705" s="52"/>
      <c r="BJ1705" s="52"/>
      <c r="BK1705" s="52"/>
      <c r="BL1705" s="52"/>
      <c r="BM1705" s="52"/>
      <c r="BN1705" s="53"/>
      <c r="BO1705" s="52"/>
      <c r="BP1705" s="52"/>
      <c r="BQ1705" s="54"/>
    </row>
    <row r="1706" spans="1:69" ht="16" x14ac:dyDescent="0.35">
      <c r="A1706"/>
      <c r="D1706"/>
      <c r="G1706"/>
      <c r="H1706" s="20"/>
      <c r="I1706" s="20"/>
      <c r="J1706" s="20"/>
      <c r="K1706" s="20"/>
      <c r="L1706" s="20"/>
      <c r="Q1706" s="83"/>
      <c r="Y1706" s="20"/>
      <c r="AP1706" s="92"/>
      <c r="AQ1706" s="67"/>
      <c r="AR1706" s="67"/>
      <c r="AS1706" s="73"/>
      <c r="AT1706" s="67"/>
      <c r="AU1706" s="67"/>
      <c r="AV1706" s="73"/>
      <c r="AW1706" s="68"/>
      <c r="AX1706" s="68"/>
      <c r="AY1706" s="68"/>
      <c r="AZ1706" s="68"/>
      <c r="BA1706" s="68"/>
      <c r="BB1706" s="67"/>
      <c r="BC1706" s="67"/>
      <c r="BD1706" s="67"/>
      <c r="BE1706" s="67"/>
      <c r="BF1706" s="95"/>
      <c r="BG1706" s="48"/>
      <c r="BH1706" s="48"/>
      <c r="BI1706" s="48"/>
      <c r="BJ1706" s="48"/>
      <c r="BK1706" s="48"/>
      <c r="BL1706" s="48"/>
      <c r="BM1706" s="48"/>
      <c r="BN1706" s="49"/>
      <c r="BO1706" s="48"/>
      <c r="BP1706" s="48"/>
      <c r="BQ1706" s="50"/>
    </row>
    <row r="1707" spans="1:69" ht="16" x14ac:dyDescent="0.35">
      <c r="A1707"/>
      <c r="D1707"/>
      <c r="G1707"/>
      <c r="H1707" s="20"/>
      <c r="I1707" s="20"/>
      <c r="J1707" s="20"/>
      <c r="K1707" s="20"/>
      <c r="L1707" s="20"/>
      <c r="Q1707" s="83"/>
      <c r="Y1707" s="20"/>
      <c r="AP1707" s="93"/>
      <c r="AQ1707" s="31"/>
      <c r="AR1707" s="31"/>
      <c r="AS1707" s="94"/>
      <c r="AT1707" s="31"/>
      <c r="AU1707" s="31"/>
      <c r="AV1707" s="94"/>
      <c r="AW1707" s="32"/>
      <c r="AX1707" s="32"/>
      <c r="AY1707" s="32"/>
      <c r="AZ1707" s="32"/>
      <c r="BA1707" s="32"/>
      <c r="BB1707" s="31"/>
      <c r="BC1707" s="31"/>
      <c r="BD1707" s="31"/>
      <c r="BE1707" s="31"/>
      <c r="BF1707" s="96"/>
      <c r="BG1707" s="52"/>
      <c r="BH1707" s="52"/>
      <c r="BI1707" s="52"/>
      <c r="BJ1707" s="52"/>
      <c r="BK1707" s="52"/>
      <c r="BL1707" s="52"/>
      <c r="BM1707" s="52"/>
      <c r="BN1707" s="53"/>
      <c r="BO1707" s="52"/>
      <c r="BP1707" s="52"/>
      <c r="BQ1707" s="54"/>
    </row>
    <row r="1708" spans="1:69" ht="16" x14ac:dyDescent="0.35">
      <c r="A1708"/>
      <c r="D1708"/>
      <c r="G1708"/>
      <c r="H1708" s="20"/>
      <c r="I1708" s="20"/>
      <c r="J1708" s="20"/>
      <c r="K1708" s="20"/>
      <c r="L1708" s="20"/>
      <c r="Q1708" s="83"/>
      <c r="Y1708" s="20"/>
      <c r="AP1708" s="92"/>
      <c r="AQ1708" s="67"/>
      <c r="AR1708" s="67"/>
      <c r="AS1708" s="73"/>
      <c r="AT1708" s="67"/>
      <c r="AU1708" s="67"/>
      <c r="AV1708" s="73"/>
      <c r="AW1708" s="68"/>
      <c r="AX1708" s="68"/>
      <c r="AY1708" s="68"/>
      <c r="AZ1708" s="68"/>
      <c r="BA1708" s="68"/>
      <c r="BB1708" s="67"/>
      <c r="BC1708" s="67"/>
      <c r="BD1708" s="67"/>
      <c r="BE1708" s="67"/>
      <c r="BF1708" s="95"/>
      <c r="BG1708" s="48"/>
      <c r="BH1708" s="48"/>
      <c r="BI1708" s="48"/>
      <c r="BJ1708" s="48"/>
      <c r="BK1708" s="48"/>
      <c r="BL1708" s="48"/>
      <c r="BM1708" s="48"/>
      <c r="BN1708" s="49"/>
      <c r="BO1708" s="48"/>
      <c r="BP1708" s="48"/>
      <c r="BQ1708" s="50"/>
    </row>
    <row r="1709" spans="1:69" ht="16" x14ac:dyDescent="0.35">
      <c r="A1709"/>
      <c r="D1709"/>
      <c r="G1709"/>
      <c r="H1709" s="20"/>
      <c r="I1709" s="20"/>
      <c r="J1709" s="20"/>
      <c r="K1709" s="20"/>
      <c r="L1709" s="20"/>
      <c r="Q1709" s="83"/>
      <c r="Y1709" s="20"/>
      <c r="AP1709" s="93"/>
      <c r="AQ1709" s="31"/>
      <c r="AR1709" s="31"/>
      <c r="AS1709" s="94"/>
      <c r="AT1709" s="31"/>
      <c r="AU1709" s="31"/>
      <c r="AV1709" s="94"/>
      <c r="AW1709" s="32"/>
      <c r="AX1709" s="32"/>
      <c r="AY1709" s="32"/>
      <c r="AZ1709" s="32"/>
      <c r="BA1709" s="32"/>
      <c r="BB1709" s="31"/>
      <c r="BC1709" s="31"/>
      <c r="BD1709" s="31"/>
      <c r="BE1709" s="31"/>
      <c r="BF1709" s="96"/>
      <c r="BG1709" s="52"/>
      <c r="BH1709" s="52"/>
      <c r="BI1709" s="52"/>
      <c r="BJ1709" s="52"/>
      <c r="BK1709" s="52"/>
      <c r="BL1709" s="52"/>
      <c r="BM1709" s="52"/>
      <c r="BN1709" s="53"/>
      <c r="BO1709" s="52"/>
      <c r="BP1709" s="52"/>
      <c r="BQ1709" s="54"/>
    </row>
    <row r="1710" spans="1:69" ht="16" x14ac:dyDescent="0.35">
      <c r="A1710"/>
      <c r="D1710"/>
      <c r="G1710"/>
      <c r="H1710" s="20"/>
      <c r="I1710" s="20"/>
      <c r="J1710" s="20"/>
      <c r="K1710" s="20"/>
      <c r="L1710" s="20"/>
      <c r="Q1710" s="83"/>
      <c r="Y1710" s="20"/>
      <c r="AP1710" s="92"/>
      <c r="AQ1710" s="67"/>
      <c r="AR1710" s="67"/>
      <c r="AS1710" s="73"/>
      <c r="AT1710" s="67"/>
      <c r="AU1710" s="67"/>
      <c r="AV1710" s="73"/>
      <c r="AW1710" s="68"/>
      <c r="AX1710" s="68"/>
      <c r="AY1710" s="68"/>
      <c r="AZ1710" s="68"/>
      <c r="BA1710" s="68"/>
      <c r="BB1710" s="67"/>
      <c r="BC1710" s="67"/>
      <c r="BD1710" s="67"/>
      <c r="BE1710" s="67"/>
      <c r="BF1710" s="95"/>
      <c r="BG1710" s="48"/>
      <c r="BH1710" s="48"/>
      <c r="BI1710" s="48"/>
      <c r="BJ1710" s="48"/>
      <c r="BK1710" s="48"/>
      <c r="BL1710" s="48"/>
      <c r="BM1710" s="48"/>
      <c r="BN1710" s="49"/>
      <c r="BO1710" s="48"/>
      <c r="BP1710" s="48"/>
      <c r="BQ1710" s="50"/>
    </row>
    <row r="1711" spans="1:69" ht="16" x14ac:dyDescent="0.35">
      <c r="A1711"/>
      <c r="D1711"/>
      <c r="G1711"/>
      <c r="H1711" s="20"/>
      <c r="I1711" s="20"/>
      <c r="J1711" s="20"/>
      <c r="K1711" s="20"/>
      <c r="L1711" s="20"/>
      <c r="Q1711" s="83"/>
      <c r="Y1711" s="20"/>
      <c r="AP1711" s="93"/>
      <c r="AQ1711" s="31"/>
      <c r="AR1711" s="31"/>
      <c r="AS1711" s="94"/>
      <c r="AT1711" s="31"/>
      <c r="AU1711" s="31"/>
      <c r="AV1711" s="94"/>
      <c r="AW1711" s="32"/>
      <c r="AX1711" s="32"/>
      <c r="AY1711" s="32"/>
      <c r="AZ1711" s="32"/>
      <c r="BA1711" s="32"/>
      <c r="BB1711" s="31"/>
      <c r="BC1711" s="31"/>
      <c r="BD1711" s="31"/>
      <c r="BE1711" s="31"/>
      <c r="BF1711" s="96"/>
      <c r="BG1711" s="52"/>
      <c r="BH1711" s="52"/>
      <c r="BI1711" s="52"/>
      <c r="BJ1711" s="52"/>
      <c r="BK1711" s="52"/>
      <c r="BL1711" s="52"/>
      <c r="BM1711" s="52"/>
      <c r="BN1711" s="53"/>
      <c r="BO1711" s="52"/>
      <c r="BP1711" s="52"/>
      <c r="BQ1711" s="54"/>
    </row>
    <row r="1712" spans="1:69" ht="16" x14ac:dyDescent="0.35">
      <c r="A1712"/>
      <c r="D1712"/>
      <c r="G1712"/>
      <c r="H1712" s="20"/>
      <c r="I1712" s="20"/>
      <c r="J1712" s="20"/>
      <c r="K1712" s="20"/>
      <c r="L1712" s="20"/>
      <c r="Q1712" s="83"/>
      <c r="Y1712" s="20"/>
      <c r="AP1712" s="92"/>
      <c r="AQ1712" s="67"/>
      <c r="AR1712" s="67"/>
      <c r="AS1712" s="73"/>
      <c r="AT1712" s="67"/>
      <c r="AU1712" s="67"/>
      <c r="AV1712" s="73"/>
      <c r="AW1712" s="68"/>
      <c r="AX1712" s="68"/>
      <c r="AY1712" s="68"/>
      <c r="AZ1712" s="68"/>
      <c r="BA1712" s="68"/>
      <c r="BB1712" s="67"/>
      <c r="BC1712" s="67"/>
      <c r="BD1712" s="67"/>
      <c r="BE1712" s="67"/>
      <c r="BF1712" s="95"/>
      <c r="BG1712" s="48"/>
      <c r="BH1712" s="48"/>
      <c r="BI1712" s="48"/>
      <c r="BJ1712" s="48"/>
      <c r="BK1712" s="48"/>
      <c r="BL1712" s="48"/>
      <c r="BM1712" s="48"/>
      <c r="BN1712" s="49"/>
      <c r="BO1712" s="48"/>
      <c r="BP1712" s="48"/>
      <c r="BQ1712" s="50"/>
    </row>
    <row r="1713" spans="1:69" ht="16" x14ac:dyDescent="0.35">
      <c r="A1713"/>
      <c r="D1713"/>
      <c r="G1713"/>
      <c r="H1713" s="20"/>
      <c r="I1713" s="20"/>
      <c r="J1713" s="20"/>
      <c r="K1713" s="20"/>
      <c r="L1713" s="20"/>
      <c r="Q1713" s="83"/>
      <c r="Y1713" s="20"/>
      <c r="AP1713" s="93"/>
      <c r="AQ1713" s="31"/>
      <c r="AR1713" s="31"/>
      <c r="AS1713" s="94"/>
      <c r="AT1713" s="31"/>
      <c r="AU1713" s="31"/>
      <c r="AV1713" s="94"/>
      <c r="AW1713" s="32"/>
      <c r="AX1713" s="32"/>
      <c r="AY1713" s="32"/>
      <c r="AZ1713" s="32"/>
      <c r="BA1713" s="32"/>
      <c r="BB1713" s="31"/>
      <c r="BC1713" s="31"/>
      <c r="BD1713" s="31"/>
      <c r="BE1713" s="31"/>
      <c r="BF1713" s="96"/>
      <c r="BG1713" s="52"/>
      <c r="BH1713" s="52"/>
      <c r="BI1713" s="52"/>
      <c r="BJ1713" s="52"/>
      <c r="BK1713" s="52"/>
      <c r="BL1713" s="52"/>
      <c r="BM1713" s="52"/>
      <c r="BN1713" s="53"/>
      <c r="BO1713" s="52"/>
      <c r="BP1713" s="52"/>
      <c r="BQ1713" s="54"/>
    </row>
    <row r="1714" spans="1:69" ht="16" x14ac:dyDescent="0.35">
      <c r="A1714"/>
      <c r="D1714"/>
      <c r="G1714"/>
      <c r="H1714" s="20"/>
      <c r="I1714" s="20"/>
      <c r="J1714" s="20"/>
      <c r="K1714" s="20"/>
      <c r="L1714" s="20"/>
      <c r="Q1714" s="83"/>
      <c r="Y1714" s="20"/>
      <c r="AP1714" s="92"/>
      <c r="AQ1714" s="67"/>
      <c r="AR1714" s="67"/>
      <c r="AS1714" s="73"/>
      <c r="AT1714" s="67"/>
      <c r="AU1714" s="67"/>
      <c r="AV1714" s="73"/>
      <c r="AW1714" s="68"/>
      <c r="AX1714" s="68"/>
      <c r="AY1714" s="68"/>
      <c r="AZ1714" s="68"/>
      <c r="BA1714" s="68"/>
      <c r="BB1714" s="67"/>
      <c r="BC1714" s="67"/>
      <c r="BD1714" s="67"/>
      <c r="BE1714" s="67"/>
      <c r="BF1714" s="95"/>
      <c r="BG1714" s="48"/>
      <c r="BH1714" s="48"/>
      <c r="BI1714" s="48"/>
      <c r="BJ1714" s="48"/>
      <c r="BK1714" s="48"/>
      <c r="BL1714" s="48"/>
      <c r="BM1714" s="48"/>
      <c r="BN1714" s="49"/>
      <c r="BO1714" s="48"/>
      <c r="BP1714" s="48"/>
      <c r="BQ1714" s="50"/>
    </row>
    <row r="1715" spans="1:69" ht="16" x14ac:dyDescent="0.35">
      <c r="A1715"/>
      <c r="D1715"/>
      <c r="G1715"/>
      <c r="H1715" s="20"/>
      <c r="I1715" s="20"/>
      <c r="J1715" s="20"/>
      <c r="K1715" s="20"/>
      <c r="L1715" s="20"/>
      <c r="Q1715" s="83"/>
      <c r="Y1715" s="20"/>
      <c r="AP1715" s="93"/>
      <c r="AQ1715" s="31"/>
      <c r="AR1715" s="31"/>
      <c r="AS1715" s="94"/>
      <c r="AT1715" s="31"/>
      <c r="AU1715" s="31"/>
      <c r="AV1715" s="94"/>
      <c r="AW1715" s="32"/>
      <c r="AX1715" s="32"/>
      <c r="AY1715" s="32"/>
      <c r="AZ1715" s="32"/>
      <c r="BA1715" s="32"/>
      <c r="BB1715" s="31"/>
      <c r="BC1715" s="31"/>
      <c r="BD1715" s="31"/>
      <c r="BE1715" s="31"/>
      <c r="BF1715" s="96"/>
      <c r="BG1715" s="52"/>
      <c r="BH1715" s="52"/>
      <c r="BI1715" s="52"/>
      <c r="BJ1715" s="52"/>
      <c r="BK1715" s="52"/>
      <c r="BL1715" s="52"/>
      <c r="BM1715" s="52"/>
      <c r="BN1715" s="53"/>
      <c r="BO1715" s="52"/>
      <c r="BP1715" s="52"/>
      <c r="BQ1715" s="54"/>
    </row>
    <row r="1716" spans="1:69" ht="16" x14ac:dyDescent="0.35">
      <c r="A1716"/>
      <c r="D1716"/>
      <c r="G1716"/>
      <c r="H1716" s="20"/>
      <c r="I1716" s="20"/>
      <c r="J1716" s="20"/>
      <c r="K1716" s="20"/>
      <c r="L1716" s="20"/>
      <c r="Q1716" s="83"/>
      <c r="Y1716" s="20"/>
      <c r="AP1716" s="92"/>
      <c r="AQ1716" s="67"/>
      <c r="AR1716" s="67"/>
      <c r="AS1716" s="73"/>
      <c r="AT1716" s="67"/>
      <c r="AU1716" s="67"/>
      <c r="AV1716" s="73"/>
      <c r="AW1716" s="68"/>
      <c r="AX1716" s="68"/>
      <c r="AY1716" s="68"/>
      <c r="AZ1716" s="68"/>
      <c r="BA1716" s="68"/>
      <c r="BB1716" s="67"/>
      <c r="BC1716" s="67"/>
      <c r="BD1716" s="67"/>
      <c r="BE1716" s="67"/>
      <c r="BF1716" s="95"/>
      <c r="BG1716" s="48"/>
      <c r="BH1716" s="48"/>
      <c r="BI1716" s="48"/>
      <c r="BJ1716" s="48"/>
      <c r="BK1716" s="48"/>
      <c r="BL1716" s="48"/>
      <c r="BM1716" s="48"/>
      <c r="BN1716" s="49"/>
      <c r="BO1716" s="48"/>
      <c r="BP1716" s="48"/>
      <c r="BQ1716" s="50"/>
    </row>
    <row r="1717" spans="1:69" ht="16" x14ac:dyDescent="0.35">
      <c r="A1717"/>
      <c r="D1717"/>
      <c r="G1717"/>
      <c r="H1717" s="20"/>
      <c r="I1717" s="20"/>
      <c r="J1717" s="20"/>
      <c r="K1717" s="20"/>
      <c r="L1717" s="20"/>
      <c r="Q1717" s="83"/>
      <c r="Y1717" s="20"/>
      <c r="AP1717" s="93"/>
      <c r="AQ1717" s="31"/>
      <c r="AR1717" s="31"/>
      <c r="AS1717" s="94"/>
      <c r="AT1717" s="31"/>
      <c r="AU1717" s="31"/>
      <c r="AV1717" s="94"/>
      <c r="AW1717" s="32"/>
      <c r="AX1717" s="32"/>
      <c r="AY1717" s="32"/>
      <c r="AZ1717" s="32"/>
      <c r="BA1717" s="32"/>
      <c r="BB1717" s="31"/>
      <c r="BC1717" s="31"/>
      <c r="BD1717" s="31"/>
      <c r="BE1717" s="31"/>
      <c r="BF1717" s="96"/>
      <c r="BG1717" s="52"/>
      <c r="BH1717" s="52"/>
      <c r="BI1717" s="52"/>
      <c r="BJ1717" s="52"/>
      <c r="BK1717" s="52"/>
      <c r="BL1717" s="52"/>
      <c r="BM1717" s="52"/>
      <c r="BN1717" s="53"/>
      <c r="BO1717" s="52"/>
      <c r="BP1717" s="52"/>
      <c r="BQ1717" s="54"/>
    </row>
    <row r="1718" spans="1:69" ht="16" x14ac:dyDescent="0.35">
      <c r="A1718"/>
      <c r="D1718"/>
      <c r="G1718"/>
      <c r="H1718" s="20"/>
      <c r="I1718" s="20"/>
      <c r="J1718" s="20"/>
      <c r="K1718" s="20"/>
      <c r="L1718" s="20"/>
      <c r="Q1718" s="83"/>
      <c r="Y1718" s="20"/>
      <c r="AP1718" s="92"/>
      <c r="AQ1718" s="67"/>
      <c r="AR1718" s="67"/>
      <c r="AS1718" s="73"/>
      <c r="AT1718" s="67"/>
      <c r="AU1718" s="67"/>
      <c r="AV1718" s="73"/>
      <c r="AW1718" s="68"/>
      <c r="AX1718" s="68"/>
      <c r="AY1718" s="68"/>
      <c r="AZ1718" s="68"/>
      <c r="BA1718" s="68"/>
      <c r="BB1718" s="67"/>
      <c r="BC1718" s="67"/>
      <c r="BD1718" s="67"/>
      <c r="BE1718" s="67"/>
      <c r="BF1718" s="95"/>
      <c r="BG1718" s="48"/>
      <c r="BH1718" s="48"/>
      <c r="BI1718" s="48"/>
      <c r="BJ1718" s="48"/>
      <c r="BK1718" s="48"/>
      <c r="BL1718" s="48"/>
      <c r="BM1718" s="48"/>
      <c r="BN1718" s="49"/>
      <c r="BO1718" s="48"/>
      <c r="BP1718" s="48"/>
      <c r="BQ1718" s="50"/>
    </row>
    <row r="1719" spans="1:69" ht="16" x14ac:dyDescent="0.35">
      <c r="A1719"/>
      <c r="D1719"/>
      <c r="G1719"/>
      <c r="H1719" s="20"/>
      <c r="I1719" s="20"/>
      <c r="J1719" s="20"/>
      <c r="K1719" s="20"/>
      <c r="L1719" s="20"/>
      <c r="Q1719" s="83"/>
      <c r="Y1719" s="20"/>
      <c r="AP1719" s="93"/>
      <c r="AQ1719" s="31"/>
      <c r="AR1719" s="31"/>
      <c r="AS1719" s="94"/>
      <c r="AT1719" s="31"/>
      <c r="AU1719" s="31"/>
      <c r="AV1719" s="94"/>
      <c r="AW1719" s="32"/>
      <c r="AX1719" s="32"/>
      <c r="AY1719" s="32"/>
      <c r="AZ1719" s="32"/>
      <c r="BA1719" s="32"/>
      <c r="BB1719" s="31"/>
      <c r="BC1719" s="31"/>
      <c r="BD1719" s="31"/>
      <c r="BE1719" s="31"/>
      <c r="BF1719" s="96"/>
      <c r="BG1719" s="52"/>
      <c r="BH1719" s="52"/>
      <c r="BI1719" s="52"/>
      <c r="BJ1719" s="52"/>
      <c r="BK1719" s="52"/>
      <c r="BL1719" s="52"/>
      <c r="BM1719" s="52"/>
      <c r="BN1719" s="53"/>
      <c r="BO1719" s="52"/>
      <c r="BP1719" s="52"/>
      <c r="BQ1719" s="54"/>
    </row>
    <row r="1720" spans="1:69" ht="16" x14ac:dyDescent="0.35">
      <c r="A1720"/>
      <c r="D1720"/>
      <c r="G1720"/>
      <c r="H1720" s="20"/>
      <c r="I1720" s="20"/>
      <c r="J1720" s="20"/>
      <c r="K1720" s="20"/>
      <c r="L1720" s="20"/>
      <c r="Q1720" s="83"/>
      <c r="Y1720" s="20"/>
      <c r="AP1720" s="92"/>
      <c r="AQ1720" s="67"/>
      <c r="AR1720" s="67"/>
      <c r="AS1720" s="73"/>
      <c r="AT1720" s="67"/>
      <c r="AU1720" s="67"/>
      <c r="AV1720" s="73"/>
      <c r="AW1720" s="68"/>
      <c r="AX1720" s="68"/>
      <c r="AY1720" s="68"/>
      <c r="AZ1720" s="68"/>
      <c r="BA1720" s="68"/>
      <c r="BB1720" s="67"/>
      <c r="BC1720" s="67"/>
      <c r="BD1720" s="67"/>
      <c r="BE1720" s="67"/>
      <c r="BF1720" s="95"/>
      <c r="BG1720" s="48"/>
      <c r="BH1720" s="48"/>
      <c r="BI1720" s="48"/>
      <c r="BJ1720" s="48"/>
      <c r="BK1720" s="48"/>
      <c r="BL1720" s="48"/>
      <c r="BM1720" s="48"/>
      <c r="BN1720" s="49"/>
      <c r="BO1720" s="48"/>
      <c r="BP1720" s="48"/>
      <c r="BQ1720" s="50"/>
    </row>
    <row r="1721" spans="1:69" ht="16" x14ac:dyDescent="0.35">
      <c r="A1721"/>
      <c r="D1721"/>
      <c r="G1721"/>
      <c r="H1721" s="20"/>
      <c r="I1721" s="20"/>
      <c r="J1721" s="20"/>
      <c r="K1721" s="20"/>
      <c r="L1721" s="20"/>
      <c r="Q1721" s="83"/>
      <c r="Y1721" s="20"/>
      <c r="AP1721" s="93"/>
      <c r="AQ1721" s="31"/>
      <c r="AR1721" s="31"/>
      <c r="AS1721" s="94"/>
      <c r="AT1721" s="31"/>
      <c r="AU1721" s="31"/>
      <c r="AV1721" s="94"/>
      <c r="AW1721" s="32"/>
      <c r="AX1721" s="32"/>
      <c r="AY1721" s="32"/>
      <c r="AZ1721" s="32"/>
      <c r="BA1721" s="32"/>
      <c r="BB1721" s="31"/>
      <c r="BC1721" s="31"/>
      <c r="BD1721" s="31"/>
      <c r="BE1721" s="31"/>
      <c r="BF1721" s="96"/>
      <c r="BG1721" s="52"/>
      <c r="BH1721" s="52"/>
      <c r="BI1721" s="52"/>
      <c r="BJ1721" s="52"/>
      <c r="BK1721" s="52"/>
      <c r="BL1721" s="52"/>
      <c r="BM1721" s="52"/>
      <c r="BN1721" s="53"/>
      <c r="BO1721" s="52"/>
      <c r="BP1721" s="52"/>
      <c r="BQ1721" s="54"/>
    </row>
    <row r="1722" spans="1:69" ht="16" x14ac:dyDescent="0.35">
      <c r="A1722"/>
      <c r="D1722"/>
      <c r="G1722"/>
      <c r="H1722" s="20"/>
      <c r="I1722" s="20"/>
      <c r="J1722" s="20"/>
      <c r="K1722" s="20"/>
      <c r="L1722" s="20"/>
      <c r="Q1722" s="83"/>
      <c r="Y1722" s="20"/>
      <c r="AP1722" s="92"/>
      <c r="AQ1722" s="67"/>
      <c r="AR1722" s="67"/>
      <c r="AS1722" s="73"/>
      <c r="AT1722" s="67"/>
      <c r="AU1722" s="67"/>
      <c r="AV1722" s="73"/>
      <c r="AW1722" s="68"/>
      <c r="AX1722" s="68"/>
      <c r="AY1722" s="68"/>
      <c r="AZ1722" s="68"/>
      <c r="BA1722" s="68"/>
      <c r="BB1722" s="67"/>
      <c r="BC1722" s="67"/>
      <c r="BD1722" s="67"/>
      <c r="BE1722" s="67"/>
      <c r="BF1722" s="95"/>
      <c r="BG1722" s="48"/>
      <c r="BH1722" s="48"/>
      <c r="BI1722" s="48"/>
      <c r="BJ1722" s="48"/>
      <c r="BK1722" s="48"/>
      <c r="BL1722" s="48"/>
      <c r="BM1722" s="48"/>
      <c r="BN1722" s="49"/>
      <c r="BO1722" s="48"/>
      <c r="BP1722" s="48"/>
      <c r="BQ1722" s="50"/>
    </row>
    <row r="1723" spans="1:69" ht="16" x14ac:dyDescent="0.35">
      <c r="A1723"/>
      <c r="D1723"/>
      <c r="G1723"/>
      <c r="H1723" s="20"/>
      <c r="I1723" s="20"/>
      <c r="J1723" s="20"/>
      <c r="K1723" s="20"/>
      <c r="L1723" s="20"/>
      <c r="Q1723" s="83"/>
      <c r="Y1723" s="20"/>
      <c r="AP1723" s="93"/>
      <c r="AQ1723" s="31"/>
      <c r="AR1723" s="31"/>
      <c r="AS1723" s="94"/>
      <c r="AT1723" s="31"/>
      <c r="AU1723" s="31"/>
      <c r="AV1723" s="94"/>
      <c r="AW1723" s="32"/>
      <c r="AX1723" s="32"/>
      <c r="AY1723" s="32"/>
      <c r="AZ1723" s="32"/>
      <c r="BA1723" s="32"/>
      <c r="BB1723" s="31"/>
      <c r="BC1723" s="31"/>
      <c r="BD1723" s="31"/>
      <c r="BE1723" s="31"/>
      <c r="BF1723" s="96"/>
      <c r="BG1723" s="52"/>
      <c r="BH1723" s="52"/>
      <c r="BI1723" s="52"/>
      <c r="BJ1723" s="52"/>
      <c r="BK1723" s="52"/>
      <c r="BL1723" s="52"/>
      <c r="BM1723" s="52"/>
      <c r="BN1723" s="53"/>
      <c r="BO1723" s="52"/>
      <c r="BP1723" s="52"/>
      <c r="BQ1723" s="54"/>
    </row>
    <row r="1724" spans="1:69" ht="16" x14ac:dyDescent="0.35">
      <c r="A1724"/>
      <c r="D1724"/>
      <c r="G1724"/>
      <c r="H1724" s="20"/>
      <c r="I1724" s="20"/>
      <c r="J1724" s="20"/>
      <c r="K1724" s="20"/>
      <c r="L1724" s="20"/>
      <c r="Q1724" s="83"/>
      <c r="Y1724" s="20"/>
      <c r="AP1724" s="92"/>
      <c r="AQ1724" s="67"/>
      <c r="AR1724" s="67"/>
      <c r="AS1724" s="73"/>
      <c r="AT1724" s="67"/>
      <c r="AU1724" s="67"/>
      <c r="AV1724" s="73"/>
      <c r="AW1724" s="68"/>
      <c r="AX1724" s="68"/>
      <c r="AY1724" s="68"/>
      <c r="AZ1724" s="68"/>
      <c r="BA1724" s="68"/>
      <c r="BB1724" s="67"/>
      <c r="BC1724" s="67"/>
      <c r="BD1724" s="67"/>
      <c r="BE1724" s="67"/>
      <c r="BF1724" s="95"/>
      <c r="BG1724" s="48"/>
      <c r="BH1724" s="48"/>
      <c r="BI1724" s="48"/>
      <c r="BJ1724" s="48"/>
      <c r="BK1724" s="48"/>
      <c r="BL1724" s="48"/>
      <c r="BM1724" s="48"/>
      <c r="BN1724" s="49"/>
      <c r="BO1724" s="48"/>
      <c r="BP1724" s="48"/>
      <c r="BQ1724" s="50"/>
    </row>
    <row r="1725" spans="1:69" ht="16" x14ac:dyDescent="0.35">
      <c r="A1725"/>
      <c r="D1725"/>
      <c r="G1725"/>
      <c r="H1725" s="20"/>
      <c r="I1725" s="20"/>
      <c r="J1725" s="20"/>
      <c r="K1725" s="20"/>
      <c r="L1725" s="20"/>
      <c r="Q1725" s="83"/>
      <c r="Y1725" s="20"/>
      <c r="AP1725" s="93"/>
      <c r="AQ1725" s="31"/>
      <c r="AR1725" s="31"/>
      <c r="AS1725" s="94"/>
      <c r="AT1725" s="31"/>
      <c r="AU1725" s="31"/>
      <c r="AV1725" s="94"/>
      <c r="AW1725" s="32"/>
      <c r="AX1725" s="32"/>
      <c r="AY1725" s="32"/>
      <c r="AZ1725" s="32"/>
      <c r="BA1725" s="32"/>
      <c r="BB1725" s="31"/>
      <c r="BC1725" s="31"/>
      <c r="BD1725" s="31"/>
      <c r="BE1725" s="31"/>
      <c r="BF1725" s="96"/>
      <c r="BG1725" s="52"/>
      <c r="BH1725" s="52"/>
      <c r="BI1725" s="52"/>
      <c r="BJ1725" s="52"/>
      <c r="BK1725" s="52"/>
      <c r="BL1725" s="52"/>
      <c r="BM1725" s="52"/>
      <c r="BN1725" s="53"/>
      <c r="BO1725" s="52"/>
      <c r="BP1725" s="52"/>
      <c r="BQ1725" s="54"/>
    </row>
    <row r="1726" spans="1:69" ht="16" x14ac:dyDescent="0.35">
      <c r="A1726"/>
      <c r="D1726"/>
      <c r="G1726"/>
      <c r="H1726" s="20"/>
      <c r="I1726" s="20"/>
      <c r="J1726" s="20"/>
      <c r="K1726" s="20"/>
      <c r="L1726" s="20"/>
      <c r="Q1726" s="83"/>
      <c r="Y1726" s="20"/>
      <c r="AP1726" s="92"/>
      <c r="AQ1726" s="67"/>
      <c r="AR1726" s="67"/>
      <c r="AS1726" s="73"/>
      <c r="AT1726" s="67"/>
      <c r="AU1726" s="67"/>
      <c r="AV1726" s="73"/>
      <c r="AW1726" s="68"/>
      <c r="AX1726" s="68"/>
      <c r="AY1726" s="68"/>
      <c r="AZ1726" s="68"/>
      <c r="BA1726" s="68"/>
      <c r="BB1726" s="67"/>
      <c r="BC1726" s="67"/>
      <c r="BD1726" s="67"/>
      <c r="BE1726" s="67"/>
      <c r="BF1726" s="95"/>
      <c r="BG1726" s="48"/>
      <c r="BH1726" s="48"/>
      <c r="BI1726" s="48"/>
      <c r="BJ1726" s="48"/>
      <c r="BK1726" s="48"/>
      <c r="BL1726" s="48"/>
      <c r="BM1726" s="48"/>
      <c r="BN1726" s="49"/>
      <c r="BO1726" s="48"/>
      <c r="BP1726" s="48"/>
      <c r="BQ1726" s="50"/>
    </row>
    <row r="1727" spans="1:69" ht="16" x14ac:dyDescent="0.35">
      <c r="A1727"/>
      <c r="D1727"/>
      <c r="G1727"/>
      <c r="H1727" s="20"/>
      <c r="I1727" s="20"/>
      <c r="J1727" s="20"/>
      <c r="K1727" s="20"/>
      <c r="L1727" s="20"/>
      <c r="Q1727" s="83"/>
      <c r="Y1727" s="20"/>
      <c r="AP1727" s="93"/>
      <c r="AQ1727" s="31"/>
      <c r="AR1727" s="31"/>
      <c r="AS1727" s="94"/>
      <c r="AT1727" s="31"/>
      <c r="AU1727" s="31"/>
      <c r="AV1727" s="94"/>
      <c r="AW1727" s="32"/>
      <c r="AX1727" s="32"/>
      <c r="AY1727" s="32"/>
      <c r="AZ1727" s="32"/>
      <c r="BA1727" s="32"/>
      <c r="BB1727" s="31"/>
      <c r="BC1727" s="31"/>
      <c r="BD1727" s="31"/>
      <c r="BE1727" s="31"/>
      <c r="BF1727" s="96"/>
      <c r="BG1727" s="52"/>
      <c r="BH1727" s="52"/>
      <c r="BI1727" s="52"/>
      <c r="BJ1727" s="52"/>
      <c r="BK1727" s="52"/>
      <c r="BL1727" s="52"/>
      <c r="BM1727" s="52"/>
      <c r="BN1727" s="53"/>
      <c r="BO1727" s="52"/>
      <c r="BP1727" s="52"/>
      <c r="BQ1727" s="54"/>
    </row>
    <row r="1728" spans="1:69" ht="16" x14ac:dyDescent="0.35">
      <c r="A1728"/>
      <c r="D1728"/>
      <c r="G1728"/>
      <c r="H1728" s="20"/>
      <c r="I1728" s="20"/>
      <c r="J1728" s="20"/>
      <c r="K1728" s="20"/>
      <c r="L1728" s="20"/>
      <c r="Q1728" s="83"/>
      <c r="Y1728" s="20"/>
      <c r="AP1728" s="92"/>
      <c r="AQ1728" s="67"/>
      <c r="AR1728" s="67"/>
      <c r="AS1728" s="73"/>
      <c r="AT1728" s="67"/>
      <c r="AU1728" s="67"/>
      <c r="AV1728" s="73"/>
      <c r="AW1728" s="68"/>
      <c r="AX1728" s="68"/>
      <c r="AY1728" s="68"/>
      <c r="AZ1728" s="68"/>
      <c r="BA1728" s="68"/>
      <c r="BB1728" s="67"/>
      <c r="BC1728" s="67"/>
      <c r="BD1728" s="67"/>
      <c r="BE1728" s="67"/>
      <c r="BF1728" s="95"/>
      <c r="BG1728" s="48"/>
      <c r="BH1728" s="48"/>
      <c r="BI1728" s="48"/>
      <c r="BJ1728" s="48"/>
      <c r="BK1728" s="48"/>
      <c r="BL1728" s="48"/>
      <c r="BM1728" s="48"/>
      <c r="BN1728" s="49"/>
      <c r="BO1728" s="48"/>
      <c r="BP1728" s="48"/>
      <c r="BQ1728" s="50"/>
    </row>
    <row r="1729" spans="1:69" ht="16" x14ac:dyDescent="0.35">
      <c r="A1729"/>
      <c r="D1729"/>
      <c r="G1729"/>
      <c r="H1729" s="20"/>
      <c r="I1729" s="20"/>
      <c r="J1729" s="20"/>
      <c r="K1729" s="20"/>
      <c r="L1729" s="20"/>
      <c r="Q1729" s="83"/>
      <c r="Y1729" s="20"/>
      <c r="AP1729" s="93"/>
      <c r="AQ1729" s="31"/>
      <c r="AR1729" s="31"/>
      <c r="AS1729" s="94"/>
      <c r="AT1729" s="31"/>
      <c r="AU1729" s="31"/>
      <c r="AV1729" s="94"/>
      <c r="AW1729" s="32"/>
      <c r="AX1729" s="32"/>
      <c r="AY1729" s="32"/>
      <c r="AZ1729" s="32"/>
      <c r="BA1729" s="32"/>
      <c r="BB1729" s="31"/>
      <c r="BC1729" s="31"/>
      <c r="BD1729" s="31"/>
      <c r="BE1729" s="31"/>
      <c r="BF1729" s="96"/>
      <c r="BG1729" s="52"/>
      <c r="BH1729" s="52"/>
      <c r="BI1729" s="52"/>
      <c r="BJ1729" s="52"/>
      <c r="BK1729" s="52"/>
      <c r="BL1729" s="52"/>
      <c r="BM1729" s="52"/>
      <c r="BN1729" s="53"/>
      <c r="BO1729" s="52"/>
      <c r="BP1729" s="52"/>
      <c r="BQ1729" s="54"/>
    </row>
    <row r="1730" spans="1:69" ht="16" x14ac:dyDescent="0.35">
      <c r="A1730"/>
      <c r="D1730"/>
      <c r="G1730"/>
      <c r="H1730" s="20"/>
      <c r="I1730" s="20"/>
      <c r="J1730" s="20"/>
      <c r="K1730" s="20"/>
      <c r="L1730" s="20"/>
      <c r="Q1730" s="83"/>
      <c r="Y1730" s="20"/>
      <c r="AP1730" s="92"/>
      <c r="AQ1730" s="67"/>
      <c r="AR1730" s="67"/>
      <c r="AS1730" s="73"/>
      <c r="AT1730" s="67"/>
      <c r="AU1730" s="67"/>
      <c r="AV1730" s="73"/>
      <c r="AW1730" s="68"/>
      <c r="AX1730" s="68"/>
      <c r="AY1730" s="68"/>
      <c r="AZ1730" s="68"/>
      <c r="BA1730" s="68"/>
      <c r="BB1730" s="67"/>
      <c r="BC1730" s="67"/>
      <c r="BD1730" s="67"/>
      <c r="BE1730" s="67"/>
      <c r="BF1730" s="95"/>
      <c r="BG1730" s="48"/>
      <c r="BH1730" s="48"/>
      <c r="BI1730" s="48"/>
      <c r="BJ1730" s="48"/>
      <c r="BK1730" s="48"/>
      <c r="BL1730" s="48"/>
      <c r="BM1730" s="48"/>
      <c r="BN1730" s="49"/>
      <c r="BO1730" s="48"/>
      <c r="BP1730" s="48"/>
      <c r="BQ1730" s="50"/>
    </row>
    <row r="1731" spans="1:69" ht="16" x14ac:dyDescent="0.35">
      <c r="A1731"/>
      <c r="D1731"/>
      <c r="G1731"/>
      <c r="H1731" s="20"/>
      <c r="I1731" s="20"/>
      <c r="J1731" s="20"/>
      <c r="K1731" s="20"/>
      <c r="L1731" s="20"/>
      <c r="Q1731" s="83"/>
      <c r="Y1731" s="20"/>
      <c r="AP1731" s="93"/>
      <c r="AQ1731" s="31"/>
      <c r="AR1731" s="31"/>
      <c r="AS1731" s="94"/>
      <c r="AT1731" s="31"/>
      <c r="AU1731" s="31"/>
      <c r="AV1731" s="94"/>
      <c r="AW1731" s="32"/>
      <c r="AX1731" s="32"/>
      <c r="AY1731" s="32"/>
      <c r="AZ1731" s="32"/>
      <c r="BA1731" s="32"/>
      <c r="BB1731" s="31"/>
      <c r="BC1731" s="31"/>
      <c r="BD1731" s="31"/>
      <c r="BE1731" s="31"/>
      <c r="BF1731" s="96"/>
      <c r="BG1731" s="52"/>
      <c r="BH1731" s="52"/>
      <c r="BI1731" s="52"/>
      <c r="BJ1731" s="52"/>
      <c r="BK1731" s="52"/>
      <c r="BL1731" s="52"/>
      <c r="BM1731" s="52"/>
      <c r="BN1731" s="53"/>
      <c r="BO1731" s="52"/>
      <c r="BP1731" s="52"/>
      <c r="BQ1731" s="54"/>
    </row>
    <row r="1732" spans="1:69" ht="16" x14ac:dyDescent="0.35">
      <c r="A1732"/>
      <c r="D1732"/>
      <c r="G1732"/>
      <c r="H1732" s="20"/>
      <c r="I1732" s="20"/>
      <c r="J1732" s="20"/>
      <c r="K1732" s="20"/>
      <c r="L1732" s="20"/>
      <c r="Q1732" s="83"/>
      <c r="Y1732" s="20"/>
      <c r="AP1732" s="92"/>
      <c r="AQ1732" s="67"/>
      <c r="AR1732" s="67"/>
      <c r="AS1732" s="73"/>
      <c r="AT1732" s="67"/>
      <c r="AU1732" s="67"/>
      <c r="AV1732" s="73"/>
      <c r="AW1732" s="68"/>
      <c r="AX1732" s="68"/>
      <c r="AY1732" s="68"/>
      <c r="AZ1732" s="68"/>
      <c r="BA1732" s="68"/>
      <c r="BB1732" s="67"/>
      <c r="BC1732" s="67"/>
      <c r="BD1732" s="67"/>
      <c r="BE1732" s="67"/>
      <c r="BF1732" s="95"/>
      <c r="BG1732" s="48"/>
      <c r="BH1732" s="48"/>
      <c r="BI1732" s="48"/>
      <c r="BJ1732" s="48"/>
      <c r="BK1732" s="48"/>
      <c r="BL1732" s="48"/>
      <c r="BM1732" s="48"/>
      <c r="BN1732" s="49"/>
      <c r="BO1732" s="48"/>
      <c r="BP1732" s="48"/>
      <c r="BQ1732" s="50"/>
    </row>
    <row r="1733" spans="1:69" ht="16" x14ac:dyDescent="0.35">
      <c r="A1733"/>
      <c r="D1733"/>
      <c r="G1733"/>
      <c r="H1733" s="20"/>
      <c r="I1733" s="20"/>
      <c r="J1733" s="20"/>
      <c r="K1733" s="20"/>
      <c r="L1733" s="20"/>
      <c r="Q1733" s="83"/>
      <c r="Y1733" s="20"/>
      <c r="AP1733" s="93"/>
      <c r="AQ1733" s="31"/>
      <c r="AR1733" s="31"/>
      <c r="AS1733" s="94"/>
      <c r="AT1733" s="31"/>
      <c r="AU1733" s="31"/>
      <c r="AV1733" s="94"/>
      <c r="AW1733" s="32"/>
      <c r="AX1733" s="32"/>
      <c r="AY1733" s="32"/>
      <c r="AZ1733" s="32"/>
      <c r="BA1733" s="32"/>
      <c r="BB1733" s="31"/>
      <c r="BC1733" s="31"/>
      <c r="BD1733" s="31"/>
      <c r="BE1733" s="31"/>
      <c r="BF1733" s="96"/>
      <c r="BG1733" s="52"/>
      <c r="BH1733" s="52"/>
      <c r="BI1733" s="52"/>
      <c r="BJ1733" s="52"/>
      <c r="BK1733" s="52"/>
      <c r="BL1733" s="52"/>
      <c r="BM1733" s="52"/>
      <c r="BN1733" s="53"/>
      <c r="BO1733" s="52"/>
      <c r="BP1733" s="52"/>
      <c r="BQ1733" s="54"/>
    </row>
    <row r="1734" spans="1:69" ht="16" x14ac:dyDescent="0.35">
      <c r="A1734"/>
      <c r="D1734"/>
      <c r="G1734"/>
      <c r="H1734" s="20"/>
      <c r="I1734" s="20"/>
      <c r="J1734" s="20"/>
      <c r="K1734" s="20"/>
      <c r="L1734" s="20"/>
      <c r="Q1734" s="83"/>
      <c r="Y1734" s="20"/>
      <c r="AP1734" s="92"/>
      <c r="AQ1734" s="67"/>
      <c r="AR1734" s="67"/>
      <c r="AS1734" s="73"/>
      <c r="AT1734" s="67"/>
      <c r="AU1734" s="67"/>
      <c r="AV1734" s="73"/>
      <c r="AW1734" s="68"/>
      <c r="AX1734" s="68"/>
      <c r="AY1734" s="68"/>
      <c r="AZ1734" s="68"/>
      <c r="BA1734" s="68"/>
      <c r="BB1734" s="67"/>
      <c r="BC1734" s="67"/>
      <c r="BD1734" s="67"/>
      <c r="BE1734" s="67"/>
      <c r="BF1734" s="95"/>
      <c r="BG1734" s="48"/>
      <c r="BH1734" s="48"/>
      <c r="BI1734" s="48"/>
      <c r="BJ1734" s="48"/>
      <c r="BK1734" s="48"/>
      <c r="BL1734" s="48"/>
      <c r="BM1734" s="48"/>
      <c r="BN1734" s="49"/>
      <c r="BO1734" s="48"/>
      <c r="BP1734" s="48"/>
      <c r="BQ1734" s="50"/>
    </row>
    <row r="1735" spans="1:69" ht="16" x14ac:dyDescent="0.35">
      <c r="A1735"/>
      <c r="D1735"/>
      <c r="G1735"/>
      <c r="H1735" s="20"/>
      <c r="I1735" s="20"/>
      <c r="J1735" s="20"/>
      <c r="K1735" s="20"/>
      <c r="L1735" s="20"/>
      <c r="Q1735" s="83"/>
      <c r="Y1735" s="20"/>
      <c r="AP1735" s="93"/>
      <c r="AQ1735" s="31"/>
      <c r="AR1735" s="31"/>
      <c r="AS1735" s="94"/>
      <c r="AT1735" s="31"/>
      <c r="AU1735" s="31"/>
      <c r="AV1735" s="94"/>
      <c r="AW1735" s="32"/>
      <c r="AX1735" s="32"/>
      <c r="AY1735" s="32"/>
      <c r="AZ1735" s="32"/>
      <c r="BA1735" s="32"/>
      <c r="BB1735" s="31"/>
      <c r="BC1735" s="31"/>
      <c r="BD1735" s="31"/>
      <c r="BE1735" s="31"/>
      <c r="BF1735" s="96"/>
      <c r="BG1735" s="52"/>
      <c r="BH1735" s="52"/>
      <c r="BI1735" s="52"/>
      <c r="BJ1735" s="52"/>
      <c r="BK1735" s="52"/>
      <c r="BL1735" s="52"/>
      <c r="BM1735" s="52"/>
      <c r="BN1735" s="53"/>
      <c r="BO1735" s="52"/>
      <c r="BP1735" s="52"/>
      <c r="BQ1735" s="54"/>
    </row>
    <row r="1736" spans="1:69" ht="16" x14ac:dyDescent="0.35">
      <c r="A1736"/>
      <c r="D1736"/>
      <c r="G1736"/>
      <c r="H1736" s="20"/>
      <c r="I1736" s="20"/>
      <c r="J1736" s="20"/>
      <c r="K1736" s="20"/>
      <c r="L1736" s="20"/>
      <c r="Q1736" s="83"/>
      <c r="Y1736" s="20"/>
      <c r="AP1736" s="92"/>
      <c r="AQ1736" s="67"/>
      <c r="AR1736" s="67"/>
      <c r="AS1736" s="73"/>
      <c r="AT1736" s="67"/>
      <c r="AU1736" s="67"/>
      <c r="AV1736" s="73"/>
      <c r="AW1736" s="68"/>
      <c r="AX1736" s="68"/>
      <c r="AY1736" s="68"/>
      <c r="AZ1736" s="68"/>
      <c r="BA1736" s="68"/>
      <c r="BB1736" s="67"/>
      <c r="BC1736" s="67"/>
      <c r="BD1736" s="67"/>
      <c r="BE1736" s="67"/>
      <c r="BF1736" s="95"/>
      <c r="BG1736" s="48"/>
      <c r="BH1736" s="48"/>
      <c r="BI1736" s="48"/>
      <c r="BJ1736" s="48"/>
      <c r="BK1736" s="48"/>
      <c r="BL1736" s="48"/>
      <c r="BM1736" s="48"/>
      <c r="BN1736" s="49"/>
      <c r="BO1736" s="48"/>
      <c r="BP1736" s="48"/>
      <c r="BQ1736" s="50"/>
    </row>
    <row r="1737" spans="1:69" ht="16" x14ac:dyDescent="0.35">
      <c r="A1737"/>
      <c r="D1737"/>
      <c r="G1737"/>
      <c r="H1737" s="20"/>
      <c r="I1737" s="20"/>
      <c r="J1737" s="20"/>
      <c r="K1737" s="20"/>
      <c r="L1737" s="20"/>
      <c r="Q1737" s="83"/>
      <c r="Y1737" s="20"/>
      <c r="AP1737" s="93"/>
      <c r="AQ1737" s="31"/>
      <c r="AR1737" s="31"/>
      <c r="AS1737" s="94"/>
      <c r="AT1737" s="31"/>
      <c r="AU1737" s="31"/>
      <c r="AV1737" s="94"/>
      <c r="AW1737" s="32"/>
      <c r="AX1737" s="32"/>
      <c r="AY1737" s="32"/>
      <c r="AZ1737" s="32"/>
      <c r="BA1737" s="32"/>
      <c r="BB1737" s="31"/>
      <c r="BC1737" s="31"/>
      <c r="BD1737" s="31"/>
      <c r="BE1737" s="31"/>
      <c r="BF1737" s="96"/>
      <c r="BG1737" s="52"/>
      <c r="BH1737" s="52"/>
      <c r="BI1737" s="52"/>
      <c r="BJ1737" s="52"/>
      <c r="BK1737" s="52"/>
      <c r="BL1737" s="52"/>
      <c r="BM1737" s="52"/>
      <c r="BN1737" s="53"/>
      <c r="BO1737" s="52"/>
      <c r="BP1737" s="52"/>
      <c r="BQ1737" s="54"/>
    </row>
    <row r="1738" spans="1:69" ht="16" x14ac:dyDescent="0.35">
      <c r="A1738"/>
      <c r="D1738"/>
      <c r="G1738"/>
      <c r="H1738" s="20"/>
      <c r="I1738" s="20"/>
      <c r="J1738" s="20"/>
      <c r="K1738" s="20"/>
      <c r="L1738" s="20"/>
      <c r="Q1738" s="83"/>
      <c r="Y1738" s="20"/>
      <c r="AP1738" s="92"/>
      <c r="AQ1738" s="67"/>
      <c r="AR1738" s="67"/>
      <c r="AS1738" s="73"/>
      <c r="AT1738" s="67"/>
      <c r="AU1738" s="67"/>
      <c r="AV1738" s="73"/>
      <c r="AW1738" s="68"/>
      <c r="AX1738" s="68"/>
      <c r="AY1738" s="68"/>
      <c r="AZ1738" s="68"/>
      <c r="BA1738" s="68"/>
      <c r="BB1738" s="67"/>
      <c r="BC1738" s="67"/>
      <c r="BD1738" s="67"/>
      <c r="BE1738" s="67"/>
      <c r="BF1738" s="95"/>
      <c r="BG1738" s="48"/>
      <c r="BH1738" s="48"/>
      <c r="BI1738" s="48"/>
      <c r="BJ1738" s="48"/>
      <c r="BK1738" s="48"/>
      <c r="BL1738" s="48"/>
      <c r="BM1738" s="48"/>
      <c r="BN1738" s="49"/>
      <c r="BO1738" s="48"/>
      <c r="BP1738" s="48"/>
      <c r="BQ1738" s="50"/>
    </row>
    <row r="1739" spans="1:69" ht="16" x14ac:dyDescent="0.35">
      <c r="A1739"/>
      <c r="D1739"/>
      <c r="G1739"/>
      <c r="H1739" s="20"/>
      <c r="I1739" s="20"/>
      <c r="J1739" s="20"/>
      <c r="K1739" s="20"/>
      <c r="L1739" s="20"/>
      <c r="Q1739" s="83"/>
      <c r="Y1739" s="20"/>
      <c r="AP1739" s="93"/>
      <c r="AQ1739" s="31"/>
      <c r="AR1739" s="31"/>
      <c r="AS1739" s="94"/>
      <c r="AT1739" s="31"/>
      <c r="AU1739" s="31"/>
      <c r="AV1739" s="94"/>
      <c r="AW1739" s="32"/>
      <c r="AX1739" s="32"/>
      <c r="AY1739" s="32"/>
      <c r="AZ1739" s="32"/>
      <c r="BA1739" s="32"/>
      <c r="BB1739" s="31"/>
      <c r="BC1739" s="31"/>
      <c r="BD1739" s="31"/>
      <c r="BE1739" s="31"/>
      <c r="BF1739" s="96"/>
      <c r="BG1739" s="52"/>
      <c r="BH1739" s="52"/>
      <c r="BI1739" s="52"/>
      <c r="BJ1739" s="52"/>
      <c r="BK1739" s="52"/>
      <c r="BL1739" s="52"/>
      <c r="BM1739" s="52"/>
      <c r="BN1739" s="53"/>
      <c r="BO1739" s="52"/>
      <c r="BP1739" s="52"/>
      <c r="BQ1739" s="54"/>
    </row>
    <row r="1740" spans="1:69" ht="16" x14ac:dyDescent="0.35">
      <c r="A1740"/>
      <c r="D1740"/>
      <c r="G1740"/>
      <c r="H1740" s="20"/>
      <c r="I1740" s="20"/>
      <c r="J1740" s="20"/>
      <c r="K1740" s="20"/>
      <c r="L1740" s="20"/>
      <c r="Q1740" s="83"/>
      <c r="Y1740" s="20"/>
      <c r="AP1740" s="92"/>
      <c r="AQ1740" s="67"/>
      <c r="AR1740" s="67"/>
      <c r="AS1740" s="73"/>
      <c r="AT1740" s="67"/>
      <c r="AU1740" s="67"/>
      <c r="AV1740" s="73"/>
      <c r="AW1740" s="68"/>
      <c r="AX1740" s="68"/>
      <c r="AY1740" s="68"/>
      <c r="AZ1740" s="68"/>
      <c r="BA1740" s="68"/>
      <c r="BB1740" s="67"/>
      <c r="BC1740" s="67"/>
      <c r="BD1740" s="67"/>
      <c r="BE1740" s="67"/>
      <c r="BF1740" s="95"/>
      <c r="BG1740" s="48"/>
      <c r="BH1740" s="48"/>
      <c r="BI1740" s="48"/>
      <c r="BJ1740" s="48"/>
      <c r="BK1740" s="48"/>
      <c r="BL1740" s="48"/>
      <c r="BM1740" s="48"/>
      <c r="BN1740" s="49"/>
      <c r="BO1740" s="48"/>
      <c r="BP1740" s="48"/>
      <c r="BQ1740" s="50"/>
    </row>
    <row r="1741" spans="1:69" ht="16" x14ac:dyDescent="0.35">
      <c r="A1741"/>
      <c r="D1741"/>
      <c r="G1741"/>
      <c r="H1741" s="20"/>
      <c r="I1741" s="20"/>
      <c r="J1741" s="20"/>
      <c r="K1741" s="20"/>
      <c r="L1741" s="20"/>
      <c r="Q1741" s="83"/>
      <c r="Y1741" s="20"/>
      <c r="AP1741" s="93"/>
      <c r="AQ1741" s="31"/>
      <c r="AR1741" s="31"/>
      <c r="AS1741" s="94"/>
      <c r="AT1741" s="31"/>
      <c r="AU1741" s="31"/>
      <c r="AV1741" s="94"/>
      <c r="AW1741" s="32"/>
      <c r="AX1741" s="32"/>
      <c r="AY1741" s="32"/>
      <c r="AZ1741" s="32"/>
      <c r="BA1741" s="32"/>
      <c r="BB1741" s="31"/>
      <c r="BC1741" s="31"/>
      <c r="BD1741" s="31"/>
      <c r="BE1741" s="31"/>
      <c r="BF1741" s="96"/>
      <c r="BG1741" s="52"/>
      <c r="BH1741" s="52"/>
      <c r="BI1741" s="52"/>
      <c r="BJ1741" s="52"/>
      <c r="BK1741" s="52"/>
      <c r="BL1741" s="52"/>
      <c r="BM1741" s="52"/>
      <c r="BN1741" s="53"/>
      <c r="BO1741" s="52"/>
      <c r="BP1741" s="52"/>
      <c r="BQ1741" s="54"/>
    </row>
    <row r="1742" spans="1:69" ht="16" x14ac:dyDescent="0.35">
      <c r="A1742"/>
      <c r="D1742"/>
      <c r="G1742"/>
      <c r="H1742" s="20"/>
      <c r="I1742" s="20"/>
      <c r="J1742" s="20"/>
      <c r="K1742" s="20"/>
      <c r="L1742" s="20"/>
      <c r="Q1742" s="83"/>
      <c r="Y1742" s="20"/>
      <c r="AP1742" s="92"/>
      <c r="AQ1742" s="67"/>
      <c r="AR1742" s="67"/>
      <c r="AS1742" s="73"/>
      <c r="AT1742" s="67"/>
      <c r="AU1742" s="67"/>
      <c r="AV1742" s="73"/>
      <c r="AW1742" s="68"/>
      <c r="AX1742" s="68"/>
      <c r="AY1742" s="68"/>
      <c r="AZ1742" s="68"/>
      <c r="BA1742" s="68"/>
      <c r="BB1742" s="67"/>
      <c r="BC1742" s="67"/>
      <c r="BD1742" s="67"/>
      <c r="BE1742" s="67"/>
      <c r="BF1742" s="95"/>
      <c r="BG1742" s="48"/>
      <c r="BH1742" s="48"/>
      <c r="BI1742" s="48"/>
      <c r="BJ1742" s="48"/>
      <c r="BK1742" s="48"/>
      <c r="BL1742" s="48"/>
      <c r="BM1742" s="48"/>
      <c r="BN1742" s="49"/>
      <c r="BO1742" s="48"/>
      <c r="BP1742" s="48"/>
      <c r="BQ1742" s="50"/>
    </row>
    <row r="1743" spans="1:69" ht="16" x14ac:dyDescent="0.35">
      <c r="A1743"/>
      <c r="D1743"/>
      <c r="G1743"/>
      <c r="H1743" s="20"/>
      <c r="I1743" s="20"/>
      <c r="J1743" s="20"/>
      <c r="K1743" s="20"/>
      <c r="L1743" s="20"/>
      <c r="Q1743" s="83"/>
      <c r="Y1743" s="20"/>
      <c r="AP1743" s="93"/>
      <c r="AQ1743" s="31"/>
      <c r="AR1743" s="31"/>
      <c r="AS1743" s="94"/>
      <c r="AT1743" s="31"/>
      <c r="AU1743" s="31"/>
      <c r="AV1743" s="94"/>
      <c r="AW1743" s="32"/>
      <c r="AX1743" s="32"/>
      <c r="AY1743" s="32"/>
      <c r="AZ1743" s="32"/>
      <c r="BA1743" s="32"/>
      <c r="BB1743" s="31"/>
      <c r="BC1743" s="31"/>
      <c r="BD1743" s="31"/>
      <c r="BE1743" s="31"/>
      <c r="BF1743" s="96"/>
      <c r="BG1743" s="52"/>
      <c r="BH1743" s="52"/>
      <c r="BI1743" s="52"/>
      <c r="BJ1743" s="52"/>
      <c r="BK1743" s="52"/>
      <c r="BL1743" s="52"/>
      <c r="BM1743" s="52"/>
      <c r="BN1743" s="53"/>
      <c r="BO1743" s="52"/>
      <c r="BP1743" s="52"/>
      <c r="BQ1743" s="54"/>
    </row>
    <row r="1744" spans="1:69" ht="16" x14ac:dyDescent="0.35">
      <c r="A1744"/>
      <c r="D1744"/>
      <c r="G1744"/>
      <c r="H1744" s="20"/>
      <c r="I1744" s="20"/>
      <c r="J1744" s="20"/>
      <c r="K1744" s="20"/>
      <c r="L1744" s="20"/>
      <c r="Q1744" s="83"/>
      <c r="Y1744" s="20"/>
      <c r="AP1744" s="92"/>
      <c r="AQ1744" s="67"/>
      <c r="AR1744" s="67"/>
      <c r="AS1744" s="73"/>
      <c r="AT1744" s="67"/>
      <c r="AU1744" s="67"/>
      <c r="AV1744" s="73"/>
      <c r="AW1744" s="68"/>
      <c r="AX1744" s="68"/>
      <c r="AY1744" s="68"/>
      <c r="AZ1744" s="68"/>
      <c r="BA1744" s="68"/>
      <c r="BB1744" s="67"/>
      <c r="BC1744" s="67"/>
      <c r="BD1744" s="67"/>
      <c r="BE1744" s="67"/>
      <c r="BF1744" s="95"/>
      <c r="BG1744" s="48"/>
      <c r="BH1744" s="48"/>
      <c r="BI1744" s="48"/>
      <c r="BJ1744" s="48"/>
      <c r="BK1744" s="48"/>
      <c r="BL1744" s="48"/>
      <c r="BM1744" s="48"/>
      <c r="BN1744" s="49"/>
      <c r="BO1744" s="48"/>
      <c r="BP1744" s="48"/>
      <c r="BQ1744" s="50"/>
    </row>
    <row r="1745" spans="1:69" ht="16" x14ac:dyDescent="0.35">
      <c r="A1745"/>
      <c r="D1745"/>
      <c r="G1745"/>
      <c r="H1745" s="20"/>
      <c r="I1745" s="20"/>
      <c r="J1745" s="20"/>
      <c r="K1745" s="20"/>
      <c r="L1745" s="20"/>
      <c r="Q1745" s="83"/>
      <c r="Y1745" s="20"/>
      <c r="AP1745" s="93"/>
      <c r="AQ1745" s="31"/>
      <c r="AR1745" s="31"/>
      <c r="AS1745" s="94"/>
      <c r="AT1745" s="31"/>
      <c r="AU1745" s="31"/>
      <c r="AV1745" s="94"/>
      <c r="AW1745" s="32"/>
      <c r="AX1745" s="32"/>
      <c r="AY1745" s="32"/>
      <c r="AZ1745" s="32"/>
      <c r="BA1745" s="32"/>
      <c r="BB1745" s="31"/>
      <c r="BC1745" s="31"/>
      <c r="BD1745" s="31"/>
      <c r="BE1745" s="31"/>
      <c r="BF1745" s="96"/>
      <c r="BG1745" s="52"/>
      <c r="BH1745" s="52"/>
      <c r="BI1745" s="52"/>
      <c r="BJ1745" s="52"/>
      <c r="BK1745" s="52"/>
      <c r="BL1745" s="52"/>
      <c r="BM1745" s="52"/>
      <c r="BN1745" s="53"/>
      <c r="BO1745" s="52"/>
      <c r="BP1745" s="52"/>
      <c r="BQ1745" s="54"/>
    </row>
    <row r="1746" spans="1:69" ht="16" x14ac:dyDescent="0.35">
      <c r="A1746"/>
      <c r="D1746"/>
      <c r="G1746"/>
      <c r="H1746" s="20"/>
      <c r="I1746" s="20"/>
      <c r="J1746" s="20"/>
      <c r="K1746" s="20"/>
      <c r="L1746" s="20"/>
      <c r="Q1746" s="83"/>
      <c r="Y1746" s="20"/>
      <c r="AP1746" s="92"/>
      <c r="AQ1746" s="67"/>
      <c r="AR1746" s="67"/>
      <c r="AS1746" s="73"/>
      <c r="AT1746" s="67"/>
      <c r="AU1746" s="67"/>
      <c r="AV1746" s="73"/>
      <c r="AW1746" s="68"/>
      <c r="AX1746" s="68"/>
      <c r="AY1746" s="68"/>
      <c r="AZ1746" s="68"/>
      <c r="BA1746" s="68"/>
      <c r="BB1746" s="67"/>
      <c r="BC1746" s="67"/>
      <c r="BD1746" s="67"/>
      <c r="BE1746" s="67"/>
      <c r="BF1746" s="95"/>
      <c r="BG1746" s="48"/>
      <c r="BH1746" s="48"/>
      <c r="BI1746" s="48"/>
      <c r="BJ1746" s="48"/>
      <c r="BK1746" s="48"/>
      <c r="BL1746" s="48"/>
      <c r="BM1746" s="48"/>
      <c r="BN1746" s="49"/>
      <c r="BO1746" s="48"/>
      <c r="BP1746" s="48"/>
      <c r="BQ1746" s="50"/>
    </row>
    <row r="1747" spans="1:69" ht="16" x14ac:dyDescent="0.35">
      <c r="A1747"/>
      <c r="D1747"/>
      <c r="G1747"/>
      <c r="H1747" s="20"/>
      <c r="I1747" s="20"/>
      <c r="J1747" s="20"/>
      <c r="K1747" s="20"/>
      <c r="L1747" s="20"/>
      <c r="Q1747" s="83"/>
      <c r="Y1747" s="20"/>
      <c r="AP1747" s="93"/>
      <c r="AQ1747" s="31"/>
      <c r="AR1747" s="31"/>
      <c r="AS1747" s="94"/>
      <c r="AT1747" s="31"/>
      <c r="AU1747" s="31"/>
      <c r="AV1747" s="94"/>
      <c r="AW1747" s="32"/>
      <c r="AX1747" s="32"/>
      <c r="AY1747" s="32"/>
      <c r="AZ1747" s="32"/>
      <c r="BA1747" s="32"/>
      <c r="BB1747" s="31"/>
      <c r="BC1747" s="31"/>
      <c r="BD1747" s="31"/>
      <c r="BE1747" s="31"/>
      <c r="BF1747" s="96"/>
      <c r="BG1747" s="52"/>
      <c r="BH1747" s="52"/>
      <c r="BI1747" s="52"/>
      <c r="BJ1747" s="52"/>
      <c r="BK1747" s="52"/>
      <c r="BL1747" s="52"/>
      <c r="BM1747" s="52"/>
      <c r="BN1747" s="53"/>
      <c r="BO1747" s="52"/>
      <c r="BP1747" s="52"/>
      <c r="BQ1747" s="54"/>
    </row>
    <row r="1748" spans="1:69" ht="16" x14ac:dyDescent="0.35">
      <c r="A1748"/>
      <c r="D1748"/>
      <c r="G1748"/>
      <c r="H1748" s="20"/>
      <c r="I1748" s="20"/>
      <c r="J1748" s="20"/>
      <c r="K1748" s="20"/>
      <c r="L1748" s="20"/>
      <c r="Q1748" s="83"/>
      <c r="Y1748" s="20"/>
      <c r="AP1748" s="92"/>
      <c r="AQ1748" s="67"/>
      <c r="AR1748" s="67"/>
      <c r="AS1748" s="73"/>
      <c r="AT1748" s="67"/>
      <c r="AU1748" s="67"/>
      <c r="AV1748" s="73"/>
      <c r="AW1748" s="68"/>
      <c r="AX1748" s="68"/>
      <c r="AY1748" s="68"/>
      <c r="AZ1748" s="68"/>
      <c r="BA1748" s="68"/>
      <c r="BB1748" s="67"/>
      <c r="BC1748" s="67"/>
      <c r="BD1748" s="67"/>
      <c r="BE1748" s="67"/>
      <c r="BF1748" s="95"/>
      <c r="BG1748" s="48"/>
      <c r="BH1748" s="48"/>
      <c r="BI1748" s="48"/>
      <c r="BJ1748" s="48"/>
      <c r="BK1748" s="48"/>
      <c r="BL1748" s="48"/>
      <c r="BM1748" s="48"/>
      <c r="BN1748" s="49"/>
      <c r="BO1748" s="48"/>
      <c r="BP1748" s="48"/>
      <c r="BQ1748" s="50"/>
    </row>
    <row r="1749" spans="1:69" ht="16" x14ac:dyDescent="0.35">
      <c r="A1749"/>
      <c r="D1749"/>
      <c r="G1749"/>
      <c r="H1749" s="20"/>
      <c r="I1749" s="20"/>
      <c r="J1749" s="20"/>
      <c r="K1749" s="20"/>
      <c r="L1749" s="20"/>
      <c r="Q1749" s="83"/>
      <c r="Y1749" s="20"/>
      <c r="AP1749" s="93"/>
      <c r="AQ1749" s="31"/>
      <c r="AR1749" s="31"/>
      <c r="AS1749" s="94"/>
      <c r="AT1749" s="31"/>
      <c r="AU1749" s="31"/>
      <c r="AV1749" s="94"/>
      <c r="AW1749" s="32"/>
      <c r="AX1749" s="32"/>
      <c r="AY1749" s="32"/>
      <c r="AZ1749" s="32"/>
      <c r="BA1749" s="32"/>
      <c r="BB1749" s="31"/>
      <c r="BC1749" s="31"/>
      <c r="BD1749" s="31"/>
      <c r="BE1749" s="31"/>
      <c r="BF1749" s="96"/>
      <c r="BG1749" s="52"/>
      <c r="BH1749" s="52"/>
      <c r="BI1749" s="52"/>
      <c r="BJ1749" s="52"/>
      <c r="BK1749" s="52"/>
      <c r="BL1749" s="52"/>
      <c r="BM1749" s="52"/>
      <c r="BN1749" s="53"/>
      <c r="BO1749" s="52"/>
      <c r="BP1749" s="52"/>
      <c r="BQ1749" s="54"/>
    </row>
    <row r="1750" spans="1:69" ht="16" x14ac:dyDescent="0.35">
      <c r="A1750"/>
      <c r="D1750"/>
      <c r="G1750"/>
      <c r="H1750" s="20"/>
      <c r="I1750" s="20"/>
      <c r="J1750" s="20"/>
      <c r="K1750" s="20"/>
      <c r="L1750" s="20"/>
      <c r="Q1750" s="83"/>
      <c r="Y1750" s="20"/>
      <c r="AP1750" s="92"/>
      <c r="AQ1750" s="67"/>
      <c r="AR1750" s="67"/>
      <c r="AS1750" s="73"/>
      <c r="AT1750" s="67"/>
      <c r="AU1750" s="67"/>
      <c r="AV1750" s="73"/>
      <c r="AW1750" s="68"/>
      <c r="AX1750" s="68"/>
      <c r="AY1750" s="68"/>
      <c r="AZ1750" s="68"/>
      <c r="BA1750" s="68"/>
      <c r="BB1750" s="67"/>
      <c r="BC1750" s="67"/>
      <c r="BD1750" s="67"/>
      <c r="BE1750" s="67"/>
      <c r="BF1750" s="95"/>
      <c r="BG1750" s="48"/>
      <c r="BH1750" s="48"/>
      <c r="BI1750" s="48"/>
      <c r="BJ1750" s="48"/>
      <c r="BK1750" s="48"/>
      <c r="BL1750" s="48"/>
      <c r="BM1750" s="48"/>
      <c r="BN1750" s="49"/>
      <c r="BO1750" s="48"/>
      <c r="BP1750" s="48"/>
      <c r="BQ1750" s="50"/>
    </row>
    <row r="1751" spans="1:69" ht="16" x14ac:dyDescent="0.35">
      <c r="A1751"/>
      <c r="D1751"/>
      <c r="G1751"/>
      <c r="H1751" s="20"/>
      <c r="I1751" s="20"/>
      <c r="J1751" s="20"/>
      <c r="K1751" s="20"/>
      <c r="L1751" s="20"/>
      <c r="Q1751" s="83"/>
      <c r="Y1751" s="20"/>
      <c r="AP1751" s="93"/>
      <c r="AQ1751" s="31"/>
      <c r="AR1751" s="31"/>
      <c r="AS1751" s="94"/>
      <c r="AT1751" s="31"/>
      <c r="AU1751" s="31"/>
      <c r="AV1751" s="94"/>
      <c r="AW1751" s="32"/>
      <c r="AX1751" s="32"/>
      <c r="AY1751" s="32"/>
      <c r="AZ1751" s="32"/>
      <c r="BA1751" s="32"/>
      <c r="BB1751" s="31"/>
      <c r="BC1751" s="31"/>
      <c r="BD1751" s="31"/>
      <c r="BE1751" s="31"/>
      <c r="BF1751" s="96"/>
      <c r="BG1751" s="52"/>
      <c r="BH1751" s="52"/>
      <c r="BI1751" s="52"/>
      <c r="BJ1751" s="52"/>
      <c r="BK1751" s="52"/>
      <c r="BL1751" s="52"/>
      <c r="BM1751" s="52"/>
      <c r="BN1751" s="53"/>
      <c r="BO1751" s="52"/>
      <c r="BP1751" s="52"/>
      <c r="BQ1751" s="54"/>
    </row>
    <row r="1752" spans="1:69" ht="16" x14ac:dyDescent="0.35">
      <c r="A1752"/>
      <c r="D1752"/>
      <c r="G1752"/>
      <c r="H1752" s="20"/>
      <c r="I1752" s="20"/>
      <c r="J1752" s="20"/>
      <c r="K1752" s="20"/>
      <c r="L1752" s="20"/>
      <c r="Q1752" s="83"/>
      <c r="Y1752" s="20"/>
      <c r="AP1752" s="92"/>
      <c r="AQ1752" s="67"/>
      <c r="AR1752" s="67"/>
      <c r="AS1752" s="73"/>
      <c r="AT1752" s="67"/>
      <c r="AU1752" s="67"/>
      <c r="AV1752" s="73"/>
      <c r="AW1752" s="68"/>
      <c r="AX1752" s="68"/>
      <c r="AY1752" s="68"/>
      <c r="AZ1752" s="68"/>
      <c r="BA1752" s="68"/>
      <c r="BB1752" s="67"/>
      <c r="BC1752" s="67"/>
      <c r="BD1752" s="67"/>
      <c r="BE1752" s="67"/>
      <c r="BF1752" s="95"/>
      <c r="BG1752" s="52"/>
      <c r="BH1752" s="52"/>
      <c r="BI1752" s="52"/>
      <c r="BJ1752" s="52"/>
      <c r="BK1752" s="52"/>
      <c r="BL1752" s="52"/>
      <c r="BM1752" s="52"/>
      <c r="BN1752" s="53"/>
      <c r="BO1752" s="52"/>
      <c r="BP1752" s="52"/>
      <c r="BQ1752" s="54"/>
    </row>
    <row r="1753" spans="1:69" ht="16" x14ac:dyDescent="0.35">
      <c r="A1753"/>
      <c r="D1753"/>
      <c r="G1753"/>
      <c r="H1753" s="20"/>
      <c r="I1753" s="20"/>
      <c r="J1753" s="20"/>
      <c r="K1753" s="20"/>
      <c r="L1753" s="20"/>
      <c r="Q1753" s="83"/>
      <c r="Y1753" s="20"/>
      <c r="AP1753" s="93"/>
      <c r="AQ1753" s="31"/>
      <c r="AR1753" s="31"/>
      <c r="AS1753" s="94"/>
      <c r="AT1753" s="31"/>
      <c r="AU1753" s="31"/>
      <c r="AV1753" s="94"/>
      <c r="AW1753" s="32"/>
      <c r="AX1753" s="32"/>
      <c r="AY1753" s="32"/>
      <c r="AZ1753" s="32"/>
      <c r="BA1753" s="32"/>
      <c r="BB1753" s="31"/>
      <c r="BC1753" s="31"/>
      <c r="BD1753" s="31"/>
      <c r="BE1753" s="31"/>
      <c r="BF1753" s="96"/>
      <c r="BG1753" s="48"/>
      <c r="BH1753" s="48"/>
      <c r="BI1753" s="48"/>
      <c r="BJ1753" s="48"/>
      <c r="BK1753" s="48"/>
      <c r="BL1753" s="48"/>
      <c r="BM1753" s="48"/>
      <c r="BN1753" s="49"/>
      <c r="BO1753" s="48"/>
      <c r="BP1753" s="48"/>
      <c r="BQ1753" s="50"/>
    </row>
    <row r="1754" spans="1:69" ht="16" x14ac:dyDescent="0.35">
      <c r="A1754"/>
      <c r="D1754"/>
      <c r="G1754"/>
      <c r="H1754" s="20"/>
      <c r="I1754" s="20"/>
      <c r="J1754" s="20"/>
      <c r="K1754" s="20"/>
      <c r="L1754" s="20"/>
      <c r="Q1754" s="83"/>
      <c r="Y1754" s="20"/>
      <c r="AP1754" s="92"/>
      <c r="AQ1754" s="67"/>
      <c r="AR1754" s="67"/>
      <c r="AS1754" s="73"/>
      <c r="AT1754" s="67"/>
      <c r="AU1754" s="67"/>
      <c r="AV1754" s="73"/>
      <c r="AW1754" s="68"/>
      <c r="AX1754" s="68"/>
      <c r="AY1754" s="68"/>
      <c r="AZ1754" s="68"/>
      <c r="BA1754" s="68"/>
      <c r="BB1754" s="67"/>
      <c r="BC1754" s="67"/>
      <c r="BD1754" s="67"/>
      <c r="BE1754" s="67"/>
      <c r="BF1754" s="95"/>
      <c r="BG1754" s="52"/>
      <c r="BH1754" s="52"/>
      <c r="BI1754" s="52"/>
      <c r="BJ1754" s="52"/>
      <c r="BK1754" s="52"/>
      <c r="BL1754" s="52"/>
      <c r="BM1754" s="52"/>
      <c r="BN1754" s="53"/>
      <c r="BO1754" s="52"/>
      <c r="BP1754" s="52"/>
      <c r="BQ1754" s="54"/>
    </row>
    <row r="1755" spans="1:69" ht="16" x14ac:dyDescent="0.35">
      <c r="A1755"/>
      <c r="D1755"/>
      <c r="G1755"/>
      <c r="H1755" s="20"/>
      <c r="I1755" s="20"/>
      <c r="J1755" s="20"/>
      <c r="K1755" s="20"/>
      <c r="L1755" s="20"/>
      <c r="Q1755" s="83"/>
      <c r="Y1755" s="20"/>
      <c r="AP1755" s="93"/>
      <c r="AQ1755" s="31"/>
      <c r="AR1755" s="31"/>
      <c r="AS1755" s="94"/>
      <c r="AT1755" s="31"/>
      <c r="AU1755" s="31"/>
      <c r="AV1755" s="94"/>
      <c r="AW1755" s="32"/>
      <c r="AX1755" s="32"/>
      <c r="AY1755" s="32"/>
      <c r="AZ1755" s="32"/>
      <c r="BA1755" s="32"/>
      <c r="BB1755" s="31"/>
      <c r="BC1755" s="31"/>
      <c r="BD1755" s="31"/>
      <c r="BE1755" s="31"/>
      <c r="BF1755" s="96"/>
      <c r="BG1755" s="48"/>
      <c r="BH1755" s="48"/>
      <c r="BI1755" s="48"/>
      <c r="BJ1755" s="48"/>
      <c r="BK1755" s="48"/>
      <c r="BL1755" s="48"/>
      <c r="BM1755" s="48"/>
      <c r="BN1755" s="49"/>
      <c r="BO1755" s="48"/>
      <c r="BP1755" s="48"/>
      <c r="BQ1755" s="50"/>
    </row>
    <row r="1756" spans="1:69" ht="16" x14ac:dyDescent="0.35">
      <c r="A1756"/>
      <c r="D1756"/>
      <c r="G1756"/>
      <c r="H1756" s="20"/>
      <c r="I1756" s="20"/>
      <c r="J1756" s="20"/>
      <c r="K1756" s="20"/>
      <c r="L1756" s="20"/>
      <c r="Q1756" s="83"/>
      <c r="Y1756" s="20"/>
      <c r="AP1756" s="92"/>
      <c r="AQ1756" s="67"/>
      <c r="AR1756" s="67"/>
      <c r="AS1756" s="73"/>
      <c r="AT1756" s="67"/>
      <c r="AU1756" s="67"/>
      <c r="AV1756" s="73"/>
      <c r="AW1756" s="68"/>
      <c r="AX1756" s="68"/>
      <c r="AY1756" s="68"/>
      <c r="AZ1756" s="68"/>
      <c r="BA1756" s="68"/>
      <c r="BB1756" s="67"/>
      <c r="BC1756" s="67"/>
      <c r="BD1756" s="67"/>
      <c r="BE1756" s="67"/>
      <c r="BF1756" s="95"/>
      <c r="BG1756" s="52"/>
      <c r="BH1756" s="52"/>
      <c r="BI1756" s="52"/>
      <c r="BJ1756" s="52"/>
      <c r="BK1756" s="52"/>
      <c r="BL1756" s="52"/>
      <c r="BM1756" s="52"/>
      <c r="BN1756" s="53"/>
      <c r="BO1756" s="52"/>
      <c r="BP1756" s="52"/>
      <c r="BQ1756" s="54"/>
    </row>
    <row r="1757" spans="1:69" ht="16" x14ac:dyDescent="0.35">
      <c r="A1757"/>
      <c r="D1757"/>
      <c r="G1757"/>
      <c r="H1757" s="20"/>
      <c r="I1757" s="20"/>
      <c r="J1757" s="20"/>
      <c r="K1757" s="20"/>
      <c r="L1757" s="20"/>
      <c r="Q1757" s="83"/>
      <c r="Y1757" s="20"/>
      <c r="AP1757" s="93"/>
      <c r="AQ1757" s="31"/>
      <c r="AR1757" s="31"/>
      <c r="AS1757" s="94"/>
      <c r="AT1757" s="31"/>
      <c r="AU1757" s="31"/>
      <c r="AV1757" s="94"/>
      <c r="AW1757" s="32"/>
      <c r="AX1757" s="32"/>
      <c r="AY1757" s="32"/>
      <c r="AZ1757" s="32"/>
      <c r="BA1757" s="32"/>
      <c r="BB1757" s="31"/>
      <c r="BC1757" s="31"/>
      <c r="BD1757" s="31"/>
      <c r="BE1757" s="31"/>
      <c r="BF1757" s="96"/>
      <c r="BG1757" s="48"/>
      <c r="BH1757" s="48"/>
      <c r="BI1757" s="48"/>
      <c r="BJ1757" s="48"/>
      <c r="BK1757" s="48"/>
      <c r="BL1757" s="48"/>
      <c r="BM1757" s="48"/>
      <c r="BN1757" s="49"/>
      <c r="BO1757" s="48"/>
      <c r="BP1757" s="48"/>
      <c r="BQ1757" s="50"/>
    </row>
    <row r="1758" spans="1:69" ht="16" x14ac:dyDescent="0.35">
      <c r="A1758"/>
      <c r="D1758"/>
      <c r="G1758"/>
      <c r="H1758" s="20"/>
      <c r="I1758" s="20"/>
      <c r="J1758" s="20"/>
      <c r="K1758" s="20"/>
      <c r="L1758" s="20"/>
      <c r="Q1758" s="83"/>
      <c r="Y1758" s="20"/>
      <c r="AP1758" s="92"/>
      <c r="AQ1758" s="67"/>
      <c r="AR1758" s="67"/>
      <c r="AS1758" s="73"/>
      <c r="AT1758" s="67"/>
      <c r="AU1758" s="67"/>
      <c r="AV1758" s="73"/>
      <c r="AW1758" s="68"/>
      <c r="AX1758" s="68"/>
      <c r="AY1758" s="68"/>
      <c r="AZ1758" s="68"/>
      <c r="BA1758" s="68"/>
      <c r="BB1758" s="67"/>
      <c r="BC1758" s="67"/>
      <c r="BD1758" s="67"/>
      <c r="BE1758" s="67"/>
      <c r="BF1758" s="95"/>
      <c r="BG1758" s="52"/>
      <c r="BH1758" s="52"/>
      <c r="BI1758" s="52"/>
      <c r="BJ1758" s="52"/>
      <c r="BK1758" s="52"/>
      <c r="BL1758" s="52"/>
      <c r="BM1758" s="52"/>
      <c r="BN1758" s="53"/>
      <c r="BO1758" s="52"/>
      <c r="BP1758" s="52"/>
      <c r="BQ1758" s="54"/>
    </row>
    <row r="1759" spans="1:69" ht="16" x14ac:dyDescent="0.35">
      <c r="A1759"/>
      <c r="D1759"/>
      <c r="G1759"/>
      <c r="H1759" s="20"/>
      <c r="I1759" s="20"/>
      <c r="J1759" s="20"/>
      <c r="K1759" s="20"/>
      <c r="L1759" s="20"/>
      <c r="Q1759" s="83"/>
      <c r="Y1759" s="20"/>
      <c r="AP1759" s="93"/>
      <c r="AQ1759" s="31"/>
      <c r="AR1759" s="31"/>
      <c r="AS1759" s="94"/>
      <c r="AT1759" s="31"/>
      <c r="AU1759" s="31"/>
      <c r="AV1759" s="94"/>
      <c r="AW1759" s="32"/>
      <c r="AX1759" s="32"/>
      <c r="AY1759" s="32"/>
      <c r="AZ1759" s="32"/>
      <c r="BA1759" s="32"/>
      <c r="BB1759" s="31"/>
      <c r="BC1759" s="31"/>
      <c r="BD1759" s="31"/>
      <c r="BE1759" s="31"/>
      <c r="BF1759" s="96"/>
      <c r="BG1759" s="48"/>
      <c r="BH1759" s="48"/>
      <c r="BI1759" s="48"/>
      <c r="BJ1759" s="48"/>
      <c r="BK1759" s="48"/>
      <c r="BL1759" s="48"/>
      <c r="BM1759" s="48"/>
      <c r="BN1759" s="49"/>
      <c r="BO1759" s="48"/>
      <c r="BP1759" s="48"/>
      <c r="BQ1759" s="50"/>
    </row>
    <row r="1760" spans="1:69" ht="16" x14ac:dyDescent="0.35">
      <c r="A1760"/>
      <c r="D1760"/>
      <c r="G1760"/>
      <c r="H1760" s="20"/>
      <c r="I1760" s="20"/>
      <c r="J1760" s="20"/>
      <c r="K1760" s="20"/>
      <c r="L1760" s="20"/>
      <c r="Q1760" s="83"/>
      <c r="Y1760" s="20"/>
      <c r="AP1760" s="92"/>
      <c r="AQ1760" s="67"/>
      <c r="AR1760" s="67"/>
      <c r="AS1760" s="73"/>
      <c r="AT1760" s="67"/>
      <c r="AU1760" s="67"/>
      <c r="AV1760" s="73"/>
      <c r="AW1760" s="68"/>
      <c r="AX1760" s="68"/>
      <c r="AY1760" s="68"/>
      <c r="AZ1760" s="68"/>
      <c r="BA1760" s="68"/>
      <c r="BB1760" s="67"/>
      <c r="BC1760" s="67"/>
      <c r="BD1760" s="67"/>
      <c r="BE1760" s="67"/>
      <c r="BF1760" s="95"/>
      <c r="BG1760" s="52"/>
      <c r="BH1760" s="52"/>
      <c r="BI1760" s="52"/>
      <c r="BJ1760" s="52"/>
      <c r="BK1760" s="52"/>
      <c r="BL1760" s="52"/>
      <c r="BM1760" s="52"/>
      <c r="BN1760" s="53"/>
      <c r="BO1760" s="52"/>
      <c r="BP1760" s="52"/>
      <c r="BQ1760" s="54"/>
    </row>
    <row r="1761" spans="1:69" ht="16" x14ac:dyDescent="0.35">
      <c r="A1761"/>
      <c r="D1761"/>
      <c r="G1761"/>
      <c r="H1761" s="20"/>
      <c r="I1761" s="20"/>
      <c r="J1761" s="20"/>
      <c r="K1761" s="20"/>
      <c r="L1761" s="20"/>
      <c r="Q1761" s="83"/>
      <c r="Y1761" s="20"/>
      <c r="AP1761" s="93"/>
      <c r="AQ1761" s="31"/>
      <c r="AR1761" s="31"/>
      <c r="AS1761" s="94"/>
      <c r="AT1761" s="31"/>
      <c r="AU1761" s="31"/>
      <c r="AV1761" s="94"/>
      <c r="AW1761" s="32"/>
      <c r="AX1761" s="32"/>
      <c r="AY1761" s="32"/>
      <c r="AZ1761" s="32"/>
      <c r="BA1761" s="32"/>
      <c r="BB1761" s="31"/>
      <c r="BC1761" s="31"/>
      <c r="BD1761" s="31"/>
      <c r="BE1761" s="31"/>
      <c r="BF1761" s="96"/>
      <c r="BG1761" s="48"/>
      <c r="BH1761" s="48"/>
      <c r="BI1761" s="48"/>
      <c r="BJ1761" s="48"/>
      <c r="BK1761" s="48"/>
      <c r="BL1761" s="48"/>
      <c r="BM1761" s="48"/>
      <c r="BN1761" s="49"/>
      <c r="BO1761" s="48"/>
      <c r="BP1761" s="48"/>
      <c r="BQ1761" s="50"/>
    </row>
    <row r="1762" spans="1:69" ht="16" x14ac:dyDescent="0.35">
      <c r="A1762"/>
      <c r="D1762"/>
      <c r="G1762"/>
      <c r="H1762" s="20"/>
      <c r="I1762" s="20"/>
      <c r="J1762" s="20"/>
      <c r="K1762" s="20"/>
      <c r="L1762" s="20"/>
      <c r="Q1762" s="83"/>
      <c r="Y1762" s="20"/>
      <c r="AP1762" s="92"/>
      <c r="AQ1762" s="67"/>
      <c r="AR1762" s="67"/>
      <c r="AS1762" s="73"/>
      <c r="AT1762" s="67"/>
      <c r="AU1762" s="67"/>
      <c r="AV1762" s="73"/>
      <c r="AW1762" s="68"/>
      <c r="AX1762" s="68"/>
      <c r="AY1762" s="68"/>
      <c r="AZ1762" s="68"/>
      <c r="BA1762" s="68"/>
      <c r="BB1762" s="67"/>
      <c r="BC1762" s="67"/>
      <c r="BD1762" s="67"/>
      <c r="BE1762" s="67"/>
      <c r="BF1762" s="95"/>
      <c r="BG1762" s="52"/>
      <c r="BH1762" s="52"/>
      <c r="BI1762" s="52"/>
      <c r="BJ1762" s="52"/>
      <c r="BK1762" s="52"/>
      <c r="BL1762" s="52"/>
      <c r="BM1762" s="52"/>
      <c r="BN1762" s="53"/>
      <c r="BO1762" s="52"/>
      <c r="BP1762" s="52"/>
      <c r="BQ1762" s="54"/>
    </row>
    <row r="1763" spans="1:69" ht="16" x14ac:dyDescent="0.35">
      <c r="A1763"/>
      <c r="D1763"/>
      <c r="G1763"/>
      <c r="H1763" s="20"/>
      <c r="I1763" s="20"/>
      <c r="J1763" s="20"/>
      <c r="K1763" s="20"/>
      <c r="L1763" s="20"/>
      <c r="Q1763" s="83"/>
      <c r="Y1763" s="20"/>
      <c r="AP1763" s="93"/>
      <c r="AQ1763" s="31"/>
      <c r="AR1763" s="31"/>
      <c r="AS1763" s="94"/>
      <c r="AT1763" s="31"/>
      <c r="AU1763" s="31"/>
      <c r="AV1763" s="94"/>
      <c r="AW1763" s="32"/>
      <c r="AX1763" s="32"/>
      <c r="AY1763" s="32"/>
      <c r="AZ1763" s="32"/>
      <c r="BA1763" s="32"/>
      <c r="BB1763" s="31"/>
      <c r="BC1763" s="31"/>
      <c r="BD1763" s="31"/>
      <c r="BE1763" s="31"/>
      <c r="BF1763" s="96"/>
      <c r="BG1763" s="48"/>
      <c r="BH1763" s="48"/>
      <c r="BI1763" s="48"/>
      <c r="BJ1763" s="48"/>
      <c r="BK1763" s="48"/>
      <c r="BL1763" s="48"/>
      <c r="BM1763" s="48"/>
      <c r="BN1763" s="49"/>
      <c r="BO1763" s="48"/>
      <c r="BP1763" s="48"/>
      <c r="BQ1763" s="50"/>
    </row>
    <row r="1764" spans="1:69" ht="16" x14ac:dyDescent="0.35">
      <c r="A1764"/>
      <c r="D1764"/>
      <c r="G1764"/>
      <c r="H1764" s="20"/>
      <c r="I1764" s="20"/>
      <c r="J1764" s="20"/>
      <c r="K1764" s="20"/>
      <c r="L1764" s="20"/>
      <c r="Q1764" s="83"/>
      <c r="Y1764" s="20"/>
      <c r="AP1764" s="92"/>
      <c r="AQ1764" s="67"/>
      <c r="AR1764" s="67"/>
      <c r="AS1764" s="73"/>
      <c r="AT1764" s="67"/>
      <c r="AU1764" s="67"/>
      <c r="AV1764" s="73"/>
      <c r="AW1764" s="68"/>
      <c r="AX1764" s="68"/>
      <c r="AY1764" s="68"/>
      <c r="AZ1764" s="68"/>
      <c r="BA1764" s="68"/>
      <c r="BB1764" s="67"/>
      <c r="BC1764" s="67"/>
      <c r="BD1764" s="67"/>
      <c r="BE1764" s="67"/>
      <c r="BF1764" s="95"/>
      <c r="BG1764" s="52"/>
      <c r="BH1764" s="52"/>
      <c r="BI1764" s="52"/>
      <c r="BJ1764" s="52"/>
      <c r="BK1764" s="52"/>
      <c r="BL1764" s="52"/>
      <c r="BM1764" s="52"/>
      <c r="BN1764" s="53"/>
      <c r="BO1764" s="52"/>
      <c r="BP1764" s="52"/>
      <c r="BQ1764" s="54"/>
    </row>
    <row r="1765" spans="1:69" ht="16" x14ac:dyDescent="0.35">
      <c r="A1765"/>
      <c r="D1765"/>
      <c r="G1765"/>
      <c r="H1765" s="20"/>
      <c r="I1765" s="20"/>
      <c r="J1765" s="20"/>
      <c r="K1765" s="20"/>
      <c r="L1765" s="20"/>
      <c r="Q1765" s="83"/>
      <c r="Y1765" s="20"/>
      <c r="AP1765" s="93"/>
      <c r="AQ1765" s="31"/>
      <c r="AR1765" s="31"/>
      <c r="AS1765" s="94"/>
      <c r="AT1765" s="31"/>
      <c r="AU1765" s="31"/>
      <c r="AV1765" s="94"/>
      <c r="AW1765" s="32"/>
      <c r="AX1765" s="32"/>
      <c r="AY1765" s="32"/>
      <c r="AZ1765" s="32"/>
      <c r="BA1765" s="32"/>
      <c r="BB1765" s="31"/>
      <c r="BC1765" s="31"/>
      <c r="BD1765" s="31"/>
      <c r="BE1765" s="31"/>
      <c r="BF1765" s="96"/>
      <c r="BG1765" s="48"/>
      <c r="BH1765" s="48"/>
      <c r="BI1765" s="48"/>
      <c r="BJ1765" s="48"/>
      <c r="BK1765" s="48"/>
      <c r="BL1765" s="48"/>
      <c r="BM1765" s="48"/>
      <c r="BN1765" s="49"/>
      <c r="BO1765" s="48"/>
      <c r="BP1765" s="48"/>
      <c r="BQ1765" s="50"/>
    </row>
    <row r="1766" spans="1:69" ht="16" x14ac:dyDescent="0.35">
      <c r="A1766"/>
      <c r="D1766"/>
      <c r="G1766"/>
      <c r="H1766" s="20"/>
      <c r="I1766" s="20"/>
      <c r="J1766" s="20"/>
      <c r="K1766" s="20"/>
      <c r="L1766" s="20"/>
      <c r="Q1766" s="83"/>
      <c r="Y1766" s="20"/>
      <c r="AP1766" s="92"/>
      <c r="AQ1766" s="67"/>
      <c r="AR1766" s="67"/>
      <c r="AS1766" s="73"/>
      <c r="AT1766" s="67"/>
      <c r="AU1766" s="67"/>
      <c r="AV1766" s="73"/>
      <c r="AW1766" s="68"/>
      <c r="AX1766" s="68"/>
      <c r="AY1766" s="68"/>
      <c r="AZ1766" s="68"/>
      <c r="BA1766" s="68"/>
      <c r="BB1766" s="67"/>
      <c r="BC1766" s="67"/>
      <c r="BD1766" s="67"/>
      <c r="BE1766" s="67"/>
      <c r="BF1766" s="95"/>
      <c r="BG1766" s="52"/>
      <c r="BH1766" s="52"/>
      <c r="BI1766" s="52"/>
      <c r="BJ1766" s="52"/>
      <c r="BK1766" s="52"/>
      <c r="BL1766" s="52"/>
      <c r="BM1766" s="52"/>
      <c r="BN1766" s="53"/>
      <c r="BO1766" s="52"/>
      <c r="BP1766" s="52"/>
      <c r="BQ1766" s="54"/>
    </row>
    <row r="1767" spans="1:69" ht="16" x14ac:dyDescent="0.35">
      <c r="A1767"/>
      <c r="D1767"/>
      <c r="G1767"/>
      <c r="H1767" s="20"/>
      <c r="I1767" s="20"/>
      <c r="J1767" s="20"/>
      <c r="K1767" s="20"/>
      <c r="L1767" s="20"/>
      <c r="Q1767" s="83"/>
      <c r="Y1767" s="20"/>
      <c r="AP1767" s="93"/>
      <c r="AQ1767" s="31"/>
      <c r="AR1767" s="31"/>
      <c r="AS1767" s="94"/>
      <c r="AT1767" s="31"/>
      <c r="AU1767" s="31"/>
      <c r="AV1767" s="94"/>
      <c r="AW1767" s="32"/>
      <c r="AX1767" s="32"/>
      <c r="AY1767" s="32"/>
      <c r="AZ1767" s="32"/>
      <c r="BA1767" s="32"/>
      <c r="BB1767" s="31"/>
      <c r="BC1767" s="31"/>
      <c r="BD1767" s="31"/>
      <c r="BE1767" s="31"/>
      <c r="BF1767" s="96"/>
      <c r="BG1767" s="48"/>
      <c r="BH1767" s="48"/>
      <c r="BI1767" s="48"/>
      <c r="BJ1767" s="48"/>
      <c r="BK1767" s="48"/>
      <c r="BL1767" s="48"/>
      <c r="BM1767" s="48"/>
      <c r="BN1767" s="49"/>
      <c r="BO1767" s="48"/>
      <c r="BP1767" s="48"/>
      <c r="BQ1767" s="50"/>
    </row>
    <row r="1768" spans="1:69" ht="16" x14ac:dyDescent="0.35">
      <c r="A1768"/>
      <c r="D1768"/>
      <c r="G1768"/>
      <c r="H1768" s="20"/>
      <c r="I1768" s="20"/>
      <c r="J1768" s="20"/>
      <c r="K1768" s="20"/>
      <c r="L1768" s="20"/>
      <c r="Q1768" s="83"/>
      <c r="Y1768" s="20"/>
      <c r="AP1768" s="92"/>
      <c r="AQ1768" s="67"/>
      <c r="AR1768" s="67"/>
      <c r="AS1768" s="73"/>
      <c r="AT1768" s="67"/>
      <c r="AU1768" s="67"/>
      <c r="AV1768" s="73"/>
      <c r="AW1768" s="68"/>
      <c r="AX1768" s="68"/>
      <c r="AY1768" s="68"/>
      <c r="AZ1768" s="68"/>
      <c r="BA1768" s="68"/>
      <c r="BB1768" s="67"/>
      <c r="BC1768" s="67"/>
      <c r="BD1768" s="67"/>
      <c r="BE1768" s="67"/>
      <c r="BF1768" s="95"/>
      <c r="BG1768" s="52"/>
      <c r="BH1768" s="52"/>
      <c r="BI1768" s="52"/>
      <c r="BJ1768" s="52"/>
      <c r="BK1768" s="52"/>
      <c r="BL1768" s="52"/>
      <c r="BM1768" s="52"/>
      <c r="BN1768" s="53"/>
      <c r="BO1768" s="52"/>
      <c r="BP1768" s="52"/>
      <c r="BQ1768" s="54"/>
    </row>
    <row r="1769" spans="1:69" ht="16" x14ac:dyDescent="0.35">
      <c r="A1769"/>
      <c r="D1769"/>
      <c r="G1769"/>
      <c r="H1769" s="20"/>
      <c r="I1769" s="20"/>
      <c r="J1769" s="20"/>
      <c r="K1769" s="20"/>
      <c r="L1769" s="20"/>
      <c r="Q1769" s="83"/>
      <c r="Y1769" s="20"/>
      <c r="AP1769" s="93"/>
      <c r="AQ1769" s="31"/>
      <c r="AR1769" s="31"/>
      <c r="AS1769" s="94"/>
      <c r="AT1769" s="31"/>
      <c r="AU1769" s="31"/>
      <c r="AV1769" s="94"/>
      <c r="AW1769" s="32"/>
      <c r="AX1769" s="32"/>
      <c r="AY1769" s="32"/>
      <c r="AZ1769" s="32"/>
      <c r="BA1769" s="32"/>
      <c r="BB1769" s="31"/>
      <c r="BC1769" s="31"/>
      <c r="BD1769" s="31"/>
      <c r="BE1769" s="31"/>
      <c r="BF1769" s="96"/>
      <c r="BG1769" s="48"/>
      <c r="BH1769" s="48"/>
      <c r="BI1769" s="48"/>
      <c r="BJ1769" s="48"/>
      <c r="BK1769" s="48"/>
      <c r="BL1769" s="48"/>
      <c r="BM1769" s="48"/>
      <c r="BN1769" s="49"/>
      <c r="BO1769" s="48"/>
      <c r="BP1769" s="48"/>
      <c r="BQ1769" s="50"/>
    </row>
    <row r="1770" spans="1:69" ht="16" x14ac:dyDescent="0.35">
      <c r="A1770"/>
      <c r="D1770"/>
      <c r="G1770"/>
      <c r="H1770" s="20"/>
      <c r="I1770" s="20"/>
      <c r="J1770" s="20"/>
      <c r="K1770" s="20"/>
      <c r="L1770" s="20"/>
      <c r="Q1770" s="83"/>
      <c r="Y1770" s="20"/>
      <c r="AP1770" s="92"/>
      <c r="AQ1770" s="67"/>
      <c r="AR1770" s="67"/>
      <c r="AS1770" s="73"/>
      <c r="AT1770" s="67"/>
      <c r="AU1770" s="67"/>
      <c r="AV1770" s="73"/>
      <c r="AW1770" s="68"/>
      <c r="AX1770" s="68"/>
      <c r="AY1770" s="68"/>
      <c r="AZ1770" s="68"/>
      <c r="BA1770" s="68"/>
      <c r="BB1770" s="67"/>
      <c r="BC1770" s="67"/>
      <c r="BD1770" s="67"/>
      <c r="BE1770" s="67"/>
      <c r="BF1770" s="95"/>
      <c r="BG1770" s="52"/>
      <c r="BH1770" s="52"/>
      <c r="BI1770" s="52"/>
      <c r="BJ1770" s="52"/>
      <c r="BK1770" s="52"/>
      <c r="BL1770" s="52"/>
      <c r="BM1770" s="52"/>
      <c r="BN1770" s="53"/>
      <c r="BO1770" s="52"/>
      <c r="BP1770" s="52"/>
      <c r="BQ1770" s="54"/>
    </row>
    <row r="1771" spans="1:69" ht="16" x14ac:dyDescent="0.35">
      <c r="A1771"/>
      <c r="D1771"/>
      <c r="G1771"/>
      <c r="H1771" s="20"/>
      <c r="I1771" s="20"/>
      <c r="J1771" s="20"/>
      <c r="K1771" s="20"/>
      <c r="L1771" s="20"/>
      <c r="Q1771" s="83"/>
      <c r="Y1771" s="20"/>
      <c r="AP1771" s="93"/>
      <c r="AQ1771" s="31"/>
      <c r="AR1771" s="31"/>
      <c r="AS1771" s="94"/>
      <c r="AT1771" s="31"/>
      <c r="AU1771" s="31"/>
      <c r="AV1771" s="94"/>
      <c r="AW1771" s="32"/>
      <c r="AX1771" s="32"/>
      <c r="AY1771" s="32"/>
      <c r="AZ1771" s="32"/>
      <c r="BA1771" s="32"/>
      <c r="BB1771" s="31"/>
      <c r="BC1771" s="31"/>
      <c r="BD1771" s="31"/>
      <c r="BE1771" s="31"/>
      <c r="BF1771" s="96"/>
      <c r="BG1771" s="48"/>
      <c r="BH1771" s="48"/>
      <c r="BI1771" s="48"/>
      <c r="BJ1771" s="48"/>
      <c r="BK1771" s="48"/>
      <c r="BL1771" s="48"/>
      <c r="BM1771" s="48"/>
      <c r="BN1771" s="49"/>
      <c r="BO1771" s="48"/>
      <c r="BP1771" s="48"/>
      <c r="BQ1771" s="50"/>
    </row>
    <row r="1772" spans="1:69" ht="16" x14ac:dyDescent="0.35">
      <c r="A1772"/>
      <c r="D1772"/>
      <c r="G1772"/>
      <c r="H1772" s="20"/>
      <c r="I1772" s="20"/>
      <c r="J1772" s="20"/>
      <c r="K1772" s="20"/>
      <c r="L1772" s="20"/>
      <c r="Q1772" s="83"/>
      <c r="Y1772" s="20"/>
      <c r="AP1772" s="92"/>
      <c r="AQ1772" s="67"/>
      <c r="AR1772" s="67"/>
      <c r="AS1772" s="73"/>
      <c r="AT1772" s="67"/>
      <c r="AU1772" s="67"/>
      <c r="AV1772" s="73"/>
      <c r="AW1772" s="68"/>
      <c r="AX1772" s="68"/>
      <c r="AY1772" s="68"/>
      <c r="AZ1772" s="68"/>
      <c r="BA1772" s="68"/>
      <c r="BB1772" s="67"/>
      <c r="BC1772" s="67"/>
      <c r="BD1772" s="67"/>
      <c r="BE1772" s="67"/>
      <c r="BF1772" s="95"/>
      <c r="BG1772" s="52"/>
      <c r="BH1772" s="52"/>
      <c r="BI1772" s="52"/>
      <c r="BJ1772" s="52"/>
      <c r="BK1772" s="52"/>
      <c r="BL1772" s="52"/>
      <c r="BM1772" s="52"/>
      <c r="BN1772" s="53"/>
      <c r="BO1772" s="52"/>
      <c r="BP1772" s="52"/>
      <c r="BQ1772" s="54"/>
    </row>
    <row r="1773" spans="1:69" ht="16" x14ac:dyDescent="0.35">
      <c r="A1773"/>
      <c r="D1773"/>
      <c r="G1773"/>
      <c r="H1773" s="20"/>
      <c r="I1773" s="20"/>
      <c r="J1773" s="20"/>
      <c r="K1773" s="20"/>
      <c r="L1773" s="20"/>
      <c r="Q1773" s="83"/>
      <c r="Y1773" s="20"/>
      <c r="AP1773" s="93"/>
      <c r="AQ1773" s="31"/>
      <c r="AR1773" s="31"/>
      <c r="AS1773" s="94"/>
      <c r="AT1773" s="31"/>
      <c r="AU1773" s="31"/>
      <c r="AV1773" s="94"/>
      <c r="AW1773" s="32"/>
      <c r="AX1773" s="32"/>
      <c r="AY1773" s="32"/>
      <c r="AZ1773" s="32"/>
      <c r="BA1773" s="32"/>
      <c r="BB1773" s="31"/>
      <c r="BC1773" s="31"/>
      <c r="BD1773" s="31"/>
      <c r="BE1773" s="31"/>
      <c r="BF1773" s="96"/>
      <c r="BG1773" s="48"/>
      <c r="BH1773" s="48"/>
      <c r="BI1773" s="48"/>
      <c r="BJ1773" s="48"/>
      <c r="BK1773" s="48"/>
      <c r="BL1773" s="48"/>
      <c r="BM1773" s="48"/>
      <c r="BN1773" s="49"/>
      <c r="BO1773" s="48"/>
      <c r="BP1773" s="48"/>
      <c r="BQ1773" s="50"/>
    </row>
    <row r="1774" spans="1:69" ht="16" x14ac:dyDescent="0.35">
      <c r="A1774"/>
      <c r="D1774"/>
      <c r="G1774"/>
      <c r="H1774" s="20"/>
      <c r="I1774" s="20"/>
      <c r="J1774" s="20"/>
      <c r="K1774" s="20"/>
      <c r="L1774" s="20"/>
      <c r="Q1774" s="83"/>
      <c r="Y1774" s="20"/>
      <c r="AP1774" s="92"/>
      <c r="AQ1774" s="67"/>
      <c r="AR1774" s="67"/>
      <c r="AS1774" s="73"/>
      <c r="AT1774" s="67"/>
      <c r="AU1774" s="67"/>
      <c r="AV1774" s="73"/>
      <c r="AW1774" s="68"/>
      <c r="AX1774" s="68"/>
      <c r="AY1774" s="68"/>
      <c r="AZ1774" s="68"/>
      <c r="BA1774" s="68"/>
      <c r="BB1774" s="67"/>
      <c r="BC1774" s="67"/>
      <c r="BD1774" s="67"/>
      <c r="BE1774" s="67"/>
      <c r="BF1774" s="95"/>
      <c r="BG1774" s="52"/>
      <c r="BH1774" s="52"/>
      <c r="BI1774" s="52"/>
      <c r="BJ1774" s="52"/>
      <c r="BK1774" s="52"/>
      <c r="BL1774" s="52"/>
      <c r="BM1774" s="52"/>
      <c r="BN1774" s="53"/>
      <c r="BO1774" s="52"/>
      <c r="BP1774" s="52"/>
      <c r="BQ1774" s="54"/>
    </row>
    <row r="1775" spans="1:69" ht="16" x14ac:dyDescent="0.35">
      <c r="A1775"/>
      <c r="D1775"/>
      <c r="G1775"/>
      <c r="H1775" s="20"/>
      <c r="I1775" s="20"/>
      <c r="J1775" s="20"/>
      <c r="K1775" s="20"/>
      <c r="L1775" s="20"/>
      <c r="Q1775" s="83"/>
      <c r="Y1775" s="20"/>
      <c r="AP1775" s="93"/>
      <c r="AQ1775" s="31"/>
      <c r="AR1775" s="31"/>
      <c r="AS1775" s="94"/>
      <c r="AT1775" s="31"/>
      <c r="AU1775" s="31"/>
      <c r="AV1775" s="94"/>
      <c r="AW1775" s="32"/>
      <c r="AX1775" s="32"/>
      <c r="AY1775" s="32"/>
      <c r="AZ1775" s="32"/>
      <c r="BA1775" s="32"/>
      <c r="BB1775" s="31"/>
      <c r="BC1775" s="31"/>
      <c r="BD1775" s="31"/>
      <c r="BE1775" s="31"/>
      <c r="BF1775" s="96"/>
      <c r="BG1775" s="48"/>
      <c r="BH1775" s="48"/>
      <c r="BI1775" s="48"/>
      <c r="BJ1775" s="48"/>
      <c r="BK1775" s="48"/>
      <c r="BL1775" s="48"/>
      <c r="BM1775" s="48"/>
      <c r="BN1775" s="49"/>
      <c r="BO1775" s="48"/>
      <c r="BP1775" s="48"/>
      <c r="BQ1775" s="50"/>
    </row>
    <row r="1776" spans="1:69" ht="16" x14ac:dyDescent="0.35">
      <c r="A1776"/>
      <c r="D1776"/>
      <c r="G1776"/>
      <c r="H1776" s="20"/>
      <c r="I1776" s="20"/>
      <c r="J1776" s="20"/>
      <c r="K1776" s="20"/>
      <c r="L1776" s="20"/>
      <c r="Q1776" s="83"/>
      <c r="Y1776" s="20"/>
      <c r="AP1776" s="92"/>
      <c r="AQ1776" s="67"/>
      <c r="AR1776" s="67"/>
      <c r="AS1776" s="73"/>
      <c r="AT1776" s="67"/>
      <c r="AU1776" s="67"/>
      <c r="AV1776" s="73"/>
      <c r="AW1776" s="68"/>
      <c r="AX1776" s="68"/>
      <c r="AY1776" s="68"/>
      <c r="AZ1776" s="68"/>
      <c r="BA1776" s="68"/>
      <c r="BB1776" s="67"/>
      <c r="BC1776" s="67"/>
      <c r="BD1776" s="67"/>
      <c r="BE1776" s="67"/>
      <c r="BF1776" s="95"/>
      <c r="BG1776" s="52"/>
      <c r="BH1776" s="52"/>
      <c r="BI1776" s="52"/>
      <c r="BJ1776" s="52"/>
      <c r="BK1776" s="52"/>
      <c r="BL1776" s="52"/>
      <c r="BM1776" s="52"/>
      <c r="BN1776" s="53"/>
      <c r="BO1776" s="52"/>
      <c r="BP1776" s="52"/>
      <c r="BQ1776" s="54"/>
    </row>
    <row r="1777" spans="1:69" ht="16" x14ac:dyDescent="0.35">
      <c r="A1777"/>
      <c r="D1777"/>
      <c r="G1777"/>
      <c r="H1777" s="20"/>
      <c r="I1777" s="20"/>
      <c r="J1777" s="20"/>
      <c r="K1777" s="20"/>
      <c r="L1777" s="20"/>
      <c r="Q1777" s="83"/>
      <c r="Y1777" s="20"/>
      <c r="AP1777" s="93"/>
      <c r="AQ1777" s="31"/>
      <c r="AR1777" s="31"/>
      <c r="AS1777" s="94"/>
      <c r="AT1777" s="31"/>
      <c r="AU1777" s="31"/>
      <c r="AV1777" s="94"/>
      <c r="AW1777" s="32"/>
      <c r="AX1777" s="32"/>
      <c r="AY1777" s="32"/>
      <c r="AZ1777" s="32"/>
      <c r="BA1777" s="32"/>
      <c r="BB1777" s="31"/>
      <c r="BC1777" s="31"/>
      <c r="BD1777" s="31"/>
      <c r="BE1777" s="31"/>
      <c r="BF1777" s="96"/>
      <c r="BG1777" s="48"/>
      <c r="BH1777" s="48"/>
      <c r="BI1777" s="48"/>
      <c r="BJ1777" s="48"/>
      <c r="BK1777" s="48"/>
      <c r="BL1777" s="48"/>
      <c r="BM1777" s="48"/>
      <c r="BN1777" s="49"/>
      <c r="BO1777" s="48"/>
      <c r="BP1777" s="48"/>
      <c r="BQ1777" s="50"/>
    </row>
    <row r="1778" spans="1:69" ht="16" x14ac:dyDescent="0.35">
      <c r="A1778"/>
      <c r="D1778"/>
      <c r="G1778"/>
      <c r="H1778" s="20"/>
      <c r="I1778" s="20"/>
      <c r="J1778" s="20"/>
      <c r="K1778" s="20"/>
      <c r="L1778" s="20"/>
      <c r="Q1778" s="83"/>
      <c r="Y1778" s="20"/>
      <c r="AP1778" s="92"/>
      <c r="AQ1778" s="67"/>
      <c r="AR1778" s="67"/>
      <c r="AS1778" s="73"/>
      <c r="AT1778" s="67"/>
      <c r="AU1778" s="67"/>
      <c r="AV1778" s="73"/>
      <c r="AW1778" s="68"/>
      <c r="AX1778" s="68"/>
      <c r="AY1778" s="68"/>
      <c r="AZ1778" s="68"/>
      <c r="BA1778" s="68"/>
      <c r="BB1778" s="67"/>
      <c r="BC1778" s="67"/>
      <c r="BD1778" s="67"/>
      <c r="BE1778" s="67"/>
      <c r="BF1778" s="95"/>
      <c r="BG1778" s="52"/>
      <c r="BH1778" s="52"/>
      <c r="BI1778" s="52"/>
      <c r="BJ1778" s="52"/>
      <c r="BK1778" s="52"/>
      <c r="BL1778" s="52"/>
      <c r="BM1778" s="52"/>
      <c r="BN1778" s="53"/>
      <c r="BO1778" s="52"/>
      <c r="BP1778" s="52"/>
      <c r="BQ1778" s="54"/>
    </row>
    <row r="1779" spans="1:69" ht="16" x14ac:dyDescent="0.35">
      <c r="A1779"/>
      <c r="D1779"/>
      <c r="G1779"/>
      <c r="H1779" s="20"/>
      <c r="I1779" s="20"/>
      <c r="J1779" s="20"/>
      <c r="K1779" s="20"/>
      <c r="L1779" s="20"/>
      <c r="Q1779" s="83"/>
      <c r="Y1779" s="20"/>
      <c r="AP1779" s="93"/>
      <c r="AQ1779" s="31"/>
      <c r="AR1779" s="31"/>
      <c r="AS1779" s="94"/>
      <c r="AT1779" s="31"/>
      <c r="AU1779" s="31"/>
      <c r="AV1779" s="94"/>
      <c r="AW1779" s="32"/>
      <c r="AX1779" s="32"/>
      <c r="AY1779" s="32"/>
      <c r="AZ1779" s="32"/>
      <c r="BA1779" s="32"/>
      <c r="BB1779" s="31"/>
      <c r="BC1779" s="31"/>
      <c r="BD1779" s="31"/>
      <c r="BE1779" s="31"/>
      <c r="BF1779" s="96"/>
      <c r="BG1779" s="48"/>
      <c r="BH1779" s="48"/>
      <c r="BI1779" s="48"/>
      <c r="BJ1779" s="48"/>
      <c r="BK1779" s="48"/>
      <c r="BL1779" s="48"/>
      <c r="BM1779" s="48"/>
      <c r="BN1779" s="49"/>
      <c r="BO1779" s="48"/>
      <c r="BP1779" s="48"/>
      <c r="BQ1779" s="50"/>
    </row>
    <row r="1780" spans="1:69" ht="16" x14ac:dyDescent="0.35">
      <c r="A1780"/>
      <c r="D1780"/>
      <c r="G1780"/>
      <c r="H1780" s="20"/>
      <c r="I1780" s="20"/>
      <c r="J1780" s="20"/>
      <c r="K1780" s="20"/>
      <c r="L1780" s="20"/>
      <c r="Q1780" s="83"/>
      <c r="Y1780" s="20"/>
      <c r="AP1780" s="92"/>
      <c r="AQ1780" s="67"/>
      <c r="AR1780" s="67"/>
      <c r="AS1780" s="73"/>
      <c r="AT1780" s="67"/>
      <c r="AU1780" s="67"/>
      <c r="AV1780" s="73"/>
      <c r="AW1780" s="68"/>
      <c r="AX1780" s="68"/>
      <c r="AY1780" s="68"/>
      <c r="AZ1780" s="68"/>
      <c r="BA1780" s="68"/>
      <c r="BB1780" s="67"/>
      <c r="BC1780" s="67"/>
      <c r="BD1780" s="67"/>
      <c r="BE1780" s="67"/>
      <c r="BF1780" s="95"/>
      <c r="BG1780" s="52"/>
      <c r="BH1780" s="52"/>
      <c r="BI1780" s="52"/>
      <c r="BJ1780" s="52"/>
      <c r="BK1780" s="52"/>
      <c r="BL1780" s="52"/>
      <c r="BM1780" s="52"/>
      <c r="BN1780" s="53"/>
      <c r="BO1780" s="52"/>
      <c r="BP1780" s="52"/>
      <c r="BQ1780" s="54"/>
    </row>
    <row r="1781" spans="1:69" ht="16" x14ac:dyDescent="0.35">
      <c r="A1781"/>
      <c r="D1781"/>
      <c r="G1781"/>
      <c r="H1781" s="20"/>
      <c r="I1781" s="20"/>
      <c r="J1781" s="20"/>
      <c r="K1781" s="20"/>
      <c r="L1781" s="20"/>
      <c r="Q1781" s="83"/>
      <c r="Y1781" s="20"/>
      <c r="AP1781" s="93"/>
      <c r="AQ1781" s="31"/>
      <c r="AR1781" s="31"/>
      <c r="AS1781" s="94"/>
      <c r="AT1781" s="31"/>
      <c r="AU1781" s="31"/>
      <c r="AV1781" s="94"/>
      <c r="AW1781" s="32"/>
      <c r="AX1781" s="32"/>
      <c r="AY1781" s="32"/>
      <c r="AZ1781" s="32"/>
      <c r="BA1781" s="32"/>
      <c r="BB1781" s="31"/>
      <c r="BC1781" s="31"/>
      <c r="BD1781" s="31"/>
      <c r="BE1781" s="31"/>
      <c r="BF1781" s="96"/>
      <c r="BG1781" s="48"/>
      <c r="BH1781" s="48"/>
      <c r="BI1781" s="48"/>
      <c r="BJ1781" s="48"/>
      <c r="BK1781" s="48"/>
      <c r="BL1781" s="48"/>
      <c r="BM1781" s="48"/>
      <c r="BN1781" s="49"/>
      <c r="BO1781" s="48"/>
      <c r="BP1781" s="48"/>
      <c r="BQ1781" s="50"/>
    </row>
    <row r="1782" spans="1:69" ht="16" x14ac:dyDescent="0.35">
      <c r="A1782"/>
      <c r="D1782"/>
      <c r="G1782"/>
      <c r="H1782" s="20"/>
      <c r="I1782" s="20"/>
      <c r="J1782" s="20"/>
      <c r="K1782" s="20"/>
      <c r="L1782" s="20"/>
      <c r="Q1782" s="83"/>
      <c r="Y1782" s="20"/>
      <c r="AP1782" s="92"/>
      <c r="AQ1782" s="67"/>
      <c r="AR1782" s="67"/>
      <c r="AS1782" s="73"/>
      <c r="AT1782" s="67"/>
      <c r="AU1782" s="67"/>
      <c r="AV1782" s="73"/>
      <c r="AW1782" s="68"/>
      <c r="AX1782" s="68"/>
      <c r="AY1782" s="68"/>
      <c r="AZ1782" s="68"/>
      <c r="BA1782" s="68"/>
      <c r="BB1782" s="67"/>
      <c r="BC1782" s="67"/>
      <c r="BD1782" s="67"/>
      <c r="BE1782" s="67"/>
      <c r="BF1782" s="95"/>
      <c r="BG1782" s="52"/>
      <c r="BH1782" s="52"/>
      <c r="BI1782" s="52"/>
      <c r="BJ1782" s="52"/>
      <c r="BK1782" s="52"/>
      <c r="BL1782" s="52"/>
      <c r="BM1782" s="52"/>
      <c r="BN1782" s="53"/>
      <c r="BO1782" s="52"/>
      <c r="BP1782" s="52"/>
      <c r="BQ1782" s="54"/>
    </row>
    <row r="1783" spans="1:69" ht="16" x14ac:dyDescent="0.35">
      <c r="A1783"/>
      <c r="D1783"/>
      <c r="G1783"/>
      <c r="H1783" s="20"/>
      <c r="I1783" s="20"/>
      <c r="J1783" s="20"/>
      <c r="K1783" s="20"/>
      <c r="L1783" s="20"/>
      <c r="Q1783" s="83"/>
      <c r="Y1783" s="20"/>
      <c r="AP1783" s="93"/>
      <c r="AQ1783" s="31"/>
      <c r="AR1783" s="31"/>
      <c r="AS1783" s="94"/>
      <c r="AT1783" s="31"/>
      <c r="AU1783" s="31"/>
      <c r="AV1783" s="94"/>
      <c r="AW1783" s="32"/>
      <c r="AX1783" s="32"/>
      <c r="AY1783" s="32"/>
      <c r="AZ1783" s="32"/>
      <c r="BA1783" s="32"/>
      <c r="BB1783" s="31"/>
      <c r="BC1783" s="31"/>
      <c r="BD1783" s="31"/>
      <c r="BE1783" s="31"/>
      <c r="BF1783" s="96"/>
      <c r="BG1783" s="48"/>
      <c r="BH1783" s="48"/>
      <c r="BI1783" s="48"/>
      <c r="BJ1783" s="48"/>
      <c r="BK1783" s="48"/>
      <c r="BL1783" s="48"/>
      <c r="BM1783" s="48"/>
      <c r="BN1783" s="49"/>
      <c r="BO1783" s="48"/>
      <c r="BP1783" s="48"/>
      <c r="BQ1783" s="50"/>
    </row>
    <row r="1784" spans="1:69" ht="16" x14ac:dyDescent="0.35">
      <c r="A1784"/>
      <c r="D1784"/>
      <c r="G1784"/>
      <c r="H1784" s="20"/>
      <c r="I1784" s="20"/>
      <c r="J1784" s="20"/>
      <c r="K1784" s="20"/>
      <c r="L1784" s="20"/>
      <c r="Q1784" s="83"/>
      <c r="Y1784" s="20"/>
      <c r="AP1784" s="92"/>
      <c r="AQ1784" s="67"/>
      <c r="AR1784" s="67"/>
      <c r="AS1784" s="73"/>
      <c r="AT1784" s="67"/>
      <c r="AU1784" s="67"/>
      <c r="AV1784" s="73"/>
      <c r="AW1784" s="68"/>
      <c r="AX1784" s="68"/>
      <c r="AY1784" s="68"/>
      <c r="AZ1784" s="68"/>
      <c r="BA1784" s="68"/>
      <c r="BB1784" s="67"/>
      <c r="BC1784" s="67"/>
      <c r="BD1784" s="67"/>
      <c r="BE1784" s="67"/>
      <c r="BF1784" s="95"/>
      <c r="BG1784" s="52"/>
      <c r="BH1784" s="52"/>
      <c r="BI1784" s="52"/>
      <c r="BJ1784" s="52"/>
      <c r="BK1784" s="52"/>
      <c r="BL1784" s="52"/>
      <c r="BM1784" s="52"/>
      <c r="BN1784" s="53"/>
      <c r="BO1784" s="52"/>
      <c r="BP1784" s="52"/>
      <c r="BQ1784" s="54"/>
    </row>
    <row r="1785" spans="1:69" ht="16" x14ac:dyDescent="0.35">
      <c r="A1785"/>
      <c r="D1785"/>
      <c r="G1785"/>
      <c r="H1785" s="20"/>
      <c r="I1785" s="20"/>
      <c r="J1785" s="20"/>
      <c r="K1785" s="20"/>
      <c r="L1785" s="20"/>
      <c r="Q1785" s="83"/>
      <c r="Y1785" s="20"/>
      <c r="AP1785" s="93"/>
      <c r="AQ1785" s="31"/>
      <c r="AR1785" s="31"/>
      <c r="AS1785" s="94"/>
      <c r="AT1785" s="31"/>
      <c r="AU1785" s="31"/>
      <c r="AV1785" s="94"/>
      <c r="AW1785" s="32"/>
      <c r="AX1785" s="32"/>
      <c r="AY1785" s="32"/>
      <c r="AZ1785" s="32"/>
      <c r="BA1785" s="32"/>
      <c r="BB1785" s="31"/>
      <c r="BC1785" s="31"/>
      <c r="BD1785" s="31"/>
      <c r="BE1785" s="31"/>
      <c r="BF1785" s="96"/>
      <c r="BG1785" s="48"/>
      <c r="BH1785" s="48"/>
      <c r="BI1785" s="48"/>
      <c r="BJ1785" s="48"/>
      <c r="BK1785" s="48"/>
      <c r="BL1785" s="48"/>
      <c r="BM1785" s="48"/>
      <c r="BN1785" s="49"/>
      <c r="BO1785" s="48"/>
      <c r="BP1785" s="48"/>
      <c r="BQ1785" s="50"/>
    </row>
    <row r="1786" spans="1:69" ht="16" x14ac:dyDescent="0.35">
      <c r="A1786"/>
      <c r="D1786"/>
      <c r="G1786"/>
      <c r="H1786" s="20"/>
      <c r="I1786" s="20"/>
      <c r="J1786" s="20"/>
      <c r="K1786" s="20"/>
      <c r="L1786" s="20"/>
      <c r="Q1786" s="83"/>
      <c r="Y1786" s="20"/>
      <c r="AP1786" s="92"/>
      <c r="AQ1786" s="67"/>
      <c r="AR1786" s="67"/>
      <c r="AS1786" s="73"/>
      <c r="AT1786" s="67"/>
      <c r="AU1786" s="67"/>
      <c r="AV1786" s="73"/>
      <c r="AW1786" s="68"/>
      <c r="AX1786" s="68"/>
      <c r="AY1786" s="68"/>
      <c r="AZ1786" s="68"/>
      <c r="BA1786" s="68"/>
      <c r="BB1786" s="67"/>
      <c r="BC1786" s="67"/>
      <c r="BD1786" s="67"/>
      <c r="BE1786" s="67"/>
      <c r="BF1786" s="95"/>
      <c r="BG1786" s="52"/>
      <c r="BH1786" s="52"/>
      <c r="BI1786" s="52"/>
      <c r="BJ1786" s="52"/>
      <c r="BK1786" s="52"/>
      <c r="BL1786" s="52"/>
      <c r="BM1786" s="52"/>
      <c r="BN1786" s="53"/>
      <c r="BO1786" s="52"/>
      <c r="BP1786" s="52"/>
      <c r="BQ1786" s="54"/>
    </row>
    <row r="1787" spans="1:69" ht="16" x14ac:dyDescent="0.35">
      <c r="A1787"/>
      <c r="D1787"/>
      <c r="G1787"/>
      <c r="H1787" s="20"/>
      <c r="I1787" s="20"/>
      <c r="J1787" s="20"/>
      <c r="K1787" s="20"/>
      <c r="L1787" s="20"/>
      <c r="Q1787" s="83"/>
      <c r="Y1787" s="20"/>
      <c r="AP1787" s="93"/>
      <c r="AQ1787" s="31"/>
      <c r="AR1787" s="31"/>
      <c r="AS1787" s="94"/>
      <c r="AT1787" s="31"/>
      <c r="AU1787" s="31"/>
      <c r="AV1787" s="94"/>
      <c r="AW1787" s="32"/>
      <c r="AX1787" s="32"/>
      <c r="AY1787" s="32"/>
      <c r="AZ1787" s="32"/>
      <c r="BA1787" s="32"/>
      <c r="BB1787" s="31"/>
      <c r="BC1787" s="31"/>
      <c r="BD1787" s="31"/>
      <c r="BE1787" s="31"/>
      <c r="BF1787" s="96"/>
      <c r="BG1787" s="48"/>
      <c r="BH1787" s="48"/>
      <c r="BI1787" s="48"/>
      <c r="BJ1787" s="48"/>
      <c r="BK1787" s="48"/>
      <c r="BL1787" s="48"/>
      <c r="BM1787" s="48"/>
      <c r="BN1787" s="49"/>
      <c r="BO1787" s="48"/>
      <c r="BP1787" s="48"/>
      <c r="BQ1787" s="50"/>
    </row>
    <row r="1788" spans="1:69" ht="16" x14ac:dyDescent="0.35">
      <c r="A1788"/>
      <c r="D1788"/>
      <c r="G1788"/>
      <c r="H1788" s="20"/>
      <c r="I1788" s="20"/>
      <c r="J1788" s="20"/>
      <c r="K1788" s="20"/>
      <c r="L1788" s="20"/>
      <c r="Q1788" s="83"/>
      <c r="Y1788" s="20"/>
      <c r="AP1788" s="92"/>
      <c r="AQ1788" s="67"/>
      <c r="AR1788" s="67"/>
      <c r="AS1788" s="73"/>
      <c r="AT1788" s="67"/>
      <c r="AU1788" s="67"/>
      <c r="AV1788" s="73"/>
      <c r="AW1788" s="68"/>
      <c r="AX1788" s="68"/>
      <c r="AY1788" s="68"/>
      <c r="AZ1788" s="68"/>
      <c r="BA1788" s="68"/>
      <c r="BB1788" s="67"/>
      <c r="BC1788" s="67"/>
      <c r="BD1788" s="67"/>
      <c r="BE1788" s="67"/>
      <c r="BF1788" s="95"/>
      <c r="BG1788" s="52"/>
      <c r="BH1788" s="52"/>
      <c r="BI1788" s="52"/>
      <c r="BJ1788" s="52"/>
      <c r="BK1788" s="52"/>
      <c r="BL1788" s="52"/>
      <c r="BM1788" s="52"/>
      <c r="BN1788" s="53"/>
      <c r="BO1788" s="52"/>
      <c r="BP1788" s="52"/>
      <c r="BQ1788" s="54"/>
    </row>
    <row r="1789" spans="1:69" ht="16" x14ac:dyDescent="0.35">
      <c r="A1789"/>
      <c r="D1789"/>
      <c r="G1789"/>
      <c r="H1789" s="20"/>
      <c r="I1789" s="20"/>
      <c r="J1789" s="20"/>
      <c r="K1789" s="20"/>
      <c r="L1789" s="20"/>
      <c r="Q1789" s="83"/>
      <c r="Y1789" s="20"/>
      <c r="AP1789" s="93"/>
      <c r="AQ1789" s="31"/>
      <c r="AR1789" s="31"/>
      <c r="AS1789" s="94"/>
      <c r="AT1789" s="31"/>
      <c r="AU1789" s="31"/>
      <c r="AV1789" s="94"/>
      <c r="AW1789" s="32"/>
      <c r="AX1789" s="32"/>
      <c r="AY1789" s="32"/>
      <c r="AZ1789" s="32"/>
      <c r="BA1789" s="32"/>
      <c r="BB1789" s="31"/>
      <c r="BC1789" s="31"/>
      <c r="BD1789" s="31"/>
      <c r="BE1789" s="31"/>
      <c r="BF1789" s="96"/>
      <c r="BG1789" s="48"/>
      <c r="BH1789" s="48"/>
      <c r="BI1789" s="48"/>
      <c r="BJ1789" s="48"/>
      <c r="BK1789" s="48"/>
      <c r="BL1789" s="48"/>
      <c r="BM1789" s="48"/>
      <c r="BN1789" s="49"/>
      <c r="BO1789" s="48"/>
      <c r="BP1789" s="48"/>
      <c r="BQ1789" s="50"/>
    </row>
    <row r="1790" spans="1:69" ht="16" x14ac:dyDescent="0.35">
      <c r="A1790"/>
      <c r="D1790"/>
      <c r="G1790"/>
      <c r="H1790" s="20"/>
      <c r="I1790" s="20"/>
      <c r="J1790" s="20"/>
      <c r="K1790" s="20"/>
      <c r="L1790" s="20"/>
      <c r="Q1790" s="83"/>
      <c r="Y1790" s="20"/>
      <c r="AP1790" s="92"/>
      <c r="AQ1790" s="67"/>
      <c r="AR1790" s="67"/>
      <c r="AS1790" s="73"/>
      <c r="AT1790" s="67"/>
      <c r="AU1790" s="67"/>
      <c r="AV1790" s="73"/>
      <c r="AW1790" s="68"/>
      <c r="AX1790" s="68"/>
      <c r="AY1790" s="68"/>
      <c r="AZ1790" s="68"/>
      <c r="BA1790" s="68"/>
      <c r="BB1790" s="67"/>
      <c r="BC1790" s="67"/>
      <c r="BD1790" s="67"/>
      <c r="BE1790" s="67"/>
      <c r="BF1790" s="95"/>
      <c r="BG1790" s="52"/>
      <c r="BH1790" s="52"/>
      <c r="BI1790" s="52"/>
      <c r="BJ1790" s="52"/>
      <c r="BK1790" s="52"/>
      <c r="BL1790" s="52"/>
      <c r="BM1790" s="52"/>
      <c r="BN1790" s="53"/>
      <c r="BO1790" s="52"/>
      <c r="BP1790" s="52"/>
      <c r="BQ1790" s="54"/>
    </row>
    <row r="1791" spans="1:69" ht="16" x14ac:dyDescent="0.35">
      <c r="A1791"/>
      <c r="D1791"/>
      <c r="G1791"/>
      <c r="H1791" s="20"/>
      <c r="I1791" s="20"/>
      <c r="J1791" s="20"/>
      <c r="K1791" s="20"/>
      <c r="L1791" s="20"/>
      <c r="Q1791" s="83"/>
      <c r="Y1791" s="20"/>
      <c r="AP1791" s="93"/>
      <c r="AQ1791" s="31"/>
      <c r="AR1791" s="31"/>
      <c r="AS1791" s="94"/>
      <c r="AT1791" s="31"/>
      <c r="AU1791" s="31"/>
      <c r="AV1791" s="94"/>
      <c r="AW1791" s="32"/>
      <c r="AX1791" s="32"/>
      <c r="AY1791" s="32"/>
      <c r="AZ1791" s="32"/>
      <c r="BA1791" s="32"/>
      <c r="BB1791" s="31"/>
      <c r="BC1791" s="31"/>
      <c r="BD1791" s="31"/>
      <c r="BE1791" s="31"/>
      <c r="BF1791" s="96"/>
      <c r="BG1791" s="48"/>
      <c r="BH1791" s="48"/>
      <c r="BI1791" s="48"/>
      <c r="BJ1791" s="48"/>
      <c r="BK1791" s="48"/>
      <c r="BL1791" s="48"/>
      <c r="BM1791" s="48"/>
      <c r="BN1791" s="49"/>
      <c r="BO1791" s="48"/>
      <c r="BP1791" s="48"/>
      <c r="BQ1791" s="50"/>
    </row>
    <row r="1792" spans="1:69" ht="16" x14ac:dyDescent="0.35">
      <c r="A1792"/>
      <c r="D1792"/>
      <c r="G1792"/>
      <c r="H1792" s="20"/>
      <c r="I1792" s="20"/>
      <c r="J1792" s="20"/>
      <c r="K1792" s="20"/>
      <c r="L1792" s="20"/>
      <c r="Q1792" s="83"/>
      <c r="Y1792" s="20"/>
      <c r="AP1792" s="92"/>
      <c r="AQ1792" s="67"/>
      <c r="AR1792" s="67"/>
      <c r="AS1792" s="73"/>
      <c r="AT1792" s="67"/>
      <c r="AU1792" s="67"/>
      <c r="AV1792" s="73"/>
      <c r="AW1792" s="68"/>
      <c r="AX1792" s="68"/>
      <c r="AY1792" s="68"/>
      <c r="AZ1792" s="68"/>
      <c r="BA1792" s="68"/>
      <c r="BB1792" s="67"/>
      <c r="BC1792" s="67"/>
      <c r="BD1792" s="67"/>
      <c r="BE1792" s="67"/>
      <c r="BF1792" s="95"/>
      <c r="BG1792" s="52"/>
      <c r="BH1792" s="52"/>
      <c r="BI1792" s="52"/>
      <c r="BJ1792" s="52"/>
      <c r="BK1792" s="52"/>
      <c r="BL1792" s="52"/>
      <c r="BM1792" s="52"/>
      <c r="BN1792" s="53"/>
      <c r="BO1792" s="52"/>
      <c r="BP1792" s="52"/>
      <c r="BQ1792" s="54"/>
    </row>
    <row r="1793" spans="1:69" ht="16" x14ac:dyDescent="0.35">
      <c r="A1793"/>
      <c r="D1793"/>
      <c r="G1793"/>
      <c r="H1793" s="20"/>
      <c r="I1793" s="20"/>
      <c r="J1793" s="20"/>
      <c r="K1793" s="20"/>
      <c r="L1793" s="20"/>
      <c r="Q1793" s="83"/>
      <c r="Y1793" s="20"/>
      <c r="AP1793" s="93"/>
      <c r="AQ1793" s="31"/>
      <c r="AR1793" s="31"/>
      <c r="AS1793" s="94"/>
      <c r="AT1793" s="31"/>
      <c r="AU1793" s="31"/>
      <c r="AV1793" s="94"/>
      <c r="AW1793" s="32"/>
      <c r="AX1793" s="32"/>
      <c r="AY1793" s="32"/>
      <c r="AZ1793" s="32"/>
      <c r="BA1793" s="32"/>
      <c r="BB1793" s="31"/>
      <c r="BC1793" s="31"/>
      <c r="BD1793" s="31"/>
      <c r="BE1793" s="31"/>
      <c r="BF1793" s="96"/>
      <c r="BG1793" s="48"/>
      <c r="BH1793" s="48"/>
      <c r="BI1793" s="48"/>
      <c r="BJ1793" s="48"/>
      <c r="BK1793" s="48"/>
      <c r="BL1793" s="48"/>
      <c r="BM1793" s="48"/>
      <c r="BN1793" s="49"/>
      <c r="BO1793" s="48"/>
      <c r="BP1793" s="48"/>
      <c r="BQ1793" s="50"/>
    </row>
    <row r="1794" spans="1:69" ht="16" x14ac:dyDescent="0.35">
      <c r="A1794"/>
      <c r="D1794"/>
      <c r="G1794"/>
      <c r="H1794" s="20"/>
      <c r="I1794" s="20"/>
      <c r="J1794" s="20"/>
      <c r="K1794" s="20"/>
      <c r="L1794" s="20"/>
      <c r="Q1794" s="83"/>
      <c r="Y1794" s="20"/>
      <c r="AP1794" s="92"/>
      <c r="AQ1794" s="67"/>
      <c r="AR1794" s="67"/>
      <c r="AS1794" s="73"/>
      <c r="AT1794" s="67"/>
      <c r="AU1794" s="67"/>
      <c r="AV1794" s="73"/>
      <c r="AW1794" s="68"/>
      <c r="AX1794" s="68"/>
      <c r="AY1794" s="68"/>
      <c r="AZ1794" s="68"/>
      <c r="BA1794" s="68"/>
      <c r="BB1794" s="67"/>
      <c r="BC1794" s="67"/>
      <c r="BD1794" s="67"/>
      <c r="BE1794" s="67"/>
      <c r="BF1794" s="95"/>
      <c r="BG1794" s="52"/>
      <c r="BH1794" s="52"/>
      <c r="BI1794" s="52"/>
      <c r="BJ1794" s="52"/>
      <c r="BK1794" s="52"/>
      <c r="BL1794" s="52"/>
      <c r="BM1794" s="52"/>
      <c r="BN1794" s="53"/>
      <c r="BO1794" s="52"/>
      <c r="BP1794" s="52"/>
      <c r="BQ1794" s="54"/>
    </row>
    <row r="1795" spans="1:69" ht="16" x14ac:dyDescent="0.35">
      <c r="A1795"/>
      <c r="D1795"/>
      <c r="G1795"/>
      <c r="H1795" s="20"/>
      <c r="I1795" s="20"/>
      <c r="J1795" s="20"/>
      <c r="K1795" s="20"/>
      <c r="L1795" s="20"/>
      <c r="Q1795" s="83"/>
      <c r="Y1795" s="20"/>
      <c r="AP1795" s="93"/>
      <c r="AQ1795" s="31"/>
      <c r="AR1795" s="31"/>
      <c r="AS1795" s="94"/>
      <c r="AT1795" s="31"/>
      <c r="AU1795" s="31"/>
      <c r="AV1795" s="94"/>
      <c r="AW1795" s="32"/>
      <c r="AX1795" s="32"/>
      <c r="AY1795" s="32"/>
      <c r="AZ1795" s="32"/>
      <c r="BA1795" s="32"/>
      <c r="BB1795" s="31"/>
      <c r="BC1795" s="31"/>
      <c r="BD1795" s="31"/>
      <c r="BE1795" s="31"/>
      <c r="BF1795" s="96"/>
      <c r="BG1795" s="48"/>
      <c r="BH1795" s="48"/>
      <c r="BI1795" s="48"/>
      <c r="BJ1795" s="48"/>
      <c r="BK1795" s="48"/>
      <c r="BL1795" s="48"/>
      <c r="BM1795" s="48"/>
      <c r="BN1795" s="49"/>
      <c r="BO1795" s="48"/>
      <c r="BP1795" s="48"/>
      <c r="BQ1795" s="50"/>
    </row>
    <row r="1796" spans="1:69" ht="16" x14ac:dyDescent="0.35">
      <c r="A1796"/>
      <c r="D1796"/>
      <c r="G1796"/>
      <c r="H1796" s="20"/>
      <c r="I1796" s="20"/>
      <c r="J1796" s="20"/>
      <c r="K1796" s="20"/>
      <c r="L1796" s="20"/>
      <c r="Q1796" s="83"/>
      <c r="Y1796" s="20"/>
      <c r="AP1796" s="92"/>
      <c r="AQ1796" s="67"/>
      <c r="AR1796" s="67"/>
      <c r="AS1796" s="73"/>
      <c r="AT1796" s="67"/>
      <c r="AU1796" s="67"/>
      <c r="AV1796" s="73"/>
      <c r="AW1796" s="68"/>
      <c r="AX1796" s="68"/>
      <c r="AY1796" s="68"/>
      <c r="AZ1796" s="68"/>
      <c r="BA1796" s="68"/>
      <c r="BB1796" s="67"/>
      <c r="BC1796" s="67"/>
      <c r="BD1796" s="67"/>
      <c r="BE1796" s="67"/>
      <c r="BF1796" s="95"/>
      <c r="BG1796" s="52"/>
      <c r="BH1796" s="52"/>
      <c r="BI1796" s="52"/>
      <c r="BJ1796" s="52"/>
      <c r="BK1796" s="52"/>
      <c r="BL1796" s="52"/>
      <c r="BM1796" s="52"/>
      <c r="BN1796" s="53"/>
      <c r="BO1796" s="52"/>
      <c r="BP1796" s="52"/>
      <c r="BQ1796" s="54"/>
    </row>
    <row r="1797" spans="1:69" ht="16" x14ac:dyDescent="0.35">
      <c r="A1797"/>
      <c r="D1797"/>
      <c r="G1797"/>
      <c r="H1797" s="20"/>
      <c r="I1797" s="20"/>
      <c r="J1797" s="20"/>
      <c r="K1797" s="20"/>
      <c r="L1797" s="20"/>
      <c r="Q1797" s="83"/>
      <c r="Y1797" s="20"/>
      <c r="AP1797" s="93"/>
      <c r="AQ1797" s="31"/>
      <c r="AR1797" s="31"/>
      <c r="AS1797" s="94"/>
      <c r="AT1797" s="31"/>
      <c r="AU1797" s="31"/>
      <c r="AV1797" s="94"/>
      <c r="AW1797" s="32"/>
      <c r="AX1797" s="32"/>
      <c r="AY1797" s="32"/>
      <c r="AZ1797" s="32"/>
      <c r="BA1797" s="32"/>
      <c r="BB1797" s="31"/>
      <c r="BC1797" s="31"/>
      <c r="BD1797" s="31"/>
      <c r="BE1797" s="31"/>
      <c r="BF1797" s="96"/>
      <c r="BG1797" s="48"/>
      <c r="BH1797" s="48"/>
      <c r="BI1797" s="48"/>
      <c r="BJ1797" s="48"/>
      <c r="BK1797" s="48"/>
      <c r="BL1797" s="48"/>
      <c r="BM1797" s="48"/>
      <c r="BN1797" s="49"/>
      <c r="BO1797" s="48"/>
      <c r="BP1797" s="48"/>
      <c r="BQ1797" s="50"/>
    </row>
    <row r="1798" spans="1:69" ht="16" x14ac:dyDescent="0.35">
      <c r="A1798"/>
      <c r="D1798"/>
      <c r="G1798"/>
      <c r="H1798" s="20"/>
      <c r="I1798" s="20"/>
      <c r="J1798" s="20"/>
      <c r="K1798" s="20"/>
      <c r="L1798" s="20"/>
      <c r="Q1798" s="83"/>
      <c r="Y1798" s="20"/>
      <c r="AP1798" s="92"/>
      <c r="AQ1798" s="67"/>
      <c r="AR1798" s="67"/>
      <c r="AS1798" s="73"/>
      <c r="AT1798" s="67"/>
      <c r="AU1798" s="67"/>
      <c r="AV1798" s="73"/>
      <c r="AW1798" s="68"/>
      <c r="AX1798" s="68"/>
      <c r="AY1798" s="68"/>
      <c r="AZ1798" s="68"/>
      <c r="BA1798" s="68"/>
      <c r="BB1798" s="67"/>
      <c r="BC1798" s="67"/>
      <c r="BD1798" s="67"/>
      <c r="BE1798" s="67"/>
      <c r="BF1798" s="95"/>
      <c r="BG1798" s="52"/>
      <c r="BH1798" s="52"/>
      <c r="BI1798" s="52"/>
      <c r="BJ1798" s="52"/>
      <c r="BK1798" s="52"/>
      <c r="BL1798" s="52"/>
      <c r="BM1798" s="52"/>
      <c r="BN1798" s="53"/>
      <c r="BO1798" s="52"/>
      <c r="BP1798" s="52"/>
      <c r="BQ1798" s="54"/>
    </row>
    <row r="1799" spans="1:69" ht="16" x14ac:dyDescent="0.35">
      <c r="A1799"/>
      <c r="D1799"/>
      <c r="G1799"/>
      <c r="H1799" s="20"/>
      <c r="I1799" s="20"/>
      <c r="J1799" s="20"/>
      <c r="K1799" s="20"/>
      <c r="L1799" s="20"/>
      <c r="Q1799" s="83"/>
      <c r="Y1799" s="20"/>
      <c r="AP1799" s="93"/>
      <c r="AQ1799" s="31"/>
      <c r="AR1799" s="31"/>
      <c r="AS1799" s="94"/>
      <c r="AT1799" s="31"/>
      <c r="AU1799" s="31"/>
      <c r="AV1799" s="94"/>
      <c r="AW1799" s="32"/>
      <c r="AX1799" s="32"/>
      <c r="AY1799" s="32"/>
      <c r="AZ1799" s="32"/>
      <c r="BA1799" s="32"/>
      <c r="BB1799" s="31"/>
      <c r="BC1799" s="31"/>
      <c r="BD1799" s="31"/>
      <c r="BE1799" s="31"/>
      <c r="BF1799" s="96"/>
      <c r="BG1799" s="48"/>
      <c r="BH1799" s="48"/>
      <c r="BI1799" s="48"/>
      <c r="BJ1799" s="48"/>
      <c r="BK1799" s="48"/>
      <c r="BL1799" s="48"/>
      <c r="BM1799" s="48"/>
      <c r="BN1799" s="49"/>
      <c r="BO1799" s="48"/>
      <c r="BP1799" s="48"/>
      <c r="BQ1799" s="50"/>
    </row>
    <row r="1800" spans="1:69" ht="16" x14ac:dyDescent="0.35">
      <c r="A1800"/>
      <c r="D1800"/>
      <c r="G1800"/>
      <c r="H1800" s="20"/>
      <c r="I1800" s="20"/>
      <c r="J1800" s="20"/>
      <c r="K1800" s="20"/>
      <c r="L1800" s="20"/>
      <c r="Q1800" s="83"/>
      <c r="Y1800" s="20"/>
      <c r="AP1800" s="92"/>
      <c r="AQ1800" s="67"/>
      <c r="AR1800" s="67"/>
      <c r="AS1800" s="73"/>
      <c r="AT1800" s="67"/>
      <c r="AU1800" s="67"/>
      <c r="AV1800" s="73"/>
      <c r="AW1800" s="68"/>
      <c r="AX1800" s="68"/>
      <c r="AY1800" s="68"/>
      <c r="AZ1800" s="68"/>
      <c r="BA1800" s="68"/>
      <c r="BB1800" s="67"/>
      <c r="BC1800" s="67"/>
      <c r="BD1800" s="67"/>
      <c r="BE1800" s="67"/>
      <c r="BF1800" s="95"/>
      <c r="BG1800" s="52"/>
      <c r="BH1800" s="52"/>
      <c r="BI1800" s="52"/>
      <c r="BJ1800" s="52"/>
      <c r="BK1800" s="52"/>
      <c r="BL1800" s="52"/>
      <c r="BM1800" s="52"/>
      <c r="BN1800" s="53"/>
      <c r="BO1800" s="52"/>
      <c r="BP1800" s="52"/>
      <c r="BQ1800" s="54"/>
    </row>
    <row r="1801" spans="1:69" ht="16" x14ac:dyDescent="0.35">
      <c r="A1801"/>
      <c r="D1801"/>
      <c r="G1801"/>
      <c r="H1801" s="20"/>
      <c r="I1801" s="20"/>
      <c r="J1801" s="20"/>
      <c r="K1801" s="20"/>
      <c r="L1801" s="20"/>
      <c r="Q1801" s="83"/>
      <c r="Y1801" s="20"/>
      <c r="AP1801" s="93"/>
      <c r="AQ1801" s="31"/>
      <c r="AR1801" s="31"/>
      <c r="AS1801" s="94"/>
      <c r="AT1801" s="31"/>
      <c r="AU1801" s="31"/>
      <c r="AV1801" s="94"/>
      <c r="AW1801" s="32"/>
      <c r="AX1801" s="32"/>
      <c r="AY1801" s="32"/>
      <c r="AZ1801" s="32"/>
      <c r="BA1801" s="32"/>
      <c r="BB1801" s="31"/>
      <c r="BC1801" s="31"/>
      <c r="BD1801" s="31"/>
      <c r="BE1801" s="31"/>
      <c r="BF1801" s="96"/>
      <c r="BG1801" s="48"/>
      <c r="BH1801" s="48"/>
      <c r="BI1801" s="48"/>
      <c r="BJ1801" s="48"/>
      <c r="BK1801" s="48"/>
      <c r="BL1801" s="48"/>
      <c r="BM1801" s="48"/>
      <c r="BN1801" s="49"/>
      <c r="BO1801" s="48"/>
      <c r="BP1801" s="48"/>
      <c r="BQ1801" s="50"/>
    </row>
    <row r="1802" spans="1:69" ht="16" x14ac:dyDescent="0.35">
      <c r="A1802"/>
      <c r="D1802"/>
      <c r="G1802"/>
      <c r="H1802" s="20"/>
      <c r="I1802" s="20"/>
      <c r="J1802" s="20"/>
      <c r="K1802" s="20"/>
      <c r="L1802" s="20"/>
      <c r="Q1802" s="83"/>
      <c r="Y1802" s="20"/>
      <c r="AP1802" s="92"/>
      <c r="AQ1802" s="67"/>
      <c r="AR1802" s="67"/>
      <c r="AS1802" s="73"/>
      <c r="AT1802" s="67"/>
      <c r="AU1802" s="67"/>
      <c r="AV1802" s="73"/>
      <c r="AW1802" s="68"/>
      <c r="AX1802" s="68"/>
      <c r="AY1802" s="68"/>
      <c r="AZ1802" s="68"/>
      <c r="BA1802" s="68"/>
      <c r="BB1802" s="67"/>
      <c r="BC1802" s="67"/>
      <c r="BD1802" s="67"/>
      <c r="BE1802" s="67"/>
      <c r="BF1802" s="95"/>
      <c r="BG1802" s="52"/>
      <c r="BH1802" s="52"/>
      <c r="BI1802" s="52"/>
      <c r="BJ1802" s="52"/>
      <c r="BK1802" s="52"/>
      <c r="BL1802" s="52"/>
      <c r="BM1802" s="52"/>
      <c r="BN1802" s="53"/>
      <c r="BO1802" s="52"/>
      <c r="BP1802" s="52"/>
      <c r="BQ1802" s="54"/>
    </row>
    <row r="1803" spans="1:69" ht="16" x14ac:dyDescent="0.35">
      <c r="A1803"/>
      <c r="D1803"/>
      <c r="G1803"/>
      <c r="H1803" s="20"/>
      <c r="I1803" s="20"/>
      <c r="J1803" s="20"/>
      <c r="K1803" s="20"/>
      <c r="L1803" s="20"/>
      <c r="Q1803" s="83"/>
      <c r="Y1803" s="20"/>
      <c r="AP1803" s="93"/>
      <c r="AQ1803" s="31"/>
      <c r="AR1803" s="31"/>
      <c r="AS1803" s="94"/>
      <c r="AT1803" s="31"/>
      <c r="AU1803" s="31"/>
      <c r="AV1803" s="94"/>
      <c r="AW1803" s="32"/>
      <c r="AX1803" s="32"/>
      <c r="AY1803" s="32"/>
      <c r="AZ1803" s="32"/>
      <c r="BA1803" s="32"/>
      <c r="BB1803" s="31"/>
      <c r="BC1803" s="31"/>
      <c r="BD1803" s="31"/>
      <c r="BE1803" s="31"/>
      <c r="BF1803" s="96"/>
      <c r="BG1803" s="48"/>
      <c r="BH1803" s="48"/>
      <c r="BI1803" s="48"/>
      <c r="BJ1803" s="48"/>
      <c r="BK1803" s="48"/>
      <c r="BL1803" s="48"/>
      <c r="BM1803" s="48"/>
      <c r="BN1803" s="49"/>
      <c r="BO1803" s="48"/>
      <c r="BP1803" s="48"/>
      <c r="BQ1803" s="50"/>
    </row>
    <row r="1804" spans="1:69" ht="16" x14ac:dyDescent="0.35">
      <c r="A1804"/>
      <c r="D1804"/>
      <c r="G1804"/>
      <c r="H1804" s="20"/>
      <c r="I1804" s="20"/>
      <c r="J1804" s="20"/>
      <c r="K1804" s="20"/>
      <c r="L1804" s="20"/>
      <c r="Q1804" s="83"/>
      <c r="Y1804" s="20"/>
      <c r="AP1804" s="92"/>
      <c r="AQ1804" s="67"/>
      <c r="AR1804" s="67"/>
      <c r="AS1804" s="73"/>
      <c r="AT1804" s="67"/>
      <c r="AU1804" s="67"/>
      <c r="AV1804" s="73"/>
      <c r="AW1804" s="68"/>
      <c r="AX1804" s="68"/>
      <c r="AY1804" s="68"/>
      <c r="AZ1804" s="68"/>
      <c r="BA1804" s="68"/>
      <c r="BB1804" s="67"/>
      <c r="BC1804" s="67"/>
      <c r="BD1804" s="67"/>
      <c r="BE1804" s="67"/>
      <c r="BF1804" s="95"/>
      <c r="BG1804" s="52"/>
      <c r="BH1804" s="52"/>
      <c r="BI1804" s="52"/>
      <c r="BJ1804" s="52"/>
      <c r="BK1804" s="52"/>
      <c r="BL1804" s="52"/>
      <c r="BM1804" s="52"/>
      <c r="BN1804" s="53"/>
      <c r="BO1804" s="52"/>
      <c r="BP1804" s="52"/>
      <c r="BQ1804" s="54"/>
    </row>
    <row r="1805" spans="1:69" ht="16" x14ac:dyDescent="0.35">
      <c r="A1805"/>
      <c r="D1805"/>
      <c r="G1805"/>
      <c r="H1805" s="20"/>
      <c r="I1805" s="20"/>
      <c r="J1805" s="20"/>
      <c r="K1805" s="20"/>
      <c r="L1805" s="20"/>
      <c r="Q1805" s="83"/>
      <c r="Y1805" s="20"/>
      <c r="AP1805" s="93"/>
      <c r="AQ1805" s="31"/>
      <c r="AR1805" s="31"/>
      <c r="AS1805" s="94"/>
      <c r="AT1805" s="31"/>
      <c r="AU1805" s="31"/>
      <c r="AV1805" s="94"/>
      <c r="AW1805" s="32"/>
      <c r="AX1805" s="32"/>
      <c r="AY1805" s="32"/>
      <c r="AZ1805" s="32"/>
      <c r="BA1805" s="32"/>
      <c r="BB1805" s="31"/>
      <c r="BC1805" s="31"/>
      <c r="BD1805" s="31"/>
      <c r="BE1805" s="31"/>
      <c r="BF1805" s="96"/>
      <c r="BG1805" s="48"/>
      <c r="BH1805" s="48"/>
      <c r="BI1805" s="48"/>
      <c r="BJ1805" s="48"/>
      <c r="BK1805" s="48"/>
      <c r="BL1805" s="48"/>
      <c r="BM1805" s="48"/>
      <c r="BN1805" s="49"/>
      <c r="BO1805" s="48"/>
      <c r="BP1805" s="48"/>
      <c r="BQ1805" s="50"/>
    </row>
    <row r="1806" spans="1:69" ht="16" x14ac:dyDescent="0.35">
      <c r="A1806"/>
      <c r="D1806"/>
      <c r="G1806"/>
      <c r="H1806" s="20"/>
      <c r="I1806" s="20"/>
      <c r="J1806" s="20"/>
      <c r="K1806" s="20"/>
      <c r="L1806" s="20"/>
      <c r="Q1806" s="83"/>
      <c r="Y1806" s="20"/>
      <c r="AP1806" s="92"/>
      <c r="AQ1806" s="67"/>
      <c r="AR1806" s="67"/>
      <c r="AS1806" s="73"/>
      <c r="AT1806" s="67"/>
      <c r="AU1806" s="67"/>
      <c r="AV1806" s="73"/>
      <c r="AW1806" s="68"/>
      <c r="AX1806" s="68"/>
      <c r="AY1806" s="68"/>
      <c r="AZ1806" s="68"/>
      <c r="BA1806" s="68"/>
      <c r="BB1806" s="67"/>
      <c r="BC1806" s="67"/>
      <c r="BD1806" s="67"/>
      <c r="BE1806" s="67"/>
      <c r="BF1806" s="95"/>
      <c r="BG1806" s="52"/>
      <c r="BH1806" s="52"/>
      <c r="BI1806" s="52"/>
      <c r="BJ1806" s="52"/>
      <c r="BK1806" s="52"/>
      <c r="BL1806" s="52"/>
      <c r="BM1806" s="52"/>
      <c r="BN1806" s="53"/>
      <c r="BO1806" s="52"/>
      <c r="BP1806" s="52"/>
      <c r="BQ1806" s="54"/>
    </row>
    <row r="1807" spans="1:69" ht="16" x14ac:dyDescent="0.35">
      <c r="A1807"/>
      <c r="D1807"/>
      <c r="G1807"/>
      <c r="H1807" s="20"/>
      <c r="I1807" s="20"/>
      <c r="J1807" s="20"/>
      <c r="K1807" s="20"/>
      <c r="L1807" s="20"/>
      <c r="Q1807" s="83"/>
      <c r="Y1807" s="20"/>
      <c r="AP1807" s="93"/>
      <c r="AQ1807" s="31"/>
      <c r="AR1807" s="31"/>
      <c r="AS1807" s="94"/>
      <c r="AT1807" s="31"/>
      <c r="AU1807" s="31"/>
      <c r="AV1807" s="94"/>
      <c r="AW1807" s="32"/>
      <c r="AX1807" s="32"/>
      <c r="AY1807" s="32"/>
      <c r="AZ1807" s="32"/>
      <c r="BA1807" s="32"/>
      <c r="BB1807" s="31"/>
      <c r="BC1807" s="31"/>
      <c r="BD1807" s="31"/>
      <c r="BE1807" s="31"/>
      <c r="BF1807" s="96"/>
      <c r="BG1807" s="48"/>
      <c r="BH1807" s="48"/>
      <c r="BI1807" s="48"/>
      <c r="BJ1807" s="48"/>
      <c r="BK1807" s="48"/>
      <c r="BL1807" s="48"/>
      <c r="BM1807" s="48"/>
      <c r="BN1807" s="49"/>
      <c r="BO1807" s="48"/>
      <c r="BP1807" s="48"/>
      <c r="BQ1807" s="50"/>
    </row>
    <row r="1808" spans="1:69" ht="16" x14ac:dyDescent="0.35">
      <c r="A1808"/>
      <c r="D1808"/>
      <c r="G1808"/>
      <c r="H1808" s="20"/>
      <c r="I1808" s="20"/>
      <c r="J1808" s="20"/>
      <c r="K1808" s="20"/>
      <c r="L1808" s="20"/>
      <c r="Q1808" s="83"/>
      <c r="Y1808" s="20"/>
      <c r="AP1808" s="92"/>
      <c r="AQ1808" s="67"/>
      <c r="AR1808" s="67"/>
      <c r="AS1808" s="73"/>
      <c r="AT1808" s="67"/>
      <c r="AU1808" s="67"/>
      <c r="AV1808" s="73"/>
      <c r="AW1808" s="68"/>
      <c r="AX1808" s="68"/>
      <c r="AY1808" s="68"/>
      <c r="AZ1808" s="68"/>
      <c r="BA1808" s="68"/>
      <c r="BB1808" s="67"/>
      <c r="BC1808" s="67"/>
      <c r="BD1808" s="67"/>
      <c r="BE1808" s="67"/>
      <c r="BF1808" s="95"/>
      <c r="BG1808" s="52"/>
      <c r="BH1808" s="52"/>
      <c r="BI1808" s="52"/>
      <c r="BJ1808" s="52"/>
      <c r="BK1808" s="52"/>
      <c r="BL1808" s="52"/>
      <c r="BM1808" s="52"/>
      <c r="BN1808" s="53"/>
      <c r="BO1808" s="52"/>
      <c r="BP1808" s="52"/>
      <c r="BQ1808" s="54"/>
    </row>
    <row r="1809" spans="1:69" ht="16" x14ac:dyDescent="0.35">
      <c r="A1809"/>
      <c r="D1809"/>
      <c r="G1809"/>
      <c r="H1809" s="20"/>
      <c r="I1809" s="20"/>
      <c r="J1809" s="20"/>
      <c r="K1809" s="20"/>
      <c r="L1809" s="20"/>
      <c r="Q1809" s="83"/>
      <c r="Y1809" s="20"/>
      <c r="AP1809" s="93"/>
      <c r="AQ1809" s="31"/>
      <c r="AR1809" s="31"/>
      <c r="AS1809" s="94"/>
      <c r="AT1809" s="31"/>
      <c r="AU1809" s="31"/>
      <c r="AV1809" s="94"/>
      <c r="AW1809" s="32"/>
      <c r="AX1809" s="32"/>
      <c r="AY1809" s="32"/>
      <c r="AZ1809" s="32"/>
      <c r="BA1809" s="32"/>
      <c r="BB1809" s="31"/>
      <c r="BC1809" s="31"/>
      <c r="BD1809" s="31"/>
      <c r="BE1809" s="31"/>
      <c r="BF1809" s="96"/>
      <c r="BG1809" s="48"/>
      <c r="BH1809" s="48"/>
      <c r="BI1809" s="48"/>
      <c r="BJ1809" s="48"/>
      <c r="BK1809" s="48"/>
      <c r="BL1809" s="48"/>
      <c r="BM1809" s="48"/>
      <c r="BN1809" s="49"/>
      <c r="BO1809" s="48"/>
      <c r="BP1809" s="48"/>
      <c r="BQ1809" s="50"/>
    </row>
    <row r="1810" spans="1:69" ht="16" x14ac:dyDescent="0.35">
      <c r="A1810"/>
      <c r="D1810"/>
      <c r="G1810"/>
      <c r="H1810" s="20"/>
      <c r="I1810" s="20"/>
      <c r="J1810" s="20"/>
      <c r="K1810" s="20"/>
      <c r="L1810" s="20"/>
      <c r="Q1810" s="83"/>
      <c r="Y1810" s="20"/>
      <c r="AP1810" s="92"/>
      <c r="AQ1810" s="67"/>
      <c r="AR1810" s="67"/>
      <c r="AS1810" s="73"/>
      <c r="AT1810" s="67"/>
      <c r="AU1810" s="67"/>
      <c r="AV1810" s="73"/>
      <c r="AW1810" s="68"/>
      <c r="AX1810" s="68"/>
      <c r="AY1810" s="68"/>
      <c r="AZ1810" s="68"/>
      <c r="BA1810" s="68"/>
      <c r="BB1810" s="67"/>
      <c r="BC1810" s="67"/>
      <c r="BD1810" s="67"/>
      <c r="BE1810" s="67"/>
      <c r="BF1810" s="95"/>
      <c r="BG1810" s="52"/>
      <c r="BH1810" s="52"/>
      <c r="BI1810" s="52"/>
      <c r="BJ1810" s="52"/>
      <c r="BK1810" s="52"/>
      <c r="BL1810" s="52"/>
      <c r="BM1810" s="52"/>
      <c r="BN1810" s="53"/>
      <c r="BO1810" s="52"/>
      <c r="BP1810" s="52"/>
      <c r="BQ1810" s="54"/>
    </row>
    <row r="1811" spans="1:69" ht="16" x14ac:dyDescent="0.35">
      <c r="A1811"/>
      <c r="D1811"/>
      <c r="G1811"/>
      <c r="H1811" s="20"/>
      <c r="I1811" s="20"/>
      <c r="J1811" s="20"/>
      <c r="K1811" s="20"/>
      <c r="L1811" s="20"/>
      <c r="Q1811" s="83"/>
      <c r="Y1811" s="20"/>
      <c r="AP1811" s="93"/>
      <c r="AQ1811" s="31"/>
      <c r="AR1811" s="31"/>
      <c r="AS1811" s="94"/>
      <c r="AT1811" s="31"/>
      <c r="AU1811" s="31"/>
      <c r="AV1811" s="94"/>
      <c r="AW1811" s="32"/>
      <c r="AX1811" s="32"/>
      <c r="AY1811" s="32"/>
      <c r="AZ1811" s="32"/>
      <c r="BA1811" s="32"/>
      <c r="BB1811" s="31"/>
      <c r="BC1811" s="31"/>
      <c r="BD1811" s="31"/>
      <c r="BE1811" s="31"/>
      <c r="BF1811" s="96"/>
      <c r="BG1811" s="48"/>
      <c r="BH1811" s="48"/>
      <c r="BI1811" s="48"/>
      <c r="BJ1811" s="48"/>
      <c r="BK1811" s="48"/>
      <c r="BL1811" s="48"/>
      <c r="BM1811" s="48"/>
      <c r="BN1811" s="49"/>
      <c r="BO1811" s="48"/>
      <c r="BP1811" s="48"/>
      <c r="BQ1811" s="50"/>
    </row>
    <row r="1812" spans="1:69" ht="16" x14ac:dyDescent="0.35">
      <c r="A1812"/>
      <c r="D1812"/>
      <c r="G1812"/>
      <c r="H1812" s="20"/>
      <c r="I1812" s="20"/>
      <c r="J1812" s="20"/>
      <c r="K1812" s="20"/>
      <c r="L1812" s="20"/>
      <c r="Q1812" s="83"/>
      <c r="Y1812" s="20"/>
      <c r="AP1812" s="92"/>
      <c r="AQ1812" s="67"/>
      <c r="AR1812" s="67"/>
      <c r="AS1812" s="73"/>
      <c r="AT1812" s="67"/>
      <c r="AU1812" s="67"/>
      <c r="AV1812" s="73"/>
      <c r="AW1812" s="68"/>
      <c r="AX1812" s="68"/>
      <c r="AY1812" s="68"/>
      <c r="AZ1812" s="68"/>
      <c r="BA1812" s="68"/>
      <c r="BB1812" s="67"/>
      <c r="BC1812" s="67"/>
      <c r="BD1812" s="67"/>
      <c r="BE1812" s="67"/>
      <c r="BF1812" s="95"/>
      <c r="BG1812" s="52"/>
      <c r="BH1812" s="52"/>
      <c r="BI1812" s="52"/>
      <c r="BJ1812" s="52"/>
      <c r="BK1812" s="52"/>
      <c r="BL1812" s="52"/>
      <c r="BM1812" s="52"/>
      <c r="BN1812" s="53"/>
      <c r="BO1812" s="52"/>
      <c r="BP1812" s="52"/>
      <c r="BQ1812" s="54"/>
    </row>
    <row r="1813" spans="1:69" ht="16" x14ac:dyDescent="0.35">
      <c r="A1813"/>
      <c r="D1813"/>
      <c r="G1813"/>
      <c r="H1813" s="20"/>
      <c r="I1813" s="20"/>
      <c r="J1813" s="20"/>
      <c r="K1813" s="20"/>
      <c r="L1813" s="20"/>
      <c r="Q1813" s="83"/>
      <c r="Y1813" s="20"/>
      <c r="AP1813" s="93"/>
      <c r="AQ1813" s="31"/>
      <c r="AR1813" s="31"/>
      <c r="AS1813" s="94"/>
      <c r="AT1813" s="31"/>
      <c r="AU1813" s="31"/>
      <c r="AV1813" s="94"/>
      <c r="AW1813" s="32"/>
      <c r="AX1813" s="32"/>
      <c r="AY1813" s="32"/>
      <c r="AZ1813" s="32"/>
      <c r="BA1813" s="32"/>
      <c r="BB1813" s="31"/>
      <c r="BC1813" s="31"/>
      <c r="BD1813" s="31"/>
      <c r="BE1813" s="31"/>
      <c r="BF1813" s="96"/>
      <c r="BG1813" s="48"/>
      <c r="BH1813" s="48"/>
      <c r="BI1813" s="48"/>
      <c r="BJ1813" s="48"/>
      <c r="BK1813" s="48"/>
      <c r="BL1813" s="48"/>
      <c r="BM1813" s="48"/>
      <c r="BN1813" s="49"/>
      <c r="BO1813" s="48"/>
      <c r="BP1813" s="48"/>
      <c r="BQ1813" s="50"/>
    </row>
    <row r="1814" spans="1:69" ht="16" x14ac:dyDescent="0.35">
      <c r="A1814"/>
      <c r="D1814"/>
      <c r="G1814"/>
      <c r="H1814" s="20"/>
      <c r="I1814" s="20"/>
      <c r="J1814" s="20"/>
      <c r="K1814" s="20"/>
      <c r="L1814" s="20"/>
      <c r="Q1814" s="83"/>
      <c r="Y1814" s="20"/>
      <c r="AP1814" s="92"/>
      <c r="AQ1814" s="67"/>
      <c r="AR1814" s="67"/>
      <c r="AS1814" s="73"/>
      <c r="AT1814" s="67"/>
      <c r="AU1814" s="67"/>
      <c r="AV1814" s="73"/>
      <c r="AW1814" s="68"/>
      <c r="AX1814" s="68"/>
      <c r="AY1814" s="68"/>
      <c r="AZ1814" s="68"/>
      <c r="BA1814" s="68"/>
      <c r="BB1814" s="67"/>
      <c r="BC1814" s="67"/>
      <c r="BD1814" s="67"/>
      <c r="BE1814" s="67"/>
      <c r="BF1814" s="95"/>
      <c r="BG1814" s="52"/>
      <c r="BH1814" s="52"/>
      <c r="BI1814" s="52"/>
      <c r="BJ1814" s="52"/>
      <c r="BK1814" s="52"/>
      <c r="BL1814" s="52"/>
      <c r="BM1814" s="52"/>
      <c r="BN1814" s="53"/>
      <c r="BO1814" s="52"/>
      <c r="BP1814" s="52"/>
      <c r="BQ1814" s="54"/>
    </row>
    <row r="1815" spans="1:69" ht="16" x14ac:dyDescent="0.35">
      <c r="A1815"/>
      <c r="D1815"/>
      <c r="G1815"/>
      <c r="H1815" s="20"/>
      <c r="I1815" s="20"/>
      <c r="J1815" s="20"/>
      <c r="K1815" s="20"/>
      <c r="L1815" s="20"/>
      <c r="Q1815" s="83"/>
      <c r="Y1815" s="20"/>
      <c r="AP1815" s="93"/>
      <c r="AQ1815" s="31"/>
      <c r="AR1815" s="31"/>
      <c r="AS1815" s="94"/>
      <c r="AT1815" s="31"/>
      <c r="AU1815" s="31"/>
      <c r="AV1815" s="94"/>
      <c r="AW1815" s="32"/>
      <c r="AX1815" s="32"/>
      <c r="AY1815" s="32"/>
      <c r="AZ1815" s="32"/>
      <c r="BA1815" s="32"/>
      <c r="BB1815" s="31"/>
      <c r="BC1815" s="31"/>
      <c r="BD1815" s="31"/>
      <c r="BE1815" s="31"/>
      <c r="BF1815" s="96"/>
      <c r="BG1815" s="48"/>
      <c r="BH1815" s="48"/>
      <c r="BI1815" s="48"/>
      <c r="BJ1815" s="48"/>
      <c r="BK1815" s="48"/>
      <c r="BL1815" s="48"/>
      <c r="BM1815" s="48"/>
      <c r="BN1815" s="49"/>
      <c r="BO1815" s="48"/>
      <c r="BP1815" s="48"/>
      <c r="BQ1815" s="50"/>
    </row>
    <row r="1816" spans="1:69" ht="16" x14ac:dyDescent="0.35">
      <c r="A1816"/>
      <c r="D1816"/>
      <c r="G1816"/>
      <c r="H1816" s="20"/>
      <c r="I1816" s="20"/>
      <c r="J1816" s="20"/>
      <c r="K1816" s="20"/>
      <c r="L1816" s="20"/>
      <c r="Q1816" s="83"/>
      <c r="Y1816" s="20"/>
      <c r="AP1816" s="92"/>
      <c r="AQ1816" s="67"/>
      <c r="AR1816" s="67"/>
      <c r="AS1816" s="73"/>
      <c r="AT1816" s="67"/>
      <c r="AU1816" s="67"/>
      <c r="AV1816" s="73"/>
      <c r="AW1816" s="68"/>
      <c r="AX1816" s="68"/>
      <c r="AY1816" s="68"/>
      <c r="AZ1816" s="68"/>
      <c r="BA1816" s="68"/>
      <c r="BB1816" s="67"/>
      <c r="BC1816" s="67"/>
      <c r="BD1816" s="67"/>
      <c r="BE1816" s="67"/>
      <c r="BF1816" s="95"/>
      <c r="BG1816" s="52"/>
      <c r="BH1816" s="52"/>
      <c r="BI1816" s="52"/>
      <c r="BJ1816" s="52"/>
      <c r="BK1816" s="52"/>
      <c r="BL1816" s="52"/>
      <c r="BM1816" s="52"/>
      <c r="BN1816" s="53"/>
      <c r="BO1816" s="52"/>
      <c r="BP1816" s="52"/>
      <c r="BQ1816" s="54"/>
    </row>
    <row r="1817" spans="1:69" ht="16" x14ac:dyDescent="0.35">
      <c r="A1817"/>
      <c r="D1817"/>
      <c r="G1817"/>
      <c r="H1817" s="20"/>
      <c r="I1817" s="20"/>
      <c r="J1817" s="20"/>
      <c r="K1817" s="20"/>
      <c r="L1817" s="20"/>
      <c r="Q1817" s="83"/>
      <c r="Y1817" s="20"/>
      <c r="AP1817" s="93"/>
      <c r="AQ1817" s="31"/>
      <c r="AR1817" s="31"/>
      <c r="AS1817" s="94"/>
      <c r="AT1817" s="31"/>
      <c r="AU1817" s="31"/>
      <c r="AV1817" s="94"/>
      <c r="AW1817" s="32"/>
      <c r="AX1817" s="32"/>
      <c r="AY1817" s="32"/>
      <c r="AZ1817" s="32"/>
      <c r="BA1817" s="32"/>
      <c r="BB1817" s="31"/>
      <c r="BC1817" s="31"/>
      <c r="BD1817" s="31"/>
      <c r="BE1817" s="31"/>
      <c r="BF1817" s="96"/>
      <c r="BG1817" s="48"/>
      <c r="BH1817" s="48"/>
      <c r="BI1817" s="48"/>
      <c r="BJ1817" s="48"/>
      <c r="BK1817" s="48"/>
      <c r="BL1817" s="48"/>
      <c r="BM1817" s="48"/>
      <c r="BN1817" s="49"/>
      <c r="BO1817" s="48"/>
      <c r="BP1817" s="48"/>
      <c r="BQ1817" s="50"/>
    </row>
    <row r="1818" spans="1:69" ht="16" x14ac:dyDescent="0.35">
      <c r="A1818"/>
      <c r="D1818"/>
      <c r="G1818"/>
      <c r="H1818" s="20"/>
      <c r="I1818" s="20"/>
      <c r="J1818" s="20"/>
      <c r="K1818" s="20"/>
      <c r="L1818" s="20"/>
      <c r="Q1818" s="83"/>
      <c r="Y1818" s="20"/>
      <c r="AP1818" s="92"/>
      <c r="AQ1818" s="67"/>
      <c r="AR1818" s="67"/>
      <c r="AS1818" s="73"/>
      <c r="AT1818" s="67"/>
      <c r="AU1818" s="67"/>
      <c r="AV1818" s="73"/>
      <c r="AW1818" s="68"/>
      <c r="AX1818" s="68"/>
      <c r="AY1818" s="68"/>
      <c r="AZ1818" s="68"/>
      <c r="BA1818" s="68"/>
      <c r="BB1818" s="67"/>
      <c r="BC1818" s="67"/>
      <c r="BD1818" s="67"/>
      <c r="BE1818" s="67"/>
      <c r="BF1818" s="95"/>
      <c r="BG1818" s="52"/>
      <c r="BH1818" s="52"/>
      <c r="BI1818" s="52"/>
      <c r="BJ1818" s="52"/>
      <c r="BK1818" s="52"/>
      <c r="BL1818" s="52"/>
      <c r="BM1818" s="52"/>
      <c r="BN1818" s="53"/>
      <c r="BO1818" s="52"/>
      <c r="BP1818" s="52"/>
      <c r="BQ1818" s="54"/>
    </row>
    <row r="1819" spans="1:69" ht="16" x14ac:dyDescent="0.35">
      <c r="A1819"/>
      <c r="D1819"/>
      <c r="G1819"/>
      <c r="H1819" s="20"/>
      <c r="I1819" s="20"/>
      <c r="J1819" s="20"/>
      <c r="K1819" s="20"/>
      <c r="L1819" s="20"/>
      <c r="Q1819" s="83"/>
      <c r="Y1819" s="20"/>
      <c r="AP1819" s="93"/>
      <c r="AQ1819" s="31"/>
      <c r="AR1819" s="31"/>
      <c r="AS1819" s="94"/>
      <c r="AT1819" s="31"/>
      <c r="AU1819" s="31"/>
      <c r="AV1819" s="94"/>
      <c r="AW1819" s="32"/>
      <c r="AX1819" s="32"/>
      <c r="AY1819" s="32"/>
      <c r="AZ1819" s="32"/>
      <c r="BA1819" s="32"/>
      <c r="BB1819" s="31"/>
      <c r="BC1819" s="31"/>
      <c r="BD1819" s="31"/>
      <c r="BE1819" s="31"/>
      <c r="BF1819" s="96"/>
      <c r="BG1819" s="48"/>
      <c r="BH1819" s="48"/>
      <c r="BI1819" s="48"/>
      <c r="BJ1819" s="48"/>
      <c r="BK1819" s="48"/>
      <c r="BL1819" s="48"/>
      <c r="BM1819" s="48"/>
      <c r="BN1819" s="49"/>
      <c r="BO1819" s="48"/>
      <c r="BP1819" s="48"/>
      <c r="BQ1819" s="50"/>
    </row>
    <row r="1820" spans="1:69" ht="16" x14ac:dyDescent="0.35">
      <c r="A1820"/>
      <c r="D1820"/>
      <c r="G1820"/>
      <c r="H1820" s="20"/>
      <c r="I1820" s="20"/>
      <c r="J1820" s="20"/>
      <c r="K1820" s="20"/>
      <c r="L1820" s="20"/>
      <c r="Q1820" s="83"/>
      <c r="Y1820" s="20"/>
      <c r="AP1820" s="92"/>
      <c r="AQ1820" s="67"/>
      <c r="AR1820" s="67"/>
      <c r="AS1820" s="73"/>
      <c r="AT1820" s="67"/>
      <c r="AU1820" s="67"/>
      <c r="AV1820" s="73"/>
      <c r="AW1820" s="68"/>
      <c r="AX1820" s="68"/>
      <c r="AY1820" s="68"/>
      <c r="AZ1820" s="68"/>
      <c r="BA1820" s="68"/>
      <c r="BB1820" s="67"/>
      <c r="BC1820" s="67"/>
      <c r="BD1820" s="67"/>
      <c r="BE1820" s="67"/>
      <c r="BF1820" s="95"/>
      <c r="BG1820" s="52"/>
      <c r="BH1820" s="52"/>
      <c r="BI1820" s="52"/>
      <c r="BJ1820" s="52"/>
      <c r="BK1820" s="52"/>
      <c r="BL1820" s="52"/>
      <c r="BM1820" s="52"/>
      <c r="BN1820" s="53"/>
      <c r="BO1820" s="52"/>
      <c r="BP1820" s="52"/>
      <c r="BQ1820" s="54"/>
    </row>
    <row r="1821" spans="1:69" ht="16" x14ac:dyDescent="0.35">
      <c r="A1821"/>
      <c r="D1821"/>
      <c r="G1821"/>
      <c r="H1821" s="20"/>
      <c r="I1821" s="20"/>
      <c r="J1821" s="20"/>
      <c r="K1821" s="20"/>
      <c r="L1821" s="20"/>
      <c r="Q1821" s="83"/>
      <c r="Y1821" s="20"/>
      <c r="AP1821" s="93"/>
      <c r="AQ1821" s="31"/>
      <c r="AR1821" s="31"/>
      <c r="AS1821" s="94"/>
      <c r="AT1821" s="31"/>
      <c r="AU1821" s="31"/>
      <c r="AV1821" s="94"/>
      <c r="AW1821" s="32"/>
      <c r="AX1821" s="32"/>
      <c r="AY1821" s="32"/>
      <c r="AZ1821" s="32"/>
      <c r="BA1821" s="32"/>
      <c r="BB1821" s="31"/>
      <c r="BC1821" s="31"/>
      <c r="BD1821" s="31"/>
      <c r="BE1821" s="31"/>
      <c r="BF1821" s="96"/>
      <c r="BG1821" s="48"/>
      <c r="BH1821" s="48"/>
      <c r="BI1821" s="48"/>
      <c r="BJ1821" s="48"/>
      <c r="BK1821" s="48"/>
      <c r="BL1821" s="48"/>
      <c r="BM1821" s="48"/>
      <c r="BN1821" s="49"/>
      <c r="BO1821" s="48"/>
      <c r="BP1821" s="48"/>
      <c r="BQ1821" s="50"/>
    </row>
    <row r="1822" spans="1:69" ht="16" x14ac:dyDescent="0.35">
      <c r="A1822"/>
      <c r="D1822"/>
      <c r="G1822"/>
      <c r="H1822" s="20"/>
      <c r="I1822" s="20"/>
      <c r="J1822" s="20"/>
      <c r="K1822" s="20"/>
      <c r="L1822" s="20"/>
      <c r="Q1822" s="83"/>
      <c r="Y1822" s="20"/>
      <c r="AP1822" s="92"/>
      <c r="AQ1822" s="67"/>
      <c r="AR1822" s="67"/>
      <c r="AS1822" s="73"/>
      <c r="AT1822" s="67"/>
      <c r="AU1822" s="67"/>
      <c r="AV1822" s="73"/>
      <c r="AW1822" s="68"/>
      <c r="AX1822" s="68"/>
      <c r="AY1822" s="68"/>
      <c r="AZ1822" s="68"/>
      <c r="BA1822" s="68"/>
      <c r="BB1822" s="67"/>
      <c r="BC1822" s="67"/>
      <c r="BD1822" s="67"/>
      <c r="BE1822" s="67"/>
      <c r="BF1822" s="95"/>
      <c r="BG1822" s="52"/>
      <c r="BH1822" s="52"/>
      <c r="BI1822" s="52"/>
      <c r="BJ1822" s="52"/>
      <c r="BK1822" s="52"/>
      <c r="BL1822" s="52"/>
      <c r="BM1822" s="52"/>
      <c r="BN1822" s="53"/>
      <c r="BO1822" s="52"/>
      <c r="BP1822" s="52"/>
      <c r="BQ1822" s="54"/>
    </row>
    <row r="1823" spans="1:69" ht="16" x14ac:dyDescent="0.35">
      <c r="A1823"/>
      <c r="D1823"/>
      <c r="G1823"/>
      <c r="H1823" s="20"/>
      <c r="I1823" s="20"/>
      <c r="J1823" s="20"/>
      <c r="K1823" s="20"/>
      <c r="L1823" s="20"/>
      <c r="Q1823" s="83"/>
      <c r="Y1823" s="20"/>
      <c r="AP1823" s="93"/>
      <c r="AQ1823" s="31"/>
      <c r="AR1823" s="31"/>
      <c r="AS1823" s="94"/>
      <c r="AT1823" s="31"/>
      <c r="AU1823" s="31"/>
      <c r="AV1823" s="94"/>
      <c r="AW1823" s="32"/>
      <c r="AX1823" s="32"/>
      <c r="AY1823" s="32"/>
      <c r="AZ1823" s="32"/>
      <c r="BA1823" s="32"/>
      <c r="BB1823" s="31"/>
      <c r="BC1823" s="31"/>
      <c r="BD1823" s="31"/>
      <c r="BE1823" s="31"/>
      <c r="BF1823" s="96"/>
      <c r="BG1823" s="48"/>
      <c r="BH1823" s="48"/>
      <c r="BI1823" s="48"/>
      <c r="BJ1823" s="48"/>
      <c r="BK1823" s="48"/>
      <c r="BL1823" s="48"/>
      <c r="BM1823" s="48"/>
      <c r="BN1823" s="49"/>
      <c r="BO1823" s="48"/>
      <c r="BP1823" s="48"/>
      <c r="BQ1823" s="50"/>
    </row>
    <row r="1824" spans="1:69" ht="16" x14ac:dyDescent="0.35">
      <c r="A1824"/>
      <c r="D1824"/>
      <c r="G1824"/>
      <c r="H1824" s="20"/>
      <c r="I1824" s="20"/>
      <c r="J1824" s="20"/>
      <c r="K1824" s="20"/>
      <c r="L1824" s="20"/>
      <c r="Q1824" s="83"/>
      <c r="Y1824" s="20"/>
      <c r="AP1824" s="92"/>
      <c r="AQ1824" s="67"/>
      <c r="AR1824" s="67"/>
      <c r="AS1824" s="73"/>
      <c r="AT1824" s="67"/>
      <c r="AU1824" s="67"/>
      <c r="AV1824" s="73"/>
      <c r="AW1824" s="68"/>
      <c r="AX1824" s="68"/>
      <c r="AY1824" s="68"/>
      <c r="AZ1824" s="68"/>
      <c r="BA1824" s="68"/>
      <c r="BB1824" s="67"/>
      <c r="BC1824" s="67"/>
      <c r="BD1824" s="67"/>
      <c r="BE1824" s="67"/>
      <c r="BF1824" s="95"/>
      <c r="BG1824" s="52"/>
      <c r="BH1824" s="52"/>
      <c r="BI1824" s="52"/>
      <c r="BJ1824" s="52"/>
      <c r="BK1824" s="52"/>
      <c r="BL1824" s="52"/>
      <c r="BM1824" s="52"/>
      <c r="BN1824" s="53"/>
      <c r="BO1824" s="52"/>
      <c r="BP1824" s="52"/>
      <c r="BQ1824" s="54"/>
    </row>
    <row r="1825" spans="1:69" ht="16" x14ac:dyDescent="0.35">
      <c r="A1825"/>
      <c r="D1825"/>
      <c r="G1825"/>
      <c r="H1825" s="20"/>
      <c r="I1825" s="20"/>
      <c r="J1825" s="20"/>
      <c r="K1825" s="20"/>
      <c r="L1825" s="20"/>
      <c r="Q1825" s="83"/>
      <c r="Y1825" s="20"/>
      <c r="AP1825" s="93"/>
      <c r="AQ1825" s="31"/>
      <c r="AR1825" s="31"/>
      <c r="AS1825" s="94"/>
      <c r="AT1825" s="31"/>
      <c r="AU1825" s="31"/>
      <c r="AV1825" s="94"/>
      <c r="AW1825" s="32"/>
      <c r="AX1825" s="32"/>
      <c r="AY1825" s="32"/>
      <c r="AZ1825" s="32"/>
      <c r="BA1825" s="32"/>
      <c r="BB1825" s="31"/>
      <c r="BC1825" s="31"/>
      <c r="BD1825" s="31"/>
      <c r="BE1825" s="31"/>
      <c r="BF1825" s="96"/>
      <c r="BG1825" s="48"/>
      <c r="BH1825" s="48"/>
      <c r="BI1825" s="48"/>
      <c r="BJ1825" s="48"/>
      <c r="BK1825" s="48"/>
      <c r="BL1825" s="48"/>
      <c r="BM1825" s="48"/>
      <c r="BN1825" s="49"/>
      <c r="BO1825" s="48"/>
      <c r="BP1825" s="48"/>
      <c r="BQ1825" s="50"/>
    </row>
    <row r="1826" spans="1:69" ht="16" x14ac:dyDescent="0.35">
      <c r="A1826"/>
      <c r="D1826"/>
      <c r="G1826"/>
      <c r="H1826" s="20"/>
      <c r="I1826" s="20"/>
      <c r="J1826" s="20"/>
      <c r="K1826" s="20"/>
      <c r="L1826" s="20"/>
      <c r="Q1826" s="83"/>
      <c r="Y1826" s="20"/>
      <c r="AP1826" s="92"/>
      <c r="AQ1826" s="67"/>
      <c r="AR1826" s="67"/>
      <c r="AS1826" s="73"/>
      <c r="AT1826" s="67"/>
      <c r="AU1826" s="67"/>
      <c r="AV1826" s="73"/>
      <c r="AW1826" s="68"/>
      <c r="AX1826" s="68"/>
      <c r="AY1826" s="68"/>
      <c r="AZ1826" s="68"/>
      <c r="BA1826" s="68"/>
      <c r="BB1826" s="67"/>
      <c r="BC1826" s="67"/>
      <c r="BD1826" s="67"/>
      <c r="BE1826" s="67"/>
      <c r="BF1826" s="95"/>
      <c r="BG1826" s="52"/>
      <c r="BH1826" s="52"/>
      <c r="BI1826" s="52"/>
      <c r="BJ1826" s="52"/>
      <c r="BK1826" s="52"/>
      <c r="BL1826" s="52"/>
      <c r="BM1826" s="52"/>
      <c r="BN1826" s="53"/>
      <c r="BO1826" s="52"/>
      <c r="BP1826" s="52"/>
      <c r="BQ1826" s="54"/>
    </row>
    <row r="1827" spans="1:69" ht="16" x14ac:dyDescent="0.35">
      <c r="A1827"/>
      <c r="D1827"/>
      <c r="G1827"/>
      <c r="H1827" s="20"/>
      <c r="I1827" s="20"/>
      <c r="J1827" s="20"/>
      <c r="K1827" s="20"/>
      <c r="L1827" s="20"/>
      <c r="Q1827" s="83"/>
      <c r="Y1827" s="20"/>
      <c r="AP1827" s="93"/>
      <c r="AQ1827" s="31"/>
      <c r="AR1827" s="31"/>
      <c r="AS1827" s="94"/>
      <c r="AT1827" s="31"/>
      <c r="AU1827" s="31"/>
      <c r="AV1827" s="94"/>
      <c r="AW1827" s="32"/>
      <c r="AX1827" s="32"/>
      <c r="AY1827" s="32"/>
      <c r="AZ1827" s="32"/>
      <c r="BA1827" s="32"/>
      <c r="BB1827" s="31"/>
      <c r="BC1827" s="31"/>
      <c r="BD1827" s="31"/>
      <c r="BE1827" s="31"/>
      <c r="BF1827" s="96"/>
      <c r="BG1827" s="48"/>
      <c r="BH1827" s="48"/>
      <c r="BI1827" s="48"/>
      <c r="BJ1827" s="48"/>
      <c r="BK1827" s="48"/>
      <c r="BL1827" s="48"/>
      <c r="BM1827" s="48"/>
      <c r="BN1827" s="49"/>
      <c r="BO1827" s="48"/>
      <c r="BP1827" s="48"/>
      <c r="BQ1827" s="50"/>
    </row>
    <row r="1828" spans="1:69" ht="16" x14ac:dyDescent="0.35">
      <c r="A1828"/>
      <c r="D1828"/>
      <c r="G1828"/>
      <c r="H1828" s="20"/>
      <c r="I1828" s="20"/>
      <c r="J1828" s="20"/>
      <c r="K1828" s="20"/>
      <c r="L1828" s="20"/>
      <c r="Q1828" s="83"/>
      <c r="Y1828" s="20"/>
      <c r="AP1828" s="92"/>
      <c r="AQ1828" s="67"/>
      <c r="AR1828" s="67"/>
      <c r="AS1828" s="73"/>
      <c r="AT1828" s="67"/>
      <c r="AU1828" s="67"/>
      <c r="AV1828" s="73"/>
      <c r="AW1828" s="68"/>
      <c r="AX1828" s="68"/>
      <c r="AY1828" s="68"/>
      <c r="AZ1828" s="68"/>
      <c r="BA1828" s="68"/>
      <c r="BB1828" s="67"/>
      <c r="BC1828" s="67"/>
      <c r="BD1828" s="67"/>
      <c r="BE1828" s="67"/>
      <c r="BF1828" s="95"/>
      <c r="BG1828" s="52"/>
      <c r="BH1828" s="52"/>
      <c r="BI1828" s="52"/>
      <c r="BJ1828" s="52"/>
      <c r="BK1828" s="52"/>
      <c r="BL1828" s="52"/>
      <c r="BM1828" s="52"/>
      <c r="BN1828" s="53"/>
      <c r="BO1828" s="52"/>
      <c r="BP1828" s="52"/>
      <c r="BQ1828" s="54"/>
    </row>
    <row r="1829" spans="1:69" x14ac:dyDescent="0.35">
      <c r="A1829"/>
      <c r="D1829"/>
      <c r="G1829"/>
      <c r="H1829" s="20"/>
      <c r="I1829" s="20"/>
      <c r="J1829" s="20"/>
      <c r="K1829" s="20"/>
      <c r="L1829" s="20"/>
      <c r="Q1829" s="83"/>
      <c r="Y1829" s="20"/>
      <c r="AP1829" s="93"/>
      <c r="AQ1829" s="31"/>
      <c r="AR1829" s="31"/>
      <c r="AS1829" s="94"/>
      <c r="AT1829" s="31"/>
      <c r="AU1829" s="31"/>
      <c r="AV1829" s="94"/>
      <c r="AW1829" s="32"/>
      <c r="AX1829" s="32"/>
      <c r="AY1829" s="32"/>
      <c r="AZ1829" s="32"/>
      <c r="BA1829" s="32"/>
      <c r="BB1829" s="31"/>
      <c r="BC1829" s="31"/>
      <c r="BD1829" s="31"/>
      <c r="BE1829" s="31"/>
      <c r="BF1829" s="96"/>
    </row>
    <row r="1830" spans="1:69" x14ac:dyDescent="0.35">
      <c r="A1830"/>
      <c r="D1830"/>
      <c r="G1830"/>
      <c r="H1830" s="20"/>
      <c r="I1830" s="20"/>
      <c r="J1830" s="20"/>
      <c r="K1830" s="20"/>
      <c r="L1830" s="20"/>
      <c r="Q1830" s="83"/>
      <c r="Y1830" s="20"/>
      <c r="AP1830" s="92"/>
      <c r="AQ1830" s="67"/>
      <c r="AR1830" s="67"/>
      <c r="AS1830" s="73"/>
      <c r="AT1830" s="67"/>
      <c r="AU1830" s="67"/>
      <c r="AV1830" s="73"/>
      <c r="AW1830" s="68"/>
      <c r="AX1830" s="68"/>
      <c r="AY1830" s="68"/>
      <c r="AZ1830" s="68"/>
      <c r="BA1830" s="68"/>
      <c r="BB1830" s="67"/>
      <c r="BC1830" s="67"/>
      <c r="BD1830" s="67"/>
      <c r="BE1830" s="67"/>
      <c r="BF1830" s="95"/>
    </row>
    <row r="1831" spans="1:69" x14ac:dyDescent="0.35">
      <c r="A1831"/>
      <c r="D1831"/>
      <c r="G1831"/>
      <c r="H1831" s="20"/>
      <c r="I1831" s="20"/>
      <c r="J1831" s="20"/>
      <c r="K1831" s="20"/>
      <c r="L1831" s="20"/>
      <c r="Q1831" s="83"/>
      <c r="Y1831" s="20"/>
      <c r="AP1831" s="93"/>
      <c r="AQ1831" s="31"/>
      <c r="AR1831" s="31"/>
      <c r="AS1831" s="94"/>
      <c r="AT1831" s="31"/>
      <c r="AU1831" s="31"/>
      <c r="AV1831" s="94"/>
      <c r="AW1831" s="32"/>
      <c r="AX1831" s="32"/>
      <c r="AY1831" s="32"/>
      <c r="AZ1831" s="32"/>
      <c r="BA1831" s="32"/>
      <c r="BB1831" s="31"/>
      <c r="BC1831" s="31"/>
      <c r="BD1831" s="31"/>
      <c r="BE1831" s="31"/>
      <c r="BF1831" s="96"/>
    </row>
    <row r="1832" spans="1:69" x14ac:dyDescent="0.35">
      <c r="A1832"/>
      <c r="D1832"/>
      <c r="G1832"/>
      <c r="H1832" s="20"/>
      <c r="I1832" s="20"/>
      <c r="J1832" s="20"/>
      <c r="K1832" s="20"/>
      <c r="L1832" s="20"/>
      <c r="Q1832" s="83"/>
      <c r="Y1832" s="20"/>
      <c r="AP1832" s="92"/>
      <c r="AQ1832" s="67"/>
      <c r="AR1832" s="67"/>
      <c r="AS1832" s="73"/>
      <c r="AT1832" s="67"/>
      <c r="AU1832" s="67"/>
      <c r="AV1832" s="73"/>
      <c r="AW1832" s="68"/>
      <c r="AX1832" s="68"/>
      <c r="AY1832" s="68"/>
      <c r="AZ1832" s="68"/>
      <c r="BA1832" s="68"/>
      <c r="BB1832" s="67"/>
      <c r="BC1832" s="67"/>
      <c r="BD1832" s="67"/>
      <c r="BE1832" s="67"/>
      <c r="BF1832" s="95"/>
    </row>
    <row r="1833" spans="1:69" x14ac:dyDescent="0.35">
      <c r="A1833"/>
      <c r="D1833"/>
      <c r="G1833"/>
      <c r="H1833" s="20"/>
      <c r="I1833" s="20"/>
      <c r="J1833" s="20"/>
      <c r="K1833" s="20"/>
      <c r="L1833" s="20"/>
      <c r="Q1833" s="83"/>
      <c r="Y1833" s="20"/>
      <c r="AP1833" s="93"/>
      <c r="AQ1833" s="31"/>
      <c r="AR1833" s="31"/>
      <c r="AS1833" s="94"/>
      <c r="AT1833" s="31"/>
      <c r="AU1833" s="31"/>
      <c r="AV1833" s="94"/>
      <c r="AW1833" s="32"/>
      <c r="AX1833" s="32"/>
      <c r="AY1833" s="32"/>
      <c r="AZ1833" s="32"/>
      <c r="BA1833" s="32"/>
      <c r="BB1833" s="31"/>
      <c r="BC1833" s="31"/>
      <c r="BD1833" s="31"/>
      <c r="BE1833" s="31"/>
      <c r="BF1833" s="96"/>
    </row>
    <row r="1834" spans="1:69" x14ac:dyDescent="0.35">
      <c r="A1834"/>
      <c r="D1834"/>
      <c r="G1834"/>
      <c r="H1834" s="20"/>
      <c r="I1834" s="20"/>
      <c r="J1834" s="20"/>
      <c r="K1834" s="20"/>
      <c r="L1834" s="20"/>
      <c r="Q1834" s="83"/>
      <c r="Y1834" s="20"/>
      <c r="AP1834" s="92"/>
      <c r="AQ1834" s="67"/>
      <c r="AR1834" s="67"/>
      <c r="AS1834" s="73"/>
      <c r="AT1834" s="67"/>
      <c r="AU1834" s="67"/>
      <c r="AV1834" s="73"/>
      <c r="AW1834" s="68"/>
      <c r="AX1834" s="68"/>
      <c r="AY1834" s="68"/>
      <c r="AZ1834" s="68"/>
      <c r="BA1834" s="68"/>
      <c r="BB1834" s="67"/>
      <c r="BC1834" s="67"/>
      <c r="BD1834" s="67"/>
      <c r="BE1834" s="67"/>
      <c r="BF1834" s="95"/>
    </row>
    <row r="1835" spans="1:69" x14ac:dyDescent="0.35">
      <c r="A1835"/>
      <c r="D1835"/>
      <c r="G1835"/>
      <c r="H1835" s="20"/>
      <c r="I1835" s="20"/>
      <c r="J1835" s="20"/>
      <c r="K1835" s="20"/>
      <c r="L1835" s="20"/>
      <c r="Q1835" s="83"/>
      <c r="Y1835" s="20"/>
      <c r="AP1835" s="93"/>
      <c r="AQ1835" s="31"/>
      <c r="AR1835" s="31"/>
      <c r="AS1835" s="94"/>
      <c r="AT1835" s="31"/>
      <c r="AU1835" s="31"/>
      <c r="AV1835" s="94"/>
      <c r="AW1835" s="32"/>
      <c r="AX1835" s="32"/>
      <c r="AY1835" s="32"/>
      <c r="AZ1835" s="32"/>
      <c r="BA1835" s="32"/>
      <c r="BB1835" s="31"/>
      <c r="BC1835" s="31"/>
      <c r="BD1835" s="31"/>
      <c r="BE1835" s="31"/>
      <c r="BF1835" s="96"/>
    </row>
    <row r="1836" spans="1:69" x14ac:dyDescent="0.35">
      <c r="A1836"/>
      <c r="D1836"/>
      <c r="G1836"/>
      <c r="H1836" s="20"/>
      <c r="I1836" s="20"/>
      <c r="J1836" s="20"/>
      <c r="K1836" s="20"/>
      <c r="L1836" s="20"/>
      <c r="Q1836" s="83"/>
      <c r="Y1836" s="20"/>
      <c r="AP1836" s="92"/>
      <c r="AQ1836" s="67"/>
      <c r="AR1836" s="67"/>
      <c r="AS1836" s="73"/>
      <c r="AT1836" s="67"/>
      <c r="AU1836" s="67"/>
      <c r="AV1836" s="73"/>
      <c r="AW1836" s="68"/>
      <c r="AX1836" s="68"/>
      <c r="AY1836" s="68"/>
      <c r="AZ1836" s="68"/>
      <c r="BA1836" s="68"/>
      <c r="BB1836" s="67"/>
      <c r="BC1836" s="67"/>
      <c r="BD1836" s="67"/>
      <c r="BE1836" s="67"/>
      <c r="BF1836" s="95"/>
    </row>
    <row r="1837" spans="1:69" x14ac:dyDescent="0.35">
      <c r="A1837"/>
      <c r="D1837"/>
      <c r="G1837"/>
      <c r="H1837" s="20"/>
      <c r="I1837" s="20"/>
      <c r="J1837" s="20"/>
      <c r="K1837" s="20"/>
      <c r="L1837" s="20"/>
      <c r="Q1837" s="83"/>
      <c r="Y1837" s="20"/>
      <c r="AP1837" s="93"/>
      <c r="AQ1837" s="31"/>
      <c r="AR1837" s="31"/>
      <c r="AS1837" s="94"/>
      <c r="AT1837" s="31"/>
      <c r="AU1837" s="31"/>
      <c r="AV1837" s="94"/>
      <c r="AW1837" s="32"/>
      <c r="AX1837" s="32"/>
      <c r="AY1837" s="32"/>
      <c r="AZ1837" s="32"/>
      <c r="BA1837" s="32"/>
      <c r="BB1837" s="31"/>
      <c r="BC1837" s="31"/>
      <c r="BD1837" s="31"/>
      <c r="BE1837" s="31"/>
      <c r="BF1837" s="96"/>
    </row>
    <row r="1838" spans="1:69" x14ac:dyDescent="0.35">
      <c r="A1838"/>
      <c r="D1838"/>
      <c r="G1838"/>
      <c r="H1838" s="20"/>
      <c r="I1838" s="20"/>
      <c r="J1838" s="20"/>
      <c r="K1838" s="20"/>
      <c r="L1838" s="20"/>
      <c r="Q1838" s="83"/>
      <c r="Y1838" s="20"/>
      <c r="AP1838" s="92"/>
      <c r="AQ1838" s="67"/>
      <c r="AR1838" s="67"/>
      <c r="AS1838" s="73"/>
      <c r="AT1838" s="67"/>
      <c r="AU1838" s="67"/>
      <c r="AV1838" s="73"/>
      <c r="AW1838" s="68"/>
      <c r="AX1838" s="68"/>
      <c r="AY1838" s="68"/>
      <c r="AZ1838" s="68"/>
      <c r="BA1838" s="68"/>
      <c r="BB1838" s="67"/>
      <c r="BC1838" s="67"/>
      <c r="BD1838" s="67"/>
      <c r="BE1838" s="67"/>
      <c r="BF1838" s="95"/>
    </row>
    <row r="1839" spans="1:69" x14ac:dyDescent="0.35">
      <c r="A1839"/>
      <c r="D1839"/>
      <c r="G1839"/>
      <c r="H1839" s="20"/>
      <c r="I1839" s="20"/>
      <c r="J1839" s="20"/>
      <c r="K1839" s="20"/>
      <c r="L1839" s="20"/>
      <c r="Q1839" s="83"/>
      <c r="Y1839" s="20"/>
      <c r="AP1839" s="93"/>
      <c r="AQ1839" s="31"/>
      <c r="AR1839" s="31"/>
      <c r="AS1839" s="94"/>
      <c r="AT1839" s="31"/>
      <c r="AU1839" s="31"/>
      <c r="AV1839" s="94"/>
      <c r="AW1839" s="32"/>
      <c r="AX1839" s="32"/>
      <c r="AY1839" s="32"/>
      <c r="AZ1839" s="32"/>
      <c r="BA1839" s="32"/>
      <c r="BB1839" s="31"/>
      <c r="BC1839" s="31"/>
      <c r="BD1839" s="31"/>
      <c r="BE1839" s="31"/>
      <c r="BF1839" s="96"/>
    </row>
    <row r="1840" spans="1:69" x14ac:dyDescent="0.35">
      <c r="A1840"/>
      <c r="D1840"/>
      <c r="G1840"/>
      <c r="H1840" s="20"/>
      <c r="I1840" s="20"/>
      <c r="J1840" s="20"/>
      <c r="K1840" s="20"/>
      <c r="L1840" s="20"/>
      <c r="Q1840" s="83"/>
      <c r="Y1840" s="20"/>
      <c r="AP1840" s="92"/>
      <c r="AQ1840" s="67"/>
      <c r="AR1840" s="67"/>
      <c r="AS1840" s="73"/>
      <c r="AT1840" s="67"/>
      <c r="AU1840" s="67"/>
      <c r="AV1840" s="73"/>
      <c r="AW1840" s="68"/>
      <c r="AX1840" s="68"/>
      <c r="AY1840" s="68"/>
      <c r="AZ1840" s="68"/>
      <c r="BA1840" s="68"/>
      <c r="BB1840" s="67"/>
      <c r="BC1840" s="67"/>
      <c r="BD1840" s="67"/>
      <c r="BE1840" s="67"/>
      <c r="BF1840" s="95"/>
    </row>
    <row r="1841" spans="1:58" x14ac:dyDescent="0.35">
      <c r="A1841"/>
      <c r="D1841"/>
      <c r="G1841"/>
      <c r="H1841" s="20"/>
      <c r="I1841" s="20"/>
      <c r="J1841" s="20"/>
      <c r="K1841" s="20"/>
      <c r="L1841" s="20"/>
      <c r="Q1841" s="83"/>
      <c r="Y1841" s="20"/>
      <c r="AP1841" s="93"/>
      <c r="AQ1841" s="31"/>
      <c r="AR1841" s="31"/>
      <c r="AS1841" s="94"/>
      <c r="AT1841" s="31"/>
      <c r="AU1841" s="31"/>
      <c r="AV1841" s="94"/>
      <c r="AW1841" s="32"/>
      <c r="AX1841" s="32"/>
      <c r="AY1841" s="32"/>
      <c r="AZ1841" s="32"/>
      <c r="BA1841" s="32"/>
      <c r="BB1841" s="31"/>
      <c r="BC1841" s="31"/>
      <c r="BD1841" s="31"/>
      <c r="BE1841" s="31"/>
      <c r="BF1841" s="96"/>
    </row>
    <row r="1842" spans="1:58" x14ac:dyDescent="0.35">
      <c r="A1842"/>
      <c r="D1842"/>
      <c r="G1842"/>
      <c r="H1842" s="20"/>
      <c r="I1842" s="20"/>
      <c r="J1842" s="20"/>
      <c r="K1842" s="20"/>
      <c r="L1842" s="20"/>
      <c r="Q1842" s="83"/>
      <c r="Y1842" s="20"/>
      <c r="AP1842" s="92"/>
      <c r="AQ1842" s="67"/>
      <c r="AR1842" s="67"/>
      <c r="AS1842" s="73"/>
      <c r="AT1842" s="67"/>
      <c r="AU1842" s="67"/>
      <c r="AV1842" s="73"/>
      <c r="AW1842" s="68"/>
      <c r="AX1842" s="68"/>
      <c r="AY1842" s="68"/>
      <c r="AZ1842" s="68"/>
      <c r="BA1842" s="68"/>
      <c r="BB1842" s="67"/>
      <c r="BC1842" s="67"/>
      <c r="BD1842" s="67"/>
      <c r="BE1842" s="67"/>
      <c r="BF1842" s="95"/>
    </row>
    <row r="1843" spans="1:58" x14ac:dyDescent="0.35">
      <c r="A1843"/>
      <c r="D1843"/>
      <c r="G1843"/>
      <c r="H1843" s="20"/>
      <c r="I1843" s="20"/>
      <c r="J1843" s="20"/>
      <c r="K1843" s="20"/>
      <c r="L1843" s="20"/>
      <c r="Q1843" s="83"/>
      <c r="Y1843" s="20"/>
      <c r="AP1843" s="93"/>
      <c r="AQ1843" s="31"/>
      <c r="AR1843" s="31"/>
      <c r="AS1843" s="94"/>
      <c r="AT1843" s="31"/>
      <c r="AU1843" s="31"/>
      <c r="AV1843" s="94"/>
      <c r="AW1843" s="32"/>
      <c r="AX1843" s="32"/>
      <c r="AY1843" s="32"/>
      <c r="AZ1843" s="32"/>
      <c r="BA1843" s="32"/>
      <c r="BB1843" s="31"/>
      <c r="BC1843" s="31"/>
      <c r="BD1843" s="31"/>
      <c r="BE1843" s="31"/>
      <c r="BF1843" s="96"/>
    </row>
    <row r="1844" spans="1:58" x14ac:dyDescent="0.35">
      <c r="A1844"/>
      <c r="D1844"/>
      <c r="G1844"/>
      <c r="H1844" s="20"/>
      <c r="I1844" s="20"/>
      <c r="J1844" s="20"/>
      <c r="K1844" s="20"/>
      <c r="L1844" s="20"/>
      <c r="Q1844" s="83"/>
      <c r="Y1844" s="20"/>
      <c r="AP1844" s="92"/>
      <c r="AQ1844" s="67"/>
      <c r="AR1844" s="67"/>
      <c r="AS1844" s="73"/>
      <c r="AT1844" s="67"/>
      <c r="AU1844" s="67"/>
      <c r="AV1844" s="73"/>
      <c r="AW1844" s="68"/>
      <c r="AX1844" s="68"/>
      <c r="AY1844" s="68"/>
      <c r="AZ1844" s="68"/>
      <c r="BA1844" s="68"/>
      <c r="BB1844" s="67"/>
      <c r="BC1844" s="67"/>
      <c r="BD1844" s="67"/>
      <c r="BE1844" s="67"/>
      <c r="BF1844" s="95"/>
    </row>
    <row r="1845" spans="1:58" x14ac:dyDescent="0.35">
      <c r="A1845"/>
      <c r="D1845"/>
      <c r="G1845"/>
      <c r="H1845" s="20"/>
      <c r="I1845" s="20"/>
      <c r="J1845" s="20"/>
      <c r="K1845" s="20"/>
      <c r="L1845" s="20"/>
      <c r="Q1845" s="83"/>
      <c r="Y1845" s="20"/>
      <c r="AP1845" s="93"/>
      <c r="AQ1845" s="31"/>
      <c r="AR1845" s="31"/>
      <c r="AS1845" s="94"/>
      <c r="AT1845" s="31"/>
      <c r="AU1845" s="31"/>
      <c r="AV1845" s="94"/>
      <c r="AW1845" s="32"/>
      <c r="AX1845" s="32"/>
      <c r="AY1845" s="32"/>
      <c r="AZ1845" s="32"/>
      <c r="BA1845" s="32"/>
      <c r="BB1845" s="31"/>
      <c r="BC1845" s="31"/>
      <c r="BD1845" s="31"/>
      <c r="BE1845" s="31"/>
      <c r="BF1845" s="96"/>
    </row>
    <row r="1846" spans="1:58" x14ac:dyDescent="0.35">
      <c r="A1846"/>
      <c r="D1846"/>
      <c r="G1846"/>
      <c r="H1846" s="20"/>
      <c r="I1846" s="20"/>
      <c r="J1846" s="20"/>
      <c r="K1846" s="20"/>
      <c r="L1846" s="20"/>
      <c r="Q1846" s="83"/>
      <c r="Y1846" s="20"/>
      <c r="AP1846" s="92"/>
      <c r="AQ1846" s="67"/>
      <c r="AR1846" s="67"/>
      <c r="AS1846" s="73"/>
      <c r="AT1846" s="67"/>
      <c r="AU1846" s="67"/>
      <c r="AV1846" s="73"/>
      <c r="AW1846" s="68"/>
      <c r="AX1846" s="68"/>
      <c r="AY1846" s="68"/>
      <c r="AZ1846" s="68"/>
      <c r="BA1846" s="68"/>
      <c r="BB1846" s="67"/>
      <c r="BC1846" s="67"/>
      <c r="BD1846" s="67"/>
      <c r="BE1846" s="67"/>
      <c r="BF1846" s="95"/>
    </row>
    <row r="1847" spans="1:58" x14ac:dyDescent="0.35">
      <c r="A1847"/>
      <c r="D1847"/>
      <c r="G1847"/>
      <c r="H1847" s="20"/>
      <c r="I1847" s="20"/>
      <c r="J1847" s="20"/>
      <c r="K1847" s="20"/>
      <c r="L1847" s="20"/>
      <c r="Q1847" s="83"/>
      <c r="Y1847" s="20"/>
      <c r="AP1847" s="93"/>
      <c r="AQ1847" s="31"/>
      <c r="AR1847" s="31"/>
      <c r="AS1847" s="94"/>
      <c r="AT1847" s="31"/>
      <c r="AU1847" s="31"/>
      <c r="AV1847" s="94"/>
      <c r="AW1847" s="32"/>
      <c r="AX1847" s="32"/>
      <c r="AY1847" s="32"/>
      <c r="AZ1847" s="32"/>
      <c r="BA1847" s="32"/>
      <c r="BB1847" s="31"/>
      <c r="BC1847" s="31"/>
      <c r="BD1847" s="31"/>
      <c r="BE1847" s="31"/>
      <c r="BF1847" s="96"/>
    </row>
    <row r="1848" spans="1:58" x14ac:dyDescent="0.35">
      <c r="A1848"/>
      <c r="D1848"/>
      <c r="G1848"/>
      <c r="H1848" s="20"/>
      <c r="I1848" s="20"/>
      <c r="J1848" s="20"/>
      <c r="K1848" s="20"/>
      <c r="L1848" s="20"/>
      <c r="Q1848" s="83"/>
      <c r="Y1848" s="20"/>
      <c r="AP1848" s="92"/>
      <c r="AQ1848" s="67"/>
      <c r="AR1848" s="67"/>
      <c r="AS1848" s="73"/>
      <c r="AT1848" s="67"/>
      <c r="AU1848" s="67"/>
      <c r="AV1848" s="73"/>
      <c r="AW1848" s="68"/>
      <c r="AX1848" s="68"/>
      <c r="AY1848" s="68"/>
      <c r="AZ1848" s="68"/>
      <c r="BA1848" s="68"/>
      <c r="BB1848" s="67"/>
      <c r="BC1848" s="67"/>
      <c r="BD1848" s="67"/>
      <c r="BE1848" s="67"/>
      <c r="BF1848" s="95"/>
    </row>
    <row r="1849" spans="1:58" x14ac:dyDescent="0.35">
      <c r="A1849"/>
      <c r="D1849"/>
      <c r="G1849"/>
      <c r="H1849" s="20"/>
      <c r="I1849" s="20"/>
      <c r="J1849" s="20"/>
      <c r="K1849" s="20"/>
      <c r="L1849" s="20"/>
      <c r="Q1849" s="83"/>
      <c r="Y1849" s="20"/>
      <c r="AP1849" s="93"/>
      <c r="AQ1849" s="31"/>
      <c r="AR1849" s="31"/>
      <c r="AS1849" s="94"/>
      <c r="AT1849" s="31"/>
      <c r="AU1849" s="31"/>
      <c r="AV1849" s="94"/>
      <c r="AW1849" s="32"/>
      <c r="AX1849" s="32"/>
      <c r="AY1849" s="32"/>
      <c r="AZ1849" s="32"/>
      <c r="BA1849" s="32"/>
      <c r="BB1849" s="31"/>
      <c r="BC1849" s="31"/>
      <c r="BD1849" s="31"/>
      <c r="BE1849" s="31"/>
      <c r="BF1849" s="96"/>
    </row>
    <row r="1850" spans="1:58" x14ac:dyDescent="0.35">
      <c r="A1850"/>
      <c r="D1850"/>
      <c r="G1850"/>
      <c r="H1850" s="20"/>
      <c r="I1850" s="20"/>
      <c r="J1850" s="20"/>
      <c r="K1850" s="20"/>
      <c r="L1850" s="20"/>
      <c r="Q1850" s="83"/>
      <c r="Y1850" s="20"/>
      <c r="AP1850" s="92"/>
      <c r="AQ1850" s="67"/>
      <c r="AR1850" s="67"/>
      <c r="AS1850" s="73"/>
      <c r="AT1850" s="67"/>
      <c r="AU1850" s="67"/>
      <c r="AV1850" s="73"/>
      <c r="AW1850" s="68"/>
      <c r="AX1850" s="68"/>
      <c r="AY1850" s="68"/>
      <c r="AZ1850" s="68"/>
      <c r="BA1850" s="68"/>
      <c r="BB1850" s="67"/>
      <c r="BC1850" s="67"/>
      <c r="BD1850" s="67"/>
      <c r="BE1850" s="67"/>
      <c r="BF1850" s="95"/>
    </row>
    <row r="1851" spans="1:58" x14ac:dyDescent="0.35">
      <c r="A1851"/>
      <c r="D1851"/>
      <c r="G1851"/>
      <c r="H1851" s="20"/>
      <c r="I1851" s="20"/>
      <c r="J1851" s="20"/>
      <c r="K1851" s="20"/>
      <c r="L1851" s="20"/>
      <c r="Q1851" s="83"/>
      <c r="Y1851" s="20"/>
      <c r="AP1851" s="93"/>
      <c r="AQ1851" s="31"/>
      <c r="AR1851" s="31"/>
      <c r="AS1851" s="94"/>
      <c r="AT1851" s="31"/>
      <c r="AU1851" s="31"/>
      <c r="AV1851" s="94"/>
      <c r="AW1851" s="32"/>
      <c r="AX1851" s="32"/>
      <c r="AY1851" s="32"/>
      <c r="AZ1851" s="32"/>
      <c r="BA1851" s="32"/>
      <c r="BB1851" s="31"/>
      <c r="BC1851" s="31"/>
      <c r="BD1851" s="31"/>
      <c r="BE1851" s="31"/>
      <c r="BF1851" s="96"/>
    </row>
    <row r="1852" spans="1:58" x14ac:dyDescent="0.35">
      <c r="A1852"/>
      <c r="D1852"/>
      <c r="G1852"/>
      <c r="H1852" s="20"/>
      <c r="I1852" s="20"/>
      <c r="J1852" s="20"/>
      <c r="K1852" s="20"/>
      <c r="L1852" s="20"/>
      <c r="Q1852" s="83"/>
      <c r="Y1852" s="20"/>
      <c r="AP1852" s="92"/>
      <c r="AQ1852" s="67"/>
      <c r="AR1852" s="67"/>
      <c r="AS1852" s="73"/>
      <c r="AT1852" s="67"/>
      <c r="AU1852" s="67"/>
      <c r="AV1852" s="73"/>
      <c r="AW1852" s="68"/>
      <c r="AX1852" s="68"/>
      <c r="AY1852" s="68"/>
      <c r="AZ1852" s="68"/>
      <c r="BA1852" s="68"/>
      <c r="BB1852" s="67"/>
      <c r="BC1852" s="67"/>
      <c r="BD1852" s="67"/>
      <c r="BE1852" s="67"/>
      <c r="BF1852" s="95"/>
    </row>
    <row r="1853" spans="1:58" x14ac:dyDescent="0.35">
      <c r="A1853"/>
      <c r="D1853"/>
      <c r="G1853"/>
      <c r="H1853" s="20"/>
      <c r="I1853" s="20"/>
      <c r="J1853" s="20"/>
      <c r="K1853" s="20"/>
      <c r="L1853" s="20"/>
      <c r="Q1853" s="83"/>
      <c r="Y1853" s="20"/>
      <c r="AP1853" s="93"/>
      <c r="AQ1853" s="31"/>
      <c r="AR1853" s="31"/>
      <c r="AS1853" s="94"/>
      <c r="AT1853" s="31"/>
      <c r="AU1853" s="31"/>
      <c r="AV1853" s="94"/>
      <c r="AW1853" s="32"/>
      <c r="AX1853" s="32"/>
      <c r="AY1853" s="32"/>
      <c r="AZ1853" s="32"/>
      <c r="BA1853" s="32"/>
      <c r="BB1853" s="31"/>
      <c r="BC1853" s="31"/>
      <c r="BD1853" s="31"/>
      <c r="BE1853" s="31"/>
      <c r="BF1853" s="96"/>
    </row>
    <row r="1854" spans="1:58" x14ac:dyDescent="0.35">
      <c r="A1854"/>
      <c r="D1854"/>
      <c r="G1854"/>
      <c r="H1854" s="20"/>
      <c r="I1854" s="20"/>
      <c r="J1854" s="20"/>
      <c r="K1854" s="20"/>
      <c r="L1854" s="20"/>
      <c r="Q1854" s="83"/>
      <c r="Y1854" s="20"/>
      <c r="AP1854" s="92"/>
      <c r="AQ1854" s="67"/>
      <c r="AR1854" s="67"/>
      <c r="AS1854" s="73"/>
      <c r="AT1854" s="67"/>
      <c r="AU1854" s="67"/>
      <c r="AV1854" s="73"/>
      <c r="AW1854" s="68"/>
      <c r="AX1854" s="68"/>
      <c r="AY1854" s="68"/>
      <c r="AZ1854" s="68"/>
      <c r="BA1854" s="68"/>
      <c r="BB1854" s="67"/>
      <c r="BC1854" s="67"/>
      <c r="BD1854" s="67"/>
      <c r="BE1854" s="67"/>
      <c r="BF1854" s="95"/>
    </row>
    <row r="1855" spans="1:58" x14ac:dyDescent="0.35">
      <c r="A1855"/>
      <c r="D1855"/>
      <c r="G1855"/>
      <c r="H1855" s="20"/>
      <c r="I1855" s="20"/>
      <c r="J1855" s="20"/>
      <c r="K1855" s="20"/>
      <c r="L1855" s="20"/>
      <c r="Q1855" s="83"/>
      <c r="Y1855" s="20"/>
      <c r="AP1855" s="93"/>
      <c r="AQ1855" s="31"/>
      <c r="AR1855" s="31"/>
      <c r="AS1855" s="94"/>
      <c r="AT1855" s="31"/>
      <c r="AU1855" s="31"/>
      <c r="AV1855" s="94"/>
      <c r="AW1855" s="32"/>
      <c r="AX1855" s="32"/>
      <c r="AY1855" s="32"/>
      <c r="AZ1855" s="32"/>
      <c r="BA1855" s="32"/>
      <c r="BB1855" s="31"/>
      <c r="BC1855" s="31"/>
      <c r="BD1855" s="31"/>
      <c r="BE1855" s="31"/>
      <c r="BF1855" s="96"/>
    </row>
    <row r="1856" spans="1:58" x14ac:dyDescent="0.35">
      <c r="A1856"/>
      <c r="D1856"/>
      <c r="G1856"/>
      <c r="H1856" s="20"/>
      <c r="I1856" s="20"/>
      <c r="J1856" s="20"/>
      <c r="K1856" s="20"/>
      <c r="L1856" s="20"/>
      <c r="Q1856" s="83"/>
      <c r="Y1856" s="20"/>
      <c r="AP1856" s="92"/>
      <c r="AQ1856" s="67"/>
      <c r="AR1856" s="67"/>
      <c r="AS1856" s="73"/>
      <c r="AT1856" s="67"/>
      <c r="AU1856" s="67"/>
      <c r="AV1856" s="73"/>
      <c r="AW1856" s="68"/>
      <c r="AX1856" s="68"/>
      <c r="AY1856" s="68"/>
      <c r="AZ1856" s="68"/>
      <c r="BA1856" s="68"/>
      <c r="BB1856" s="67"/>
      <c r="BC1856" s="67"/>
      <c r="BD1856" s="67"/>
      <c r="BE1856" s="67"/>
      <c r="BF1856" s="95"/>
    </row>
    <row r="1857" spans="1:58" x14ac:dyDescent="0.35">
      <c r="A1857"/>
      <c r="D1857"/>
      <c r="G1857"/>
      <c r="H1857" s="20"/>
      <c r="I1857" s="20"/>
      <c r="J1857" s="20"/>
      <c r="K1857" s="20"/>
      <c r="L1857" s="20"/>
      <c r="Q1857" s="83"/>
      <c r="Y1857" s="20"/>
      <c r="AP1857" s="93"/>
      <c r="AQ1857" s="31"/>
      <c r="AR1857" s="31"/>
      <c r="AS1857" s="94"/>
      <c r="AT1857" s="31"/>
      <c r="AU1857" s="31"/>
      <c r="AV1857" s="94"/>
      <c r="AW1857" s="32"/>
      <c r="AX1857" s="32"/>
      <c r="AY1857" s="32"/>
      <c r="AZ1857" s="32"/>
      <c r="BA1857" s="32"/>
      <c r="BB1857" s="31"/>
      <c r="BC1857" s="31"/>
      <c r="BD1857" s="31"/>
      <c r="BE1857" s="31"/>
      <c r="BF1857" s="96"/>
    </row>
    <row r="1858" spans="1:58" x14ac:dyDescent="0.35">
      <c r="A1858"/>
      <c r="D1858"/>
      <c r="G1858"/>
      <c r="H1858" s="20"/>
      <c r="I1858" s="20"/>
      <c r="J1858" s="20"/>
      <c r="K1858" s="20"/>
      <c r="L1858" s="20"/>
      <c r="Q1858" s="83"/>
      <c r="Y1858" s="20"/>
      <c r="AP1858" s="92"/>
      <c r="AQ1858" s="67"/>
      <c r="AR1858" s="67"/>
      <c r="AS1858" s="73"/>
      <c r="AT1858" s="67"/>
      <c r="AU1858" s="67"/>
      <c r="AV1858" s="73"/>
      <c r="AW1858" s="68"/>
      <c r="AX1858" s="68"/>
      <c r="AY1858" s="68"/>
      <c r="AZ1858" s="68"/>
      <c r="BA1858" s="68"/>
      <c r="BB1858" s="67"/>
      <c r="BC1858" s="67"/>
      <c r="BD1858" s="67"/>
      <c r="BE1858" s="67"/>
      <c r="BF1858" s="95"/>
    </row>
    <row r="1859" spans="1:58" x14ac:dyDescent="0.35">
      <c r="A1859"/>
      <c r="D1859"/>
      <c r="G1859"/>
      <c r="H1859" s="20"/>
      <c r="I1859" s="20"/>
      <c r="J1859" s="20"/>
      <c r="K1859" s="20"/>
      <c r="L1859" s="20"/>
      <c r="Q1859" s="83"/>
      <c r="Y1859" s="20"/>
      <c r="AP1859" s="93"/>
      <c r="AQ1859" s="31"/>
      <c r="AR1859" s="31"/>
      <c r="AS1859" s="94"/>
      <c r="AT1859" s="31"/>
      <c r="AU1859" s="31"/>
      <c r="AV1859" s="94"/>
      <c r="AW1859" s="32"/>
      <c r="AX1859" s="32"/>
      <c r="AY1859" s="32"/>
      <c r="AZ1859" s="32"/>
      <c r="BA1859" s="32"/>
      <c r="BB1859" s="31"/>
      <c r="BC1859" s="31"/>
      <c r="BD1859" s="31"/>
      <c r="BE1859" s="31"/>
      <c r="BF1859" s="96"/>
    </row>
    <row r="1860" spans="1:58" x14ac:dyDescent="0.35">
      <c r="A1860"/>
      <c r="D1860"/>
      <c r="G1860"/>
      <c r="H1860" s="20"/>
      <c r="I1860" s="20"/>
      <c r="J1860" s="20"/>
      <c r="K1860" s="20"/>
      <c r="L1860" s="20"/>
      <c r="Q1860" s="83"/>
      <c r="Y1860" s="20"/>
      <c r="AP1860" s="92"/>
      <c r="AQ1860" s="67"/>
      <c r="AR1860" s="67"/>
      <c r="AS1860" s="73"/>
      <c r="AT1860" s="67"/>
      <c r="AU1860" s="67"/>
      <c r="AV1860" s="73"/>
      <c r="AW1860" s="68"/>
      <c r="AX1860" s="68"/>
      <c r="AY1860" s="68"/>
      <c r="AZ1860" s="68"/>
      <c r="BA1860" s="68"/>
      <c r="BB1860" s="67"/>
      <c r="BC1860" s="67"/>
      <c r="BD1860" s="67"/>
      <c r="BE1860" s="67"/>
      <c r="BF1860" s="95"/>
    </row>
    <row r="1861" spans="1:58" x14ac:dyDescent="0.35">
      <c r="A1861"/>
      <c r="D1861"/>
      <c r="G1861"/>
      <c r="H1861" s="20"/>
      <c r="I1861" s="20"/>
      <c r="J1861" s="20"/>
      <c r="K1861" s="20"/>
      <c r="L1861" s="20"/>
      <c r="Q1861" s="83"/>
      <c r="Y1861" s="20"/>
      <c r="AP1861" s="93"/>
      <c r="AQ1861" s="31"/>
      <c r="AR1861" s="31"/>
      <c r="AS1861" s="94"/>
      <c r="AT1861" s="31"/>
      <c r="AU1861" s="31"/>
      <c r="AV1861" s="94"/>
      <c r="AW1861" s="32"/>
      <c r="AX1861" s="32"/>
      <c r="AY1861" s="32"/>
      <c r="AZ1861" s="32"/>
      <c r="BA1861" s="32"/>
      <c r="BB1861" s="31"/>
      <c r="BC1861" s="31"/>
      <c r="BD1861" s="31"/>
      <c r="BE1861" s="31"/>
      <c r="BF1861" s="96"/>
    </row>
    <row r="1862" spans="1:58" x14ac:dyDescent="0.35">
      <c r="A1862"/>
      <c r="D1862"/>
      <c r="G1862"/>
      <c r="H1862" s="20"/>
      <c r="I1862" s="20"/>
      <c r="J1862" s="20"/>
      <c r="K1862" s="20"/>
      <c r="L1862" s="20"/>
      <c r="Q1862" s="83"/>
      <c r="Y1862" s="20"/>
      <c r="AP1862" s="92"/>
      <c r="AQ1862" s="67"/>
      <c r="AR1862" s="67"/>
      <c r="AS1862" s="73"/>
      <c r="AT1862" s="67"/>
      <c r="AU1862" s="67"/>
      <c r="AV1862" s="73"/>
      <c r="AW1862" s="68"/>
      <c r="AX1862" s="68"/>
      <c r="AY1862" s="68"/>
      <c r="AZ1862" s="68"/>
      <c r="BA1862" s="68"/>
      <c r="BB1862" s="67"/>
      <c r="BC1862" s="67"/>
      <c r="BD1862" s="67"/>
      <c r="BE1862" s="67"/>
      <c r="BF1862" s="95"/>
    </row>
    <row r="1863" spans="1:58" x14ac:dyDescent="0.35">
      <c r="A1863"/>
      <c r="D1863"/>
      <c r="G1863"/>
      <c r="H1863" s="20"/>
      <c r="I1863" s="20"/>
      <c r="J1863" s="20"/>
      <c r="K1863" s="20"/>
      <c r="L1863" s="20"/>
      <c r="Q1863" s="83"/>
      <c r="Y1863" s="20"/>
      <c r="AP1863" s="93"/>
      <c r="AQ1863" s="31"/>
      <c r="AR1863" s="31"/>
      <c r="AS1863" s="94"/>
      <c r="AT1863" s="31"/>
      <c r="AU1863" s="31"/>
      <c r="AV1863" s="94"/>
      <c r="AW1863" s="32"/>
      <c r="AX1863" s="32"/>
      <c r="AY1863" s="32"/>
      <c r="AZ1863" s="32"/>
      <c r="BA1863" s="32"/>
      <c r="BB1863" s="31"/>
      <c r="BC1863" s="31"/>
      <c r="BD1863" s="31"/>
      <c r="BE1863" s="31"/>
      <c r="BF1863" s="96"/>
    </row>
    <row r="1864" spans="1:58" x14ac:dyDescent="0.35">
      <c r="A1864"/>
      <c r="D1864"/>
      <c r="G1864"/>
      <c r="H1864" s="20"/>
      <c r="I1864" s="20"/>
      <c r="J1864" s="20"/>
      <c r="K1864" s="20"/>
      <c r="L1864" s="20"/>
      <c r="Q1864" s="83"/>
      <c r="Y1864" s="20"/>
      <c r="AP1864" s="92"/>
      <c r="AQ1864" s="67"/>
      <c r="AR1864" s="67"/>
      <c r="AS1864" s="73"/>
      <c r="AT1864" s="67"/>
      <c r="AU1864" s="67"/>
      <c r="AV1864" s="73"/>
      <c r="AW1864" s="68"/>
      <c r="AX1864" s="68"/>
      <c r="AY1864" s="68"/>
      <c r="AZ1864" s="68"/>
      <c r="BA1864" s="68"/>
      <c r="BB1864" s="67"/>
      <c r="BC1864" s="67"/>
      <c r="BD1864" s="67"/>
      <c r="BE1864" s="67"/>
      <c r="BF1864" s="95"/>
    </row>
    <row r="1865" spans="1:58" x14ac:dyDescent="0.35">
      <c r="A1865"/>
      <c r="D1865"/>
      <c r="G1865"/>
      <c r="H1865" s="20"/>
      <c r="I1865" s="20"/>
      <c r="J1865" s="20"/>
      <c r="K1865" s="20"/>
      <c r="L1865" s="20"/>
      <c r="Q1865" s="83"/>
      <c r="Y1865" s="20"/>
      <c r="AP1865" s="93"/>
      <c r="AQ1865" s="31"/>
      <c r="AR1865" s="31"/>
      <c r="AS1865" s="94"/>
      <c r="AT1865" s="31"/>
      <c r="AU1865" s="31"/>
      <c r="AV1865" s="94"/>
      <c r="AW1865" s="32"/>
      <c r="AX1865" s="32"/>
      <c r="AY1865" s="32"/>
      <c r="AZ1865" s="32"/>
      <c r="BA1865" s="32"/>
      <c r="BB1865" s="31"/>
      <c r="BC1865" s="31"/>
      <c r="BD1865" s="31"/>
      <c r="BE1865" s="31"/>
      <c r="BF1865" s="96"/>
    </row>
    <row r="1866" spans="1:58" x14ac:dyDescent="0.35">
      <c r="A1866"/>
      <c r="D1866"/>
      <c r="G1866"/>
      <c r="H1866" s="20"/>
      <c r="I1866" s="20"/>
      <c r="J1866" s="20"/>
      <c r="K1866" s="20"/>
      <c r="L1866" s="20"/>
      <c r="Q1866" s="83"/>
      <c r="Y1866" s="20"/>
      <c r="AP1866" s="92"/>
      <c r="AQ1866" s="67"/>
      <c r="AR1866" s="67"/>
      <c r="AS1866" s="73"/>
      <c r="AT1866" s="67"/>
      <c r="AU1866" s="67"/>
      <c r="AV1866" s="73"/>
      <c r="AW1866" s="68"/>
      <c r="AX1866" s="68"/>
      <c r="AY1866" s="68"/>
      <c r="AZ1866" s="68"/>
      <c r="BA1866" s="68"/>
      <c r="BB1866" s="67"/>
      <c r="BC1866" s="67"/>
      <c r="BD1866" s="67"/>
      <c r="BE1866" s="67"/>
      <c r="BF1866" s="95"/>
    </row>
    <row r="1867" spans="1:58" x14ac:dyDescent="0.35">
      <c r="A1867"/>
      <c r="D1867"/>
      <c r="G1867"/>
      <c r="H1867" s="20"/>
      <c r="I1867" s="20"/>
      <c r="J1867" s="20"/>
      <c r="K1867" s="20"/>
      <c r="L1867" s="20"/>
      <c r="Q1867" s="83"/>
      <c r="Y1867" s="20"/>
      <c r="AP1867" s="93"/>
      <c r="AQ1867" s="31"/>
      <c r="AR1867" s="31"/>
      <c r="AS1867" s="94"/>
      <c r="AT1867" s="31"/>
      <c r="AU1867" s="31"/>
      <c r="AV1867" s="94"/>
      <c r="AW1867" s="32"/>
      <c r="AX1867" s="32"/>
      <c r="AY1867" s="32"/>
      <c r="AZ1867" s="32"/>
      <c r="BA1867" s="32"/>
      <c r="BB1867" s="31"/>
      <c r="BC1867" s="31"/>
      <c r="BD1867" s="31"/>
      <c r="BE1867" s="31"/>
      <c r="BF1867" s="96"/>
    </row>
    <row r="1868" spans="1:58" x14ac:dyDescent="0.35">
      <c r="A1868"/>
      <c r="D1868"/>
      <c r="G1868"/>
      <c r="H1868" s="20"/>
      <c r="I1868" s="20"/>
      <c r="J1868" s="20"/>
      <c r="K1868" s="20"/>
      <c r="L1868" s="20"/>
      <c r="Q1868" s="83"/>
      <c r="Y1868" s="20"/>
      <c r="AP1868" s="92"/>
      <c r="AQ1868" s="67"/>
      <c r="AR1868" s="67"/>
      <c r="AS1868" s="73"/>
      <c r="AT1868" s="67"/>
      <c r="AU1868" s="67"/>
      <c r="AV1868" s="73"/>
      <c r="AW1868" s="68"/>
      <c r="AX1868" s="68"/>
      <c r="AY1868" s="68"/>
      <c r="AZ1868" s="68"/>
      <c r="BA1868" s="68"/>
      <c r="BB1868" s="67"/>
      <c r="BC1868" s="67"/>
      <c r="BD1868" s="67"/>
      <c r="BE1868" s="67"/>
      <c r="BF1868" s="95"/>
    </row>
    <row r="1869" spans="1:58" x14ac:dyDescent="0.35">
      <c r="A1869"/>
      <c r="D1869"/>
      <c r="G1869"/>
      <c r="H1869" s="20"/>
      <c r="I1869" s="20"/>
      <c r="J1869" s="20"/>
      <c r="K1869" s="20"/>
      <c r="L1869" s="20"/>
      <c r="Q1869" s="83"/>
      <c r="Y1869" s="20"/>
      <c r="AP1869" s="93"/>
      <c r="AQ1869" s="31"/>
      <c r="AR1869" s="31"/>
      <c r="AS1869" s="94"/>
      <c r="AT1869" s="31"/>
      <c r="AU1869" s="31"/>
      <c r="AV1869" s="94"/>
      <c r="AW1869" s="32"/>
      <c r="AX1869" s="32"/>
      <c r="AY1869" s="32"/>
      <c r="AZ1869" s="32"/>
      <c r="BA1869" s="32"/>
      <c r="BB1869" s="31"/>
      <c r="BC1869" s="31"/>
      <c r="BD1869" s="31"/>
      <c r="BE1869" s="31"/>
      <c r="BF1869" s="96"/>
    </row>
    <row r="1870" spans="1:58" x14ac:dyDescent="0.35">
      <c r="A1870"/>
      <c r="D1870"/>
      <c r="G1870"/>
      <c r="H1870" s="20"/>
      <c r="I1870" s="20"/>
      <c r="J1870" s="20"/>
      <c r="K1870" s="20"/>
      <c r="L1870" s="20"/>
      <c r="Q1870" s="83"/>
      <c r="Y1870" s="20"/>
      <c r="AP1870" s="92"/>
      <c r="AQ1870" s="67"/>
      <c r="AR1870" s="67"/>
      <c r="AS1870" s="73"/>
      <c r="AT1870" s="67"/>
      <c r="AU1870" s="67"/>
      <c r="AV1870" s="73"/>
      <c r="AW1870" s="68"/>
      <c r="AX1870" s="68"/>
      <c r="AY1870" s="68"/>
      <c r="AZ1870" s="68"/>
      <c r="BA1870" s="68"/>
      <c r="BB1870" s="67"/>
      <c r="BC1870" s="67"/>
      <c r="BD1870" s="67"/>
      <c r="BE1870" s="67"/>
      <c r="BF1870" s="95"/>
    </row>
    <row r="1871" spans="1:58" x14ac:dyDescent="0.35">
      <c r="A1871"/>
      <c r="D1871"/>
      <c r="G1871"/>
      <c r="H1871" s="20"/>
      <c r="I1871" s="20"/>
      <c r="J1871" s="20"/>
      <c r="K1871" s="20"/>
      <c r="L1871" s="20"/>
      <c r="Q1871" s="83"/>
      <c r="Y1871" s="20"/>
      <c r="AP1871" s="93"/>
      <c r="AQ1871" s="31"/>
      <c r="AR1871" s="31"/>
      <c r="AS1871" s="94"/>
      <c r="AT1871" s="31"/>
      <c r="AU1871" s="31"/>
      <c r="AV1871" s="94"/>
      <c r="AW1871" s="32"/>
      <c r="AX1871" s="32"/>
      <c r="AY1871" s="32"/>
      <c r="AZ1871" s="32"/>
      <c r="BA1871" s="32"/>
      <c r="BB1871" s="31"/>
      <c r="BC1871" s="31"/>
      <c r="BD1871" s="31"/>
      <c r="BE1871" s="31"/>
      <c r="BF1871" s="96"/>
    </row>
    <row r="1872" spans="1:58" x14ac:dyDescent="0.35">
      <c r="A1872"/>
      <c r="D1872"/>
      <c r="G1872"/>
      <c r="H1872" s="20"/>
      <c r="I1872" s="20"/>
      <c r="J1872" s="20"/>
      <c r="K1872" s="20"/>
      <c r="L1872" s="20"/>
      <c r="Q1872" s="83"/>
      <c r="Y1872" s="20"/>
      <c r="AP1872" s="92"/>
      <c r="AQ1872" s="67"/>
      <c r="AR1872" s="67"/>
      <c r="AS1872" s="73"/>
      <c r="AT1872" s="67"/>
      <c r="AU1872" s="67"/>
      <c r="AV1872" s="73"/>
      <c r="AW1872" s="68"/>
      <c r="AX1872" s="68"/>
      <c r="AY1872" s="68"/>
      <c r="AZ1872" s="68"/>
      <c r="BA1872" s="68"/>
      <c r="BB1872" s="67"/>
      <c r="BC1872" s="67"/>
      <c r="BD1872" s="67"/>
      <c r="BE1872" s="67"/>
      <c r="BF1872" s="95"/>
    </row>
    <row r="1873" spans="1:58" x14ac:dyDescent="0.35">
      <c r="A1873"/>
      <c r="D1873"/>
      <c r="G1873"/>
      <c r="H1873" s="20"/>
      <c r="I1873" s="20"/>
      <c r="J1873" s="20"/>
      <c r="K1873" s="20"/>
      <c r="L1873" s="20"/>
      <c r="Q1873" s="83"/>
      <c r="Y1873" s="20"/>
      <c r="AP1873" s="93"/>
      <c r="AQ1873" s="31"/>
      <c r="AR1873" s="31"/>
      <c r="AS1873" s="94"/>
      <c r="AT1873" s="31"/>
      <c r="AU1873" s="31"/>
      <c r="AV1873" s="94"/>
      <c r="AW1873" s="32"/>
      <c r="AX1873" s="32"/>
      <c r="AY1873" s="32"/>
      <c r="AZ1873" s="32"/>
      <c r="BA1873" s="32"/>
      <c r="BB1873" s="31"/>
      <c r="BC1873" s="31"/>
      <c r="BD1873" s="31"/>
      <c r="BE1873" s="31"/>
      <c r="BF1873" s="96"/>
    </row>
    <row r="1874" spans="1:58" x14ac:dyDescent="0.35">
      <c r="A1874"/>
      <c r="D1874"/>
      <c r="G1874"/>
      <c r="H1874" s="20"/>
      <c r="I1874" s="20"/>
      <c r="J1874" s="20"/>
      <c r="K1874" s="20"/>
      <c r="L1874" s="20"/>
      <c r="Q1874" s="83"/>
      <c r="Y1874" s="20"/>
      <c r="AP1874" s="92"/>
      <c r="AQ1874" s="67"/>
      <c r="AR1874" s="67"/>
      <c r="AS1874" s="73"/>
      <c r="AT1874" s="67"/>
      <c r="AU1874" s="67"/>
      <c r="AV1874" s="73"/>
      <c r="AW1874" s="68"/>
      <c r="AX1874" s="68"/>
      <c r="AY1874" s="68"/>
      <c r="AZ1874" s="68"/>
      <c r="BA1874" s="68"/>
      <c r="BB1874" s="67"/>
      <c r="BC1874" s="67"/>
      <c r="BD1874" s="67"/>
      <c r="BE1874" s="67"/>
      <c r="BF1874" s="95"/>
    </row>
    <row r="1875" spans="1:58" x14ac:dyDescent="0.35">
      <c r="A1875"/>
      <c r="D1875"/>
      <c r="G1875"/>
      <c r="H1875" s="20"/>
      <c r="I1875" s="20"/>
      <c r="J1875" s="20"/>
      <c r="K1875" s="20"/>
      <c r="L1875" s="20"/>
      <c r="Q1875" s="83"/>
      <c r="Y1875" s="20"/>
      <c r="AP1875" s="93"/>
      <c r="AQ1875" s="31"/>
      <c r="AR1875" s="31"/>
      <c r="AS1875" s="94"/>
      <c r="AT1875" s="31"/>
      <c r="AU1875" s="31"/>
      <c r="AV1875" s="94"/>
      <c r="AW1875" s="32"/>
      <c r="AX1875" s="32"/>
      <c r="AY1875" s="32"/>
      <c r="AZ1875" s="32"/>
      <c r="BA1875" s="32"/>
      <c r="BB1875" s="31"/>
      <c r="BC1875" s="31"/>
      <c r="BD1875" s="31"/>
      <c r="BE1875" s="31"/>
      <c r="BF1875" s="96"/>
    </row>
    <row r="1876" spans="1:58" x14ac:dyDescent="0.35">
      <c r="A1876"/>
      <c r="D1876"/>
      <c r="G1876"/>
      <c r="H1876" s="20"/>
      <c r="I1876" s="20"/>
      <c r="J1876" s="20"/>
      <c r="K1876" s="20"/>
      <c r="L1876" s="20"/>
      <c r="Q1876" s="83"/>
      <c r="Y1876" s="20"/>
      <c r="AP1876" s="92"/>
      <c r="AQ1876" s="67"/>
      <c r="AR1876" s="67"/>
      <c r="AS1876" s="73"/>
      <c r="AT1876" s="67"/>
      <c r="AU1876" s="67"/>
      <c r="AV1876" s="73"/>
      <c r="AW1876" s="68"/>
      <c r="AX1876" s="68"/>
      <c r="AY1876" s="68"/>
      <c r="AZ1876" s="68"/>
      <c r="BA1876" s="68"/>
      <c r="BB1876" s="67"/>
      <c r="BC1876" s="67"/>
      <c r="BD1876" s="67"/>
      <c r="BE1876" s="67"/>
      <c r="BF1876" s="95"/>
    </row>
    <row r="1877" spans="1:58" x14ac:dyDescent="0.35">
      <c r="A1877"/>
      <c r="D1877"/>
      <c r="G1877"/>
      <c r="H1877" s="20"/>
      <c r="I1877" s="20"/>
      <c r="J1877" s="20"/>
      <c r="K1877" s="20"/>
      <c r="L1877" s="20"/>
      <c r="Q1877" s="83"/>
      <c r="Y1877" s="20"/>
      <c r="AP1877" s="93"/>
      <c r="AQ1877" s="31"/>
      <c r="AR1877" s="31"/>
      <c r="AS1877" s="94"/>
      <c r="AT1877" s="31"/>
      <c r="AU1877" s="31"/>
      <c r="AV1877" s="94"/>
      <c r="AW1877" s="32"/>
      <c r="AX1877" s="32"/>
      <c r="AY1877" s="32"/>
      <c r="AZ1877" s="32"/>
      <c r="BA1877" s="32"/>
      <c r="BB1877" s="31"/>
      <c r="BC1877" s="31"/>
      <c r="BD1877" s="31"/>
      <c r="BE1877" s="31"/>
      <c r="BF1877" s="96"/>
    </row>
    <row r="1878" spans="1:58" x14ac:dyDescent="0.35">
      <c r="A1878"/>
      <c r="D1878"/>
      <c r="G1878"/>
      <c r="H1878" s="20"/>
      <c r="I1878" s="20"/>
      <c r="J1878" s="20"/>
      <c r="K1878" s="20"/>
      <c r="L1878" s="20"/>
      <c r="Q1878" s="83"/>
      <c r="Y1878" s="20"/>
      <c r="AP1878" s="92"/>
      <c r="AQ1878" s="67"/>
      <c r="AR1878" s="67"/>
      <c r="AS1878" s="73"/>
      <c r="AT1878" s="67"/>
      <c r="AU1878" s="67"/>
      <c r="AV1878" s="73"/>
      <c r="AW1878" s="68"/>
      <c r="AX1878" s="68"/>
      <c r="AY1878" s="68"/>
      <c r="AZ1878" s="68"/>
      <c r="BA1878" s="68"/>
      <c r="BB1878" s="67"/>
      <c r="BC1878" s="67"/>
      <c r="BD1878" s="67"/>
      <c r="BE1878" s="67"/>
      <c r="BF1878" s="95"/>
    </row>
    <row r="1879" spans="1:58" x14ac:dyDescent="0.35">
      <c r="A1879"/>
      <c r="D1879"/>
      <c r="G1879"/>
      <c r="H1879" s="20"/>
      <c r="I1879" s="20"/>
      <c r="J1879" s="20"/>
      <c r="K1879" s="20"/>
      <c r="L1879" s="20"/>
      <c r="Q1879" s="83"/>
      <c r="Y1879" s="20"/>
      <c r="AP1879" s="93"/>
      <c r="AQ1879" s="31"/>
      <c r="AR1879" s="31"/>
      <c r="AS1879" s="94"/>
      <c r="AT1879" s="31"/>
      <c r="AU1879" s="31"/>
      <c r="AV1879" s="94"/>
      <c r="AW1879" s="32"/>
      <c r="AX1879" s="32"/>
      <c r="AY1879" s="32"/>
      <c r="AZ1879" s="32"/>
      <c r="BA1879" s="32"/>
      <c r="BB1879" s="31"/>
      <c r="BC1879" s="31"/>
      <c r="BD1879" s="31"/>
      <c r="BE1879" s="31"/>
      <c r="BF1879" s="96"/>
    </row>
    <row r="1880" spans="1:58" x14ac:dyDescent="0.35">
      <c r="A1880"/>
      <c r="D1880"/>
      <c r="G1880"/>
      <c r="H1880" s="20"/>
      <c r="I1880" s="20"/>
      <c r="J1880" s="20"/>
      <c r="K1880" s="20"/>
      <c r="L1880" s="20"/>
      <c r="Q1880" s="83"/>
      <c r="Y1880" s="20"/>
      <c r="AP1880" s="92"/>
      <c r="AQ1880" s="67"/>
      <c r="AR1880" s="67"/>
      <c r="AS1880" s="73"/>
      <c r="AT1880" s="67"/>
      <c r="AU1880" s="67"/>
      <c r="AV1880" s="73"/>
      <c r="AW1880" s="68"/>
      <c r="AX1880" s="68"/>
      <c r="AY1880" s="68"/>
      <c r="AZ1880" s="68"/>
      <c r="BA1880" s="68"/>
      <c r="BB1880" s="67"/>
      <c r="BC1880" s="67"/>
      <c r="BD1880" s="67"/>
      <c r="BE1880" s="67"/>
      <c r="BF1880" s="95"/>
    </row>
    <row r="1881" spans="1:58" x14ac:dyDescent="0.35">
      <c r="A1881"/>
      <c r="D1881"/>
      <c r="G1881"/>
      <c r="H1881" s="20"/>
      <c r="I1881" s="20"/>
      <c r="J1881" s="20"/>
      <c r="K1881" s="20"/>
      <c r="L1881" s="20"/>
      <c r="Q1881" s="83"/>
      <c r="Y1881" s="20"/>
      <c r="AP1881" s="93"/>
      <c r="AQ1881" s="31"/>
      <c r="AR1881" s="31"/>
      <c r="AS1881" s="94"/>
      <c r="AT1881" s="31"/>
      <c r="AU1881" s="31"/>
      <c r="AV1881" s="94"/>
      <c r="AW1881" s="32"/>
      <c r="AX1881" s="32"/>
      <c r="AY1881" s="32"/>
      <c r="AZ1881" s="32"/>
      <c r="BA1881" s="32"/>
      <c r="BB1881" s="31"/>
      <c r="BC1881" s="31"/>
      <c r="BD1881" s="31"/>
      <c r="BE1881" s="31"/>
      <c r="BF1881" s="96"/>
    </row>
    <row r="1882" spans="1:58" x14ac:dyDescent="0.35">
      <c r="A1882"/>
      <c r="D1882"/>
      <c r="G1882"/>
      <c r="H1882" s="20"/>
      <c r="I1882" s="20"/>
      <c r="J1882" s="20"/>
      <c r="K1882" s="20"/>
      <c r="L1882" s="20"/>
      <c r="Q1882" s="83"/>
      <c r="Y1882" s="20"/>
      <c r="AP1882" s="92"/>
      <c r="AQ1882" s="67"/>
      <c r="AR1882" s="67"/>
      <c r="AS1882" s="73"/>
      <c r="AT1882" s="67"/>
      <c r="AU1882" s="67"/>
      <c r="AV1882" s="73"/>
      <c r="AW1882" s="68"/>
      <c r="AX1882" s="68"/>
      <c r="AY1882" s="68"/>
      <c r="AZ1882" s="68"/>
      <c r="BA1882" s="68"/>
      <c r="BB1882" s="67"/>
      <c r="BC1882" s="67"/>
      <c r="BD1882" s="67"/>
      <c r="BE1882" s="67"/>
      <c r="BF1882" s="95"/>
    </row>
    <row r="1883" spans="1:58" x14ac:dyDescent="0.35">
      <c r="A1883"/>
      <c r="D1883"/>
      <c r="G1883"/>
      <c r="H1883" s="20"/>
      <c r="I1883" s="20"/>
      <c r="J1883" s="20"/>
      <c r="K1883" s="20"/>
      <c r="L1883" s="20"/>
      <c r="Q1883" s="83"/>
      <c r="Y1883" s="20"/>
      <c r="AP1883" s="93"/>
      <c r="AQ1883" s="31"/>
      <c r="AR1883" s="31"/>
      <c r="AS1883" s="94"/>
      <c r="AT1883" s="31"/>
      <c r="AU1883" s="31"/>
      <c r="AV1883" s="94"/>
      <c r="AW1883" s="32"/>
      <c r="AX1883" s="32"/>
      <c r="AY1883" s="32"/>
      <c r="AZ1883" s="32"/>
      <c r="BA1883" s="32"/>
      <c r="BB1883" s="31"/>
      <c r="BC1883" s="31"/>
      <c r="BD1883" s="31"/>
      <c r="BE1883" s="31"/>
      <c r="BF1883" s="96"/>
    </row>
    <row r="1884" spans="1:58" x14ac:dyDescent="0.35">
      <c r="A1884"/>
      <c r="D1884"/>
      <c r="G1884"/>
      <c r="H1884" s="20"/>
      <c r="I1884" s="20"/>
      <c r="J1884" s="20"/>
      <c r="K1884" s="20"/>
      <c r="L1884" s="20"/>
      <c r="Q1884" s="83"/>
      <c r="Y1884" s="20"/>
      <c r="AP1884" s="92"/>
      <c r="AQ1884" s="67"/>
      <c r="AR1884" s="67"/>
      <c r="AS1884" s="73"/>
      <c r="AT1884" s="67"/>
      <c r="AU1884" s="67"/>
      <c r="AV1884" s="73"/>
      <c r="AW1884" s="68"/>
      <c r="AX1884" s="68"/>
      <c r="AY1884" s="68"/>
      <c r="AZ1884" s="68"/>
      <c r="BA1884" s="68"/>
      <c r="BB1884" s="67"/>
      <c r="BC1884" s="67"/>
      <c r="BD1884" s="67"/>
      <c r="BE1884" s="67"/>
      <c r="BF1884" s="95"/>
    </row>
    <row r="1885" spans="1:58" x14ac:dyDescent="0.35">
      <c r="A1885"/>
      <c r="D1885"/>
      <c r="G1885"/>
      <c r="H1885" s="20"/>
      <c r="I1885" s="20"/>
      <c r="J1885" s="20"/>
      <c r="K1885" s="20"/>
      <c r="L1885" s="20"/>
      <c r="Q1885" s="83"/>
      <c r="Y1885" s="20"/>
      <c r="AP1885" s="93"/>
      <c r="AQ1885" s="31"/>
      <c r="AR1885" s="31"/>
      <c r="AS1885" s="94"/>
      <c r="AT1885" s="31"/>
      <c r="AU1885" s="31"/>
      <c r="AV1885" s="94"/>
      <c r="AW1885" s="32"/>
      <c r="AX1885" s="32"/>
      <c r="AY1885" s="32"/>
      <c r="AZ1885" s="32"/>
      <c r="BA1885" s="32"/>
      <c r="BB1885" s="31"/>
      <c r="BC1885" s="31"/>
      <c r="BD1885" s="31"/>
      <c r="BE1885" s="31"/>
      <c r="BF1885" s="96"/>
    </row>
    <row r="1886" spans="1:58" x14ac:dyDescent="0.35">
      <c r="A1886"/>
      <c r="D1886"/>
      <c r="G1886"/>
      <c r="H1886" s="20"/>
      <c r="I1886" s="20"/>
      <c r="J1886" s="20"/>
      <c r="K1886" s="20"/>
      <c r="L1886" s="20"/>
      <c r="Q1886" s="83"/>
      <c r="Y1886" s="20"/>
      <c r="AP1886" s="92"/>
      <c r="AQ1886" s="67"/>
      <c r="AR1886" s="67"/>
      <c r="AS1886" s="73"/>
      <c r="AT1886" s="67"/>
      <c r="AU1886" s="67"/>
      <c r="AV1886" s="73"/>
      <c r="AW1886" s="68"/>
      <c r="AX1886" s="68"/>
      <c r="AY1886" s="68"/>
      <c r="AZ1886" s="68"/>
      <c r="BA1886" s="68"/>
      <c r="BB1886" s="67"/>
      <c r="BC1886" s="67"/>
      <c r="BD1886" s="67"/>
      <c r="BE1886" s="67"/>
      <c r="BF1886" s="95"/>
    </row>
    <row r="1887" spans="1:58" x14ac:dyDescent="0.35">
      <c r="A1887"/>
      <c r="D1887"/>
      <c r="G1887"/>
      <c r="H1887" s="20"/>
      <c r="I1887" s="20"/>
      <c r="J1887" s="20"/>
      <c r="K1887" s="20"/>
      <c r="L1887" s="20"/>
      <c r="Q1887" s="83"/>
      <c r="Y1887" s="20"/>
      <c r="AP1887" s="93"/>
      <c r="AQ1887" s="31"/>
      <c r="AR1887" s="31"/>
      <c r="AS1887" s="94"/>
      <c r="AT1887" s="31"/>
      <c r="AU1887" s="31"/>
      <c r="AV1887" s="94"/>
      <c r="AW1887" s="32"/>
      <c r="AX1887" s="32"/>
      <c r="AY1887" s="32"/>
      <c r="AZ1887" s="32"/>
      <c r="BA1887" s="32"/>
      <c r="BB1887" s="31"/>
      <c r="BC1887" s="31"/>
      <c r="BD1887" s="31"/>
      <c r="BE1887" s="31"/>
      <c r="BF1887" s="96"/>
    </row>
    <row r="1888" spans="1:58" x14ac:dyDescent="0.35">
      <c r="A1888"/>
      <c r="D1888"/>
      <c r="G1888"/>
      <c r="H1888" s="20"/>
      <c r="I1888" s="20"/>
      <c r="J1888" s="20"/>
      <c r="K1888" s="20"/>
      <c r="L1888" s="20"/>
      <c r="Q1888" s="83"/>
      <c r="Y1888" s="20"/>
      <c r="AP1888" s="92"/>
      <c r="AQ1888" s="67"/>
      <c r="AR1888" s="67"/>
      <c r="AS1888" s="73"/>
      <c r="AT1888" s="67"/>
      <c r="AU1888" s="67"/>
      <c r="AV1888" s="73"/>
      <c r="AW1888" s="68"/>
      <c r="AX1888" s="68"/>
      <c r="AY1888" s="68"/>
      <c r="AZ1888" s="68"/>
      <c r="BA1888" s="68"/>
      <c r="BB1888" s="67"/>
      <c r="BC1888" s="67"/>
      <c r="BD1888" s="67"/>
      <c r="BE1888" s="67"/>
      <c r="BF1888" s="95"/>
    </row>
    <row r="1889" spans="1:58" x14ac:dyDescent="0.35">
      <c r="A1889"/>
      <c r="D1889"/>
      <c r="G1889"/>
      <c r="H1889" s="20"/>
      <c r="I1889" s="20"/>
      <c r="J1889" s="20"/>
      <c r="K1889" s="20"/>
      <c r="L1889" s="20"/>
      <c r="Q1889" s="83"/>
      <c r="Y1889" s="20"/>
      <c r="AP1889" s="93"/>
      <c r="AQ1889" s="31"/>
      <c r="AR1889" s="31"/>
      <c r="AS1889" s="94"/>
      <c r="AT1889" s="31"/>
      <c r="AU1889" s="31"/>
      <c r="AV1889" s="94"/>
      <c r="AW1889" s="32"/>
      <c r="AX1889" s="32"/>
      <c r="AY1889" s="32"/>
      <c r="AZ1889" s="32"/>
      <c r="BA1889" s="32"/>
      <c r="BB1889" s="31"/>
      <c r="BC1889" s="31"/>
      <c r="BD1889" s="31"/>
      <c r="BE1889" s="31"/>
      <c r="BF1889" s="96"/>
    </row>
    <row r="1890" spans="1:58" x14ac:dyDescent="0.35">
      <c r="A1890"/>
      <c r="D1890"/>
      <c r="G1890"/>
      <c r="H1890" s="20"/>
      <c r="I1890" s="20"/>
      <c r="J1890" s="20"/>
      <c r="K1890" s="20"/>
      <c r="L1890" s="20"/>
      <c r="Q1890" s="83"/>
      <c r="Y1890" s="20"/>
      <c r="AP1890" s="92"/>
      <c r="AQ1890" s="67"/>
      <c r="AR1890" s="67"/>
      <c r="AS1890" s="73"/>
      <c r="AT1890" s="67"/>
      <c r="AU1890" s="67"/>
      <c r="AV1890" s="73"/>
      <c r="AW1890" s="68"/>
      <c r="AX1890" s="68"/>
      <c r="AY1890" s="68"/>
      <c r="AZ1890" s="68"/>
      <c r="BA1890" s="68"/>
      <c r="BB1890" s="67"/>
      <c r="BC1890" s="67"/>
      <c r="BD1890" s="67"/>
      <c r="BE1890" s="67"/>
      <c r="BF1890" s="95"/>
    </row>
    <row r="1891" spans="1:58" x14ac:dyDescent="0.35">
      <c r="A1891"/>
      <c r="D1891"/>
      <c r="G1891"/>
      <c r="H1891" s="20"/>
      <c r="I1891" s="20"/>
      <c r="J1891" s="20"/>
      <c r="K1891" s="20"/>
      <c r="L1891" s="20"/>
      <c r="Q1891" s="83"/>
      <c r="Y1891" s="20"/>
      <c r="AP1891" s="93"/>
      <c r="AQ1891" s="31"/>
      <c r="AR1891" s="31"/>
      <c r="AS1891" s="94"/>
      <c r="AT1891" s="31"/>
      <c r="AU1891" s="31"/>
      <c r="AV1891" s="94"/>
      <c r="AW1891" s="32"/>
      <c r="AX1891" s="32"/>
      <c r="AY1891" s="32"/>
      <c r="AZ1891" s="32"/>
      <c r="BA1891" s="32"/>
      <c r="BB1891" s="31"/>
      <c r="BC1891" s="31"/>
      <c r="BD1891" s="31"/>
      <c r="BE1891" s="31"/>
      <c r="BF1891" s="96"/>
    </row>
    <row r="1892" spans="1:58" x14ac:dyDescent="0.35">
      <c r="A1892"/>
      <c r="D1892"/>
      <c r="G1892"/>
      <c r="H1892" s="20"/>
      <c r="I1892" s="20"/>
      <c r="J1892" s="20"/>
      <c r="K1892" s="20"/>
      <c r="L1892" s="20"/>
      <c r="Q1892" s="83"/>
      <c r="Y1892" s="20"/>
      <c r="AP1892" s="92"/>
      <c r="AQ1892" s="67"/>
      <c r="AR1892" s="67"/>
      <c r="AS1892" s="73"/>
      <c r="AT1892" s="67"/>
      <c r="AU1892" s="67"/>
      <c r="AV1892" s="73"/>
      <c r="AW1892" s="68"/>
      <c r="AX1892" s="68"/>
      <c r="AY1892" s="68"/>
      <c r="AZ1892" s="68"/>
      <c r="BA1892" s="68"/>
      <c r="BB1892" s="67"/>
      <c r="BC1892" s="67"/>
      <c r="BD1892" s="67"/>
      <c r="BE1892" s="67"/>
      <c r="BF1892" s="95"/>
    </row>
    <row r="1893" spans="1:58" x14ac:dyDescent="0.35">
      <c r="A1893"/>
      <c r="D1893"/>
      <c r="G1893"/>
      <c r="H1893" s="20"/>
      <c r="I1893" s="20"/>
      <c r="J1893" s="20"/>
      <c r="K1893" s="20"/>
      <c r="L1893" s="20"/>
      <c r="Q1893" s="83"/>
      <c r="Y1893" s="20"/>
      <c r="AP1893" s="93"/>
      <c r="AQ1893" s="31"/>
      <c r="AR1893" s="31"/>
      <c r="AS1893" s="94"/>
      <c r="AT1893" s="31"/>
      <c r="AU1893" s="31"/>
      <c r="AV1893" s="94"/>
      <c r="AW1893" s="32"/>
      <c r="AX1893" s="32"/>
      <c r="AY1893" s="32"/>
      <c r="AZ1893" s="32"/>
      <c r="BA1893" s="32"/>
      <c r="BB1893" s="31"/>
      <c r="BC1893" s="31"/>
      <c r="BD1893" s="31"/>
      <c r="BE1893" s="31"/>
      <c r="BF1893" s="96"/>
    </row>
    <row r="1894" spans="1:58" x14ac:dyDescent="0.35">
      <c r="A1894"/>
      <c r="D1894"/>
      <c r="G1894"/>
      <c r="H1894" s="20"/>
      <c r="I1894" s="20"/>
      <c r="J1894" s="20"/>
      <c r="K1894" s="20"/>
      <c r="L1894" s="20"/>
      <c r="Q1894" s="83"/>
      <c r="Y1894" s="20"/>
      <c r="AP1894" s="92"/>
      <c r="AQ1894" s="67"/>
      <c r="AR1894" s="67"/>
      <c r="AS1894" s="73"/>
      <c r="AT1894" s="67"/>
      <c r="AU1894" s="67"/>
      <c r="AV1894" s="73"/>
      <c r="AW1894" s="68"/>
      <c r="AX1894" s="68"/>
      <c r="AY1894" s="68"/>
      <c r="AZ1894" s="68"/>
      <c r="BA1894" s="68"/>
      <c r="BB1894" s="67"/>
      <c r="BC1894" s="67"/>
      <c r="BD1894" s="67"/>
      <c r="BE1894" s="67"/>
      <c r="BF1894" s="95"/>
    </row>
    <row r="1895" spans="1:58" x14ac:dyDescent="0.35">
      <c r="A1895"/>
      <c r="D1895"/>
      <c r="G1895"/>
      <c r="H1895" s="20"/>
      <c r="I1895" s="20"/>
      <c r="J1895" s="20"/>
      <c r="K1895" s="20"/>
      <c r="L1895" s="20"/>
      <c r="Q1895" s="83"/>
      <c r="Y1895" s="20"/>
      <c r="AP1895" s="93"/>
      <c r="AQ1895" s="31"/>
      <c r="AR1895" s="31"/>
      <c r="AS1895" s="94"/>
      <c r="AT1895" s="31"/>
      <c r="AU1895" s="31"/>
      <c r="AV1895" s="94"/>
      <c r="AW1895" s="32"/>
      <c r="AX1895" s="32"/>
      <c r="AY1895" s="32"/>
      <c r="AZ1895" s="32"/>
      <c r="BA1895" s="32"/>
      <c r="BB1895" s="31"/>
      <c r="BC1895" s="31"/>
      <c r="BD1895" s="31"/>
      <c r="BE1895" s="31"/>
      <c r="BF1895" s="96"/>
    </row>
    <row r="1896" spans="1:58" x14ac:dyDescent="0.35">
      <c r="A1896"/>
      <c r="D1896"/>
      <c r="G1896"/>
      <c r="H1896" s="20"/>
      <c r="I1896" s="20"/>
      <c r="J1896" s="20"/>
      <c r="K1896" s="20"/>
      <c r="L1896" s="20"/>
      <c r="Q1896" s="83"/>
      <c r="Y1896" s="20"/>
      <c r="AP1896" s="92"/>
      <c r="AQ1896" s="67"/>
      <c r="AR1896" s="67"/>
      <c r="AS1896" s="73"/>
      <c r="AT1896" s="67"/>
      <c r="AU1896" s="67"/>
      <c r="AV1896" s="73"/>
      <c r="AW1896" s="68"/>
      <c r="AX1896" s="68"/>
      <c r="AY1896" s="68"/>
      <c r="AZ1896" s="68"/>
      <c r="BA1896" s="68"/>
      <c r="BB1896" s="67"/>
      <c r="BC1896" s="67"/>
      <c r="BD1896" s="67"/>
      <c r="BE1896" s="67"/>
      <c r="BF1896" s="95"/>
    </row>
    <row r="1897" spans="1:58" x14ac:dyDescent="0.35">
      <c r="A1897"/>
      <c r="D1897"/>
      <c r="G1897"/>
      <c r="H1897" s="20"/>
      <c r="I1897" s="20"/>
      <c r="J1897" s="20"/>
      <c r="K1897" s="20"/>
      <c r="L1897" s="20"/>
      <c r="Q1897" s="83"/>
      <c r="Y1897" s="20"/>
      <c r="AP1897" s="93"/>
      <c r="AQ1897" s="31"/>
      <c r="AR1897" s="31"/>
      <c r="AS1897" s="94"/>
      <c r="AT1897" s="31"/>
      <c r="AU1897" s="31"/>
      <c r="AV1897" s="94"/>
      <c r="AW1897" s="32"/>
      <c r="AX1897" s="32"/>
      <c r="AY1897" s="32"/>
      <c r="AZ1897" s="32"/>
      <c r="BA1897" s="32"/>
      <c r="BB1897" s="31"/>
      <c r="BC1897" s="31"/>
      <c r="BD1897" s="31"/>
      <c r="BE1897" s="31"/>
      <c r="BF1897" s="96"/>
    </row>
    <row r="1898" spans="1:58" x14ac:dyDescent="0.35">
      <c r="A1898"/>
      <c r="D1898"/>
      <c r="G1898"/>
      <c r="H1898" s="20"/>
      <c r="I1898" s="20"/>
      <c r="J1898" s="20"/>
      <c r="K1898" s="20"/>
      <c r="L1898" s="20"/>
      <c r="Q1898" s="83"/>
      <c r="Y1898" s="20"/>
      <c r="AP1898" s="92"/>
      <c r="AQ1898" s="67"/>
      <c r="AR1898" s="67"/>
      <c r="AS1898" s="73"/>
      <c r="AT1898" s="67"/>
      <c r="AU1898" s="67"/>
      <c r="AV1898" s="73"/>
      <c r="AW1898" s="68"/>
      <c r="AX1898" s="68"/>
      <c r="AY1898" s="68"/>
      <c r="AZ1898" s="68"/>
      <c r="BA1898" s="68"/>
      <c r="BB1898" s="67"/>
      <c r="BC1898" s="67"/>
      <c r="BD1898" s="67"/>
      <c r="BE1898" s="67"/>
      <c r="BF1898" s="95"/>
    </row>
    <row r="1899" spans="1:58" x14ac:dyDescent="0.35">
      <c r="A1899"/>
      <c r="D1899"/>
      <c r="G1899"/>
      <c r="H1899" s="20"/>
      <c r="I1899" s="20"/>
      <c r="J1899" s="20"/>
      <c r="K1899" s="20"/>
      <c r="L1899" s="20"/>
      <c r="Q1899" s="83"/>
      <c r="Y1899" s="20"/>
      <c r="AP1899" s="93"/>
      <c r="AQ1899" s="31"/>
      <c r="AR1899" s="31"/>
      <c r="AS1899" s="94"/>
      <c r="AT1899" s="31"/>
      <c r="AU1899" s="31"/>
      <c r="AV1899" s="94"/>
      <c r="AW1899" s="32"/>
      <c r="AX1899" s="32"/>
      <c r="AY1899" s="32"/>
      <c r="AZ1899" s="32"/>
      <c r="BA1899" s="32"/>
      <c r="BB1899" s="31"/>
      <c r="BC1899" s="31"/>
      <c r="BD1899" s="31"/>
      <c r="BE1899" s="31"/>
      <c r="BF1899" s="96"/>
    </row>
    <row r="1900" spans="1:58" x14ac:dyDescent="0.35">
      <c r="A1900"/>
      <c r="D1900"/>
      <c r="G1900"/>
      <c r="H1900" s="20"/>
      <c r="I1900" s="20"/>
      <c r="J1900" s="20"/>
      <c r="K1900" s="20"/>
      <c r="L1900" s="20"/>
      <c r="Q1900" s="83"/>
      <c r="Y1900" s="20"/>
      <c r="AP1900" s="92"/>
      <c r="AQ1900" s="67"/>
      <c r="AR1900" s="67"/>
      <c r="AS1900" s="73"/>
      <c r="AT1900" s="67"/>
      <c r="AU1900" s="67"/>
      <c r="AV1900" s="73"/>
      <c r="AW1900" s="68"/>
      <c r="AX1900" s="68"/>
      <c r="AY1900" s="68"/>
      <c r="AZ1900" s="68"/>
      <c r="BA1900" s="68"/>
      <c r="BB1900" s="67"/>
      <c r="BC1900" s="67"/>
      <c r="BD1900" s="67"/>
      <c r="BE1900" s="67"/>
      <c r="BF1900" s="95"/>
    </row>
    <row r="1901" spans="1:58" x14ac:dyDescent="0.35">
      <c r="A1901"/>
      <c r="D1901"/>
      <c r="G1901"/>
      <c r="H1901" s="20"/>
      <c r="I1901" s="20"/>
      <c r="J1901" s="20"/>
      <c r="K1901" s="20"/>
      <c r="L1901" s="20"/>
      <c r="Q1901" s="83"/>
      <c r="Y1901" s="20"/>
      <c r="AP1901" s="93"/>
      <c r="AQ1901" s="31"/>
      <c r="AR1901" s="31"/>
      <c r="AS1901" s="94"/>
      <c r="AT1901" s="31"/>
      <c r="AU1901" s="31"/>
      <c r="AV1901" s="94"/>
      <c r="AW1901" s="32"/>
      <c r="AX1901" s="32"/>
      <c r="AY1901" s="32"/>
      <c r="AZ1901" s="32"/>
      <c r="BA1901" s="32"/>
      <c r="BB1901" s="31"/>
      <c r="BC1901" s="31"/>
      <c r="BD1901" s="31"/>
      <c r="BE1901" s="31"/>
      <c r="BF1901" s="96"/>
    </row>
    <row r="1902" spans="1:58" x14ac:dyDescent="0.35">
      <c r="A1902"/>
      <c r="D1902"/>
      <c r="G1902"/>
      <c r="H1902" s="20"/>
      <c r="I1902" s="20"/>
      <c r="J1902" s="20"/>
      <c r="K1902" s="20"/>
      <c r="L1902" s="20"/>
      <c r="Q1902" s="83"/>
      <c r="Y1902" s="20"/>
      <c r="AP1902" s="92"/>
      <c r="AQ1902" s="67"/>
      <c r="AR1902" s="67"/>
      <c r="AS1902" s="73"/>
      <c r="AT1902" s="67"/>
      <c r="AU1902" s="67"/>
      <c r="AV1902" s="73"/>
      <c r="AW1902" s="68"/>
      <c r="AX1902" s="68"/>
      <c r="AY1902" s="68"/>
      <c r="AZ1902" s="68"/>
      <c r="BA1902" s="68"/>
      <c r="BB1902" s="67"/>
      <c r="BC1902" s="67"/>
      <c r="BD1902" s="67"/>
      <c r="BE1902" s="67"/>
      <c r="BF1902" s="95"/>
    </row>
    <row r="1903" spans="1:58" x14ac:dyDescent="0.35">
      <c r="A1903"/>
      <c r="D1903"/>
      <c r="G1903"/>
      <c r="H1903" s="20"/>
      <c r="I1903" s="20"/>
      <c r="J1903" s="20"/>
      <c r="K1903" s="20"/>
      <c r="L1903" s="20"/>
      <c r="Q1903" s="83"/>
      <c r="Y1903" s="20"/>
      <c r="AP1903" s="93"/>
      <c r="AQ1903" s="31"/>
      <c r="AR1903" s="31"/>
      <c r="AS1903" s="94"/>
      <c r="AT1903" s="31"/>
      <c r="AU1903" s="31"/>
      <c r="AV1903" s="94"/>
      <c r="AW1903" s="32"/>
      <c r="AX1903" s="32"/>
      <c r="AY1903" s="32"/>
      <c r="AZ1903" s="32"/>
      <c r="BA1903" s="32"/>
      <c r="BB1903" s="31"/>
      <c r="BC1903" s="31"/>
      <c r="BD1903" s="31"/>
      <c r="BE1903" s="31"/>
      <c r="BF1903" s="96"/>
    </row>
    <row r="1904" spans="1:58" x14ac:dyDescent="0.35">
      <c r="A1904"/>
      <c r="D1904"/>
      <c r="G1904"/>
      <c r="H1904" s="20"/>
      <c r="I1904" s="20"/>
      <c r="J1904" s="20"/>
      <c r="K1904" s="20"/>
      <c r="L1904" s="20"/>
      <c r="Q1904" s="83"/>
      <c r="Y1904" s="20"/>
      <c r="AP1904" s="92"/>
      <c r="AQ1904" s="67"/>
      <c r="AR1904" s="67"/>
      <c r="AS1904" s="73"/>
      <c r="AT1904" s="67"/>
      <c r="AU1904" s="67"/>
      <c r="AV1904" s="73"/>
      <c r="AW1904" s="68"/>
      <c r="AX1904" s="68"/>
      <c r="AY1904" s="68"/>
      <c r="AZ1904" s="68"/>
      <c r="BA1904" s="68"/>
      <c r="BB1904" s="67"/>
      <c r="BC1904" s="67"/>
      <c r="BD1904" s="67"/>
      <c r="BE1904" s="67"/>
      <c r="BF1904" s="95"/>
    </row>
    <row r="1905" spans="1:58" x14ac:dyDescent="0.35">
      <c r="A1905"/>
      <c r="D1905"/>
      <c r="G1905"/>
      <c r="H1905" s="20"/>
      <c r="I1905" s="20"/>
      <c r="J1905" s="20"/>
      <c r="K1905" s="20"/>
      <c r="L1905" s="20"/>
      <c r="Q1905" s="83"/>
      <c r="Y1905" s="20"/>
      <c r="AP1905" s="93"/>
      <c r="AQ1905" s="31"/>
      <c r="AR1905" s="31"/>
      <c r="AS1905" s="94"/>
      <c r="AT1905" s="31"/>
      <c r="AU1905" s="31"/>
      <c r="AV1905" s="94"/>
      <c r="AW1905" s="32"/>
      <c r="AX1905" s="32"/>
      <c r="AY1905" s="32"/>
      <c r="AZ1905" s="32"/>
      <c r="BA1905" s="32"/>
      <c r="BB1905" s="31"/>
      <c r="BC1905" s="31"/>
      <c r="BD1905" s="31"/>
      <c r="BE1905" s="31"/>
      <c r="BF1905" s="96"/>
    </row>
    <row r="1906" spans="1:58" x14ac:dyDescent="0.35">
      <c r="A1906"/>
      <c r="D1906"/>
      <c r="G1906"/>
      <c r="H1906" s="20"/>
      <c r="I1906" s="20"/>
      <c r="J1906" s="20"/>
      <c r="K1906" s="20"/>
      <c r="L1906" s="20"/>
      <c r="Q1906" s="83"/>
      <c r="Y1906" s="20"/>
      <c r="AP1906" s="92"/>
      <c r="AQ1906" s="67"/>
      <c r="AR1906" s="67"/>
      <c r="AS1906" s="73"/>
      <c r="AT1906" s="67"/>
      <c r="AU1906" s="67"/>
      <c r="AV1906" s="73"/>
      <c r="AW1906" s="68"/>
      <c r="AX1906" s="68"/>
      <c r="AY1906" s="68"/>
      <c r="AZ1906" s="68"/>
      <c r="BA1906" s="68"/>
      <c r="BB1906" s="67"/>
      <c r="BC1906" s="67"/>
      <c r="BD1906" s="67"/>
      <c r="BE1906" s="67"/>
      <c r="BF1906" s="95"/>
    </row>
    <row r="1907" spans="1:58" x14ac:dyDescent="0.35">
      <c r="A1907"/>
      <c r="D1907"/>
      <c r="G1907"/>
      <c r="H1907" s="20"/>
      <c r="I1907" s="20"/>
      <c r="J1907" s="20"/>
      <c r="K1907" s="20"/>
      <c r="L1907" s="20"/>
      <c r="Q1907" s="83"/>
      <c r="Y1907" s="20"/>
      <c r="AP1907" s="93"/>
      <c r="AQ1907" s="31"/>
      <c r="AR1907" s="31"/>
      <c r="AS1907" s="94"/>
      <c r="AT1907" s="31"/>
      <c r="AU1907" s="31"/>
      <c r="AV1907" s="94"/>
      <c r="AW1907" s="32"/>
      <c r="AX1907" s="32"/>
      <c r="AY1907" s="32"/>
      <c r="AZ1907" s="32"/>
      <c r="BA1907" s="32"/>
      <c r="BB1907" s="31"/>
      <c r="BC1907" s="31"/>
      <c r="BD1907" s="31"/>
      <c r="BE1907" s="31"/>
      <c r="BF1907" s="96"/>
    </row>
    <row r="1908" spans="1:58" x14ac:dyDescent="0.35">
      <c r="A1908"/>
      <c r="D1908"/>
      <c r="G1908"/>
      <c r="H1908" s="20"/>
      <c r="I1908" s="20"/>
      <c r="J1908" s="20"/>
      <c r="K1908" s="20"/>
      <c r="L1908" s="20"/>
      <c r="Q1908" s="83"/>
      <c r="Y1908" s="20"/>
      <c r="AP1908" s="92"/>
      <c r="AQ1908" s="67"/>
      <c r="AR1908" s="67"/>
      <c r="AS1908" s="73"/>
      <c r="AT1908" s="67"/>
      <c r="AU1908" s="67"/>
      <c r="AV1908" s="73"/>
      <c r="AW1908" s="68"/>
      <c r="AX1908" s="68"/>
      <c r="AY1908" s="68"/>
      <c r="AZ1908" s="68"/>
      <c r="BA1908" s="68"/>
      <c r="BB1908" s="67"/>
      <c r="BC1908" s="67"/>
      <c r="BD1908" s="67"/>
      <c r="BE1908" s="67"/>
      <c r="BF1908" s="95"/>
    </row>
    <row r="1909" spans="1:58" x14ac:dyDescent="0.35">
      <c r="A1909"/>
      <c r="D1909"/>
      <c r="G1909"/>
      <c r="H1909" s="20"/>
      <c r="I1909" s="20"/>
      <c r="J1909" s="20"/>
      <c r="K1909" s="20"/>
      <c r="L1909" s="20"/>
      <c r="Q1909" s="83"/>
      <c r="Y1909" s="20"/>
      <c r="AP1909" s="93"/>
      <c r="AQ1909" s="31"/>
      <c r="AR1909" s="31"/>
      <c r="AS1909" s="94"/>
      <c r="AT1909" s="31"/>
      <c r="AU1909" s="31"/>
      <c r="AV1909" s="94"/>
      <c r="AW1909" s="32"/>
      <c r="AX1909" s="32"/>
      <c r="AY1909" s="32"/>
      <c r="AZ1909" s="32"/>
      <c r="BA1909" s="32"/>
      <c r="BB1909" s="31"/>
      <c r="BC1909" s="31"/>
      <c r="BD1909" s="31"/>
      <c r="BE1909" s="31"/>
      <c r="BF1909" s="96"/>
    </row>
    <row r="1910" spans="1:58" x14ac:dyDescent="0.35">
      <c r="A1910"/>
      <c r="D1910"/>
      <c r="G1910"/>
      <c r="H1910" s="20"/>
      <c r="I1910" s="20"/>
      <c r="J1910" s="20"/>
      <c r="K1910" s="20"/>
      <c r="L1910" s="20"/>
      <c r="Q1910" s="83"/>
      <c r="Y1910" s="20"/>
      <c r="AP1910" s="92"/>
      <c r="AQ1910" s="67"/>
      <c r="AR1910" s="67"/>
      <c r="AS1910" s="73"/>
      <c r="AT1910" s="67"/>
      <c r="AU1910" s="67"/>
      <c r="AV1910" s="73"/>
      <c r="AW1910" s="68"/>
      <c r="AX1910" s="68"/>
      <c r="AY1910" s="68"/>
      <c r="AZ1910" s="68"/>
      <c r="BA1910" s="68"/>
      <c r="BB1910" s="67"/>
      <c r="BC1910" s="67"/>
      <c r="BD1910" s="67"/>
      <c r="BE1910" s="67"/>
      <c r="BF1910" s="95"/>
    </row>
    <row r="1911" spans="1:58" x14ac:dyDescent="0.35">
      <c r="A1911"/>
      <c r="D1911"/>
      <c r="G1911"/>
      <c r="H1911" s="20"/>
      <c r="I1911" s="20"/>
      <c r="J1911" s="20"/>
      <c r="K1911" s="20"/>
      <c r="L1911" s="20"/>
      <c r="Q1911" s="83"/>
      <c r="Y1911" s="20"/>
      <c r="AP1911" s="93"/>
      <c r="AQ1911" s="31"/>
      <c r="AR1911" s="31"/>
      <c r="AS1911" s="94"/>
      <c r="AT1911" s="31"/>
      <c r="AU1911" s="31"/>
      <c r="AV1911" s="94"/>
      <c r="AW1911" s="32"/>
      <c r="AX1911" s="32"/>
      <c r="AY1911" s="32"/>
      <c r="AZ1911" s="32"/>
      <c r="BA1911" s="32"/>
      <c r="BB1911" s="31"/>
      <c r="BC1911" s="31"/>
      <c r="BD1911" s="31"/>
      <c r="BE1911" s="31"/>
      <c r="BF1911" s="96"/>
    </row>
    <row r="1912" spans="1:58" x14ac:dyDescent="0.35">
      <c r="A1912"/>
      <c r="D1912"/>
      <c r="G1912"/>
      <c r="H1912" s="20"/>
      <c r="I1912" s="20"/>
      <c r="J1912" s="20"/>
      <c r="K1912" s="20"/>
      <c r="L1912" s="20"/>
      <c r="Q1912" s="83"/>
      <c r="Y1912" s="20"/>
      <c r="AP1912" s="92"/>
      <c r="AQ1912" s="67"/>
      <c r="AR1912" s="67"/>
      <c r="AS1912" s="73"/>
      <c r="AT1912" s="67"/>
      <c r="AU1912" s="67"/>
      <c r="AV1912" s="73"/>
      <c r="AW1912" s="68"/>
      <c r="AX1912" s="68"/>
      <c r="AY1912" s="68"/>
      <c r="AZ1912" s="68"/>
      <c r="BA1912" s="68"/>
      <c r="BB1912" s="67"/>
      <c r="BC1912" s="67"/>
      <c r="BD1912" s="67"/>
      <c r="BE1912" s="67"/>
      <c r="BF1912" s="95"/>
    </row>
    <row r="1913" spans="1:58" x14ac:dyDescent="0.35">
      <c r="A1913"/>
      <c r="D1913"/>
      <c r="G1913"/>
      <c r="H1913" s="20"/>
      <c r="I1913" s="20"/>
      <c r="J1913" s="20"/>
      <c r="K1913" s="20"/>
      <c r="L1913" s="20"/>
      <c r="Q1913" s="83"/>
      <c r="Y1913" s="20"/>
      <c r="AP1913" s="93"/>
      <c r="AQ1913" s="31"/>
      <c r="AR1913" s="31"/>
      <c r="AS1913" s="94"/>
      <c r="AT1913" s="31"/>
      <c r="AU1913" s="31"/>
      <c r="AV1913" s="94"/>
      <c r="AW1913" s="32"/>
      <c r="AX1913" s="32"/>
      <c r="AY1913" s="32"/>
      <c r="AZ1913" s="32"/>
      <c r="BA1913" s="32"/>
      <c r="BB1913" s="31"/>
      <c r="BC1913" s="31"/>
      <c r="BD1913" s="31"/>
      <c r="BE1913" s="31"/>
      <c r="BF1913" s="96"/>
    </row>
    <row r="1914" spans="1:58" x14ac:dyDescent="0.35">
      <c r="A1914"/>
      <c r="D1914"/>
      <c r="G1914"/>
      <c r="H1914" s="20"/>
      <c r="I1914" s="20"/>
      <c r="J1914" s="20"/>
      <c r="K1914" s="20"/>
      <c r="L1914" s="20"/>
      <c r="Q1914" s="83"/>
      <c r="Y1914" s="20"/>
      <c r="AP1914" s="92"/>
      <c r="AQ1914" s="67"/>
      <c r="AR1914" s="67"/>
      <c r="AS1914" s="73"/>
      <c r="AT1914" s="67"/>
      <c r="AU1914" s="67"/>
      <c r="AV1914" s="73"/>
      <c r="AW1914" s="68"/>
      <c r="AX1914" s="68"/>
      <c r="AY1914" s="68"/>
      <c r="AZ1914" s="68"/>
      <c r="BA1914" s="68"/>
      <c r="BB1914" s="67"/>
      <c r="BC1914" s="67"/>
      <c r="BD1914" s="67"/>
      <c r="BE1914" s="67"/>
      <c r="BF1914" s="95"/>
    </row>
    <row r="1915" spans="1:58" x14ac:dyDescent="0.35">
      <c r="A1915"/>
      <c r="D1915"/>
      <c r="G1915"/>
      <c r="H1915" s="20"/>
      <c r="I1915" s="20"/>
      <c r="J1915" s="20"/>
      <c r="K1915" s="20"/>
      <c r="L1915" s="20"/>
      <c r="Q1915" s="83"/>
      <c r="Y1915" s="20"/>
      <c r="AP1915" s="93"/>
      <c r="AQ1915" s="31"/>
      <c r="AR1915" s="31"/>
      <c r="AS1915" s="94"/>
      <c r="AT1915" s="31"/>
      <c r="AU1915" s="31"/>
      <c r="AV1915" s="94"/>
      <c r="AW1915" s="32"/>
      <c r="AX1915" s="32"/>
      <c r="AY1915" s="32"/>
      <c r="AZ1915" s="32"/>
      <c r="BA1915" s="32"/>
      <c r="BB1915" s="31"/>
      <c r="BC1915" s="31"/>
      <c r="BD1915" s="31"/>
      <c r="BE1915" s="31"/>
      <c r="BF1915" s="96"/>
    </row>
    <row r="1916" spans="1:58" x14ac:dyDescent="0.35">
      <c r="A1916"/>
      <c r="D1916"/>
      <c r="G1916"/>
      <c r="H1916" s="20"/>
      <c r="I1916" s="20"/>
      <c r="J1916" s="20"/>
      <c r="K1916" s="20"/>
      <c r="L1916" s="20"/>
      <c r="Q1916" s="83"/>
      <c r="Y1916" s="20"/>
      <c r="AP1916" s="92"/>
      <c r="AQ1916" s="67"/>
      <c r="AR1916" s="67"/>
      <c r="AS1916" s="73"/>
      <c r="AT1916" s="67"/>
      <c r="AU1916" s="67"/>
      <c r="AV1916" s="73"/>
      <c r="AW1916" s="68"/>
      <c r="AX1916" s="68"/>
      <c r="AY1916" s="68"/>
      <c r="AZ1916" s="68"/>
      <c r="BA1916" s="68"/>
      <c r="BB1916" s="67"/>
      <c r="BC1916" s="67"/>
      <c r="BD1916" s="67"/>
      <c r="BE1916" s="67"/>
      <c r="BF1916" s="95"/>
    </row>
    <row r="1917" spans="1:58" x14ac:dyDescent="0.35">
      <c r="A1917"/>
      <c r="D1917"/>
      <c r="G1917"/>
      <c r="H1917" s="20"/>
      <c r="I1917" s="20"/>
      <c r="J1917" s="20"/>
      <c r="K1917" s="20"/>
      <c r="L1917" s="20"/>
      <c r="Q1917" s="83"/>
      <c r="Y1917" s="20"/>
      <c r="AP1917" s="93"/>
      <c r="AQ1917" s="31"/>
      <c r="AR1917" s="31"/>
      <c r="AS1917" s="94"/>
      <c r="AT1917" s="31"/>
      <c r="AU1917" s="31"/>
      <c r="AV1917" s="94"/>
      <c r="AW1917" s="32"/>
      <c r="AX1917" s="32"/>
      <c r="AY1917" s="32"/>
      <c r="AZ1917" s="32"/>
      <c r="BA1917" s="32"/>
      <c r="BB1917" s="31"/>
      <c r="BC1917" s="31"/>
      <c r="BD1917" s="31"/>
      <c r="BE1917" s="31"/>
      <c r="BF1917" s="96"/>
    </row>
    <row r="1918" spans="1:58" x14ac:dyDescent="0.35">
      <c r="A1918"/>
      <c r="D1918"/>
      <c r="G1918"/>
      <c r="H1918" s="20"/>
      <c r="I1918" s="20"/>
      <c r="J1918" s="20"/>
      <c r="K1918" s="20"/>
      <c r="L1918" s="20"/>
      <c r="Q1918" s="83"/>
      <c r="Y1918" s="20"/>
      <c r="AP1918" s="92"/>
      <c r="AQ1918" s="67"/>
      <c r="AR1918" s="67"/>
      <c r="AS1918" s="73"/>
      <c r="AT1918" s="67"/>
      <c r="AU1918" s="67"/>
      <c r="AV1918" s="73"/>
      <c r="AW1918" s="68"/>
      <c r="AX1918" s="68"/>
      <c r="AY1918" s="68"/>
      <c r="AZ1918" s="68"/>
      <c r="BA1918" s="68"/>
      <c r="BB1918" s="67"/>
      <c r="BC1918" s="67"/>
      <c r="BD1918" s="67"/>
      <c r="BE1918" s="67"/>
      <c r="BF1918" s="95"/>
    </row>
    <row r="1919" spans="1:58" x14ac:dyDescent="0.35">
      <c r="A1919"/>
      <c r="D1919"/>
      <c r="G1919"/>
      <c r="H1919" s="20"/>
      <c r="I1919" s="20"/>
      <c r="J1919" s="20"/>
      <c r="K1919" s="20"/>
      <c r="L1919" s="20"/>
      <c r="Q1919" s="83"/>
      <c r="Y1919" s="20"/>
      <c r="AP1919" s="93"/>
      <c r="AQ1919" s="31"/>
      <c r="AR1919" s="31"/>
      <c r="AS1919" s="94"/>
      <c r="AT1919" s="31"/>
      <c r="AU1919" s="31"/>
      <c r="AV1919" s="94"/>
      <c r="AW1919" s="32"/>
      <c r="AX1919" s="32"/>
      <c r="AY1919" s="32"/>
      <c r="AZ1919" s="32"/>
      <c r="BA1919" s="32"/>
      <c r="BB1919" s="31"/>
      <c r="BC1919" s="31"/>
      <c r="BD1919" s="31"/>
      <c r="BE1919" s="31"/>
      <c r="BF1919" s="96"/>
    </row>
    <row r="1920" spans="1:58" x14ac:dyDescent="0.35">
      <c r="A1920"/>
      <c r="D1920"/>
      <c r="G1920"/>
      <c r="H1920" s="20"/>
      <c r="I1920" s="20"/>
      <c r="J1920" s="20"/>
      <c r="K1920" s="20"/>
      <c r="L1920" s="20"/>
      <c r="Q1920" s="83"/>
      <c r="Y1920" s="20"/>
      <c r="AP1920" s="92"/>
      <c r="AQ1920" s="67"/>
      <c r="AR1920" s="67"/>
      <c r="AS1920" s="73"/>
      <c r="AT1920" s="67"/>
      <c r="AU1920" s="67"/>
      <c r="AV1920" s="73"/>
      <c r="AW1920" s="68"/>
      <c r="AX1920" s="68"/>
      <c r="AY1920" s="68"/>
      <c r="AZ1920" s="68"/>
      <c r="BA1920" s="68"/>
      <c r="BB1920" s="67"/>
      <c r="BC1920" s="67"/>
      <c r="BD1920" s="67"/>
      <c r="BE1920" s="67"/>
      <c r="BF1920" s="95"/>
    </row>
    <row r="1921" spans="1:58" x14ac:dyDescent="0.35">
      <c r="A1921"/>
      <c r="D1921"/>
      <c r="G1921"/>
      <c r="H1921" s="20"/>
      <c r="I1921" s="20"/>
      <c r="J1921" s="20"/>
      <c r="K1921" s="20"/>
      <c r="L1921" s="20"/>
      <c r="Q1921" s="83"/>
      <c r="Y1921" s="20"/>
      <c r="AP1921" s="93"/>
      <c r="AQ1921" s="31"/>
      <c r="AR1921" s="31"/>
      <c r="AS1921" s="94"/>
      <c r="AT1921" s="31"/>
      <c r="AU1921" s="31"/>
      <c r="AV1921" s="94"/>
      <c r="AW1921" s="32"/>
      <c r="AX1921" s="32"/>
      <c r="AY1921" s="32"/>
      <c r="AZ1921" s="32"/>
      <c r="BA1921" s="32"/>
      <c r="BB1921" s="31"/>
      <c r="BC1921" s="31"/>
      <c r="BD1921" s="31"/>
      <c r="BE1921" s="31"/>
      <c r="BF1921" s="96"/>
    </row>
    <row r="1922" spans="1:58" x14ac:dyDescent="0.35">
      <c r="A1922"/>
      <c r="D1922"/>
      <c r="G1922"/>
      <c r="H1922" s="20"/>
      <c r="I1922" s="20"/>
      <c r="J1922" s="20"/>
      <c r="K1922" s="20"/>
      <c r="L1922" s="20"/>
      <c r="Q1922" s="83"/>
      <c r="Y1922" s="20"/>
      <c r="AP1922" s="92"/>
      <c r="AQ1922" s="67"/>
      <c r="AR1922" s="67"/>
      <c r="AS1922" s="73"/>
      <c r="AT1922" s="67"/>
      <c r="AU1922" s="67"/>
      <c r="AV1922" s="73"/>
      <c r="AW1922" s="68"/>
      <c r="AX1922" s="68"/>
      <c r="AY1922" s="68"/>
      <c r="AZ1922" s="68"/>
      <c r="BA1922" s="68"/>
      <c r="BB1922" s="67"/>
      <c r="BC1922" s="67"/>
      <c r="BD1922" s="67"/>
      <c r="BE1922" s="67"/>
      <c r="BF1922" s="95"/>
    </row>
    <row r="1923" spans="1:58" x14ac:dyDescent="0.35">
      <c r="A1923"/>
      <c r="D1923"/>
      <c r="G1923"/>
      <c r="H1923" s="20"/>
      <c r="I1923" s="20"/>
      <c r="J1923" s="20"/>
      <c r="K1923" s="20"/>
      <c r="L1923" s="20"/>
      <c r="Q1923" s="83"/>
      <c r="Y1923" s="20"/>
      <c r="AP1923" s="93"/>
      <c r="AQ1923" s="31"/>
      <c r="AR1923" s="31"/>
      <c r="AS1923" s="94"/>
      <c r="AT1923" s="31"/>
      <c r="AU1923" s="31"/>
      <c r="AV1923" s="94"/>
      <c r="AW1923" s="32"/>
      <c r="AX1923" s="32"/>
      <c r="AY1923" s="32"/>
      <c r="AZ1923" s="32"/>
      <c r="BA1923" s="32"/>
      <c r="BB1923" s="31"/>
      <c r="BC1923" s="31"/>
      <c r="BD1923" s="31"/>
      <c r="BE1923" s="31"/>
      <c r="BF1923" s="96"/>
    </row>
    <row r="1924" spans="1:58" x14ac:dyDescent="0.35">
      <c r="A1924"/>
      <c r="D1924"/>
      <c r="G1924"/>
      <c r="H1924" s="20"/>
      <c r="I1924" s="20"/>
      <c r="J1924" s="20"/>
      <c r="K1924" s="20"/>
      <c r="L1924" s="20"/>
      <c r="Q1924" s="83"/>
      <c r="Y1924" s="20"/>
      <c r="AP1924" s="92"/>
      <c r="AQ1924" s="67"/>
      <c r="AR1924" s="67"/>
      <c r="AS1924" s="73"/>
      <c r="AT1924" s="67"/>
      <c r="AU1924" s="67"/>
      <c r="AV1924" s="73"/>
      <c r="AW1924" s="68"/>
      <c r="AX1924" s="68"/>
      <c r="AY1924" s="68"/>
      <c r="AZ1924" s="68"/>
      <c r="BA1924" s="68"/>
      <c r="BB1924" s="67"/>
      <c r="BC1924" s="67"/>
      <c r="BD1924" s="67"/>
      <c r="BE1924" s="67"/>
      <c r="BF1924" s="95"/>
    </row>
    <row r="1925" spans="1:58" x14ac:dyDescent="0.35">
      <c r="A1925"/>
      <c r="D1925"/>
      <c r="G1925"/>
      <c r="H1925" s="20"/>
      <c r="I1925" s="20"/>
      <c r="J1925" s="20"/>
      <c r="K1925" s="20"/>
      <c r="L1925" s="20"/>
      <c r="Q1925" s="83"/>
      <c r="Y1925" s="20"/>
      <c r="AP1925" s="93"/>
      <c r="AQ1925" s="31"/>
      <c r="AR1925" s="31"/>
      <c r="AS1925" s="94"/>
      <c r="AT1925" s="31"/>
      <c r="AU1925" s="31"/>
      <c r="AV1925" s="94"/>
      <c r="AW1925" s="32"/>
      <c r="AX1925" s="32"/>
      <c r="AY1925" s="32"/>
      <c r="AZ1925" s="32"/>
      <c r="BA1925" s="32"/>
      <c r="BB1925" s="31"/>
      <c r="BC1925" s="31"/>
      <c r="BD1925" s="31"/>
      <c r="BE1925" s="31"/>
      <c r="BF1925" s="96"/>
    </row>
    <row r="1926" spans="1:58" x14ac:dyDescent="0.35">
      <c r="A1926"/>
      <c r="D1926"/>
      <c r="G1926"/>
      <c r="H1926" s="20"/>
      <c r="I1926" s="20"/>
      <c r="J1926" s="20"/>
      <c r="K1926" s="20"/>
      <c r="L1926" s="20"/>
      <c r="Q1926" s="83"/>
      <c r="Y1926" s="20"/>
      <c r="AP1926" s="92"/>
      <c r="AQ1926" s="67"/>
      <c r="AR1926" s="67"/>
      <c r="AS1926" s="73"/>
      <c r="AT1926" s="67"/>
      <c r="AU1926" s="67"/>
      <c r="AV1926" s="73"/>
      <c r="AW1926" s="68"/>
      <c r="AX1926" s="68"/>
      <c r="AY1926" s="68"/>
      <c r="AZ1926" s="68"/>
      <c r="BA1926" s="68"/>
      <c r="BB1926" s="67"/>
      <c r="BC1926" s="67"/>
      <c r="BD1926" s="67"/>
      <c r="BE1926" s="67"/>
      <c r="BF1926" s="95"/>
    </row>
    <row r="1927" spans="1:58" x14ac:dyDescent="0.35">
      <c r="A1927"/>
      <c r="D1927"/>
      <c r="G1927"/>
      <c r="H1927" s="20"/>
      <c r="I1927" s="20"/>
      <c r="J1927" s="20"/>
      <c r="K1927" s="20"/>
      <c r="L1927" s="20"/>
      <c r="Q1927" s="83"/>
      <c r="Y1927" s="20"/>
      <c r="AP1927" s="93"/>
      <c r="AQ1927" s="31"/>
      <c r="AR1927" s="31"/>
      <c r="AS1927" s="94"/>
      <c r="AT1927" s="31"/>
      <c r="AU1927" s="31"/>
      <c r="AV1927" s="94"/>
      <c r="AW1927" s="32"/>
      <c r="AX1927" s="32"/>
      <c r="AY1927" s="32"/>
      <c r="AZ1927" s="32"/>
      <c r="BA1927" s="32"/>
      <c r="BB1927" s="31"/>
      <c r="BC1927" s="31"/>
      <c r="BD1927" s="31"/>
      <c r="BE1927" s="31"/>
      <c r="BF1927" s="96"/>
    </row>
    <row r="1928" spans="1:58" x14ac:dyDescent="0.35">
      <c r="A1928"/>
      <c r="D1928"/>
      <c r="G1928"/>
      <c r="H1928" s="20"/>
      <c r="I1928" s="20"/>
      <c r="J1928" s="20"/>
      <c r="K1928" s="20"/>
      <c r="L1928" s="20"/>
      <c r="Q1928" s="83"/>
      <c r="Y1928" s="20"/>
      <c r="AP1928" s="92"/>
      <c r="AQ1928" s="67"/>
      <c r="AR1928" s="67"/>
      <c r="AS1928" s="73"/>
      <c r="AT1928" s="67"/>
      <c r="AU1928" s="67"/>
      <c r="AV1928" s="73"/>
      <c r="AW1928" s="68"/>
      <c r="AX1928" s="68"/>
      <c r="AY1928" s="68"/>
      <c r="AZ1928" s="68"/>
      <c r="BA1928" s="68"/>
      <c r="BB1928" s="67"/>
      <c r="BC1928" s="67"/>
      <c r="BD1928" s="67"/>
      <c r="BE1928" s="67"/>
      <c r="BF1928" s="95"/>
    </row>
    <row r="1929" spans="1:58" x14ac:dyDescent="0.35">
      <c r="A1929"/>
      <c r="D1929"/>
      <c r="G1929"/>
      <c r="H1929" s="20"/>
      <c r="I1929" s="20"/>
      <c r="J1929" s="20"/>
      <c r="K1929" s="20"/>
      <c r="L1929" s="20"/>
      <c r="Q1929" s="83"/>
      <c r="Y1929" s="20"/>
      <c r="AP1929" s="93"/>
      <c r="AQ1929" s="31"/>
      <c r="AR1929" s="31"/>
      <c r="AS1929" s="94"/>
      <c r="AT1929" s="31"/>
      <c r="AU1929" s="31"/>
      <c r="AV1929" s="94"/>
      <c r="AW1929" s="32"/>
      <c r="AX1929" s="32"/>
      <c r="AY1929" s="32"/>
      <c r="AZ1929" s="32"/>
      <c r="BA1929" s="32"/>
      <c r="BB1929" s="31"/>
      <c r="BC1929" s="31"/>
      <c r="BD1929" s="31"/>
      <c r="BE1929" s="31"/>
      <c r="BF1929" s="96"/>
    </row>
    <row r="1930" spans="1:58" x14ac:dyDescent="0.35">
      <c r="A1930"/>
      <c r="D1930"/>
      <c r="G1930"/>
      <c r="H1930" s="20"/>
      <c r="I1930" s="20"/>
      <c r="J1930" s="20"/>
      <c r="K1930" s="20"/>
      <c r="L1930" s="20"/>
      <c r="Q1930" s="83"/>
      <c r="Y1930" s="20"/>
      <c r="AP1930" s="92"/>
      <c r="AQ1930" s="67"/>
      <c r="AR1930" s="67"/>
      <c r="AS1930" s="73"/>
      <c r="AT1930" s="67"/>
      <c r="AU1930" s="67"/>
      <c r="AV1930" s="73"/>
      <c r="AW1930" s="68"/>
      <c r="AX1930" s="68"/>
      <c r="AY1930" s="68"/>
      <c r="AZ1930" s="68"/>
      <c r="BA1930" s="68"/>
      <c r="BB1930" s="67"/>
      <c r="BC1930" s="67"/>
      <c r="BD1930" s="67"/>
      <c r="BE1930" s="67"/>
      <c r="BF1930" s="95"/>
    </row>
    <row r="1931" spans="1:58" x14ac:dyDescent="0.35">
      <c r="A1931"/>
      <c r="D1931"/>
      <c r="G1931"/>
      <c r="H1931" s="20"/>
      <c r="I1931" s="20"/>
      <c r="J1931" s="20"/>
      <c r="K1931" s="20"/>
      <c r="L1931" s="20"/>
      <c r="Q1931" s="83"/>
      <c r="Y1931" s="20"/>
      <c r="AP1931" s="93"/>
      <c r="AQ1931" s="31"/>
      <c r="AR1931" s="31"/>
      <c r="AS1931" s="94"/>
      <c r="AT1931" s="31"/>
      <c r="AU1931" s="31"/>
      <c r="AV1931" s="94"/>
      <c r="AW1931" s="32"/>
      <c r="AX1931" s="32"/>
      <c r="AY1931" s="32"/>
      <c r="AZ1931" s="32"/>
      <c r="BA1931" s="32"/>
      <c r="BB1931" s="31"/>
      <c r="BC1931" s="31"/>
      <c r="BD1931" s="31"/>
      <c r="BE1931" s="31"/>
      <c r="BF1931" s="96"/>
    </row>
    <row r="1932" spans="1:58" x14ac:dyDescent="0.35">
      <c r="A1932"/>
      <c r="D1932"/>
      <c r="G1932"/>
      <c r="H1932" s="20"/>
      <c r="I1932" s="20"/>
      <c r="J1932" s="20"/>
      <c r="K1932" s="20"/>
      <c r="L1932" s="20"/>
      <c r="Q1932" s="83"/>
      <c r="Y1932" s="20"/>
      <c r="AP1932" s="92"/>
      <c r="AQ1932" s="67"/>
      <c r="AR1932" s="67"/>
      <c r="AS1932" s="73"/>
      <c r="AT1932" s="67"/>
      <c r="AU1932" s="67"/>
      <c r="AV1932" s="73"/>
      <c r="AW1932" s="68"/>
      <c r="AX1932" s="68"/>
      <c r="AY1932" s="68"/>
      <c r="AZ1932" s="68"/>
      <c r="BA1932" s="68"/>
      <c r="BB1932" s="67"/>
      <c r="BC1932" s="67"/>
      <c r="BD1932" s="67"/>
      <c r="BE1932" s="67"/>
      <c r="BF1932" s="95"/>
    </row>
    <row r="1933" spans="1:58" x14ac:dyDescent="0.35">
      <c r="A1933"/>
      <c r="D1933"/>
      <c r="G1933"/>
      <c r="H1933" s="20"/>
      <c r="I1933" s="20"/>
      <c r="J1933" s="20"/>
      <c r="K1933" s="20"/>
      <c r="L1933" s="20"/>
      <c r="Q1933" s="83"/>
      <c r="Y1933" s="20"/>
      <c r="AP1933" s="93"/>
      <c r="AQ1933" s="31"/>
      <c r="AR1933" s="31"/>
      <c r="AS1933" s="94"/>
      <c r="AT1933" s="31"/>
      <c r="AU1933" s="31"/>
      <c r="AV1933" s="94"/>
      <c r="AW1933" s="32"/>
      <c r="AX1933" s="32"/>
      <c r="AY1933" s="32"/>
      <c r="AZ1933" s="32"/>
      <c r="BA1933" s="32"/>
      <c r="BB1933" s="31"/>
      <c r="BC1933" s="31"/>
      <c r="BD1933" s="31"/>
      <c r="BE1933" s="31"/>
      <c r="BF1933" s="96"/>
    </row>
    <row r="1934" spans="1:58" x14ac:dyDescent="0.35">
      <c r="A1934"/>
      <c r="D1934"/>
      <c r="G1934"/>
      <c r="H1934" s="20"/>
      <c r="I1934" s="20"/>
      <c r="J1934" s="20"/>
      <c r="K1934" s="20"/>
      <c r="L1934" s="20"/>
      <c r="Q1934" s="83"/>
      <c r="Y1934" s="20"/>
      <c r="AP1934" s="92"/>
      <c r="AQ1934" s="67"/>
      <c r="AR1934" s="67"/>
      <c r="AS1934" s="73"/>
      <c r="AT1934" s="67"/>
      <c r="AU1934" s="67"/>
      <c r="AV1934" s="73"/>
      <c r="AW1934" s="68"/>
      <c r="AX1934" s="68"/>
      <c r="AY1934" s="68"/>
      <c r="AZ1934" s="68"/>
      <c r="BA1934" s="68"/>
      <c r="BB1934" s="67"/>
      <c r="BC1934" s="67"/>
      <c r="BD1934" s="67"/>
      <c r="BE1934" s="67"/>
      <c r="BF1934" s="95"/>
    </row>
    <row r="1935" spans="1:58" x14ac:dyDescent="0.35">
      <c r="A1935"/>
      <c r="D1935"/>
      <c r="G1935"/>
      <c r="H1935" s="20"/>
      <c r="I1935" s="20"/>
      <c r="J1935" s="20"/>
      <c r="K1935" s="20"/>
      <c r="L1935" s="20"/>
      <c r="Q1935" s="83"/>
      <c r="Y1935" s="20"/>
      <c r="AP1935" s="93"/>
      <c r="AQ1935" s="31"/>
      <c r="AR1935" s="31"/>
      <c r="AS1935" s="94"/>
      <c r="AT1935" s="31"/>
      <c r="AU1935" s="31"/>
      <c r="AV1935" s="94"/>
      <c r="AW1935" s="32"/>
      <c r="AX1935" s="32"/>
      <c r="AY1935" s="32"/>
      <c r="AZ1935" s="32"/>
      <c r="BA1935" s="32"/>
      <c r="BB1935" s="31"/>
      <c r="BC1935" s="31"/>
      <c r="BD1935" s="31"/>
      <c r="BE1935" s="31"/>
      <c r="BF1935" s="96"/>
    </row>
    <row r="1936" spans="1:58" x14ac:dyDescent="0.35">
      <c r="A1936"/>
      <c r="D1936"/>
      <c r="G1936"/>
      <c r="H1936" s="20"/>
      <c r="I1936" s="20"/>
      <c r="J1936" s="20"/>
      <c r="K1936" s="20"/>
      <c r="L1936" s="20"/>
      <c r="Q1936" s="83"/>
      <c r="Y1936" s="20"/>
      <c r="AP1936" s="92"/>
      <c r="AQ1936" s="67"/>
      <c r="AR1936" s="67"/>
      <c r="AS1936" s="73"/>
      <c r="AT1936" s="67"/>
      <c r="AU1936" s="67"/>
      <c r="AV1936" s="73"/>
      <c r="AW1936" s="68"/>
      <c r="AX1936" s="68"/>
      <c r="AY1936" s="68"/>
      <c r="AZ1936" s="68"/>
      <c r="BA1936" s="68"/>
      <c r="BB1936" s="67"/>
      <c r="BC1936" s="67"/>
      <c r="BD1936" s="67"/>
      <c r="BE1936" s="67"/>
      <c r="BF1936" s="95"/>
    </row>
    <row r="1937" spans="1:58" x14ac:dyDescent="0.35">
      <c r="A1937"/>
      <c r="D1937"/>
      <c r="G1937"/>
      <c r="H1937" s="20"/>
      <c r="I1937" s="20"/>
      <c r="J1937" s="20"/>
      <c r="K1937" s="20"/>
      <c r="L1937" s="20"/>
      <c r="Q1937" s="83"/>
      <c r="Y1937" s="20"/>
      <c r="AP1937" s="93"/>
      <c r="AQ1937" s="31"/>
      <c r="AR1937" s="31"/>
      <c r="AS1937" s="94"/>
      <c r="AT1937" s="31"/>
      <c r="AU1937" s="31"/>
      <c r="AV1937" s="94"/>
      <c r="AW1937" s="32"/>
      <c r="AX1937" s="32"/>
      <c r="AY1937" s="32"/>
      <c r="AZ1937" s="32"/>
      <c r="BA1937" s="32"/>
      <c r="BB1937" s="31"/>
      <c r="BC1937" s="31"/>
      <c r="BD1937" s="31"/>
      <c r="BE1937" s="31"/>
      <c r="BF1937" s="96"/>
    </row>
    <row r="1938" spans="1:58" x14ac:dyDescent="0.35">
      <c r="A1938"/>
      <c r="D1938"/>
      <c r="G1938"/>
      <c r="H1938" s="20"/>
      <c r="I1938" s="20"/>
      <c r="J1938" s="20"/>
      <c r="K1938" s="20"/>
      <c r="L1938" s="20"/>
      <c r="Q1938" s="83"/>
      <c r="Y1938" s="20"/>
      <c r="AP1938" s="92"/>
      <c r="AQ1938" s="67"/>
      <c r="AR1938" s="67"/>
      <c r="AS1938" s="73"/>
      <c r="AT1938" s="67"/>
      <c r="AU1938" s="67"/>
      <c r="AV1938" s="73"/>
      <c r="AW1938" s="68"/>
      <c r="AX1938" s="68"/>
      <c r="AY1938" s="68"/>
      <c r="AZ1938" s="68"/>
      <c r="BA1938" s="68"/>
      <c r="BB1938" s="67"/>
      <c r="BC1938" s="67"/>
      <c r="BD1938" s="67"/>
      <c r="BE1938" s="67"/>
      <c r="BF1938" s="95"/>
    </row>
    <row r="1939" spans="1:58" x14ac:dyDescent="0.35">
      <c r="A1939"/>
      <c r="D1939"/>
      <c r="G1939"/>
      <c r="H1939" s="20"/>
      <c r="I1939" s="20"/>
      <c r="J1939" s="20"/>
      <c r="K1939" s="20"/>
      <c r="L1939" s="20"/>
      <c r="Q1939" s="83"/>
      <c r="Y1939" s="20"/>
      <c r="AP1939" s="93"/>
      <c r="AQ1939" s="31"/>
      <c r="AR1939" s="31"/>
      <c r="AS1939" s="94"/>
      <c r="AT1939" s="31"/>
      <c r="AU1939" s="31"/>
      <c r="AV1939" s="94"/>
      <c r="AW1939" s="32"/>
      <c r="AX1939" s="32"/>
      <c r="AY1939" s="32"/>
      <c r="AZ1939" s="32"/>
      <c r="BA1939" s="32"/>
      <c r="BB1939" s="31"/>
      <c r="BC1939" s="31"/>
      <c r="BD1939" s="31"/>
      <c r="BE1939" s="31"/>
      <c r="BF1939" s="96"/>
    </row>
    <row r="1940" spans="1:58" x14ac:dyDescent="0.35">
      <c r="A1940"/>
      <c r="D1940"/>
      <c r="G1940"/>
      <c r="H1940" s="20"/>
      <c r="I1940" s="20"/>
      <c r="J1940" s="20"/>
      <c r="K1940" s="20"/>
      <c r="L1940" s="20"/>
      <c r="Q1940" s="83"/>
      <c r="Y1940" s="20"/>
      <c r="AP1940" s="92"/>
      <c r="AQ1940" s="67"/>
      <c r="AR1940" s="67"/>
      <c r="AS1940" s="73"/>
      <c r="AT1940" s="67"/>
      <c r="AU1940" s="67"/>
      <c r="AV1940" s="73"/>
      <c r="AW1940" s="68"/>
      <c r="AX1940" s="68"/>
      <c r="AY1940" s="68"/>
      <c r="AZ1940" s="68"/>
      <c r="BA1940" s="68"/>
      <c r="BB1940" s="67"/>
      <c r="BC1940" s="67"/>
      <c r="BD1940" s="67"/>
      <c r="BE1940" s="67"/>
      <c r="BF1940" s="95"/>
    </row>
    <row r="1941" spans="1:58" x14ac:dyDescent="0.35">
      <c r="A1941"/>
      <c r="D1941"/>
      <c r="G1941"/>
      <c r="H1941" s="20"/>
      <c r="I1941" s="20"/>
      <c r="J1941" s="20"/>
      <c r="K1941" s="20"/>
      <c r="L1941" s="20"/>
      <c r="Q1941" s="83"/>
      <c r="Y1941" s="20"/>
      <c r="AP1941" s="93"/>
      <c r="AQ1941" s="31"/>
      <c r="AR1941" s="31"/>
      <c r="AS1941" s="94"/>
      <c r="AT1941" s="31"/>
      <c r="AU1941" s="31"/>
      <c r="AV1941" s="94"/>
      <c r="AW1941" s="32"/>
      <c r="AX1941" s="32"/>
      <c r="AY1941" s="32"/>
      <c r="AZ1941" s="32"/>
      <c r="BA1941" s="32"/>
      <c r="BB1941" s="31"/>
      <c r="BC1941" s="31"/>
      <c r="BD1941" s="31"/>
      <c r="BE1941" s="31"/>
      <c r="BF1941" s="96"/>
    </row>
    <row r="1942" spans="1:58" x14ac:dyDescent="0.35">
      <c r="A1942"/>
      <c r="D1942"/>
      <c r="G1942"/>
      <c r="H1942" s="20"/>
      <c r="I1942" s="20"/>
      <c r="J1942" s="20"/>
      <c r="K1942" s="20"/>
      <c r="L1942" s="20"/>
      <c r="Q1942" s="83"/>
      <c r="Y1942" s="20"/>
      <c r="AP1942" s="92"/>
      <c r="AQ1942" s="67"/>
      <c r="AR1942" s="67"/>
      <c r="AS1942" s="73"/>
      <c r="AT1942" s="67"/>
      <c r="AU1942" s="67"/>
      <c r="AV1942" s="73"/>
      <c r="AW1942" s="68"/>
      <c r="AX1942" s="68"/>
      <c r="AY1942" s="68"/>
      <c r="AZ1942" s="68"/>
      <c r="BA1942" s="68"/>
      <c r="BB1942" s="67"/>
      <c r="BC1942" s="67"/>
      <c r="BD1942" s="67"/>
      <c r="BE1942" s="67"/>
      <c r="BF1942" s="95"/>
    </row>
    <row r="1943" spans="1:58" x14ac:dyDescent="0.35">
      <c r="A1943"/>
      <c r="D1943"/>
      <c r="G1943"/>
      <c r="H1943" s="20"/>
      <c r="I1943" s="20"/>
      <c r="J1943" s="20"/>
      <c r="K1943" s="20"/>
      <c r="L1943" s="20"/>
      <c r="Q1943" s="83"/>
      <c r="Y1943" s="20"/>
      <c r="AP1943" s="93"/>
      <c r="AQ1943" s="31"/>
      <c r="AR1943" s="31"/>
      <c r="AS1943" s="94"/>
      <c r="AT1943" s="31"/>
      <c r="AU1943" s="31"/>
      <c r="AV1943" s="94"/>
      <c r="AW1943" s="32"/>
      <c r="AX1943" s="32"/>
      <c r="AY1943" s="32"/>
      <c r="AZ1943" s="32"/>
      <c r="BA1943" s="32"/>
      <c r="BB1943" s="31"/>
      <c r="BC1943" s="31"/>
      <c r="BD1943" s="31"/>
      <c r="BE1943" s="31"/>
      <c r="BF1943" s="96"/>
    </row>
    <row r="1944" spans="1:58" x14ac:dyDescent="0.35">
      <c r="A1944"/>
      <c r="D1944"/>
      <c r="G1944"/>
      <c r="H1944" s="20"/>
      <c r="I1944" s="20"/>
      <c r="J1944" s="20"/>
      <c r="K1944" s="20"/>
      <c r="L1944" s="20"/>
      <c r="Q1944" s="83"/>
      <c r="Y1944" s="20"/>
      <c r="AP1944" s="92"/>
      <c r="AQ1944" s="67"/>
      <c r="AR1944" s="67"/>
      <c r="AS1944" s="73"/>
      <c r="AT1944" s="67"/>
      <c r="AU1944" s="67"/>
      <c r="AV1944" s="73"/>
      <c r="AW1944" s="68"/>
      <c r="AX1944" s="68"/>
      <c r="AY1944" s="68"/>
      <c r="AZ1944" s="68"/>
      <c r="BA1944" s="68"/>
      <c r="BB1944" s="67"/>
      <c r="BC1944" s="67"/>
      <c r="BD1944" s="67"/>
      <c r="BE1944" s="67"/>
      <c r="BF1944" s="95"/>
    </row>
    <row r="1945" spans="1:58" x14ac:dyDescent="0.35">
      <c r="A1945"/>
      <c r="D1945"/>
      <c r="G1945"/>
      <c r="H1945" s="20"/>
      <c r="I1945" s="20"/>
      <c r="J1945" s="20"/>
      <c r="K1945" s="20"/>
      <c r="L1945" s="20"/>
      <c r="Q1945" s="83"/>
      <c r="Y1945" s="20"/>
      <c r="AP1945" s="93"/>
      <c r="AQ1945" s="31"/>
      <c r="AR1945" s="31"/>
      <c r="AS1945" s="94"/>
      <c r="AT1945" s="31"/>
      <c r="AU1945" s="31"/>
      <c r="AV1945" s="94"/>
      <c r="AW1945" s="32"/>
      <c r="AX1945" s="32"/>
      <c r="AY1945" s="32"/>
      <c r="AZ1945" s="32"/>
      <c r="BA1945" s="32"/>
      <c r="BB1945" s="31"/>
      <c r="BC1945" s="31"/>
      <c r="BD1945" s="31"/>
      <c r="BE1945" s="31"/>
      <c r="BF1945" s="96"/>
    </row>
    <row r="1946" spans="1:58" x14ac:dyDescent="0.35">
      <c r="A1946"/>
      <c r="D1946"/>
      <c r="G1946"/>
      <c r="H1946" s="20"/>
      <c r="I1946" s="20"/>
      <c r="J1946" s="20"/>
      <c r="K1946" s="20"/>
      <c r="L1946" s="20"/>
      <c r="Q1946" s="83"/>
      <c r="Y1946" s="20"/>
      <c r="AP1946" s="92"/>
      <c r="AQ1946" s="67"/>
      <c r="AR1946" s="67"/>
      <c r="AS1946" s="73"/>
      <c r="AT1946" s="67"/>
      <c r="AU1946" s="67"/>
      <c r="AV1946" s="73"/>
      <c r="AW1946" s="68"/>
      <c r="AX1946" s="68"/>
      <c r="AY1946" s="68"/>
      <c r="AZ1946" s="68"/>
      <c r="BA1946" s="68"/>
      <c r="BB1946" s="67"/>
      <c r="BC1946" s="67"/>
      <c r="BD1946" s="67"/>
      <c r="BE1946" s="67"/>
      <c r="BF1946" s="95"/>
    </row>
    <row r="1947" spans="1:58" x14ac:dyDescent="0.35">
      <c r="A1947"/>
      <c r="D1947"/>
      <c r="G1947"/>
      <c r="H1947" s="20"/>
      <c r="I1947" s="20"/>
      <c r="J1947" s="20"/>
      <c r="K1947" s="20"/>
      <c r="L1947" s="20"/>
      <c r="Q1947" s="83"/>
      <c r="Y1947" s="20"/>
      <c r="AP1947" s="93"/>
      <c r="AQ1947" s="31"/>
      <c r="AR1947" s="31"/>
      <c r="AS1947" s="94"/>
      <c r="AT1947" s="31"/>
      <c r="AU1947" s="31"/>
      <c r="AV1947" s="94"/>
      <c r="AW1947" s="32"/>
      <c r="AX1947" s="32"/>
      <c r="AY1947" s="32"/>
      <c r="AZ1947" s="32"/>
      <c r="BA1947" s="32"/>
      <c r="BB1947" s="31"/>
      <c r="BC1947" s="31"/>
      <c r="BD1947" s="31"/>
      <c r="BE1947" s="31"/>
      <c r="BF1947" s="96"/>
    </row>
    <row r="1948" spans="1:58" x14ac:dyDescent="0.35">
      <c r="A1948"/>
      <c r="D1948"/>
      <c r="G1948"/>
      <c r="H1948" s="20"/>
      <c r="I1948" s="20"/>
      <c r="J1948" s="20"/>
      <c r="K1948" s="20"/>
      <c r="L1948" s="20"/>
      <c r="Q1948" s="83"/>
      <c r="Y1948" s="20"/>
      <c r="AP1948" s="92"/>
      <c r="AQ1948" s="67"/>
      <c r="AR1948" s="67"/>
      <c r="AS1948" s="73"/>
      <c r="AT1948" s="67"/>
      <c r="AU1948" s="67"/>
      <c r="AV1948" s="73"/>
      <c r="AW1948" s="68"/>
      <c r="AX1948" s="68"/>
      <c r="AY1948" s="68"/>
      <c r="AZ1948" s="68"/>
      <c r="BA1948" s="68"/>
      <c r="BB1948" s="67"/>
      <c r="BC1948" s="67"/>
      <c r="BD1948" s="67"/>
      <c r="BE1948" s="67"/>
      <c r="BF1948" s="95"/>
    </row>
    <row r="1949" spans="1:58" x14ac:dyDescent="0.35">
      <c r="A1949"/>
      <c r="D1949"/>
      <c r="G1949"/>
      <c r="H1949" s="20"/>
      <c r="I1949" s="20"/>
      <c r="J1949" s="20"/>
      <c r="K1949" s="20"/>
      <c r="L1949" s="20"/>
      <c r="Q1949" s="83"/>
      <c r="Y1949" s="20"/>
      <c r="AP1949" s="93"/>
      <c r="AQ1949" s="31"/>
      <c r="AR1949" s="31"/>
      <c r="AS1949" s="94"/>
      <c r="AT1949" s="31"/>
      <c r="AU1949" s="31"/>
      <c r="AV1949" s="94"/>
      <c r="AW1949" s="32"/>
      <c r="AX1949" s="32"/>
      <c r="AY1949" s="32"/>
      <c r="AZ1949" s="32"/>
      <c r="BA1949" s="32"/>
      <c r="BB1949" s="31"/>
      <c r="BC1949" s="31"/>
      <c r="BD1949" s="31"/>
      <c r="BE1949" s="31"/>
      <c r="BF1949" s="96"/>
    </row>
    <row r="1950" spans="1:58" x14ac:dyDescent="0.35">
      <c r="A1950"/>
      <c r="D1950"/>
      <c r="G1950"/>
      <c r="H1950" s="20"/>
      <c r="I1950" s="20"/>
      <c r="J1950" s="20"/>
      <c r="K1950" s="20"/>
      <c r="L1950" s="20"/>
      <c r="Q1950" s="83"/>
      <c r="Y1950" s="20"/>
      <c r="AP1950" s="92"/>
      <c r="AQ1950" s="67"/>
      <c r="AR1950" s="67"/>
      <c r="AS1950" s="73"/>
      <c r="AT1950" s="67"/>
      <c r="AU1950" s="67"/>
      <c r="AV1950" s="73"/>
      <c r="AW1950" s="68"/>
      <c r="AX1950" s="68"/>
      <c r="AY1950" s="68"/>
      <c r="AZ1950" s="68"/>
      <c r="BA1950" s="68"/>
      <c r="BB1950" s="67"/>
      <c r="BC1950" s="67"/>
      <c r="BD1950" s="67"/>
      <c r="BE1950" s="67"/>
      <c r="BF1950" s="95"/>
    </row>
    <row r="1951" spans="1:58" x14ac:dyDescent="0.35">
      <c r="A1951"/>
      <c r="D1951"/>
      <c r="G1951"/>
      <c r="H1951" s="20"/>
      <c r="I1951" s="20"/>
      <c r="J1951" s="20"/>
      <c r="K1951" s="20"/>
      <c r="L1951" s="20"/>
      <c r="Q1951" s="83"/>
      <c r="Y1951" s="20"/>
      <c r="AP1951" s="93"/>
      <c r="AQ1951" s="31"/>
      <c r="AR1951" s="31"/>
      <c r="AS1951" s="94"/>
      <c r="AT1951" s="31"/>
      <c r="AU1951" s="31"/>
      <c r="AV1951" s="94"/>
      <c r="AW1951" s="32"/>
      <c r="AX1951" s="32"/>
      <c r="AY1951" s="32"/>
      <c r="AZ1951" s="32"/>
      <c r="BA1951" s="32"/>
      <c r="BB1951" s="31"/>
      <c r="BC1951" s="31"/>
      <c r="BD1951" s="31"/>
      <c r="BE1951" s="31"/>
      <c r="BF1951" s="96"/>
    </row>
    <row r="1952" spans="1:58" x14ac:dyDescent="0.35">
      <c r="A1952"/>
      <c r="D1952"/>
      <c r="G1952"/>
      <c r="H1952" s="20"/>
      <c r="I1952" s="20"/>
      <c r="J1952" s="20"/>
      <c r="K1952" s="20"/>
      <c r="L1952" s="20"/>
      <c r="Q1952" s="83"/>
      <c r="Y1952" s="20"/>
      <c r="AP1952" s="92"/>
      <c r="AQ1952" s="67"/>
      <c r="AR1952" s="67"/>
      <c r="AS1952" s="73"/>
      <c r="AT1952" s="67"/>
      <c r="AU1952" s="67"/>
      <c r="AV1952" s="73"/>
      <c r="AW1952" s="68"/>
      <c r="AX1952" s="68"/>
      <c r="AY1952" s="68"/>
      <c r="AZ1952" s="68"/>
      <c r="BA1952" s="68"/>
      <c r="BB1952" s="67"/>
      <c r="BC1952" s="67"/>
      <c r="BD1952" s="67"/>
      <c r="BE1952" s="67"/>
      <c r="BF1952" s="95"/>
    </row>
    <row r="1953" spans="1:58" x14ac:dyDescent="0.35">
      <c r="A1953"/>
      <c r="D1953"/>
      <c r="G1953"/>
      <c r="H1953" s="20"/>
      <c r="I1953" s="20"/>
      <c r="J1953" s="20"/>
      <c r="K1953" s="20"/>
      <c r="L1953" s="20"/>
      <c r="Q1953" s="83"/>
      <c r="Y1953" s="20"/>
      <c r="AP1953" s="93"/>
      <c r="AQ1953" s="31"/>
      <c r="AR1953" s="31"/>
      <c r="AS1953" s="94"/>
      <c r="AT1953" s="31"/>
      <c r="AU1953" s="31"/>
      <c r="AV1953" s="94"/>
      <c r="AW1953" s="32"/>
      <c r="AX1953" s="32"/>
      <c r="AY1953" s="32"/>
      <c r="AZ1953" s="32"/>
      <c r="BA1953" s="32"/>
      <c r="BB1953" s="31"/>
      <c r="BC1953" s="31"/>
      <c r="BD1953" s="31"/>
      <c r="BE1953" s="31"/>
      <c r="BF1953" s="96"/>
    </row>
    <row r="1954" spans="1:58" x14ac:dyDescent="0.35">
      <c r="A1954"/>
      <c r="D1954"/>
      <c r="G1954"/>
      <c r="H1954" s="20"/>
      <c r="I1954" s="20"/>
      <c r="J1954" s="20"/>
      <c r="K1954" s="20"/>
      <c r="L1954" s="20"/>
      <c r="Q1954" s="83"/>
      <c r="Y1954" s="20"/>
      <c r="AP1954" s="92"/>
      <c r="AQ1954" s="67"/>
      <c r="AR1954" s="67"/>
      <c r="AS1954" s="73"/>
      <c r="AT1954" s="67"/>
      <c r="AU1954" s="67"/>
      <c r="AV1954" s="73"/>
      <c r="AW1954" s="68"/>
      <c r="AX1954" s="68"/>
      <c r="AY1954" s="68"/>
      <c r="AZ1954" s="68"/>
      <c r="BA1954" s="68"/>
      <c r="BB1954" s="67"/>
      <c r="BC1954" s="67"/>
      <c r="BD1954" s="67"/>
      <c r="BE1954" s="67"/>
      <c r="BF1954" s="95"/>
    </row>
    <row r="1955" spans="1:58" x14ac:dyDescent="0.35">
      <c r="A1955"/>
      <c r="D1955"/>
      <c r="G1955"/>
      <c r="H1955" s="20"/>
      <c r="I1955" s="20"/>
      <c r="J1955" s="20"/>
      <c r="K1955" s="20"/>
      <c r="L1955" s="20"/>
      <c r="Q1955" s="83"/>
      <c r="Y1955" s="20"/>
      <c r="AP1955" s="93"/>
      <c r="AQ1955" s="31"/>
      <c r="AR1955" s="31"/>
      <c r="AS1955" s="94"/>
      <c r="AT1955" s="31"/>
      <c r="AU1955" s="31"/>
      <c r="AV1955" s="94"/>
      <c r="AW1955" s="32"/>
      <c r="AX1955" s="32"/>
      <c r="AY1955" s="32"/>
      <c r="AZ1955" s="32"/>
      <c r="BA1955" s="32"/>
      <c r="BB1955" s="31"/>
      <c r="BC1955" s="31"/>
      <c r="BD1955" s="31"/>
      <c r="BE1955" s="31"/>
      <c r="BF1955" s="96"/>
    </row>
    <row r="1956" spans="1:58" x14ac:dyDescent="0.35">
      <c r="A1956"/>
      <c r="D1956"/>
      <c r="G1956"/>
      <c r="H1956" s="20"/>
      <c r="I1956" s="20"/>
      <c r="J1956" s="20"/>
      <c r="K1956" s="20"/>
      <c r="L1956" s="20"/>
      <c r="Q1956" s="83"/>
      <c r="Y1956" s="20"/>
      <c r="AP1956" s="92"/>
      <c r="AQ1956" s="67"/>
      <c r="AR1956" s="67"/>
      <c r="AS1956" s="73"/>
      <c r="AT1956" s="67"/>
      <c r="AU1956" s="67"/>
      <c r="AV1956" s="73"/>
      <c r="AW1956" s="68"/>
      <c r="AX1956" s="68"/>
      <c r="AY1956" s="68"/>
      <c r="AZ1956" s="68"/>
      <c r="BA1956" s="68"/>
      <c r="BB1956" s="67"/>
      <c r="BC1956" s="67"/>
      <c r="BD1956" s="67"/>
      <c r="BE1956" s="67"/>
      <c r="BF1956" s="95"/>
    </row>
    <row r="1957" spans="1:58" x14ac:dyDescent="0.35">
      <c r="A1957"/>
      <c r="D1957"/>
      <c r="G1957"/>
      <c r="H1957" s="20"/>
      <c r="I1957" s="20"/>
      <c r="J1957" s="20"/>
      <c r="K1957" s="20"/>
      <c r="L1957" s="20"/>
      <c r="Q1957" s="83"/>
      <c r="Y1957" s="20"/>
      <c r="AP1957" s="93"/>
      <c r="AQ1957" s="31"/>
      <c r="AR1957" s="31"/>
      <c r="AS1957" s="94"/>
      <c r="AT1957" s="31"/>
      <c r="AU1957" s="31"/>
      <c r="AV1957" s="94"/>
      <c r="AW1957" s="32"/>
      <c r="AX1957" s="32"/>
      <c r="AY1957" s="32"/>
      <c r="AZ1957" s="32"/>
      <c r="BA1957" s="32"/>
      <c r="BB1957" s="31"/>
      <c r="BC1957" s="31"/>
      <c r="BD1957" s="31"/>
      <c r="BE1957" s="31"/>
      <c r="BF1957" s="96"/>
    </row>
    <row r="1958" spans="1:58" x14ac:dyDescent="0.35">
      <c r="A1958"/>
      <c r="D1958"/>
      <c r="G1958"/>
      <c r="H1958" s="20"/>
      <c r="I1958" s="20"/>
      <c r="J1958" s="20"/>
      <c r="K1958" s="20"/>
      <c r="L1958" s="20"/>
      <c r="Q1958" s="83"/>
      <c r="Y1958" s="20"/>
      <c r="AP1958" s="92"/>
      <c r="AQ1958" s="67"/>
      <c r="AR1958" s="67"/>
      <c r="AS1958" s="73"/>
      <c r="AT1958" s="67"/>
      <c r="AU1958" s="67"/>
      <c r="AV1958" s="73"/>
      <c r="AW1958" s="68"/>
      <c r="AX1958" s="68"/>
      <c r="AY1958" s="68"/>
      <c r="AZ1958" s="68"/>
      <c r="BA1958" s="68"/>
      <c r="BB1958" s="67"/>
      <c r="BC1958" s="67"/>
      <c r="BD1958" s="67"/>
      <c r="BE1958" s="67"/>
      <c r="BF1958" s="95"/>
    </row>
    <row r="1959" spans="1:58" x14ac:dyDescent="0.35">
      <c r="A1959"/>
      <c r="D1959"/>
      <c r="G1959"/>
      <c r="H1959" s="20"/>
      <c r="I1959" s="20"/>
      <c r="J1959" s="20"/>
      <c r="K1959" s="20"/>
      <c r="L1959" s="20"/>
      <c r="Q1959" s="83"/>
      <c r="Y1959" s="20"/>
      <c r="AP1959" s="93"/>
      <c r="AQ1959" s="31"/>
      <c r="AR1959" s="31"/>
      <c r="AS1959" s="94"/>
      <c r="AT1959" s="31"/>
      <c r="AU1959" s="31"/>
      <c r="AV1959" s="94"/>
      <c r="AW1959" s="32"/>
      <c r="AX1959" s="32"/>
      <c r="AY1959" s="32"/>
      <c r="AZ1959" s="32"/>
      <c r="BA1959" s="32"/>
      <c r="BB1959" s="31"/>
      <c r="BC1959" s="31"/>
      <c r="BD1959" s="31"/>
      <c r="BE1959" s="31"/>
      <c r="BF1959" s="96"/>
    </row>
    <row r="1960" spans="1:58" x14ac:dyDescent="0.35">
      <c r="A1960"/>
      <c r="D1960"/>
      <c r="G1960"/>
      <c r="H1960" s="20"/>
      <c r="I1960" s="20"/>
      <c r="J1960" s="20"/>
      <c r="K1960" s="20"/>
      <c r="L1960" s="20"/>
      <c r="Q1960" s="83"/>
      <c r="Y1960" s="20"/>
      <c r="AP1960" s="92"/>
      <c r="AQ1960" s="67"/>
      <c r="AR1960" s="67"/>
      <c r="AS1960" s="73"/>
      <c r="AT1960" s="67"/>
      <c r="AU1960" s="67"/>
      <c r="AV1960" s="73"/>
      <c r="AW1960" s="68"/>
      <c r="AX1960" s="68"/>
      <c r="AY1960" s="68"/>
      <c r="AZ1960" s="68"/>
      <c r="BA1960" s="68"/>
      <c r="BB1960" s="67"/>
      <c r="BC1960" s="67"/>
      <c r="BD1960" s="67"/>
      <c r="BE1960" s="67"/>
      <c r="BF1960" s="95"/>
    </row>
    <row r="1961" spans="1:58" x14ac:dyDescent="0.35">
      <c r="A1961"/>
      <c r="D1961"/>
      <c r="G1961"/>
      <c r="H1961" s="20"/>
      <c r="I1961" s="20"/>
      <c r="J1961" s="20"/>
      <c r="K1961" s="20"/>
      <c r="L1961" s="20"/>
      <c r="Q1961" s="83"/>
      <c r="Y1961" s="20"/>
      <c r="AP1961" s="93"/>
      <c r="AQ1961" s="31"/>
      <c r="AR1961" s="31"/>
      <c r="AS1961" s="94"/>
      <c r="AT1961" s="31"/>
      <c r="AU1961" s="31"/>
      <c r="AV1961" s="94"/>
      <c r="AW1961" s="32"/>
      <c r="AX1961" s="32"/>
      <c r="AY1961" s="32"/>
      <c r="AZ1961" s="32"/>
      <c r="BA1961" s="32"/>
      <c r="BB1961" s="31"/>
      <c r="BC1961" s="31"/>
      <c r="BD1961" s="31"/>
      <c r="BE1961" s="31"/>
      <c r="BF1961" s="96"/>
    </row>
    <row r="1962" spans="1:58" x14ac:dyDescent="0.35">
      <c r="A1962"/>
      <c r="D1962"/>
      <c r="G1962"/>
      <c r="H1962" s="20"/>
      <c r="I1962" s="20"/>
      <c r="J1962" s="20"/>
      <c r="K1962" s="20"/>
      <c r="L1962" s="20"/>
      <c r="Q1962" s="83"/>
      <c r="Y1962" s="20"/>
      <c r="AP1962" s="92"/>
      <c r="AQ1962" s="67"/>
      <c r="AR1962" s="67"/>
      <c r="AS1962" s="73"/>
      <c r="AT1962" s="67"/>
      <c r="AU1962" s="67"/>
      <c r="AV1962" s="73"/>
      <c r="AW1962" s="68"/>
      <c r="AX1962" s="68"/>
      <c r="AY1962" s="68"/>
      <c r="AZ1962" s="68"/>
      <c r="BA1962" s="68"/>
      <c r="BB1962" s="67"/>
      <c r="BC1962" s="67"/>
      <c r="BD1962" s="67"/>
      <c r="BE1962" s="67"/>
      <c r="BF1962" s="95"/>
    </row>
    <row r="1963" spans="1:58" x14ac:dyDescent="0.35">
      <c r="A1963"/>
      <c r="D1963"/>
      <c r="G1963"/>
      <c r="H1963" s="20"/>
      <c r="I1963" s="20"/>
      <c r="J1963" s="20"/>
      <c r="K1963" s="20"/>
      <c r="L1963" s="20"/>
      <c r="Q1963" s="83"/>
      <c r="Y1963" s="20"/>
      <c r="AP1963" s="93"/>
      <c r="AQ1963" s="31"/>
      <c r="AR1963" s="31"/>
      <c r="AS1963" s="94"/>
      <c r="AT1963" s="31"/>
      <c r="AU1963" s="31"/>
      <c r="AV1963" s="94"/>
      <c r="AW1963" s="32"/>
      <c r="AX1963" s="32"/>
      <c r="AY1963" s="32"/>
      <c r="AZ1963" s="32"/>
      <c r="BA1963" s="32"/>
      <c r="BB1963" s="31"/>
      <c r="BC1963" s="31"/>
      <c r="BD1963" s="31"/>
      <c r="BE1963" s="31"/>
      <c r="BF1963" s="96"/>
    </row>
    <row r="1964" spans="1:58" x14ac:dyDescent="0.35">
      <c r="A1964"/>
      <c r="D1964"/>
      <c r="G1964"/>
      <c r="H1964" s="20"/>
      <c r="I1964" s="20"/>
      <c r="J1964" s="20"/>
      <c r="K1964" s="20"/>
      <c r="L1964" s="20"/>
      <c r="Q1964" s="83"/>
      <c r="Y1964" s="20"/>
      <c r="AP1964" s="92"/>
      <c r="AQ1964" s="67"/>
      <c r="AR1964" s="67"/>
      <c r="AS1964" s="73"/>
      <c r="AT1964" s="67"/>
      <c r="AU1964" s="67"/>
      <c r="AV1964" s="73"/>
      <c r="AW1964" s="68"/>
      <c r="AX1964" s="68"/>
      <c r="AY1964" s="68"/>
      <c r="AZ1964" s="68"/>
      <c r="BA1964" s="68"/>
      <c r="BB1964" s="67"/>
      <c r="BC1964" s="67"/>
      <c r="BD1964" s="67"/>
      <c r="BE1964" s="67"/>
      <c r="BF1964" s="95"/>
    </row>
    <row r="1965" spans="1:58" x14ac:dyDescent="0.35">
      <c r="A1965"/>
      <c r="D1965"/>
      <c r="G1965"/>
      <c r="H1965" s="20"/>
      <c r="I1965" s="20"/>
      <c r="J1965" s="20"/>
      <c r="K1965" s="20"/>
      <c r="L1965" s="20"/>
      <c r="Q1965" s="83"/>
      <c r="Y1965" s="20"/>
      <c r="AP1965" s="93"/>
      <c r="AQ1965" s="31"/>
      <c r="AR1965" s="31"/>
      <c r="AS1965" s="94"/>
      <c r="AT1965" s="31"/>
      <c r="AU1965" s="31"/>
      <c r="AV1965" s="94"/>
      <c r="AW1965" s="32"/>
      <c r="AX1965" s="32"/>
      <c r="AY1965" s="32"/>
      <c r="AZ1965" s="32"/>
      <c r="BA1965" s="32"/>
      <c r="BB1965" s="31"/>
      <c r="BC1965" s="31"/>
      <c r="BD1965" s="31"/>
      <c r="BE1965" s="31"/>
      <c r="BF1965" s="96"/>
    </row>
    <row r="1966" spans="1:58" x14ac:dyDescent="0.35">
      <c r="A1966"/>
      <c r="D1966"/>
      <c r="G1966"/>
      <c r="H1966" s="20"/>
      <c r="I1966" s="20"/>
      <c r="J1966" s="20"/>
      <c r="K1966" s="20"/>
      <c r="L1966" s="20"/>
      <c r="Q1966" s="83"/>
      <c r="Y1966" s="20"/>
      <c r="AP1966" s="92"/>
      <c r="AQ1966" s="67"/>
      <c r="AR1966" s="67"/>
      <c r="AS1966" s="73"/>
      <c r="AT1966" s="67"/>
      <c r="AU1966" s="67"/>
      <c r="AV1966" s="73"/>
      <c r="AW1966" s="68"/>
      <c r="AX1966" s="68"/>
      <c r="AY1966" s="68"/>
      <c r="AZ1966" s="68"/>
      <c r="BA1966" s="68"/>
      <c r="BB1966" s="67"/>
      <c r="BC1966" s="67"/>
      <c r="BD1966" s="67"/>
      <c r="BE1966" s="67"/>
      <c r="BF1966" s="95"/>
    </row>
    <row r="1967" spans="1:58" x14ac:dyDescent="0.35">
      <c r="A1967"/>
      <c r="D1967"/>
      <c r="G1967"/>
      <c r="H1967" s="20"/>
      <c r="I1967" s="20"/>
      <c r="J1967" s="20"/>
      <c r="K1967" s="20"/>
      <c r="L1967" s="20"/>
      <c r="Q1967" s="83"/>
      <c r="Y1967" s="20"/>
      <c r="AP1967" s="93"/>
      <c r="AQ1967" s="31"/>
      <c r="AR1967" s="31"/>
      <c r="AS1967" s="94"/>
      <c r="AT1967" s="31"/>
      <c r="AU1967" s="31"/>
      <c r="AV1967" s="94"/>
      <c r="AW1967" s="32"/>
      <c r="AX1967" s="32"/>
      <c r="AY1967" s="32"/>
      <c r="AZ1967" s="32"/>
      <c r="BA1967" s="32"/>
      <c r="BB1967" s="31"/>
      <c r="BC1967" s="31"/>
      <c r="BD1967" s="31"/>
      <c r="BE1967" s="31"/>
      <c r="BF1967" s="96"/>
    </row>
    <row r="1968" spans="1:58" x14ac:dyDescent="0.35">
      <c r="A1968"/>
      <c r="D1968"/>
      <c r="G1968"/>
      <c r="H1968" s="20"/>
      <c r="I1968" s="20"/>
      <c r="J1968" s="20"/>
      <c r="K1968" s="20"/>
      <c r="L1968" s="20"/>
      <c r="Q1968" s="83"/>
      <c r="Y1968" s="20"/>
      <c r="AP1968" s="92"/>
      <c r="AQ1968" s="67"/>
      <c r="AR1968" s="67"/>
      <c r="AS1968" s="73"/>
      <c r="AT1968" s="67"/>
      <c r="AU1968" s="67"/>
      <c r="AV1968" s="73"/>
      <c r="AW1968" s="68"/>
      <c r="AX1968" s="68"/>
      <c r="AY1968" s="68"/>
      <c r="AZ1968" s="68"/>
      <c r="BA1968" s="68"/>
      <c r="BB1968" s="67"/>
      <c r="BC1968" s="67"/>
      <c r="BD1968" s="67"/>
      <c r="BE1968" s="67"/>
      <c r="BF1968" s="95"/>
    </row>
    <row r="1969" spans="1:58" x14ac:dyDescent="0.35">
      <c r="A1969"/>
      <c r="D1969"/>
      <c r="G1969"/>
      <c r="H1969" s="20"/>
      <c r="I1969" s="20"/>
      <c r="J1969" s="20"/>
      <c r="K1969" s="20"/>
      <c r="L1969" s="20"/>
      <c r="Q1969" s="83"/>
      <c r="Y1969" s="20"/>
      <c r="AP1969" s="93"/>
      <c r="AQ1969" s="31"/>
      <c r="AR1969" s="31"/>
      <c r="AS1969" s="94"/>
      <c r="AT1969" s="31"/>
      <c r="AU1969" s="31"/>
      <c r="AV1969" s="94"/>
      <c r="AW1969" s="32"/>
      <c r="AX1969" s="32"/>
      <c r="AY1969" s="32"/>
      <c r="AZ1969" s="32"/>
      <c r="BA1969" s="32"/>
      <c r="BB1969" s="31"/>
      <c r="BC1969" s="31"/>
      <c r="BD1969" s="31"/>
      <c r="BE1969" s="31"/>
      <c r="BF1969" s="96"/>
    </row>
    <row r="1970" spans="1:58" x14ac:dyDescent="0.35">
      <c r="A1970"/>
      <c r="D1970"/>
      <c r="G1970"/>
      <c r="H1970" s="20"/>
      <c r="I1970" s="20"/>
      <c r="J1970" s="20"/>
      <c r="K1970" s="20"/>
      <c r="L1970" s="20"/>
      <c r="Q1970" s="83"/>
      <c r="Y1970" s="20"/>
      <c r="AP1970" s="92"/>
      <c r="AQ1970" s="67"/>
      <c r="AR1970" s="67"/>
      <c r="AS1970" s="73"/>
      <c r="AT1970" s="67"/>
      <c r="AU1970" s="67"/>
      <c r="AV1970" s="73"/>
      <c r="AW1970" s="68"/>
      <c r="AX1970" s="68"/>
      <c r="AY1970" s="68"/>
      <c r="AZ1970" s="68"/>
      <c r="BA1970" s="68"/>
      <c r="BB1970" s="67"/>
      <c r="BC1970" s="67"/>
      <c r="BD1970" s="67"/>
      <c r="BE1970" s="67"/>
      <c r="BF1970" s="95"/>
    </row>
    <row r="1971" spans="1:58" x14ac:dyDescent="0.35">
      <c r="A1971"/>
      <c r="D1971"/>
      <c r="G1971"/>
      <c r="H1971" s="20"/>
      <c r="I1971" s="20"/>
      <c r="J1971" s="20"/>
      <c r="K1971" s="20"/>
      <c r="L1971" s="20"/>
      <c r="Q1971" s="83"/>
      <c r="Y1971" s="20"/>
      <c r="AP1971" s="93"/>
      <c r="AQ1971" s="31"/>
      <c r="AR1971" s="31"/>
      <c r="AS1971" s="94"/>
      <c r="AT1971" s="31"/>
      <c r="AU1971" s="31"/>
      <c r="AV1971" s="94"/>
      <c r="AW1971" s="32"/>
      <c r="AX1971" s="32"/>
      <c r="AY1971" s="32"/>
      <c r="AZ1971" s="32"/>
      <c r="BA1971" s="32"/>
      <c r="BB1971" s="31"/>
      <c r="BC1971" s="31"/>
      <c r="BD1971" s="31"/>
      <c r="BE1971" s="31"/>
      <c r="BF1971" s="96"/>
    </row>
    <row r="1972" spans="1:58" x14ac:dyDescent="0.35">
      <c r="A1972"/>
      <c r="D1972"/>
      <c r="G1972"/>
      <c r="H1972" s="20"/>
      <c r="I1972" s="20"/>
      <c r="J1972" s="20"/>
      <c r="K1972" s="20"/>
      <c r="L1972" s="20"/>
      <c r="Q1972" s="83"/>
      <c r="Y1972" s="20"/>
      <c r="AP1972" s="92"/>
      <c r="AQ1972" s="67"/>
      <c r="AR1972" s="67"/>
      <c r="AS1972" s="73"/>
      <c r="AT1972" s="67"/>
      <c r="AU1972" s="67"/>
      <c r="AV1972" s="73"/>
      <c r="AW1972" s="68"/>
      <c r="AX1972" s="68"/>
      <c r="AY1972" s="68"/>
      <c r="AZ1972" s="68"/>
      <c r="BA1972" s="68"/>
      <c r="BB1972" s="67"/>
      <c r="BC1972" s="67"/>
      <c r="BD1972" s="67"/>
      <c r="BE1972" s="67"/>
      <c r="BF1972" s="95"/>
    </row>
    <row r="1973" spans="1:58" x14ac:dyDescent="0.35">
      <c r="A1973"/>
      <c r="D1973"/>
      <c r="G1973"/>
      <c r="H1973" s="20"/>
      <c r="I1973" s="20"/>
      <c r="J1973" s="20"/>
      <c r="K1973" s="20"/>
      <c r="L1973" s="20"/>
      <c r="Q1973" s="83"/>
      <c r="Y1973" s="20"/>
      <c r="AP1973" s="93"/>
      <c r="AQ1973" s="31"/>
      <c r="AR1973" s="31"/>
      <c r="AS1973" s="94"/>
      <c r="AT1973" s="31"/>
      <c r="AU1973" s="31"/>
      <c r="AV1973" s="94"/>
      <c r="AW1973" s="32"/>
      <c r="AX1973" s="32"/>
      <c r="AY1973" s="32"/>
      <c r="AZ1973" s="32"/>
      <c r="BA1973" s="32"/>
      <c r="BB1973" s="31"/>
      <c r="BC1973" s="31"/>
      <c r="BD1973" s="31"/>
      <c r="BE1973" s="31"/>
      <c r="BF1973" s="96"/>
    </row>
    <row r="1974" spans="1:58" x14ac:dyDescent="0.35">
      <c r="A1974"/>
      <c r="D1974"/>
      <c r="G1974"/>
      <c r="H1974" s="20"/>
      <c r="I1974" s="20"/>
      <c r="J1974" s="20"/>
      <c r="K1974" s="20"/>
      <c r="L1974" s="20"/>
      <c r="Q1974" s="83"/>
      <c r="Y1974" s="20"/>
      <c r="AP1974" s="92"/>
      <c r="AQ1974" s="67"/>
      <c r="AR1974" s="67"/>
      <c r="AS1974" s="73"/>
      <c r="AT1974" s="67"/>
      <c r="AU1974" s="67"/>
      <c r="AV1974" s="73"/>
      <c r="AW1974" s="68"/>
      <c r="AX1974" s="68"/>
      <c r="AY1974" s="68"/>
      <c r="AZ1974" s="68"/>
      <c r="BA1974" s="68"/>
      <c r="BB1974" s="67"/>
      <c r="BC1974" s="67"/>
      <c r="BD1974" s="67"/>
      <c r="BE1974" s="67"/>
      <c r="BF1974" s="95"/>
    </row>
    <row r="1975" spans="1:58" x14ac:dyDescent="0.35">
      <c r="A1975"/>
      <c r="D1975"/>
      <c r="G1975"/>
      <c r="H1975" s="20"/>
      <c r="I1975" s="20"/>
      <c r="J1975" s="20"/>
      <c r="K1975" s="20"/>
      <c r="L1975" s="20"/>
      <c r="Q1975" s="83"/>
      <c r="Y1975" s="20"/>
      <c r="AP1975" s="93"/>
      <c r="AQ1975" s="31"/>
      <c r="AR1975" s="31"/>
      <c r="AS1975" s="94"/>
      <c r="AT1975" s="31"/>
      <c r="AU1975" s="31"/>
      <c r="AV1975" s="94"/>
      <c r="AW1975" s="32"/>
      <c r="AX1975" s="32"/>
      <c r="AY1975" s="32"/>
      <c r="AZ1975" s="32"/>
      <c r="BA1975" s="32"/>
      <c r="BB1975" s="31"/>
      <c r="BC1975" s="31"/>
      <c r="BD1975" s="31"/>
      <c r="BE1975" s="31"/>
      <c r="BF1975" s="96"/>
    </row>
    <row r="1976" spans="1:58" x14ac:dyDescent="0.35">
      <c r="A1976"/>
      <c r="D1976"/>
      <c r="G1976"/>
      <c r="H1976" s="20"/>
      <c r="I1976" s="20"/>
      <c r="J1976" s="20"/>
      <c r="K1976" s="20"/>
      <c r="L1976" s="20"/>
      <c r="Q1976" s="83"/>
      <c r="Y1976" s="20"/>
      <c r="AP1976" s="92"/>
      <c r="AQ1976" s="67"/>
      <c r="AR1976" s="67"/>
      <c r="AS1976" s="73"/>
      <c r="AT1976" s="67"/>
      <c r="AU1976" s="67"/>
      <c r="AV1976" s="73"/>
      <c r="AW1976" s="68"/>
      <c r="AX1976" s="68"/>
      <c r="AY1976" s="68"/>
      <c r="AZ1976" s="68"/>
      <c r="BA1976" s="68"/>
      <c r="BB1976" s="67"/>
      <c r="BC1976" s="67"/>
      <c r="BD1976" s="67"/>
      <c r="BE1976" s="67"/>
      <c r="BF1976" s="95"/>
    </row>
    <row r="1977" spans="1:58" x14ac:dyDescent="0.35">
      <c r="A1977"/>
      <c r="D1977"/>
      <c r="G1977"/>
      <c r="H1977" s="20"/>
      <c r="I1977" s="20"/>
      <c r="J1977" s="20"/>
      <c r="K1977" s="20"/>
      <c r="L1977" s="20"/>
      <c r="Q1977" s="83"/>
      <c r="Y1977" s="20"/>
      <c r="AP1977" s="93"/>
      <c r="AQ1977" s="31"/>
      <c r="AR1977" s="31"/>
      <c r="AS1977" s="94"/>
      <c r="AT1977" s="31"/>
      <c r="AU1977" s="31"/>
      <c r="AV1977" s="94"/>
      <c r="AW1977" s="32"/>
      <c r="AX1977" s="32"/>
      <c r="AY1977" s="32"/>
      <c r="AZ1977" s="32"/>
      <c r="BA1977" s="32"/>
      <c r="BB1977" s="31"/>
      <c r="BC1977" s="31"/>
      <c r="BD1977" s="31"/>
      <c r="BE1977" s="31"/>
      <c r="BF1977" s="96"/>
    </row>
    <row r="1978" spans="1:58" x14ac:dyDescent="0.35">
      <c r="A1978"/>
      <c r="D1978"/>
      <c r="G1978"/>
      <c r="H1978" s="20"/>
      <c r="I1978" s="20"/>
      <c r="J1978" s="20"/>
      <c r="K1978" s="20"/>
      <c r="L1978" s="20"/>
      <c r="Q1978" s="83"/>
      <c r="Y1978" s="20"/>
      <c r="AP1978" s="92"/>
      <c r="AQ1978" s="67"/>
      <c r="AR1978" s="67"/>
      <c r="AS1978" s="73"/>
      <c r="AT1978" s="67"/>
      <c r="AU1978" s="67"/>
      <c r="AV1978" s="73"/>
      <c r="AW1978" s="68"/>
      <c r="AX1978" s="68"/>
      <c r="AY1978" s="68"/>
      <c r="AZ1978" s="68"/>
      <c r="BA1978" s="68"/>
      <c r="BB1978" s="67"/>
      <c r="BC1978" s="67"/>
      <c r="BD1978" s="67"/>
      <c r="BE1978" s="67"/>
      <c r="BF1978" s="95"/>
    </row>
    <row r="1979" spans="1:58" x14ac:dyDescent="0.35">
      <c r="A1979"/>
      <c r="D1979"/>
      <c r="G1979"/>
      <c r="H1979" s="20"/>
      <c r="I1979" s="20"/>
      <c r="J1979" s="20"/>
      <c r="K1979" s="20"/>
      <c r="L1979" s="20"/>
      <c r="Q1979" s="83"/>
      <c r="Y1979" s="20"/>
      <c r="AP1979" s="93"/>
      <c r="AQ1979" s="31"/>
      <c r="AR1979" s="31"/>
      <c r="AS1979" s="94"/>
      <c r="AT1979" s="31"/>
      <c r="AU1979" s="31"/>
      <c r="AV1979" s="94"/>
      <c r="AW1979" s="32"/>
      <c r="AX1979" s="32"/>
      <c r="AY1979" s="32"/>
      <c r="AZ1979" s="32"/>
      <c r="BA1979" s="32"/>
      <c r="BB1979" s="31"/>
      <c r="BC1979" s="31"/>
      <c r="BD1979" s="31"/>
      <c r="BE1979" s="31"/>
      <c r="BF1979" s="96"/>
    </row>
    <row r="1980" spans="1:58" x14ac:dyDescent="0.35">
      <c r="A1980"/>
      <c r="D1980"/>
      <c r="G1980"/>
      <c r="H1980" s="20"/>
      <c r="I1980" s="20"/>
      <c r="J1980" s="20"/>
      <c r="K1980" s="20"/>
      <c r="L1980" s="20"/>
      <c r="Q1980" s="83"/>
      <c r="Y1980" s="20"/>
      <c r="AP1980" s="92"/>
      <c r="AQ1980" s="67"/>
      <c r="AR1980" s="67"/>
      <c r="AS1980" s="73"/>
      <c r="AT1980" s="67"/>
      <c r="AU1980" s="67"/>
      <c r="AV1980" s="73"/>
      <c r="AW1980" s="68"/>
      <c r="AX1980" s="68"/>
      <c r="AY1980" s="68"/>
      <c r="AZ1980" s="68"/>
      <c r="BA1980" s="68"/>
      <c r="BB1980" s="67"/>
      <c r="BC1980" s="67"/>
      <c r="BD1980" s="67"/>
      <c r="BE1980" s="67"/>
      <c r="BF1980" s="95"/>
    </row>
    <row r="1981" spans="1:58" x14ac:dyDescent="0.35">
      <c r="A1981"/>
      <c r="D1981"/>
      <c r="G1981"/>
      <c r="H1981" s="20"/>
      <c r="I1981" s="20"/>
      <c r="J1981" s="20"/>
      <c r="K1981" s="20"/>
      <c r="L1981" s="20"/>
      <c r="Q1981" s="83"/>
      <c r="Y1981" s="20"/>
      <c r="AP1981" s="93"/>
      <c r="AQ1981" s="31"/>
      <c r="AR1981" s="31"/>
      <c r="AS1981" s="94"/>
      <c r="AT1981" s="31"/>
      <c r="AU1981" s="31"/>
      <c r="AV1981" s="94"/>
      <c r="AW1981" s="32"/>
      <c r="AX1981" s="32"/>
      <c r="AY1981" s="32"/>
      <c r="AZ1981" s="32"/>
      <c r="BA1981" s="32"/>
      <c r="BB1981" s="31"/>
      <c r="BC1981" s="31"/>
      <c r="BD1981" s="31"/>
      <c r="BE1981" s="31"/>
      <c r="BF1981" s="96"/>
    </row>
    <row r="1982" spans="1:58" x14ac:dyDescent="0.35">
      <c r="A1982"/>
      <c r="D1982"/>
      <c r="G1982"/>
      <c r="H1982" s="20"/>
      <c r="I1982" s="20"/>
      <c r="J1982" s="20"/>
      <c r="K1982" s="20"/>
      <c r="L1982" s="20"/>
      <c r="Q1982" s="83"/>
      <c r="Y1982" s="20"/>
      <c r="AP1982" s="92"/>
      <c r="AQ1982" s="67"/>
      <c r="AR1982" s="67"/>
      <c r="AS1982" s="73"/>
      <c r="AT1982" s="67"/>
      <c r="AU1982" s="67"/>
      <c r="AV1982" s="73"/>
      <c r="AW1982" s="68"/>
      <c r="AX1982" s="68"/>
      <c r="AY1982" s="68"/>
      <c r="AZ1982" s="68"/>
      <c r="BA1982" s="68"/>
      <c r="BB1982" s="67"/>
      <c r="BC1982" s="67"/>
      <c r="BD1982" s="67"/>
      <c r="BE1982" s="67"/>
      <c r="BF1982" s="95"/>
    </row>
    <row r="1983" spans="1:58" x14ac:dyDescent="0.35">
      <c r="A1983"/>
      <c r="D1983"/>
      <c r="G1983"/>
      <c r="H1983" s="20"/>
      <c r="I1983" s="20"/>
      <c r="J1983" s="20"/>
      <c r="K1983" s="20"/>
      <c r="L1983" s="20"/>
      <c r="Q1983" s="83"/>
      <c r="Y1983" s="20"/>
      <c r="AP1983" s="93"/>
      <c r="AQ1983" s="31"/>
      <c r="AR1983" s="31"/>
      <c r="AS1983" s="94"/>
      <c r="AT1983" s="31"/>
      <c r="AU1983" s="31"/>
      <c r="AV1983" s="94"/>
      <c r="AW1983" s="32"/>
      <c r="AX1983" s="32"/>
      <c r="AY1983" s="32"/>
      <c r="AZ1983" s="32"/>
      <c r="BA1983" s="32"/>
      <c r="BB1983" s="31"/>
      <c r="BC1983" s="31"/>
      <c r="BD1983" s="31"/>
      <c r="BE1983" s="31"/>
      <c r="BF1983" s="96"/>
    </row>
    <row r="1984" spans="1:58" x14ac:dyDescent="0.35">
      <c r="A1984"/>
      <c r="D1984"/>
      <c r="G1984"/>
      <c r="H1984" s="20"/>
      <c r="I1984" s="20"/>
      <c r="J1984" s="20"/>
      <c r="K1984" s="20"/>
      <c r="L1984" s="20"/>
      <c r="Q1984" s="83"/>
      <c r="Y1984" s="20"/>
      <c r="AP1984" s="92"/>
      <c r="AQ1984" s="67"/>
      <c r="AR1984" s="67"/>
      <c r="AS1984" s="73"/>
      <c r="AT1984" s="67"/>
      <c r="AU1984" s="67"/>
      <c r="AV1984" s="73"/>
      <c r="AW1984" s="68"/>
      <c r="AX1984" s="68"/>
      <c r="AY1984" s="68"/>
      <c r="AZ1984" s="68"/>
      <c r="BA1984" s="68"/>
      <c r="BB1984" s="67"/>
      <c r="BC1984" s="67"/>
      <c r="BD1984" s="67"/>
      <c r="BE1984" s="67"/>
      <c r="BF1984" s="95"/>
    </row>
    <row r="1985" spans="1:58" x14ac:dyDescent="0.35">
      <c r="A1985"/>
      <c r="D1985"/>
      <c r="G1985"/>
      <c r="H1985" s="20"/>
      <c r="I1985" s="20"/>
      <c r="J1985" s="20"/>
      <c r="K1985" s="20"/>
      <c r="L1985" s="20"/>
      <c r="Q1985" s="83"/>
      <c r="Y1985" s="20"/>
      <c r="AP1985" s="93"/>
      <c r="AQ1985" s="31"/>
      <c r="AR1985" s="31"/>
      <c r="AS1985" s="94"/>
      <c r="AT1985" s="31"/>
      <c r="AU1985" s="31"/>
      <c r="AV1985" s="94"/>
      <c r="AW1985" s="32"/>
      <c r="AX1985" s="32"/>
      <c r="AY1985" s="32"/>
      <c r="AZ1985" s="32"/>
      <c r="BA1985" s="32"/>
      <c r="BB1985" s="31"/>
      <c r="BC1985" s="31"/>
      <c r="BD1985" s="31"/>
      <c r="BE1985" s="31"/>
      <c r="BF1985" s="96"/>
    </row>
    <row r="1986" spans="1:58" x14ac:dyDescent="0.35">
      <c r="A1986"/>
      <c r="D1986"/>
      <c r="G1986"/>
      <c r="H1986" s="20"/>
      <c r="I1986" s="20"/>
      <c r="J1986" s="20"/>
      <c r="K1986" s="20"/>
      <c r="L1986" s="20"/>
      <c r="Q1986" s="83"/>
      <c r="Y1986" s="20"/>
      <c r="AP1986" s="92"/>
      <c r="AQ1986" s="67"/>
      <c r="AR1986" s="67"/>
      <c r="AS1986" s="73"/>
      <c r="AT1986" s="67"/>
      <c r="AU1986" s="67"/>
      <c r="AV1986" s="73"/>
      <c r="AW1986" s="68"/>
      <c r="AX1986" s="68"/>
      <c r="AY1986" s="68"/>
      <c r="AZ1986" s="68"/>
      <c r="BA1986" s="68"/>
      <c r="BB1986" s="67"/>
      <c r="BC1986" s="67"/>
      <c r="BD1986" s="67"/>
      <c r="BE1986" s="67"/>
      <c r="BF1986" s="95"/>
    </row>
    <row r="1987" spans="1:58" x14ac:dyDescent="0.35">
      <c r="A1987"/>
      <c r="D1987"/>
      <c r="G1987"/>
      <c r="H1987" s="20"/>
      <c r="I1987" s="20"/>
      <c r="J1987" s="20"/>
      <c r="K1987" s="20"/>
      <c r="L1987" s="20"/>
      <c r="Q1987" s="83"/>
      <c r="Y1987" s="20"/>
      <c r="AP1987" s="93"/>
      <c r="AQ1987" s="31"/>
      <c r="AR1987" s="31"/>
      <c r="AS1987" s="94"/>
      <c r="AT1987" s="31"/>
      <c r="AU1987" s="31"/>
      <c r="AV1987" s="94"/>
      <c r="AW1987" s="32"/>
      <c r="AX1987" s="32"/>
      <c r="AY1987" s="32"/>
      <c r="AZ1987" s="32"/>
      <c r="BA1987" s="32"/>
      <c r="BB1987" s="31"/>
      <c r="BC1987" s="31"/>
      <c r="BD1987" s="31"/>
      <c r="BE1987" s="31"/>
      <c r="BF1987" s="96"/>
    </row>
    <row r="1988" spans="1:58" x14ac:dyDescent="0.35">
      <c r="A1988"/>
      <c r="D1988"/>
      <c r="G1988"/>
      <c r="H1988" s="20"/>
      <c r="I1988" s="20"/>
      <c r="J1988" s="20"/>
      <c r="K1988" s="20"/>
      <c r="L1988" s="20"/>
      <c r="Q1988" s="83"/>
      <c r="Y1988" s="20"/>
      <c r="AP1988" s="92"/>
      <c r="AQ1988" s="67"/>
      <c r="AR1988" s="67"/>
      <c r="AS1988" s="73"/>
      <c r="AT1988" s="67"/>
      <c r="AU1988" s="67"/>
      <c r="AV1988" s="73"/>
      <c r="AW1988" s="68"/>
      <c r="AX1988" s="68"/>
      <c r="AY1988" s="68"/>
      <c r="AZ1988" s="68"/>
      <c r="BA1988" s="68"/>
      <c r="BB1988" s="67"/>
      <c r="BC1988" s="67"/>
      <c r="BD1988" s="67"/>
      <c r="BE1988" s="67"/>
      <c r="BF1988" s="95"/>
    </row>
    <row r="1989" spans="1:58" x14ac:dyDescent="0.35">
      <c r="A1989"/>
      <c r="D1989"/>
      <c r="G1989"/>
      <c r="H1989" s="20"/>
      <c r="I1989" s="20"/>
      <c r="J1989" s="20"/>
      <c r="K1989" s="20"/>
      <c r="L1989" s="20"/>
      <c r="Q1989" s="83"/>
      <c r="Y1989" s="20"/>
      <c r="AP1989" s="93"/>
      <c r="AQ1989" s="31"/>
      <c r="AR1989" s="31"/>
      <c r="AS1989" s="94"/>
      <c r="AT1989" s="31"/>
      <c r="AU1989" s="31"/>
      <c r="AV1989" s="94"/>
      <c r="AW1989" s="32"/>
      <c r="AX1989" s="32"/>
      <c r="AY1989" s="32"/>
      <c r="AZ1989" s="32"/>
      <c r="BA1989" s="32"/>
      <c r="BB1989" s="31"/>
      <c r="BC1989" s="31"/>
      <c r="BD1989" s="31"/>
      <c r="BE1989" s="31"/>
      <c r="BF1989" s="96"/>
    </row>
    <row r="1990" spans="1:58" x14ac:dyDescent="0.35">
      <c r="A1990"/>
      <c r="D1990"/>
      <c r="G1990"/>
      <c r="H1990" s="20"/>
      <c r="I1990" s="20"/>
      <c r="J1990" s="20"/>
      <c r="K1990" s="20"/>
      <c r="L1990" s="20"/>
      <c r="Q1990" s="83"/>
      <c r="Y1990" s="20"/>
      <c r="AP1990" s="92"/>
      <c r="AQ1990" s="67"/>
      <c r="AR1990" s="67"/>
      <c r="AS1990" s="73"/>
      <c r="AT1990" s="67"/>
      <c r="AU1990" s="67"/>
      <c r="AV1990" s="73"/>
      <c r="AW1990" s="68"/>
      <c r="AX1990" s="68"/>
      <c r="AY1990" s="68"/>
      <c r="AZ1990" s="68"/>
      <c r="BA1990" s="68"/>
      <c r="BB1990" s="67"/>
      <c r="BC1990" s="67"/>
      <c r="BD1990" s="67"/>
      <c r="BE1990" s="67"/>
      <c r="BF1990" s="95"/>
    </row>
    <row r="1991" spans="1:58" x14ac:dyDescent="0.35">
      <c r="A1991"/>
      <c r="D1991"/>
      <c r="G1991"/>
      <c r="H1991" s="20"/>
      <c r="I1991" s="20"/>
      <c r="J1991" s="20"/>
      <c r="K1991" s="20"/>
      <c r="L1991" s="20"/>
      <c r="Q1991" s="83"/>
      <c r="Y1991" s="20"/>
      <c r="AP1991" s="93"/>
      <c r="AQ1991" s="31"/>
      <c r="AR1991" s="31"/>
      <c r="AS1991" s="94"/>
      <c r="AT1991" s="31"/>
      <c r="AU1991" s="31"/>
      <c r="AV1991" s="94"/>
      <c r="AW1991" s="32"/>
      <c r="AX1991" s="32"/>
      <c r="AY1991" s="32"/>
      <c r="AZ1991" s="32"/>
      <c r="BA1991" s="32"/>
      <c r="BB1991" s="31"/>
      <c r="BC1991" s="31"/>
      <c r="BD1991" s="31"/>
      <c r="BE1991" s="31"/>
      <c r="BF1991" s="96"/>
    </row>
    <row r="1992" spans="1:58" x14ac:dyDescent="0.35">
      <c r="A1992"/>
      <c r="D1992"/>
      <c r="G1992"/>
      <c r="H1992" s="20"/>
      <c r="I1992" s="20"/>
      <c r="J1992" s="20"/>
      <c r="K1992" s="20"/>
      <c r="L1992" s="20"/>
      <c r="Q1992" s="83"/>
      <c r="Y1992" s="20"/>
      <c r="AP1992" s="92"/>
      <c r="AQ1992" s="67"/>
      <c r="AR1992" s="67"/>
      <c r="AS1992" s="73"/>
      <c r="AT1992" s="67"/>
      <c r="AU1992" s="67"/>
      <c r="AV1992" s="73"/>
      <c r="AW1992" s="68"/>
      <c r="AX1992" s="68"/>
      <c r="AY1992" s="68"/>
      <c r="AZ1992" s="68"/>
      <c r="BA1992" s="68"/>
      <c r="BB1992" s="67"/>
      <c r="BC1992" s="67"/>
      <c r="BD1992" s="67"/>
      <c r="BE1992" s="67"/>
      <c r="BF1992" s="95"/>
    </row>
    <row r="1993" spans="1:58" x14ac:dyDescent="0.35">
      <c r="A1993"/>
      <c r="D1993"/>
      <c r="G1993"/>
      <c r="H1993" s="20"/>
      <c r="I1993" s="20"/>
      <c r="J1993" s="20"/>
      <c r="K1993" s="20"/>
      <c r="L1993" s="20"/>
      <c r="Q1993" s="83"/>
      <c r="Y1993" s="20"/>
      <c r="AP1993" s="93"/>
      <c r="AQ1993" s="31"/>
      <c r="AR1993" s="31"/>
      <c r="AS1993" s="94"/>
      <c r="AT1993" s="31"/>
      <c r="AU1993" s="31"/>
      <c r="AV1993" s="94"/>
      <c r="AW1993" s="32"/>
      <c r="AX1993" s="32"/>
      <c r="AY1993" s="32"/>
      <c r="AZ1993" s="32"/>
      <c r="BA1993" s="32"/>
      <c r="BB1993" s="31"/>
      <c r="BC1993" s="31"/>
      <c r="BD1993" s="31"/>
      <c r="BE1993" s="31"/>
      <c r="BF1993" s="96"/>
    </row>
    <row r="1994" spans="1:58" x14ac:dyDescent="0.35">
      <c r="A1994"/>
      <c r="D1994"/>
      <c r="G1994"/>
      <c r="H1994" s="20"/>
      <c r="I1994" s="20"/>
      <c r="J1994" s="20"/>
      <c r="K1994" s="20"/>
      <c r="L1994" s="20"/>
      <c r="Q1994" s="83"/>
      <c r="Y1994" s="20"/>
      <c r="AP1994" s="92"/>
      <c r="AQ1994" s="67"/>
      <c r="AR1994" s="67"/>
      <c r="AS1994" s="73"/>
      <c r="AT1994" s="67"/>
      <c r="AU1994" s="67"/>
      <c r="AV1994" s="73"/>
      <c r="AW1994" s="68"/>
      <c r="AX1994" s="68"/>
      <c r="AY1994" s="68"/>
      <c r="AZ1994" s="68"/>
      <c r="BA1994" s="68"/>
      <c r="BB1994" s="67"/>
      <c r="BC1994" s="67"/>
      <c r="BD1994" s="67"/>
      <c r="BE1994" s="67"/>
      <c r="BF1994" s="95"/>
    </row>
    <row r="1995" spans="1:58" x14ac:dyDescent="0.35">
      <c r="A1995"/>
      <c r="D1995"/>
      <c r="G1995"/>
      <c r="H1995" s="20"/>
      <c r="I1995" s="20"/>
      <c r="J1995" s="20"/>
      <c r="K1995" s="20"/>
      <c r="L1995" s="20"/>
      <c r="Q1995" s="83"/>
      <c r="Y1995" s="20"/>
      <c r="AP1995" s="93"/>
      <c r="AQ1995" s="31"/>
      <c r="AR1995" s="31"/>
      <c r="AS1995" s="94"/>
      <c r="AT1995" s="31"/>
      <c r="AU1995" s="31"/>
      <c r="AV1995" s="94"/>
      <c r="AW1995" s="32"/>
      <c r="AX1995" s="32"/>
      <c r="AY1995" s="32"/>
      <c r="AZ1995" s="32"/>
      <c r="BA1995" s="32"/>
      <c r="BB1995" s="31"/>
      <c r="BC1995" s="31"/>
      <c r="BD1995" s="31"/>
      <c r="BE1995" s="31"/>
      <c r="BF1995" s="96"/>
    </row>
    <row r="1996" spans="1:58" x14ac:dyDescent="0.35">
      <c r="A1996"/>
      <c r="D1996"/>
      <c r="G1996"/>
      <c r="H1996" s="20"/>
      <c r="I1996" s="20"/>
      <c r="J1996" s="20"/>
      <c r="K1996" s="20"/>
      <c r="L1996" s="20"/>
      <c r="Q1996" s="83"/>
      <c r="Y1996" s="20"/>
      <c r="AP1996" s="92"/>
      <c r="AQ1996" s="67"/>
      <c r="AR1996" s="67"/>
      <c r="AS1996" s="73"/>
      <c r="AT1996" s="67"/>
      <c r="AU1996" s="67"/>
      <c r="AV1996" s="73"/>
      <c r="AW1996" s="68"/>
      <c r="AX1996" s="68"/>
      <c r="AY1996" s="68"/>
      <c r="AZ1996" s="68"/>
      <c r="BA1996" s="68"/>
      <c r="BB1996" s="67"/>
      <c r="BC1996" s="67"/>
      <c r="BD1996" s="67"/>
      <c r="BE1996" s="67"/>
      <c r="BF1996" s="95"/>
    </row>
    <row r="1997" spans="1:58" x14ac:dyDescent="0.35">
      <c r="A1997"/>
      <c r="D1997"/>
      <c r="G1997"/>
      <c r="H1997" s="20"/>
      <c r="I1997" s="20"/>
      <c r="J1997" s="20"/>
      <c r="K1997" s="20"/>
      <c r="L1997" s="20"/>
      <c r="Q1997" s="83"/>
      <c r="Y1997" s="20"/>
      <c r="AP1997" s="93"/>
      <c r="AQ1997" s="31"/>
      <c r="AR1997" s="31"/>
      <c r="AS1997" s="94"/>
      <c r="AT1997" s="31"/>
      <c r="AU1997" s="31"/>
      <c r="AV1997" s="94"/>
      <c r="AW1997" s="32"/>
      <c r="AX1997" s="32"/>
      <c r="AY1997" s="32"/>
      <c r="AZ1997" s="32"/>
      <c r="BA1997" s="32"/>
      <c r="BB1997" s="31"/>
      <c r="BC1997" s="31"/>
      <c r="BD1997" s="31"/>
      <c r="BE1997" s="31"/>
      <c r="BF1997" s="96"/>
    </row>
    <row r="1998" spans="1:58" x14ac:dyDescent="0.35">
      <c r="A1998"/>
      <c r="D1998"/>
      <c r="G1998"/>
      <c r="H1998" s="20"/>
      <c r="I1998" s="20"/>
      <c r="J1998" s="20"/>
      <c r="K1998" s="20"/>
      <c r="L1998" s="20"/>
      <c r="Q1998" s="83"/>
      <c r="Y1998" s="20"/>
      <c r="AP1998" s="92"/>
      <c r="AQ1998" s="67"/>
      <c r="AR1998" s="67"/>
      <c r="AS1998" s="73"/>
      <c r="AT1998" s="67"/>
      <c r="AU1998" s="67"/>
      <c r="AV1998" s="73"/>
      <c r="AW1998" s="68"/>
      <c r="AX1998" s="68"/>
      <c r="AY1998" s="68"/>
      <c r="AZ1998" s="68"/>
      <c r="BA1998" s="68"/>
      <c r="BB1998" s="67"/>
      <c r="BC1998" s="67"/>
      <c r="BD1998" s="67"/>
      <c r="BE1998" s="67"/>
      <c r="BF1998" s="95"/>
    </row>
    <row r="1999" spans="1:58" x14ac:dyDescent="0.35">
      <c r="A1999"/>
      <c r="D1999"/>
      <c r="G1999"/>
      <c r="H1999" s="20"/>
      <c r="I1999" s="20"/>
      <c r="J1999" s="20"/>
      <c r="K1999" s="20"/>
      <c r="L1999" s="20"/>
      <c r="Q1999" s="83"/>
      <c r="Y1999" s="20"/>
      <c r="AP1999" s="93"/>
      <c r="AQ1999" s="31"/>
      <c r="AR1999" s="31"/>
      <c r="AS1999" s="94"/>
      <c r="AT1999" s="31"/>
      <c r="AU1999" s="31"/>
      <c r="AV1999" s="94"/>
      <c r="AW1999" s="32"/>
      <c r="AX1999" s="32"/>
      <c r="AY1999" s="32"/>
      <c r="AZ1999" s="32"/>
      <c r="BA1999" s="32"/>
      <c r="BB1999" s="31"/>
      <c r="BC1999" s="31"/>
      <c r="BD1999" s="31"/>
      <c r="BE1999" s="31"/>
      <c r="BF1999" s="96"/>
    </row>
    <row r="2000" spans="1:58" x14ac:dyDescent="0.35">
      <c r="A2000"/>
      <c r="D2000"/>
      <c r="G2000"/>
      <c r="H2000" s="20"/>
      <c r="I2000" s="20"/>
      <c r="J2000" s="20"/>
      <c r="K2000" s="20"/>
      <c r="L2000" s="20"/>
      <c r="Q2000" s="83"/>
      <c r="Y2000" s="20"/>
      <c r="AP2000" s="92"/>
      <c r="AQ2000" s="67"/>
      <c r="AR2000" s="67"/>
      <c r="AS2000" s="73"/>
      <c r="AT2000" s="67"/>
      <c r="AU2000" s="67"/>
      <c r="AV2000" s="73"/>
      <c r="AW2000" s="68"/>
      <c r="AX2000" s="68"/>
      <c r="AY2000" s="68"/>
      <c r="AZ2000" s="68"/>
      <c r="BA2000" s="68"/>
      <c r="BB2000" s="67"/>
      <c r="BC2000" s="67"/>
      <c r="BD2000" s="67"/>
      <c r="BE2000" s="67"/>
      <c r="BF2000" s="95"/>
    </row>
    <row r="2001" spans="1:58" x14ac:dyDescent="0.35">
      <c r="A2001"/>
      <c r="D2001"/>
      <c r="G2001"/>
      <c r="H2001" s="20"/>
      <c r="I2001" s="20"/>
      <c r="J2001" s="20"/>
      <c r="K2001" s="20"/>
      <c r="L2001" s="20"/>
      <c r="Q2001" s="83"/>
      <c r="Y2001" s="20"/>
      <c r="AP2001" s="93"/>
      <c r="AQ2001" s="31"/>
      <c r="AR2001" s="31"/>
      <c r="AS2001" s="94"/>
      <c r="AT2001" s="31"/>
      <c r="AU2001" s="31"/>
      <c r="AV2001" s="94"/>
      <c r="AW2001" s="32"/>
      <c r="AX2001" s="32"/>
      <c r="AY2001" s="32"/>
      <c r="AZ2001" s="32"/>
      <c r="BA2001" s="32"/>
      <c r="BB2001" s="31"/>
      <c r="BC2001" s="31"/>
      <c r="BD2001" s="31"/>
      <c r="BE2001" s="31"/>
      <c r="BF2001" s="96"/>
    </row>
    <row r="2002" spans="1:58" x14ac:dyDescent="0.35">
      <c r="A2002"/>
      <c r="D2002"/>
      <c r="G2002"/>
      <c r="H2002" s="20"/>
      <c r="I2002" s="20"/>
      <c r="J2002" s="20"/>
      <c r="K2002" s="20"/>
      <c r="L2002" s="20"/>
      <c r="Q2002" s="83"/>
      <c r="Y2002" s="20"/>
      <c r="AP2002" s="92"/>
      <c r="AQ2002" s="67"/>
      <c r="AR2002" s="67"/>
      <c r="AS2002" s="73"/>
      <c r="AT2002" s="67"/>
      <c r="AU2002" s="67"/>
      <c r="AV2002" s="73"/>
      <c r="AW2002" s="68"/>
      <c r="AX2002" s="68"/>
      <c r="AY2002" s="68"/>
      <c r="AZ2002" s="68"/>
      <c r="BA2002" s="68"/>
      <c r="BB2002" s="67"/>
      <c r="BC2002" s="67"/>
      <c r="BD2002" s="67"/>
      <c r="BE2002" s="67"/>
      <c r="BF2002" s="95"/>
    </row>
    <row r="2003" spans="1:58" x14ac:dyDescent="0.35">
      <c r="A2003"/>
      <c r="D2003"/>
      <c r="G2003"/>
      <c r="H2003" s="20"/>
      <c r="I2003" s="20"/>
      <c r="J2003" s="20"/>
      <c r="K2003" s="20"/>
      <c r="L2003" s="20"/>
      <c r="Q2003" s="83"/>
      <c r="Y2003" s="20"/>
      <c r="AP2003" s="93"/>
      <c r="AQ2003" s="31"/>
      <c r="AR2003" s="31"/>
      <c r="AS2003" s="94"/>
      <c r="AT2003" s="31"/>
      <c r="AU2003" s="31"/>
      <c r="AV2003" s="94"/>
      <c r="AW2003" s="32"/>
      <c r="AX2003" s="32"/>
      <c r="AY2003" s="32"/>
      <c r="AZ2003" s="32"/>
      <c r="BA2003" s="32"/>
      <c r="BB2003" s="31"/>
      <c r="BC2003" s="31"/>
      <c r="BD2003" s="31"/>
      <c r="BE2003" s="31"/>
      <c r="BF2003" s="96"/>
    </row>
    <row r="2004" spans="1:58" x14ac:dyDescent="0.35">
      <c r="A2004"/>
      <c r="D2004"/>
      <c r="G2004"/>
      <c r="H2004" s="20"/>
      <c r="I2004" s="20"/>
      <c r="J2004" s="20"/>
      <c r="K2004" s="20"/>
      <c r="L2004" s="20"/>
      <c r="Q2004" s="83"/>
      <c r="Y2004" s="20"/>
      <c r="AP2004" s="92"/>
      <c r="AQ2004" s="67"/>
      <c r="AR2004" s="67"/>
      <c r="AS2004" s="73"/>
      <c r="AT2004" s="67"/>
      <c r="AU2004" s="67"/>
      <c r="AV2004" s="73"/>
      <c r="AW2004" s="68"/>
      <c r="AX2004" s="68"/>
      <c r="AY2004" s="68"/>
      <c r="AZ2004" s="68"/>
      <c r="BA2004" s="68"/>
      <c r="BB2004" s="67"/>
      <c r="BC2004" s="67"/>
      <c r="BD2004" s="67"/>
      <c r="BE2004" s="67"/>
      <c r="BF2004" s="95"/>
    </row>
    <row r="2005" spans="1:58" x14ac:dyDescent="0.35">
      <c r="A2005"/>
      <c r="D2005"/>
      <c r="G2005"/>
      <c r="H2005" s="20"/>
      <c r="I2005" s="20"/>
      <c r="J2005" s="20"/>
      <c r="K2005" s="20"/>
      <c r="L2005" s="20"/>
      <c r="Q2005" s="83"/>
      <c r="Y2005" s="20"/>
      <c r="AP2005" s="93"/>
      <c r="AQ2005" s="31"/>
      <c r="AR2005" s="31"/>
      <c r="AS2005" s="94"/>
      <c r="AT2005" s="31"/>
      <c r="AU2005" s="31"/>
      <c r="AV2005" s="94"/>
      <c r="AW2005" s="32"/>
      <c r="AX2005" s="32"/>
      <c r="AY2005" s="32"/>
      <c r="AZ2005" s="32"/>
      <c r="BA2005" s="32"/>
      <c r="BB2005" s="31"/>
      <c r="BC2005" s="31"/>
      <c r="BD2005" s="31"/>
      <c r="BE2005" s="31"/>
      <c r="BF2005" s="96"/>
    </row>
    <row r="2006" spans="1:58" x14ac:dyDescent="0.35">
      <c r="A2006"/>
      <c r="D2006"/>
      <c r="G2006"/>
      <c r="H2006" s="20"/>
      <c r="I2006" s="20"/>
      <c r="J2006" s="20"/>
      <c r="K2006" s="20"/>
      <c r="L2006" s="20"/>
      <c r="Q2006" s="83"/>
      <c r="Y2006" s="20"/>
      <c r="AP2006" s="92"/>
      <c r="AQ2006" s="67"/>
      <c r="AR2006" s="67"/>
      <c r="AS2006" s="73"/>
      <c r="AT2006" s="67"/>
      <c r="AU2006" s="67"/>
      <c r="AV2006" s="73"/>
      <c r="AW2006" s="68"/>
      <c r="AX2006" s="68"/>
      <c r="AY2006" s="68"/>
      <c r="AZ2006" s="68"/>
      <c r="BA2006" s="68"/>
      <c r="BB2006" s="67"/>
      <c r="BC2006" s="67"/>
      <c r="BD2006" s="67"/>
      <c r="BE2006" s="67"/>
      <c r="BF2006" s="95"/>
    </row>
    <row r="2007" spans="1:58" x14ac:dyDescent="0.35">
      <c r="A2007"/>
      <c r="D2007"/>
      <c r="G2007"/>
      <c r="H2007" s="20"/>
      <c r="I2007" s="20"/>
      <c r="J2007" s="20"/>
      <c r="K2007" s="20"/>
      <c r="L2007" s="20"/>
      <c r="Q2007" s="83"/>
      <c r="Y2007" s="20"/>
      <c r="AP2007" s="93"/>
      <c r="AQ2007" s="31"/>
      <c r="AR2007" s="31"/>
      <c r="AS2007" s="94"/>
      <c r="AT2007" s="31"/>
      <c r="AU2007" s="31"/>
      <c r="AV2007" s="94"/>
      <c r="AW2007" s="32"/>
      <c r="AX2007" s="32"/>
      <c r="AY2007" s="32"/>
      <c r="AZ2007" s="32"/>
      <c r="BA2007" s="32"/>
      <c r="BB2007" s="31"/>
      <c r="BC2007" s="31"/>
      <c r="BD2007" s="31"/>
      <c r="BE2007" s="31"/>
      <c r="BF2007" s="96"/>
    </row>
    <row r="2008" spans="1:58" x14ac:dyDescent="0.35">
      <c r="A2008"/>
      <c r="D2008"/>
      <c r="G2008"/>
      <c r="H2008" s="20"/>
      <c r="I2008" s="20"/>
      <c r="J2008" s="20"/>
      <c r="K2008" s="20"/>
      <c r="L2008" s="20"/>
      <c r="Q2008" s="83"/>
      <c r="Y2008" s="20"/>
      <c r="AP2008" s="92"/>
      <c r="AQ2008" s="67"/>
      <c r="AR2008" s="67"/>
      <c r="AS2008" s="73"/>
      <c r="AT2008" s="67"/>
      <c r="AU2008" s="67"/>
      <c r="AV2008" s="73"/>
      <c r="AW2008" s="68"/>
      <c r="AX2008" s="68"/>
      <c r="AY2008" s="68"/>
      <c r="AZ2008" s="68"/>
      <c r="BA2008" s="68"/>
      <c r="BB2008" s="67"/>
      <c r="BC2008" s="67"/>
      <c r="BD2008" s="67"/>
      <c r="BE2008" s="67"/>
      <c r="BF2008" s="95"/>
    </row>
    <row r="2009" spans="1:58" x14ac:dyDescent="0.35">
      <c r="A2009"/>
      <c r="D2009"/>
      <c r="G2009"/>
      <c r="H2009" s="20"/>
      <c r="I2009" s="20"/>
      <c r="J2009" s="20"/>
      <c r="K2009" s="20"/>
      <c r="L2009" s="20"/>
      <c r="Q2009" s="83"/>
      <c r="Y2009" s="20"/>
      <c r="AP2009" s="93"/>
      <c r="AQ2009" s="31"/>
      <c r="AR2009" s="31"/>
      <c r="AS2009" s="94"/>
      <c r="AT2009" s="31"/>
      <c r="AU2009" s="31"/>
      <c r="AV2009" s="94"/>
      <c r="AW2009" s="32"/>
      <c r="AX2009" s="32"/>
      <c r="AY2009" s="32"/>
      <c r="AZ2009" s="32"/>
      <c r="BA2009" s="32"/>
      <c r="BB2009" s="31"/>
      <c r="BC2009" s="31"/>
      <c r="BD2009" s="31"/>
      <c r="BE2009" s="31"/>
      <c r="BF2009" s="96"/>
    </row>
    <row r="2010" spans="1:58" x14ac:dyDescent="0.35">
      <c r="A2010"/>
      <c r="D2010"/>
      <c r="G2010"/>
      <c r="H2010" s="20"/>
      <c r="I2010" s="20"/>
      <c r="J2010" s="20"/>
      <c r="K2010" s="20"/>
      <c r="L2010" s="20"/>
      <c r="Q2010" s="83"/>
      <c r="Y2010" s="20"/>
      <c r="AP2010" s="92"/>
      <c r="AQ2010" s="67"/>
      <c r="AR2010" s="67"/>
      <c r="AS2010" s="73"/>
      <c r="AT2010" s="67"/>
      <c r="AU2010" s="67"/>
      <c r="AV2010" s="73"/>
      <c r="AW2010" s="68"/>
      <c r="AX2010" s="68"/>
      <c r="AY2010" s="68"/>
      <c r="AZ2010" s="68"/>
      <c r="BA2010" s="68"/>
      <c r="BB2010" s="67"/>
      <c r="BC2010" s="67"/>
      <c r="BD2010" s="67"/>
      <c r="BE2010" s="67"/>
      <c r="BF2010" s="95"/>
    </row>
    <row r="2011" spans="1:58" x14ac:dyDescent="0.35">
      <c r="A2011"/>
      <c r="D2011"/>
      <c r="G2011"/>
      <c r="H2011" s="20"/>
      <c r="I2011" s="20"/>
      <c r="J2011" s="20"/>
      <c r="K2011" s="20"/>
      <c r="L2011" s="20"/>
      <c r="Q2011" s="83"/>
      <c r="Y2011" s="20"/>
      <c r="AP2011" s="93"/>
      <c r="AQ2011" s="31"/>
      <c r="AR2011" s="31"/>
      <c r="AS2011" s="94"/>
      <c r="AT2011" s="31"/>
      <c r="AU2011" s="31"/>
      <c r="AV2011" s="94"/>
      <c r="AW2011" s="32"/>
      <c r="AX2011" s="32"/>
      <c r="AY2011" s="32"/>
      <c r="AZ2011" s="32"/>
      <c r="BA2011" s="32"/>
      <c r="BB2011" s="31"/>
      <c r="BC2011" s="31"/>
      <c r="BD2011" s="31"/>
      <c r="BE2011" s="31"/>
      <c r="BF2011" s="96"/>
    </row>
    <row r="2012" spans="1:58" x14ac:dyDescent="0.35">
      <c r="A2012"/>
      <c r="D2012"/>
      <c r="G2012"/>
      <c r="H2012" s="20"/>
      <c r="I2012" s="20"/>
      <c r="J2012" s="20"/>
      <c r="K2012" s="20"/>
      <c r="L2012" s="20"/>
      <c r="Q2012" s="83"/>
      <c r="Y2012" s="20"/>
      <c r="AP2012" s="92"/>
      <c r="AQ2012" s="67"/>
      <c r="AR2012" s="67"/>
      <c r="AS2012" s="73"/>
      <c r="AT2012" s="67"/>
      <c r="AU2012" s="67"/>
      <c r="AV2012" s="73"/>
      <c r="AW2012" s="68"/>
      <c r="AX2012" s="68"/>
      <c r="AY2012" s="68"/>
      <c r="AZ2012" s="68"/>
      <c r="BA2012" s="68"/>
      <c r="BB2012" s="67"/>
      <c r="BC2012" s="67"/>
      <c r="BD2012" s="67"/>
      <c r="BE2012" s="67"/>
      <c r="BF2012" s="95"/>
    </row>
    <row r="2013" spans="1:58" x14ac:dyDescent="0.35">
      <c r="A2013"/>
      <c r="D2013"/>
      <c r="G2013"/>
      <c r="H2013" s="20"/>
      <c r="I2013" s="20"/>
      <c r="J2013" s="20"/>
      <c r="K2013" s="20"/>
      <c r="L2013" s="20"/>
      <c r="Q2013" s="83"/>
      <c r="Y2013" s="20"/>
      <c r="AP2013" s="93"/>
      <c r="AQ2013" s="31"/>
      <c r="AR2013" s="31"/>
      <c r="AS2013" s="94"/>
      <c r="AT2013" s="31"/>
      <c r="AU2013" s="31"/>
      <c r="AV2013" s="94"/>
      <c r="AW2013" s="32"/>
      <c r="AX2013" s="32"/>
      <c r="AY2013" s="32"/>
      <c r="AZ2013" s="32"/>
      <c r="BA2013" s="32"/>
      <c r="BB2013" s="31"/>
      <c r="BC2013" s="31"/>
      <c r="BD2013" s="31"/>
      <c r="BE2013" s="31"/>
      <c r="BF2013" s="96"/>
    </row>
    <row r="2014" spans="1:58" x14ac:dyDescent="0.35">
      <c r="A2014"/>
      <c r="D2014"/>
      <c r="G2014"/>
      <c r="H2014" s="20"/>
      <c r="I2014" s="20"/>
      <c r="J2014" s="20"/>
      <c r="K2014" s="20"/>
      <c r="L2014" s="20"/>
      <c r="Q2014" s="83"/>
      <c r="Y2014" s="20"/>
      <c r="AP2014" s="92"/>
      <c r="AQ2014" s="67"/>
      <c r="AR2014" s="67"/>
      <c r="AS2014" s="73"/>
      <c r="AT2014" s="67"/>
      <c r="AU2014" s="67"/>
      <c r="AV2014" s="73"/>
      <c r="AW2014" s="68"/>
      <c r="AX2014" s="68"/>
      <c r="AY2014" s="68"/>
      <c r="AZ2014" s="68"/>
      <c r="BA2014" s="68"/>
      <c r="BB2014" s="67"/>
      <c r="BC2014" s="67"/>
      <c r="BD2014" s="67"/>
      <c r="BE2014" s="67"/>
      <c r="BF2014" s="95"/>
    </row>
    <row r="2015" spans="1:58" x14ac:dyDescent="0.35">
      <c r="A2015"/>
      <c r="D2015"/>
      <c r="G2015"/>
      <c r="H2015" s="20"/>
      <c r="I2015" s="20"/>
      <c r="J2015" s="20"/>
      <c r="K2015" s="20"/>
      <c r="L2015" s="20"/>
      <c r="Q2015" s="83"/>
      <c r="Y2015" s="20"/>
      <c r="AP2015" s="93"/>
      <c r="AQ2015" s="31"/>
      <c r="AR2015" s="31"/>
      <c r="AS2015" s="94"/>
      <c r="AT2015" s="31"/>
      <c r="AU2015" s="31"/>
      <c r="AV2015" s="94"/>
      <c r="AW2015" s="32"/>
      <c r="AX2015" s="32"/>
      <c r="AY2015" s="32"/>
      <c r="AZ2015" s="32"/>
      <c r="BA2015" s="32"/>
      <c r="BB2015" s="31"/>
      <c r="BC2015" s="31"/>
      <c r="BD2015" s="31"/>
      <c r="BE2015" s="31"/>
      <c r="BF2015" s="96"/>
    </row>
    <row r="2016" spans="1:58" x14ac:dyDescent="0.35">
      <c r="A2016"/>
      <c r="D2016"/>
      <c r="G2016"/>
      <c r="H2016" s="20"/>
      <c r="I2016" s="20"/>
      <c r="J2016" s="20"/>
      <c r="K2016" s="20"/>
      <c r="L2016" s="20"/>
      <c r="Q2016" s="83"/>
      <c r="Y2016" s="20"/>
      <c r="AP2016" s="92"/>
      <c r="AQ2016" s="67"/>
      <c r="AR2016" s="67"/>
      <c r="AS2016" s="73"/>
      <c r="AT2016" s="67"/>
      <c r="AU2016" s="67"/>
      <c r="AV2016" s="73"/>
      <c r="AW2016" s="68"/>
      <c r="AX2016" s="68"/>
      <c r="AY2016" s="68"/>
      <c r="AZ2016" s="68"/>
      <c r="BA2016" s="68"/>
      <c r="BB2016" s="67"/>
      <c r="BC2016" s="67"/>
      <c r="BD2016" s="67"/>
      <c r="BE2016" s="67"/>
      <c r="BF2016" s="95"/>
    </row>
    <row r="2017" spans="1:58" x14ac:dyDescent="0.35">
      <c r="A2017"/>
      <c r="D2017"/>
      <c r="G2017"/>
      <c r="H2017" s="20"/>
      <c r="I2017" s="20"/>
      <c r="J2017" s="20"/>
      <c r="K2017" s="20"/>
      <c r="L2017" s="20"/>
      <c r="Q2017" s="83"/>
      <c r="Y2017" s="20"/>
      <c r="AP2017" s="93"/>
      <c r="AQ2017" s="31"/>
      <c r="AR2017" s="31"/>
      <c r="AS2017" s="94"/>
      <c r="AT2017" s="31"/>
      <c r="AU2017" s="31"/>
      <c r="AV2017" s="94"/>
      <c r="AW2017" s="32"/>
      <c r="AX2017" s="32"/>
      <c r="AY2017" s="32"/>
      <c r="AZ2017" s="32"/>
      <c r="BA2017" s="32"/>
      <c r="BB2017" s="31"/>
      <c r="BC2017" s="31"/>
      <c r="BD2017" s="31"/>
      <c r="BE2017" s="31"/>
      <c r="BF2017" s="96"/>
    </row>
    <row r="2018" spans="1:58" x14ac:dyDescent="0.35">
      <c r="A2018"/>
      <c r="D2018"/>
      <c r="G2018"/>
      <c r="H2018" s="20"/>
      <c r="I2018" s="20"/>
      <c r="J2018" s="20"/>
      <c r="K2018" s="20"/>
      <c r="L2018" s="20"/>
      <c r="Q2018" s="83"/>
      <c r="Y2018" s="20"/>
      <c r="AP2018" s="92"/>
      <c r="AQ2018" s="67"/>
      <c r="AR2018" s="67"/>
      <c r="AS2018" s="73"/>
      <c r="AT2018" s="67"/>
      <c r="AU2018" s="67"/>
      <c r="AV2018" s="73"/>
      <c r="AW2018" s="68"/>
      <c r="AX2018" s="68"/>
      <c r="AY2018" s="68"/>
      <c r="AZ2018" s="68"/>
      <c r="BA2018" s="68"/>
      <c r="BB2018" s="67"/>
      <c r="BC2018" s="67"/>
      <c r="BD2018" s="67"/>
      <c r="BE2018" s="67"/>
      <c r="BF2018" s="95"/>
    </row>
    <row r="2019" spans="1:58" x14ac:dyDescent="0.35">
      <c r="A2019"/>
      <c r="D2019"/>
      <c r="G2019"/>
      <c r="H2019" s="20"/>
      <c r="I2019" s="20"/>
      <c r="J2019" s="20"/>
      <c r="K2019" s="20"/>
      <c r="L2019" s="20"/>
      <c r="Q2019" s="83"/>
      <c r="Y2019" s="20"/>
      <c r="AP2019" s="93"/>
      <c r="AQ2019" s="31"/>
      <c r="AR2019" s="31"/>
      <c r="AS2019" s="94"/>
      <c r="AT2019" s="31"/>
      <c r="AU2019" s="31"/>
      <c r="AV2019" s="94"/>
      <c r="AW2019" s="32"/>
      <c r="AX2019" s="32"/>
      <c r="AY2019" s="32"/>
      <c r="AZ2019" s="32"/>
      <c r="BA2019" s="32"/>
      <c r="BB2019" s="31"/>
      <c r="BC2019" s="31"/>
      <c r="BD2019" s="31"/>
      <c r="BE2019" s="31"/>
      <c r="BF2019" s="96"/>
    </row>
    <row r="2020" spans="1:58" x14ac:dyDescent="0.35">
      <c r="A2020"/>
      <c r="D2020"/>
      <c r="G2020"/>
      <c r="H2020" s="20"/>
      <c r="I2020" s="20"/>
      <c r="J2020" s="20"/>
      <c r="K2020" s="20"/>
      <c r="L2020" s="20"/>
      <c r="Q2020" s="83"/>
      <c r="Y2020" s="20"/>
      <c r="AP2020" s="92"/>
      <c r="AQ2020" s="67"/>
      <c r="AR2020" s="67"/>
      <c r="AS2020" s="73"/>
      <c r="AT2020" s="67"/>
      <c r="AU2020" s="67"/>
      <c r="AV2020" s="73"/>
      <c r="AW2020" s="68"/>
      <c r="AX2020" s="68"/>
      <c r="AY2020" s="68"/>
      <c r="AZ2020" s="68"/>
      <c r="BA2020" s="68"/>
      <c r="BB2020" s="67"/>
      <c r="BC2020" s="67"/>
      <c r="BD2020" s="67"/>
      <c r="BE2020" s="67"/>
      <c r="BF2020" s="95"/>
    </row>
    <row r="2021" spans="1:58" x14ac:dyDescent="0.35">
      <c r="A2021"/>
      <c r="D2021"/>
      <c r="G2021"/>
      <c r="H2021" s="20"/>
      <c r="I2021" s="20"/>
      <c r="J2021" s="20"/>
      <c r="K2021" s="20"/>
      <c r="L2021" s="20"/>
      <c r="Q2021" s="83"/>
      <c r="Y2021" s="20"/>
      <c r="AP2021" s="93"/>
      <c r="AQ2021" s="31"/>
      <c r="AR2021" s="31"/>
      <c r="AS2021" s="94"/>
      <c r="AT2021" s="31"/>
      <c r="AU2021" s="31"/>
      <c r="AV2021" s="94"/>
      <c r="AW2021" s="32"/>
      <c r="AX2021" s="32"/>
      <c r="AY2021" s="32"/>
      <c r="AZ2021" s="32"/>
      <c r="BA2021" s="32"/>
      <c r="BB2021" s="31"/>
      <c r="BC2021" s="31"/>
      <c r="BD2021" s="31"/>
      <c r="BE2021" s="31"/>
      <c r="BF2021" s="96"/>
    </row>
    <row r="2022" spans="1:58" x14ac:dyDescent="0.35">
      <c r="A2022"/>
      <c r="D2022"/>
      <c r="G2022"/>
      <c r="H2022" s="20"/>
      <c r="I2022" s="20"/>
      <c r="J2022" s="20"/>
      <c r="K2022" s="20"/>
      <c r="L2022" s="20"/>
      <c r="Q2022" s="83"/>
      <c r="Y2022" s="20"/>
      <c r="AP2022" s="92"/>
      <c r="AQ2022" s="67"/>
      <c r="AR2022" s="67"/>
      <c r="AS2022" s="73"/>
      <c r="AT2022" s="67"/>
      <c r="AU2022" s="67"/>
      <c r="AV2022" s="73"/>
      <c r="AW2022" s="68"/>
      <c r="AX2022" s="68"/>
      <c r="AY2022" s="68"/>
      <c r="AZ2022" s="68"/>
      <c r="BA2022" s="68"/>
      <c r="BB2022" s="67"/>
      <c r="BC2022" s="67"/>
      <c r="BD2022" s="67"/>
      <c r="BE2022" s="67"/>
      <c r="BF2022" s="95"/>
    </row>
    <row r="2023" spans="1:58" x14ac:dyDescent="0.35">
      <c r="A2023"/>
      <c r="D2023"/>
      <c r="G2023"/>
      <c r="H2023" s="20"/>
      <c r="I2023" s="20"/>
      <c r="J2023" s="20"/>
      <c r="K2023" s="20"/>
      <c r="L2023" s="20"/>
      <c r="Q2023" s="83"/>
      <c r="Y2023" s="20"/>
      <c r="AP2023" s="93"/>
      <c r="AQ2023" s="31"/>
      <c r="AR2023" s="31"/>
      <c r="AS2023" s="94"/>
      <c r="AT2023" s="31"/>
      <c r="AU2023" s="31"/>
      <c r="AV2023" s="94"/>
      <c r="AW2023" s="32"/>
      <c r="AX2023" s="32"/>
      <c r="AY2023" s="32"/>
      <c r="AZ2023" s="32"/>
      <c r="BA2023" s="32"/>
      <c r="BB2023" s="31"/>
      <c r="BC2023" s="31"/>
      <c r="BD2023" s="31"/>
      <c r="BE2023" s="31"/>
      <c r="BF2023" s="96"/>
    </row>
    <row r="2024" spans="1:58" x14ac:dyDescent="0.35">
      <c r="A2024"/>
      <c r="D2024"/>
      <c r="G2024"/>
      <c r="H2024" s="20"/>
      <c r="I2024" s="20"/>
      <c r="J2024" s="20"/>
      <c r="K2024" s="20"/>
      <c r="L2024" s="20"/>
      <c r="Q2024" s="83"/>
      <c r="Y2024" s="20"/>
      <c r="AP2024" s="92"/>
      <c r="AQ2024" s="67"/>
      <c r="AR2024" s="67"/>
      <c r="AS2024" s="73"/>
      <c r="AT2024" s="67"/>
      <c r="AU2024" s="67"/>
      <c r="AV2024" s="73"/>
      <c r="AW2024" s="68"/>
      <c r="AX2024" s="68"/>
      <c r="AY2024" s="68"/>
      <c r="AZ2024" s="68"/>
      <c r="BA2024" s="68"/>
      <c r="BB2024" s="67"/>
      <c r="BC2024" s="67"/>
      <c r="BD2024" s="67"/>
      <c r="BE2024" s="67"/>
      <c r="BF2024" s="95"/>
    </row>
    <row r="2025" spans="1:58" x14ac:dyDescent="0.35">
      <c r="A2025"/>
      <c r="D2025"/>
      <c r="G2025"/>
      <c r="H2025" s="20"/>
      <c r="I2025" s="20"/>
      <c r="J2025" s="20"/>
      <c r="K2025" s="20"/>
      <c r="L2025" s="20"/>
      <c r="Q2025" s="83"/>
      <c r="Y2025" s="20"/>
      <c r="AP2025" s="93"/>
      <c r="AQ2025" s="31"/>
      <c r="AR2025" s="31"/>
      <c r="AS2025" s="94"/>
      <c r="AT2025" s="31"/>
      <c r="AU2025" s="31"/>
      <c r="AV2025" s="94"/>
      <c r="AW2025" s="32"/>
      <c r="AX2025" s="32"/>
      <c r="AY2025" s="32"/>
      <c r="AZ2025" s="32"/>
      <c r="BA2025" s="32"/>
      <c r="BB2025" s="31"/>
      <c r="BC2025" s="31"/>
      <c r="BD2025" s="31"/>
      <c r="BE2025" s="31"/>
      <c r="BF2025" s="96"/>
    </row>
    <row r="2026" spans="1:58" x14ac:dyDescent="0.35">
      <c r="A2026"/>
      <c r="D2026"/>
      <c r="G2026"/>
      <c r="H2026" s="20"/>
      <c r="I2026" s="20"/>
      <c r="J2026" s="20"/>
      <c r="K2026" s="20"/>
      <c r="L2026" s="20"/>
      <c r="Q2026" s="83"/>
      <c r="Y2026" s="20"/>
      <c r="AP2026" s="92"/>
      <c r="AQ2026" s="67"/>
      <c r="AR2026" s="67"/>
      <c r="AS2026" s="73"/>
      <c r="AT2026" s="67"/>
      <c r="AU2026" s="67"/>
      <c r="AV2026" s="73"/>
      <c r="AW2026" s="68"/>
      <c r="AX2026" s="68"/>
      <c r="AY2026" s="68"/>
      <c r="AZ2026" s="68"/>
      <c r="BA2026" s="68"/>
      <c r="BB2026" s="67"/>
      <c r="BC2026" s="67"/>
      <c r="BD2026" s="67"/>
      <c r="BE2026" s="67"/>
      <c r="BF2026" s="95"/>
    </row>
    <row r="2027" spans="1:58" x14ac:dyDescent="0.35">
      <c r="A2027"/>
      <c r="D2027"/>
      <c r="G2027"/>
      <c r="H2027" s="20"/>
      <c r="I2027" s="20"/>
      <c r="J2027" s="20"/>
      <c r="K2027" s="20"/>
      <c r="L2027" s="20"/>
      <c r="Q2027" s="83"/>
      <c r="Y2027" s="20"/>
      <c r="AP2027" s="93"/>
      <c r="AQ2027" s="31"/>
      <c r="AR2027" s="31"/>
      <c r="AS2027" s="94"/>
      <c r="AT2027" s="31"/>
      <c r="AU2027" s="31"/>
      <c r="AV2027" s="94"/>
      <c r="AW2027" s="32"/>
      <c r="AX2027" s="32"/>
      <c r="AY2027" s="32"/>
      <c r="AZ2027" s="32"/>
      <c r="BA2027" s="32"/>
      <c r="BB2027" s="31"/>
      <c r="BC2027" s="31"/>
      <c r="BD2027" s="31"/>
      <c r="BE2027" s="31"/>
      <c r="BF2027" s="96"/>
    </row>
    <row r="2028" spans="1:58" x14ac:dyDescent="0.35">
      <c r="A2028"/>
      <c r="D2028"/>
      <c r="G2028"/>
      <c r="H2028" s="20"/>
      <c r="I2028" s="20"/>
      <c r="J2028" s="20"/>
      <c r="K2028" s="20"/>
      <c r="L2028" s="20"/>
      <c r="Q2028" s="83"/>
      <c r="Y2028" s="20"/>
      <c r="AP2028" s="92"/>
      <c r="AQ2028" s="67"/>
      <c r="AR2028" s="67"/>
      <c r="AS2028" s="73"/>
      <c r="AT2028" s="67"/>
      <c r="AU2028" s="67"/>
      <c r="AV2028" s="73"/>
      <c r="AW2028" s="68"/>
      <c r="AX2028" s="68"/>
      <c r="AY2028" s="68"/>
      <c r="AZ2028" s="68"/>
      <c r="BA2028" s="68"/>
      <c r="BB2028" s="67"/>
      <c r="BC2028" s="67"/>
      <c r="BD2028" s="67"/>
      <c r="BE2028" s="67"/>
      <c r="BF2028" s="95"/>
    </row>
    <row r="2029" spans="1:58" x14ac:dyDescent="0.35">
      <c r="A2029"/>
      <c r="D2029"/>
      <c r="G2029"/>
      <c r="H2029" s="20"/>
      <c r="I2029" s="20"/>
      <c r="J2029" s="20"/>
      <c r="K2029" s="20"/>
      <c r="L2029" s="20"/>
      <c r="Q2029" s="83"/>
      <c r="Y2029" s="20"/>
      <c r="AP2029" s="93"/>
      <c r="AQ2029" s="31"/>
      <c r="AR2029" s="31"/>
      <c r="AS2029" s="94"/>
      <c r="AT2029" s="31"/>
      <c r="AU2029" s="31"/>
      <c r="AV2029" s="94"/>
      <c r="AW2029" s="32"/>
      <c r="AX2029" s="32"/>
      <c r="AY2029" s="32"/>
      <c r="AZ2029" s="32"/>
      <c r="BA2029" s="32"/>
      <c r="BB2029" s="31"/>
      <c r="BC2029" s="31"/>
      <c r="BD2029" s="31"/>
      <c r="BE2029" s="31"/>
      <c r="BF2029" s="96"/>
    </row>
    <row r="2030" spans="1:58" x14ac:dyDescent="0.35">
      <c r="A2030"/>
      <c r="D2030"/>
      <c r="G2030"/>
      <c r="H2030" s="20"/>
      <c r="I2030" s="20"/>
      <c r="J2030" s="20"/>
      <c r="K2030" s="20"/>
      <c r="L2030" s="20"/>
      <c r="Q2030" s="83"/>
      <c r="Y2030" s="20"/>
      <c r="AP2030" s="92"/>
      <c r="AQ2030" s="67"/>
      <c r="AR2030" s="67"/>
      <c r="AS2030" s="73"/>
      <c r="AT2030" s="67"/>
      <c r="AU2030" s="67"/>
      <c r="AV2030" s="73"/>
      <c r="AW2030" s="68"/>
      <c r="AX2030" s="68"/>
      <c r="AY2030" s="68"/>
      <c r="AZ2030" s="68"/>
      <c r="BA2030" s="68"/>
      <c r="BB2030" s="67"/>
      <c r="BC2030" s="67"/>
      <c r="BD2030" s="67"/>
      <c r="BE2030" s="67"/>
      <c r="BF2030" s="95"/>
    </row>
    <row r="2031" spans="1:58" x14ac:dyDescent="0.35">
      <c r="A2031"/>
      <c r="D2031"/>
      <c r="G2031"/>
      <c r="H2031" s="20"/>
      <c r="I2031" s="20"/>
      <c r="J2031" s="20"/>
      <c r="K2031" s="20"/>
      <c r="L2031" s="20"/>
      <c r="Q2031" s="83"/>
      <c r="Y2031" s="20"/>
      <c r="AP2031" s="93"/>
      <c r="AQ2031" s="31"/>
      <c r="AR2031" s="31"/>
      <c r="AS2031" s="94"/>
      <c r="AT2031" s="31"/>
      <c r="AU2031" s="31"/>
      <c r="AV2031" s="94"/>
      <c r="AW2031" s="32"/>
      <c r="AX2031" s="32"/>
      <c r="AY2031" s="32"/>
      <c r="AZ2031" s="32"/>
      <c r="BA2031" s="32"/>
      <c r="BB2031" s="31"/>
      <c r="BC2031" s="31"/>
      <c r="BD2031" s="31"/>
      <c r="BE2031" s="31"/>
      <c r="BF2031" s="96"/>
    </row>
    <row r="2032" spans="1:58" x14ac:dyDescent="0.35">
      <c r="A2032"/>
      <c r="D2032"/>
      <c r="G2032"/>
      <c r="H2032" s="20"/>
      <c r="I2032" s="20"/>
      <c r="J2032" s="20"/>
      <c r="K2032" s="20"/>
      <c r="L2032" s="20"/>
      <c r="Q2032" s="83"/>
      <c r="Y2032" s="20"/>
      <c r="AP2032" s="92"/>
      <c r="AQ2032" s="67"/>
      <c r="AR2032" s="67"/>
      <c r="AS2032" s="73"/>
      <c r="AT2032" s="67"/>
      <c r="AU2032" s="67"/>
      <c r="AV2032" s="73"/>
      <c r="AW2032" s="68"/>
      <c r="AX2032" s="68"/>
      <c r="AY2032" s="68"/>
      <c r="AZ2032" s="68"/>
      <c r="BA2032" s="68"/>
      <c r="BB2032" s="67"/>
      <c r="BC2032" s="67"/>
      <c r="BD2032" s="67"/>
      <c r="BE2032" s="67"/>
      <c r="BF2032" s="95"/>
    </row>
    <row r="2033" spans="1:58" x14ac:dyDescent="0.35">
      <c r="A2033"/>
      <c r="D2033"/>
      <c r="G2033"/>
      <c r="H2033" s="20"/>
      <c r="I2033" s="20"/>
      <c r="J2033" s="20"/>
      <c r="K2033" s="20"/>
      <c r="L2033" s="20"/>
      <c r="Q2033" s="83"/>
      <c r="Y2033" s="20"/>
      <c r="AP2033" s="93"/>
      <c r="AQ2033" s="31"/>
      <c r="AR2033" s="31"/>
      <c r="AS2033" s="94"/>
      <c r="AT2033" s="31"/>
      <c r="AU2033" s="31"/>
      <c r="AV2033" s="94"/>
      <c r="AW2033" s="32"/>
      <c r="AX2033" s="32"/>
      <c r="AY2033" s="32"/>
      <c r="AZ2033" s="32"/>
      <c r="BA2033" s="32"/>
      <c r="BB2033" s="31"/>
      <c r="BC2033" s="31"/>
      <c r="BD2033" s="31"/>
      <c r="BE2033" s="31"/>
      <c r="BF2033" s="96"/>
    </row>
    <row r="2034" spans="1:58" x14ac:dyDescent="0.35">
      <c r="A2034"/>
      <c r="D2034"/>
      <c r="G2034"/>
      <c r="H2034" s="20"/>
      <c r="I2034" s="20"/>
      <c r="J2034" s="20"/>
      <c r="K2034" s="20"/>
      <c r="L2034" s="20"/>
      <c r="Q2034" s="83"/>
      <c r="Y2034" s="20"/>
      <c r="AP2034" s="92"/>
      <c r="AQ2034" s="67"/>
      <c r="AR2034" s="67"/>
      <c r="AS2034" s="73"/>
      <c r="AT2034" s="67"/>
      <c r="AU2034" s="67"/>
      <c r="AV2034" s="73"/>
      <c r="AW2034" s="68"/>
      <c r="AX2034" s="68"/>
      <c r="AY2034" s="68"/>
      <c r="AZ2034" s="68"/>
      <c r="BA2034" s="68"/>
      <c r="BB2034" s="67"/>
      <c r="BC2034" s="67"/>
      <c r="BD2034" s="67"/>
      <c r="BE2034" s="67"/>
      <c r="BF2034" s="95"/>
    </row>
    <row r="2035" spans="1:58" x14ac:dyDescent="0.35">
      <c r="A2035"/>
      <c r="D2035"/>
      <c r="G2035"/>
      <c r="H2035" s="20"/>
      <c r="I2035" s="20"/>
      <c r="J2035" s="20"/>
      <c r="K2035" s="20"/>
      <c r="L2035" s="20"/>
      <c r="Q2035" s="83"/>
      <c r="Y2035" s="20"/>
      <c r="AP2035" s="93"/>
      <c r="AQ2035" s="31"/>
      <c r="AR2035" s="31"/>
      <c r="AS2035" s="94"/>
      <c r="AT2035" s="31"/>
      <c r="AU2035" s="31"/>
      <c r="AV2035" s="94"/>
      <c r="AW2035" s="32"/>
      <c r="AX2035" s="32"/>
      <c r="AY2035" s="32"/>
      <c r="AZ2035" s="32"/>
      <c r="BA2035" s="32"/>
      <c r="BB2035" s="31"/>
      <c r="BC2035" s="31"/>
      <c r="BD2035" s="31"/>
      <c r="BE2035" s="31"/>
      <c r="BF2035" s="96"/>
    </row>
    <row r="2036" spans="1:58" x14ac:dyDescent="0.35">
      <c r="A2036"/>
      <c r="D2036"/>
      <c r="G2036"/>
      <c r="H2036" s="20"/>
      <c r="I2036" s="20"/>
      <c r="J2036" s="20"/>
      <c r="K2036" s="20"/>
      <c r="L2036" s="20"/>
      <c r="Q2036" s="83"/>
      <c r="Y2036" s="20"/>
      <c r="AP2036" s="92"/>
      <c r="AQ2036" s="67"/>
      <c r="AR2036" s="67"/>
      <c r="AS2036" s="73"/>
      <c r="AT2036" s="67"/>
      <c r="AU2036" s="67"/>
      <c r="AV2036" s="73"/>
      <c r="AW2036" s="68"/>
      <c r="AX2036" s="68"/>
      <c r="AY2036" s="68"/>
      <c r="AZ2036" s="68"/>
      <c r="BA2036" s="68"/>
      <c r="BB2036" s="67"/>
      <c r="BC2036" s="67"/>
      <c r="BD2036" s="67"/>
      <c r="BE2036" s="67"/>
      <c r="BF2036" s="95"/>
    </row>
    <row r="2037" spans="1:58" x14ac:dyDescent="0.35">
      <c r="A2037"/>
      <c r="D2037"/>
      <c r="G2037"/>
      <c r="H2037" s="20"/>
      <c r="I2037" s="20"/>
      <c r="J2037" s="20"/>
      <c r="K2037" s="20"/>
      <c r="L2037" s="20"/>
      <c r="Q2037" s="83"/>
      <c r="Y2037" s="20"/>
      <c r="AP2037" s="93"/>
      <c r="AQ2037" s="31"/>
      <c r="AR2037" s="31"/>
      <c r="AS2037" s="94"/>
      <c r="AT2037" s="31"/>
      <c r="AU2037" s="31"/>
      <c r="AV2037" s="94"/>
      <c r="AW2037" s="32"/>
      <c r="AX2037" s="32"/>
      <c r="AY2037" s="32"/>
      <c r="AZ2037" s="32"/>
      <c r="BA2037" s="32"/>
      <c r="BB2037" s="31"/>
      <c r="BC2037" s="31"/>
      <c r="BD2037" s="31"/>
      <c r="BE2037" s="31"/>
      <c r="BF2037" s="96"/>
    </row>
    <row r="2038" spans="1:58" x14ac:dyDescent="0.35">
      <c r="A2038"/>
      <c r="D2038"/>
      <c r="G2038"/>
      <c r="H2038" s="20"/>
      <c r="I2038" s="20"/>
      <c r="J2038" s="20"/>
      <c r="K2038" s="20"/>
      <c r="L2038" s="20"/>
      <c r="Q2038" s="83"/>
      <c r="Y2038" s="20"/>
      <c r="AP2038" s="92"/>
      <c r="AQ2038" s="67"/>
      <c r="AR2038" s="67"/>
      <c r="AS2038" s="73"/>
      <c r="AT2038" s="67"/>
      <c r="AU2038" s="67"/>
      <c r="AV2038" s="73"/>
      <c r="AW2038" s="68"/>
      <c r="AX2038" s="68"/>
      <c r="AY2038" s="68"/>
      <c r="AZ2038" s="68"/>
      <c r="BA2038" s="68"/>
      <c r="BB2038" s="67"/>
      <c r="BC2038" s="67"/>
      <c r="BD2038" s="67"/>
      <c r="BE2038" s="67"/>
      <c r="BF2038" s="95"/>
    </row>
    <row r="2039" spans="1:58" x14ac:dyDescent="0.35">
      <c r="A2039"/>
      <c r="D2039"/>
      <c r="G2039"/>
      <c r="H2039" s="20"/>
      <c r="I2039" s="20"/>
      <c r="J2039" s="20"/>
      <c r="K2039" s="20"/>
      <c r="L2039" s="20"/>
      <c r="Q2039" s="83"/>
      <c r="Y2039" s="20"/>
      <c r="AP2039" s="93"/>
      <c r="AQ2039" s="31"/>
      <c r="AR2039" s="31"/>
      <c r="AS2039" s="94"/>
      <c r="AT2039" s="31"/>
      <c r="AU2039" s="31"/>
      <c r="AV2039" s="94"/>
      <c r="AW2039" s="32"/>
      <c r="AX2039" s="32"/>
      <c r="AY2039" s="32"/>
      <c r="AZ2039" s="32"/>
      <c r="BA2039" s="32"/>
      <c r="BB2039" s="31"/>
      <c r="BC2039" s="31"/>
      <c r="BD2039" s="31"/>
      <c r="BE2039" s="31"/>
      <c r="BF2039" s="96"/>
    </row>
    <row r="2040" spans="1:58" x14ac:dyDescent="0.35">
      <c r="A2040"/>
      <c r="D2040"/>
      <c r="G2040"/>
      <c r="H2040" s="20"/>
      <c r="I2040" s="20"/>
      <c r="J2040" s="20"/>
      <c r="K2040" s="20"/>
      <c r="L2040" s="20"/>
      <c r="Q2040" s="83"/>
      <c r="Y2040" s="20"/>
      <c r="AP2040" s="92"/>
      <c r="AQ2040" s="67"/>
      <c r="AR2040" s="67"/>
      <c r="AS2040" s="73"/>
      <c r="AT2040" s="67"/>
      <c r="AU2040" s="67"/>
      <c r="AV2040" s="73"/>
      <c r="AW2040" s="68"/>
      <c r="AX2040" s="68"/>
      <c r="AY2040" s="68"/>
      <c r="AZ2040" s="68"/>
      <c r="BA2040" s="68"/>
      <c r="BB2040" s="67"/>
      <c r="BC2040" s="67"/>
      <c r="BD2040" s="67"/>
      <c r="BE2040" s="67"/>
      <c r="BF2040" s="95"/>
    </row>
    <row r="2041" spans="1:58" x14ac:dyDescent="0.35">
      <c r="A2041"/>
      <c r="D2041"/>
      <c r="G2041"/>
      <c r="H2041" s="20"/>
      <c r="I2041" s="20"/>
      <c r="J2041" s="20"/>
      <c r="K2041" s="20"/>
      <c r="L2041" s="20"/>
      <c r="Q2041" s="83"/>
      <c r="Y2041" s="20"/>
      <c r="AP2041" s="93"/>
      <c r="AQ2041" s="31"/>
      <c r="AR2041" s="31"/>
      <c r="AS2041" s="94"/>
      <c r="AT2041" s="31"/>
      <c r="AU2041" s="31"/>
      <c r="AV2041" s="94"/>
      <c r="AW2041" s="32"/>
      <c r="AX2041" s="32"/>
      <c r="AY2041" s="32"/>
      <c r="AZ2041" s="32"/>
      <c r="BA2041" s="32"/>
      <c r="BB2041" s="31"/>
      <c r="BC2041" s="31"/>
      <c r="BD2041" s="31"/>
      <c r="BE2041" s="31"/>
      <c r="BF2041" s="96"/>
    </row>
    <row r="2042" spans="1:58" x14ac:dyDescent="0.35">
      <c r="A2042"/>
      <c r="D2042"/>
      <c r="G2042"/>
      <c r="H2042" s="20"/>
      <c r="I2042" s="20"/>
      <c r="J2042" s="20"/>
      <c r="K2042" s="20"/>
      <c r="L2042" s="20"/>
      <c r="Q2042" s="83"/>
      <c r="Y2042" s="20"/>
      <c r="AP2042" s="92"/>
      <c r="AQ2042" s="67"/>
      <c r="AR2042" s="67"/>
      <c r="AS2042" s="73"/>
      <c r="AT2042" s="67"/>
      <c r="AU2042" s="67"/>
      <c r="AV2042" s="73"/>
      <c r="AW2042" s="68"/>
      <c r="AX2042" s="68"/>
      <c r="AY2042" s="68"/>
      <c r="AZ2042" s="68"/>
      <c r="BA2042" s="68"/>
      <c r="BB2042" s="67"/>
      <c r="BC2042" s="67"/>
      <c r="BD2042" s="67"/>
      <c r="BE2042" s="67"/>
      <c r="BF2042" s="95"/>
    </row>
    <row r="2043" spans="1:58" x14ac:dyDescent="0.35">
      <c r="A2043"/>
      <c r="D2043"/>
      <c r="G2043"/>
      <c r="H2043" s="20"/>
      <c r="I2043" s="20"/>
      <c r="J2043" s="20"/>
      <c r="K2043" s="20"/>
      <c r="L2043" s="20"/>
      <c r="Q2043" s="83"/>
      <c r="Y2043" s="20"/>
      <c r="AP2043" s="93"/>
      <c r="AQ2043" s="31"/>
      <c r="AR2043" s="31"/>
      <c r="AS2043" s="94"/>
      <c r="AT2043" s="31"/>
      <c r="AU2043" s="31"/>
      <c r="AV2043" s="94"/>
      <c r="AW2043" s="32"/>
      <c r="AX2043" s="32"/>
      <c r="AY2043" s="32"/>
      <c r="AZ2043" s="32"/>
      <c r="BA2043" s="32"/>
      <c r="BB2043" s="31"/>
      <c r="BC2043" s="31"/>
      <c r="BD2043" s="31"/>
      <c r="BE2043" s="31"/>
      <c r="BF2043" s="96"/>
    </row>
    <row r="2044" spans="1:58" x14ac:dyDescent="0.35">
      <c r="A2044"/>
      <c r="D2044"/>
      <c r="G2044"/>
      <c r="H2044" s="20"/>
      <c r="I2044" s="20"/>
      <c r="J2044" s="20"/>
      <c r="K2044" s="20"/>
      <c r="L2044" s="20"/>
      <c r="Q2044" s="83"/>
      <c r="Y2044" s="20"/>
      <c r="AP2044" s="92"/>
      <c r="AQ2044" s="67"/>
      <c r="AR2044" s="67"/>
      <c r="AS2044" s="73"/>
      <c r="AT2044" s="67"/>
      <c r="AU2044" s="67"/>
      <c r="AV2044" s="73"/>
      <c r="AW2044" s="68"/>
      <c r="AX2044" s="68"/>
      <c r="AY2044" s="68"/>
      <c r="AZ2044" s="68"/>
      <c r="BA2044" s="68"/>
      <c r="BB2044" s="67"/>
      <c r="BC2044" s="67"/>
      <c r="BD2044" s="67"/>
      <c r="BE2044" s="67"/>
      <c r="BF2044" s="95"/>
    </row>
    <row r="2045" spans="1:58" x14ac:dyDescent="0.35">
      <c r="A2045"/>
      <c r="D2045"/>
      <c r="G2045"/>
      <c r="H2045" s="20"/>
      <c r="I2045" s="20"/>
      <c r="J2045" s="20"/>
      <c r="K2045" s="20"/>
      <c r="L2045" s="20"/>
      <c r="Q2045" s="83"/>
      <c r="Y2045" s="20"/>
      <c r="AP2045" s="93"/>
      <c r="AQ2045" s="31"/>
      <c r="AR2045" s="31"/>
      <c r="AS2045" s="94"/>
      <c r="AT2045" s="31"/>
      <c r="AU2045" s="31"/>
      <c r="AV2045" s="94"/>
      <c r="AW2045" s="32"/>
      <c r="AX2045" s="32"/>
      <c r="AY2045" s="32"/>
      <c r="AZ2045" s="32"/>
      <c r="BA2045" s="32"/>
      <c r="BB2045" s="31"/>
      <c r="BC2045" s="31"/>
      <c r="BD2045" s="31"/>
      <c r="BE2045" s="31"/>
      <c r="BF2045" s="96"/>
    </row>
    <row r="2046" spans="1:58" x14ac:dyDescent="0.35">
      <c r="A2046"/>
      <c r="D2046"/>
      <c r="G2046"/>
      <c r="H2046" s="20"/>
      <c r="I2046" s="20"/>
      <c r="J2046" s="20"/>
      <c r="K2046" s="20"/>
      <c r="L2046" s="20"/>
      <c r="Q2046" s="83"/>
      <c r="Y2046" s="20"/>
      <c r="AP2046" s="92"/>
      <c r="AQ2046" s="67"/>
      <c r="AR2046" s="67"/>
      <c r="AS2046" s="73"/>
      <c r="AT2046" s="67"/>
      <c r="AU2046" s="67"/>
      <c r="AV2046" s="73"/>
      <c r="AW2046" s="68"/>
      <c r="AX2046" s="68"/>
      <c r="AY2046" s="68"/>
      <c r="AZ2046" s="68"/>
      <c r="BA2046" s="68"/>
      <c r="BB2046" s="67"/>
      <c r="BC2046" s="67"/>
      <c r="BD2046" s="67"/>
      <c r="BE2046" s="67"/>
      <c r="BF2046" s="95"/>
    </row>
    <row r="2047" spans="1:58" x14ac:dyDescent="0.35">
      <c r="A2047"/>
      <c r="D2047"/>
      <c r="G2047"/>
      <c r="H2047" s="20"/>
      <c r="I2047" s="20"/>
      <c r="J2047" s="20"/>
      <c r="K2047" s="20"/>
      <c r="L2047" s="20"/>
      <c r="Q2047" s="83"/>
      <c r="Y2047" s="20"/>
      <c r="AP2047" s="93"/>
      <c r="AQ2047" s="31"/>
      <c r="AR2047" s="31"/>
      <c r="AS2047" s="94"/>
      <c r="AT2047" s="31"/>
      <c r="AU2047" s="31"/>
      <c r="AV2047" s="94"/>
      <c r="AW2047" s="32"/>
      <c r="AX2047" s="32"/>
      <c r="AY2047" s="32"/>
      <c r="AZ2047" s="32"/>
      <c r="BA2047" s="32"/>
      <c r="BB2047" s="31"/>
      <c r="BC2047" s="31"/>
      <c r="BD2047" s="31"/>
      <c r="BE2047" s="31"/>
      <c r="BF2047" s="96"/>
    </row>
    <row r="2048" spans="1:58" x14ac:dyDescent="0.35">
      <c r="A2048"/>
      <c r="D2048"/>
      <c r="G2048"/>
      <c r="H2048" s="20"/>
      <c r="I2048" s="20"/>
      <c r="J2048" s="20"/>
      <c r="K2048" s="20"/>
      <c r="L2048" s="20"/>
      <c r="Q2048" s="83"/>
      <c r="Y2048" s="20"/>
      <c r="AP2048" s="92"/>
      <c r="AQ2048" s="67"/>
      <c r="AR2048" s="67"/>
      <c r="AS2048" s="73"/>
      <c r="AT2048" s="67"/>
      <c r="AU2048" s="67"/>
      <c r="AV2048" s="73"/>
      <c r="AW2048" s="68"/>
      <c r="AX2048" s="68"/>
      <c r="AY2048" s="68"/>
      <c r="AZ2048" s="68"/>
      <c r="BA2048" s="68"/>
      <c r="BB2048" s="67"/>
      <c r="BC2048" s="67"/>
      <c r="BD2048" s="67"/>
      <c r="BE2048" s="67"/>
      <c r="BF2048" s="95"/>
    </row>
    <row r="2049" spans="1:58" x14ac:dyDescent="0.35">
      <c r="A2049"/>
      <c r="D2049"/>
      <c r="G2049"/>
      <c r="H2049" s="20"/>
      <c r="I2049" s="20"/>
      <c r="J2049" s="20"/>
      <c r="K2049" s="20"/>
      <c r="L2049" s="20"/>
      <c r="Q2049" s="83"/>
      <c r="Y2049" s="20"/>
      <c r="AP2049" s="93"/>
      <c r="AQ2049" s="31"/>
      <c r="AR2049" s="31"/>
      <c r="AS2049" s="94"/>
      <c r="AT2049" s="31"/>
      <c r="AU2049" s="31"/>
      <c r="AV2049" s="94"/>
      <c r="AW2049" s="32"/>
      <c r="AX2049" s="32"/>
      <c r="AY2049" s="32"/>
      <c r="AZ2049" s="32"/>
      <c r="BA2049" s="32"/>
      <c r="BB2049" s="31"/>
      <c r="BC2049" s="31"/>
      <c r="BD2049" s="31"/>
      <c r="BE2049" s="31"/>
      <c r="BF2049" s="96"/>
    </row>
    <row r="2050" spans="1:58" x14ac:dyDescent="0.35">
      <c r="A2050"/>
      <c r="D2050"/>
      <c r="G2050"/>
      <c r="H2050" s="20"/>
      <c r="I2050" s="20"/>
      <c r="J2050" s="20"/>
      <c r="K2050" s="20"/>
      <c r="L2050" s="20"/>
      <c r="Q2050" s="83"/>
      <c r="Y2050" s="20"/>
      <c r="AP2050" s="92"/>
      <c r="AQ2050" s="67"/>
      <c r="AR2050" s="67"/>
      <c r="AS2050" s="73"/>
      <c r="AT2050" s="67"/>
      <c r="AU2050" s="67"/>
      <c r="AV2050" s="73"/>
      <c r="AW2050" s="68"/>
      <c r="AX2050" s="68"/>
      <c r="AY2050" s="68"/>
      <c r="AZ2050" s="68"/>
      <c r="BA2050" s="68"/>
      <c r="BB2050" s="67"/>
      <c r="BC2050" s="67"/>
      <c r="BD2050" s="67"/>
      <c r="BE2050" s="67"/>
      <c r="BF2050" s="95"/>
    </row>
    <row r="2051" spans="1:58" x14ac:dyDescent="0.35">
      <c r="A2051"/>
      <c r="D2051"/>
      <c r="G2051"/>
      <c r="H2051" s="20"/>
      <c r="I2051" s="20"/>
      <c r="J2051" s="20"/>
      <c r="K2051" s="20"/>
      <c r="L2051" s="20"/>
      <c r="Q2051" s="83"/>
      <c r="Y2051" s="20"/>
      <c r="AP2051" s="93"/>
      <c r="AQ2051" s="31"/>
      <c r="AR2051" s="31"/>
      <c r="AS2051" s="94"/>
      <c r="AT2051" s="31"/>
      <c r="AU2051" s="31"/>
      <c r="AV2051" s="94"/>
      <c r="AW2051" s="32"/>
      <c r="AX2051" s="32"/>
      <c r="AY2051" s="32"/>
      <c r="AZ2051" s="32"/>
      <c r="BA2051" s="32"/>
      <c r="BB2051" s="31"/>
      <c r="BC2051" s="31"/>
      <c r="BD2051" s="31"/>
      <c r="BE2051" s="31"/>
      <c r="BF2051" s="96"/>
    </row>
    <row r="2052" spans="1:58" x14ac:dyDescent="0.35">
      <c r="A2052"/>
      <c r="D2052"/>
      <c r="G2052"/>
      <c r="H2052" s="20"/>
      <c r="I2052" s="20"/>
      <c r="J2052" s="20"/>
      <c r="K2052" s="20"/>
      <c r="L2052" s="20"/>
      <c r="Q2052" s="83"/>
      <c r="Y2052" s="20"/>
      <c r="AP2052" s="92"/>
      <c r="AQ2052" s="67"/>
      <c r="AR2052" s="67"/>
      <c r="AS2052" s="73"/>
      <c r="AT2052" s="67"/>
      <c r="AU2052" s="67"/>
      <c r="AV2052" s="73"/>
      <c r="AW2052" s="68"/>
      <c r="AX2052" s="68"/>
      <c r="AY2052" s="68"/>
      <c r="AZ2052" s="68"/>
      <c r="BA2052" s="68"/>
      <c r="BB2052" s="67"/>
      <c r="BC2052" s="67"/>
      <c r="BD2052" s="67"/>
      <c r="BE2052" s="67"/>
      <c r="BF2052" s="95"/>
    </row>
    <row r="2053" spans="1:58" x14ac:dyDescent="0.35">
      <c r="A2053"/>
      <c r="D2053"/>
      <c r="G2053"/>
      <c r="H2053" s="20"/>
      <c r="I2053" s="20"/>
      <c r="J2053" s="20"/>
      <c r="K2053" s="20"/>
      <c r="L2053" s="20"/>
      <c r="Q2053" s="83"/>
      <c r="Y2053" s="20"/>
      <c r="AP2053" s="93"/>
      <c r="AQ2053" s="31"/>
      <c r="AR2053" s="31"/>
      <c r="AS2053" s="94"/>
      <c r="AT2053" s="31"/>
      <c r="AU2053" s="31"/>
      <c r="AV2053" s="94"/>
      <c r="AW2053" s="32"/>
      <c r="AX2053" s="32"/>
      <c r="AY2053" s="32"/>
      <c r="AZ2053" s="32"/>
      <c r="BA2053" s="32"/>
      <c r="BB2053" s="31"/>
      <c r="BC2053" s="31"/>
      <c r="BD2053" s="31"/>
      <c r="BE2053" s="31"/>
      <c r="BF2053" s="96"/>
    </row>
    <row r="2054" spans="1:58" x14ac:dyDescent="0.35">
      <c r="A2054"/>
      <c r="D2054"/>
      <c r="G2054"/>
      <c r="H2054" s="20"/>
      <c r="I2054" s="20"/>
      <c r="J2054" s="20"/>
      <c r="K2054" s="20"/>
      <c r="L2054" s="20"/>
      <c r="Q2054" s="83"/>
      <c r="Y2054" s="20"/>
      <c r="AP2054" s="92"/>
      <c r="AQ2054" s="67"/>
      <c r="AR2054" s="67"/>
      <c r="AS2054" s="73"/>
      <c r="AT2054" s="67"/>
      <c r="AU2054" s="67"/>
      <c r="AV2054" s="73"/>
      <c r="AW2054" s="68"/>
      <c r="AX2054" s="68"/>
      <c r="AY2054" s="68"/>
      <c r="AZ2054" s="68"/>
      <c r="BA2054" s="68"/>
      <c r="BB2054" s="67"/>
      <c r="BC2054" s="67"/>
      <c r="BD2054" s="67"/>
      <c r="BE2054" s="67"/>
      <c r="BF2054" s="95"/>
    </row>
    <row r="2055" spans="1:58" x14ac:dyDescent="0.35">
      <c r="A2055"/>
      <c r="D2055"/>
      <c r="G2055"/>
      <c r="H2055" s="20"/>
      <c r="I2055" s="20"/>
      <c r="J2055" s="20"/>
      <c r="K2055" s="20"/>
      <c r="L2055" s="20"/>
      <c r="Q2055" s="83"/>
      <c r="Y2055" s="20"/>
      <c r="AP2055" s="93"/>
      <c r="AQ2055" s="31"/>
      <c r="AR2055" s="31"/>
      <c r="AS2055" s="94"/>
      <c r="AT2055" s="31"/>
      <c r="AU2055" s="31"/>
      <c r="AV2055" s="94"/>
      <c r="AW2055" s="32"/>
      <c r="AX2055" s="32"/>
      <c r="AY2055" s="32"/>
      <c r="AZ2055" s="32"/>
      <c r="BA2055" s="32"/>
      <c r="BB2055" s="31"/>
      <c r="BC2055" s="31"/>
      <c r="BD2055" s="31"/>
      <c r="BE2055" s="31"/>
      <c r="BF2055" s="96"/>
    </row>
    <row r="2056" spans="1:58" x14ac:dyDescent="0.35">
      <c r="A2056"/>
      <c r="D2056"/>
      <c r="G2056"/>
      <c r="H2056" s="20"/>
      <c r="I2056" s="20"/>
      <c r="J2056" s="20"/>
      <c r="K2056" s="20"/>
      <c r="L2056" s="20"/>
      <c r="Q2056" s="83"/>
      <c r="Y2056" s="20"/>
      <c r="AP2056" s="92"/>
      <c r="AQ2056" s="67"/>
      <c r="AR2056" s="67"/>
      <c r="AS2056" s="73"/>
      <c r="AT2056" s="67"/>
      <c r="AU2056" s="67"/>
      <c r="AV2056" s="73"/>
      <c r="AW2056" s="68"/>
      <c r="AX2056" s="68"/>
      <c r="AY2056" s="68"/>
      <c r="AZ2056" s="68"/>
      <c r="BA2056" s="68"/>
      <c r="BB2056" s="67"/>
      <c r="BC2056" s="67"/>
      <c r="BD2056" s="67"/>
      <c r="BE2056" s="67"/>
      <c r="BF2056" s="95"/>
    </row>
    <row r="2057" spans="1:58" x14ac:dyDescent="0.35">
      <c r="A2057"/>
      <c r="D2057"/>
      <c r="G2057"/>
      <c r="H2057" s="20"/>
      <c r="I2057" s="20"/>
      <c r="J2057" s="20"/>
      <c r="K2057" s="20"/>
      <c r="L2057" s="20"/>
      <c r="Q2057" s="83"/>
      <c r="Y2057" s="20"/>
      <c r="AP2057" s="93"/>
      <c r="AQ2057" s="31"/>
      <c r="AR2057" s="31"/>
      <c r="AS2057" s="94"/>
      <c r="AT2057" s="31"/>
      <c r="AU2057" s="31"/>
      <c r="AV2057" s="94"/>
      <c r="AW2057" s="32"/>
      <c r="AX2057" s="32"/>
      <c r="AY2057" s="32"/>
      <c r="AZ2057" s="32"/>
      <c r="BA2057" s="32"/>
      <c r="BB2057" s="31"/>
      <c r="BC2057" s="31"/>
      <c r="BD2057" s="31"/>
      <c r="BE2057" s="31"/>
      <c r="BF2057" s="96"/>
    </row>
    <row r="2058" spans="1:58" x14ac:dyDescent="0.35">
      <c r="A2058"/>
      <c r="D2058"/>
      <c r="G2058"/>
      <c r="H2058" s="20"/>
      <c r="I2058" s="20"/>
      <c r="J2058" s="20"/>
      <c r="K2058" s="20"/>
      <c r="L2058" s="20"/>
      <c r="Q2058" s="83"/>
      <c r="Y2058" s="20"/>
      <c r="AP2058" s="92"/>
      <c r="AQ2058" s="67"/>
      <c r="AR2058" s="67"/>
      <c r="AS2058" s="73"/>
      <c r="AT2058" s="67"/>
      <c r="AU2058" s="67"/>
      <c r="AV2058" s="73"/>
      <c r="AW2058" s="68"/>
      <c r="AX2058" s="68"/>
      <c r="AY2058" s="68"/>
      <c r="AZ2058" s="68"/>
      <c r="BA2058" s="68"/>
      <c r="BB2058" s="67"/>
      <c r="BC2058" s="67"/>
      <c r="BD2058" s="67"/>
      <c r="BE2058" s="67"/>
      <c r="BF2058" s="95"/>
    </row>
    <row r="2059" spans="1:58" x14ac:dyDescent="0.35">
      <c r="A2059"/>
      <c r="D2059"/>
      <c r="G2059"/>
      <c r="H2059" s="20"/>
      <c r="I2059" s="20"/>
      <c r="J2059" s="20"/>
      <c r="K2059" s="20"/>
      <c r="L2059" s="20"/>
      <c r="Q2059" s="83"/>
      <c r="Y2059" s="20"/>
      <c r="AP2059" s="93"/>
      <c r="AQ2059" s="31"/>
      <c r="AR2059" s="31"/>
      <c r="AS2059" s="94"/>
      <c r="AT2059" s="31"/>
      <c r="AU2059" s="31"/>
      <c r="AV2059" s="94"/>
      <c r="AW2059" s="32"/>
      <c r="AX2059" s="32"/>
      <c r="AY2059" s="32"/>
      <c r="AZ2059" s="32"/>
      <c r="BA2059" s="32"/>
      <c r="BB2059" s="31"/>
      <c r="BC2059" s="31"/>
      <c r="BD2059" s="31"/>
      <c r="BE2059" s="31"/>
      <c r="BF2059" s="96"/>
    </row>
    <row r="2060" spans="1:58" x14ac:dyDescent="0.35">
      <c r="A2060"/>
      <c r="D2060"/>
      <c r="G2060"/>
      <c r="H2060" s="20"/>
      <c r="I2060" s="20"/>
      <c r="J2060" s="20"/>
      <c r="K2060" s="20"/>
      <c r="L2060" s="20"/>
      <c r="Q2060" s="83"/>
      <c r="Y2060" s="20"/>
      <c r="AP2060" s="92"/>
      <c r="AQ2060" s="67"/>
      <c r="AR2060" s="67"/>
      <c r="AS2060" s="73"/>
      <c r="AT2060" s="67"/>
      <c r="AU2060" s="67"/>
      <c r="AV2060" s="73"/>
      <c r="AW2060" s="68"/>
      <c r="AX2060" s="68"/>
      <c r="AY2060" s="68"/>
      <c r="AZ2060" s="68"/>
      <c r="BA2060" s="68"/>
      <c r="BB2060" s="67"/>
      <c r="BC2060" s="67"/>
      <c r="BD2060" s="67"/>
      <c r="BE2060" s="67"/>
      <c r="BF2060" s="95"/>
    </row>
    <row r="2061" spans="1:58" x14ac:dyDescent="0.35">
      <c r="A2061"/>
      <c r="D2061"/>
      <c r="G2061"/>
      <c r="H2061" s="20"/>
      <c r="I2061" s="20"/>
      <c r="J2061" s="20"/>
      <c r="K2061" s="20"/>
      <c r="L2061" s="20"/>
      <c r="Q2061" s="83"/>
      <c r="Y2061" s="20"/>
      <c r="AP2061" s="93"/>
      <c r="AQ2061" s="31"/>
      <c r="AR2061" s="31"/>
      <c r="AS2061" s="94"/>
      <c r="AT2061" s="31"/>
      <c r="AU2061" s="31"/>
      <c r="AV2061" s="94"/>
      <c r="AW2061" s="32"/>
      <c r="AX2061" s="32"/>
      <c r="AY2061" s="32"/>
      <c r="AZ2061" s="32"/>
      <c r="BA2061" s="32"/>
      <c r="BB2061" s="31"/>
      <c r="BC2061" s="31"/>
      <c r="BD2061" s="31"/>
      <c r="BE2061" s="31"/>
      <c r="BF2061" s="96"/>
    </row>
    <row r="2062" spans="1:58" x14ac:dyDescent="0.35">
      <c r="A2062"/>
      <c r="D2062"/>
      <c r="G2062"/>
      <c r="H2062" s="20"/>
      <c r="I2062" s="20"/>
      <c r="J2062" s="20"/>
      <c r="K2062" s="20"/>
      <c r="L2062" s="20"/>
      <c r="Q2062" s="83"/>
      <c r="Y2062" s="20"/>
      <c r="AP2062" s="92"/>
      <c r="AQ2062" s="67"/>
      <c r="AR2062" s="67"/>
      <c r="AS2062" s="73"/>
      <c r="AT2062" s="67"/>
      <c r="AU2062" s="67"/>
      <c r="AV2062" s="73"/>
      <c r="AW2062" s="68"/>
      <c r="AX2062" s="68"/>
      <c r="AY2062" s="68"/>
      <c r="AZ2062" s="68"/>
      <c r="BA2062" s="68"/>
      <c r="BB2062" s="67"/>
      <c r="BC2062" s="67"/>
      <c r="BD2062" s="67"/>
      <c r="BE2062" s="67"/>
      <c r="BF2062" s="95"/>
    </row>
    <row r="2063" spans="1:58" x14ac:dyDescent="0.35">
      <c r="A2063"/>
      <c r="D2063"/>
      <c r="G2063"/>
      <c r="H2063" s="20"/>
      <c r="I2063" s="20"/>
      <c r="J2063" s="20"/>
      <c r="K2063" s="20"/>
      <c r="L2063" s="20"/>
      <c r="Q2063" s="83"/>
      <c r="Y2063" s="20"/>
      <c r="AP2063" s="93"/>
      <c r="AQ2063" s="31"/>
      <c r="AR2063" s="31"/>
      <c r="AS2063" s="94"/>
      <c r="AT2063" s="31"/>
      <c r="AU2063" s="31"/>
      <c r="AV2063" s="94"/>
      <c r="AW2063" s="32"/>
      <c r="AX2063" s="32"/>
      <c r="AY2063" s="32"/>
      <c r="AZ2063" s="32"/>
      <c r="BA2063" s="32"/>
      <c r="BB2063" s="31"/>
      <c r="BC2063" s="31"/>
      <c r="BD2063" s="31"/>
      <c r="BE2063" s="31"/>
      <c r="BF2063" s="96"/>
    </row>
    <row r="2064" spans="1:58" x14ac:dyDescent="0.35">
      <c r="A2064"/>
      <c r="D2064"/>
      <c r="G2064"/>
      <c r="H2064" s="20"/>
      <c r="I2064" s="20"/>
      <c r="J2064" s="20"/>
      <c r="K2064" s="20"/>
      <c r="L2064" s="20"/>
      <c r="Q2064" s="83"/>
      <c r="Y2064" s="20"/>
      <c r="AP2064" s="92"/>
      <c r="AQ2064" s="67"/>
      <c r="AR2064" s="67"/>
      <c r="AS2064" s="73"/>
      <c r="AT2064" s="67"/>
      <c r="AU2064" s="67"/>
      <c r="AV2064" s="73"/>
      <c r="AW2064" s="68"/>
      <c r="AX2064" s="68"/>
      <c r="AY2064" s="68"/>
      <c r="AZ2064" s="68"/>
      <c r="BA2064" s="68"/>
      <c r="BB2064" s="67"/>
      <c r="BC2064" s="67"/>
      <c r="BD2064" s="67"/>
      <c r="BE2064" s="67"/>
      <c r="BF2064" s="95"/>
    </row>
    <row r="2065" spans="1:58" x14ac:dyDescent="0.35">
      <c r="A2065"/>
      <c r="D2065"/>
      <c r="G2065"/>
      <c r="H2065" s="20"/>
      <c r="I2065" s="20"/>
      <c r="J2065" s="20"/>
      <c r="K2065" s="20"/>
      <c r="L2065" s="20"/>
      <c r="Q2065" s="83"/>
      <c r="Y2065" s="20"/>
      <c r="AP2065" s="93"/>
      <c r="AQ2065" s="31"/>
      <c r="AR2065" s="31"/>
      <c r="AS2065" s="94"/>
      <c r="AT2065" s="31"/>
      <c r="AU2065" s="31"/>
      <c r="AV2065" s="94"/>
      <c r="AW2065" s="32"/>
      <c r="AX2065" s="32"/>
      <c r="AY2065" s="32"/>
      <c r="AZ2065" s="32"/>
      <c r="BA2065" s="32"/>
      <c r="BB2065" s="31"/>
      <c r="BC2065" s="31"/>
      <c r="BD2065" s="31"/>
      <c r="BE2065" s="31"/>
      <c r="BF2065" s="96"/>
    </row>
    <row r="2066" spans="1:58" x14ac:dyDescent="0.35">
      <c r="A2066"/>
      <c r="D2066"/>
      <c r="G2066"/>
      <c r="H2066" s="20"/>
      <c r="I2066" s="20"/>
      <c r="J2066" s="20"/>
      <c r="K2066" s="20"/>
      <c r="L2066" s="20"/>
      <c r="Q2066" s="83"/>
      <c r="Y2066" s="20"/>
      <c r="AP2066" s="92"/>
      <c r="AQ2066" s="67"/>
      <c r="AR2066" s="67"/>
      <c r="AS2066" s="73"/>
      <c r="AT2066" s="67"/>
      <c r="AU2066" s="67"/>
      <c r="AV2066" s="73"/>
      <c r="AW2066" s="68"/>
      <c r="AX2066" s="68"/>
      <c r="AY2066" s="68"/>
      <c r="AZ2066" s="68"/>
      <c r="BA2066" s="68"/>
      <c r="BB2066" s="67"/>
      <c r="BC2066" s="67"/>
      <c r="BD2066" s="67"/>
      <c r="BE2066" s="67"/>
      <c r="BF2066" s="95"/>
    </row>
    <row r="2067" spans="1:58" x14ac:dyDescent="0.35">
      <c r="A2067"/>
      <c r="D2067"/>
      <c r="G2067"/>
      <c r="H2067" s="20"/>
      <c r="I2067" s="20"/>
      <c r="J2067" s="20"/>
      <c r="K2067" s="20"/>
      <c r="L2067" s="20"/>
      <c r="Q2067" s="83"/>
      <c r="Y2067" s="20"/>
      <c r="AP2067" s="93"/>
      <c r="AQ2067" s="31"/>
      <c r="AR2067" s="31"/>
      <c r="AS2067" s="94"/>
      <c r="AT2067" s="31"/>
      <c r="AU2067" s="31"/>
      <c r="AV2067" s="94"/>
      <c r="AW2067" s="32"/>
      <c r="AX2067" s="32"/>
      <c r="AY2067" s="32"/>
      <c r="AZ2067" s="32"/>
      <c r="BA2067" s="32"/>
      <c r="BB2067" s="31"/>
      <c r="BC2067" s="31"/>
      <c r="BD2067" s="31"/>
      <c r="BE2067" s="31"/>
      <c r="BF2067" s="96"/>
    </row>
    <row r="2068" spans="1:58" x14ac:dyDescent="0.35">
      <c r="A2068"/>
      <c r="D2068"/>
      <c r="G2068"/>
      <c r="H2068" s="20"/>
      <c r="I2068" s="20"/>
      <c r="J2068" s="20"/>
      <c r="K2068" s="20"/>
      <c r="L2068" s="20"/>
      <c r="Q2068" s="83"/>
      <c r="Y2068" s="20"/>
      <c r="AP2068" s="92"/>
      <c r="AQ2068" s="67"/>
      <c r="AR2068" s="67"/>
      <c r="AS2068" s="73"/>
      <c r="AT2068" s="67"/>
      <c r="AU2068" s="67"/>
      <c r="AV2068" s="73"/>
      <c r="AW2068" s="68"/>
      <c r="AX2068" s="68"/>
      <c r="AY2068" s="68"/>
      <c r="AZ2068" s="68"/>
      <c r="BA2068" s="68"/>
      <c r="BB2068" s="67"/>
      <c r="BC2068" s="67"/>
      <c r="BD2068" s="67"/>
      <c r="BE2068" s="67"/>
      <c r="BF2068" s="95"/>
    </row>
    <row r="2069" spans="1:58" x14ac:dyDescent="0.35">
      <c r="A2069"/>
      <c r="D2069"/>
      <c r="G2069"/>
      <c r="H2069" s="20"/>
      <c r="I2069" s="20"/>
      <c r="J2069" s="20"/>
      <c r="K2069" s="20"/>
      <c r="L2069" s="20"/>
      <c r="Q2069" s="83"/>
      <c r="Y2069" s="20"/>
      <c r="AP2069" s="93"/>
      <c r="AQ2069" s="31"/>
      <c r="AR2069" s="31"/>
      <c r="AS2069" s="94"/>
      <c r="AT2069" s="31"/>
      <c r="AU2069" s="31"/>
      <c r="AV2069" s="94"/>
      <c r="AW2069" s="32"/>
      <c r="AX2069" s="32"/>
      <c r="AY2069" s="32"/>
      <c r="AZ2069" s="32"/>
      <c r="BA2069" s="32"/>
      <c r="BB2069" s="31"/>
      <c r="BC2069" s="31"/>
      <c r="BD2069" s="31"/>
      <c r="BE2069" s="31"/>
      <c r="BF2069" s="96"/>
    </row>
    <row r="2070" spans="1:58" x14ac:dyDescent="0.35">
      <c r="A2070"/>
      <c r="D2070"/>
      <c r="G2070"/>
      <c r="H2070" s="20"/>
      <c r="I2070" s="20"/>
      <c r="J2070" s="20"/>
      <c r="K2070" s="20"/>
      <c r="L2070" s="20"/>
      <c r="Q2070" s="83"/>
      <c r="Y2070" s="20"/>
      <c r="AP2070" s="92"/>
      <c r="AQ2070" s="67"/>
      <c r="AR2070" s="67"/>
      <c r="AS2070" s="73"/>
      <c r="AT2070" s="67"/>
      <c r="AU2070" s="67"/>
      <c r="AV2070" s="73"/>
      <c r="AW2070" s="68"/>
      <c r="AX2070" s="68"/>
      <c r="AY2070" s="68"/>
      <c r="AZ2070" s="68"/>
      <c r="BA2070" s="68"/>
      <c r="BB2070" s="67"/>
      <c r="BC2070" s="67"/>
      <c r="BD2070" s="67"/>
      <c r="BE2070" s="67"/>
      <c r="BF2070" s="95"/>
    </row>
    <row r="2071" spans="1:58" x14ac:dyDescent="0.35">
      <c r="A2071"/>
      <c r="D2071"/>
      <c r="G2071"/>
      <c r="H2071" s="20"/>
      <c r="I2071" s="20"/>
      <c r="J2071" s="20"/>
      <c r="K2071" s="20"/>
      <c r="L2071" s="20"/>
      <c r="Q2071" s="83"/>
      <c r="Y2071" s="20"/>
      <c r="AP2071" s="93"/>
      <c r="AQ2071" s="31"/>
      <c r="AR2071" s="31"/>
      <c r="AS2071" s="94"/>
      <c r="AT2071" s="31"/>
      <c r="AU2071" s="31"/>
      <c r="AV2071" s="94"/>
      <c r="AW2071" s="32"/>
      <c r="AX2071" s="32"/>
      <c r="AY2071" s="32"/>
      <c r="AZ2071" s="32"/>
      <c r="BA2071" s="32"/>
      <c r="BB2071" s="31"/>
      <c r="BC2071" s="31"/>
      <c r="BD2071" s="31"/>
      <c r="BE2071" s="31"/>
      <c r="BF2071" s="96"/>
    </row>
    <row r="2072" spans="1:58" x14ac:dyDescent="0.35">
      <c r="A2072"/>
      <c r="D2072"/>
      <c r="G2072"/>
      <c r="H2072" s="20"/>
      <c r="I2072" s="20"/>
      <c r="J2072" s="20"/>
      <c r="K2072" s="20"/>
      <c r="L2072" s="20"/>
      <c r="Q2072" s="83"/>
      <c r="Y2072" s="20"/>
      <c r="AP2072" s="92"/>
      <c r="AQ2072" s="67"/>
      <c r="AR2072" s="67"/>
      <c r="AS2072" s="73"/>
      <c r="AT2072" s="67"/>
      <c r="AU2072" s="67"/>
      <c r="AV2072" s="73"/>
      <c r="AW2072" s="68"/>
      <c r="AX2072" s="68"/>
      <c r="AY2072" s="68"/>
      <c r="AZ2072" s="68"/>
      <c r="BA2072" s="68"/>
      <c r="BB2072" s="67"/>
      <c r="BC2072" s="67"/>
      <c r="BD2072" s="67"/>
      <c r="BE2072" s="67"/>
      <c r="BF2072" s="95"/>
    </row>
    <row r="2073" spans="1:58" x14ac:dyDescent="0.35">
      <c r="A2073"/>
      <c r="D2073"/>
      <c r="G2073"/>
      <c r="H2073" s="20"/>
      <c r="I2073" s="20"/>
      <c r="J2073" s="20"/>
      <c r="K2073" s="20"/>
      <c r="L2073" s="20"/>
      <c r="Q2073" s="83"/>
      <c r="Y2073" s="20"/>
      <c r="AP2073" s="93"/>
      <c r="AQ2073" s="31"/>
      <c r="AR2073" s="31"/>
      <c r="AS2073" s="94"/>
      <c r="AT2073" s="31"/>
      <c r="AU2073" s="31"/>
      <c r="AV2073" s="94"/>
      <c r="AW2073" s="32"/>
      <c r="AX2073" s="32"/>
      <c r="AY2073" s="32"/>
      <c r="AZ2073" s="32"/>
      <c r="BA2073" s="32"/>
      <c r="BB2073" s="31"/>
      <c r="BC2073" s="31"/>
      <c r="BD2073" s="31"/>
      <c r="BE2073" s="31"/>
      <c r="BF2073" s="96"/>
    </row>
    <row r="2074" spans="1:58" x14ac:dyDescent="0.35">
      <c r="A2074"/>
      <c r="D2074"/>
      <c r="G2074"/>
      <c r="H2074" s="20"/>
      <c r="I2074" s="20"/>
      <c r="J2074" s="20"/>
      <c r="K2074" s="20"/>
      <c r="L2074" s="20"/>
      <c r="Q2074" s="83"/>
      <c r="Y2074" s="20"/>
      <c r="AP2074" s="92"/>
      <c r="AQ2074" s="67"/>
      <c r="AR2074" s="67"/>
      <c r="AS2074" s="73"/>
      <c r="AT2074" s="67"/>
      <c r="AU2074" s="67"/>
      <c r="AV2074" s="73"/>
      <c r="AW2074" s="68"/>
      <c r="AX2074" s="68"/>
      <c r="AY2074" s="68"/>
      <c r="AZ2074" s="68"/>
      <c r="BA2074" s="68"/>
      <c r="BB2074" s="67"/>
      <c r="BC2074" s="67"/>
      <c r="BD2074" s="67"/>
      <c r="BE2074" s="67"/>
      <c r="BF2074" s="95"/>
    </row>
    <row r="2075" spans="1:58" x14ac:dyDescent="0.35">
      <c r="A2075"/>
      <c r="D2075"/>
      <c r="G2075"/>
      <c r="H2075" s="20"/>
      <c r="I2075" s="20"/>
      <c r="J2075" s="20"/>
      <c r="K2075" s="20"/>
      <c r="L2075" s="20"/>
      <c r="Q2075" s="83"/>
      <c r="Y2075" s="20"/>
      <c r="AP2075" s="93"/>
      <c r="AQ2075" s="31"/>
      <c r="AR2075" s="31"/>
      <c r="AS2075" s="94"/>
      <c r="AT2075" s="31"/>
      <c r="AU2075" s="31"/>
      <c r="AV2075" s="94"/>
      <c r="AW2075" s="32"/>
      <c r="AX2075" s="32"/>
      <c r="AY2075" s="32"/>
      <c r="AZ2075" s="32"/>
      <c r="BA2075" s="32"/>
      <c r="BB2075" s="31"/>
      <c r="BC2075" s="31"/>
      <c r="BD2075" s="31"/>
      <c r="BE2075" s="31"/>
      <c r="BF2075" s="96"/>
    </row>
    <row r="2076" spans="1:58" x14ac:dyDescent="0.35">
      <c r="A2076"/>
      <c r="D2076"/>
      <c r="G2076"/>
      <c r="H2076" s="20"/>
      <c r="I2076" s="20"/>
      <c r="J2076" s="20"/>
      <c r="K2076" s="20"/>
      <c r="L2076" s="20"/>
      <c r="Q2076" s="83"/>
      <c r="Y2076" s="20"/>
      <c r="AP2076" s="92"/>
      <c r="AQ2076" s="67"/>
      <c r="AR2076" s="67"/>
      <c r="AS2076" s="73"/>
      <c r="AT2076" s="67"/>
      <c r="AU2076" s="67"/>
      <c r="AV2076" s="73"/>
      <c r="AW2076" s="68"/>
      <c r="AX2076" s="68"/>
      <c r="AY2076" s="68"/>
      <c r="AZ2076" s="68"/>
      <c r="BA2076" s="68"/>
      <c r="BB2076" s="67"/>
      <c r="BC2076" s="67"/>
      <c r="BD2076" s="67"/>
      <c r="BE2076" s="67"/>
      <c r="BF2076" s="95"/>
    </row>
    <row r="2077" spans="1:58" x14ac:dyDescent="0.35">
      <c r="A2077"/>
      <c r="D2077"/>
      <c r="G2077"/>
      <c r="H2077" s="20"/>
      <c r="I2077" s="20"/>
      <c r="J2077" s="20"/>
      <c r="K2077" s="20"/>
      <c r="L2077" s="20"/>
      <c r="Q2077" s="83"/>
      <c r="Y2077" s="20"/>
      <c r="AP2077" s="93"/>
      <c r="AQ2077" s="31"/>
      <c r="AR2077" s="31"/>
      <c r="AS2077" s="94"/>
      <c r="AT2077" s="31"/>
      <c r="AU2077" s="31"/>
      <c r="AV2077" s="94"/>
      <c r="AW2077" s="32"/>
      <c r="AX2077" s="32"/>
      <c r="AY2077" s="32"/>
      <c r="AZ2077" s="32"/>
      <c r="BA2077" s="32"/>
      <c r="BB2077" s="31"/>
      <c r="BC2077" s="31"/>
      <c r="BD2077" s="31"/>
      <c r="BE2077" s="31"/>
      <c r="BF2077" s="96"/>
    </row>
    <row r="2078" spans="1:58" x14ac:dyDescent="0.35">
      <c r="A2078"/>
      <c r="D2078"/>
      <c r="G2078"/>
      <c r="H2078" s="20"/>
      <c r="I2078" s="20"/>
      <c r="J2078" s="20"/>
      <c r="K2078" s="20"/>
      <c r="L2078" s="20"/>
      <c r="Q2078" s="83"/>
      <c r="Y2078" s="20"/>
      <c r="AP2078" s="92"/>
      <c r="AQ2078" s="67"/>
      <c r="AR2078" s="67"/>
      <c r="AS2078" s="73"/>
      <c r="AT2078" s="67"/>
      <c r="AU2078" s="67"/>
      <c r="AV2078" s="73"/>
      <c r="AW2078" s="68"/>
      <c r="AX2078" s="68"/>
      <c r="AY2078" s="68"/>
      <c r="AZ2078" s="68"/>
      <c r="BA2078" s="68"/>
      <c r="BB2078" s="67"/>
      <c r="BC2078" s="67"/>
      <c r="BD2078" s="67"/>
      <c r="BE2078" s="67"/>
      <c r="BF2078" s="95"/>
    </row>
    <row r="2079" spans="1:58" x14ac:dyDescent="0.35">
      <c r="A2079"/>
      <c r="D2079"/>
      <c r="G2079"/>
      <c r="H2079" s="20"/>
      <c r="I2079" s="20"/>
      <c r="J2079" s="20"/>
      <c r="K2079" s="20"/>
      <c r="L2079" s="20"/>
      <c r="Q2079" s="83"/>
      <c r="Y2079" s="20"/>
      <c r="AP2079" s="93"/>
      <c r="AQ2079" s="31"/>
      <c r="AR2079" s="31"/>
      <c r="AS2079" s="94"/>
      <c r="AT2079" s="31"/>
      <c r="AU2079" s="31"/>
      <c r="AV2079" s="94"/>
      <c r="AW2079" s="32"/>
      <c r="AX2079" s="32"/>
      <c r="AY2079" s="32"/>
      <c r="AZ2079" s="32"/>
      <c r="BA2079" s="32"/>
      <c r="BB2079" s="31"/>
      <c r="BC2079" s="31"/>
      <c r="BD2079" s="31"/>
      <c r="BE2079" s="31"/>
      <c r="BF2079" s="96"/>
    </row>
    <row r="2080" spans="1:58" x14ac:dyDescent="0.35">
      <c r="A2080"/>
      <c r="D2080"/>
      <c r="G2080"/>
      <c r="H2080" s="20"/>
      <c r="I2080" s="20"/>
      <c r="J2080" s="20"/>
      <c r="K2080" s="20"/>
      <c r="L2080" s="20"/>
      <c r="Q2080" s="83"/>
      <c r="Y2080" s="20"/>
      <c r="AP2080" s="92"/>
      <c r="AQ2080" s="67"/>
      <c r="AR2080" s="67"/>
      <c r="AS2080" s="73"/>
      <c r="AT2080" s="67"/>
      <c r="AU2080" s="67"/>
      <c r="AV2080" s="73"/>
      <c r="AW2080" s="68"/>
      <c r="AX2080" s="68"/>
      <c r="AY2080" s="68"/>
      <c r="AZ2080" s="68"/>
      <c r="BA2080" s="68"/>
      <c r="BB2080" s="67"/>
      <c r="BC2080" s="67"/>
      <c r="BD2080" s="67"/>
      <c r="BE2080" s="67"/>
      <c r="BF2080" s="95"/>
    </row>
    <row r="2081" spans="1:58" x14ac:dyDescent="0.35">
      <c r="A2081"/>
      <c r="D2081"/>
      <c r="G2081"/>
      <c r="H2081" s="20"/>
      <c r="I2081" s="20"/>
      <c r="J2081" s="20"/>
      <c r="K2081" s="20"/>
      <c r="L2081" s="20"/>
      <c r="Q2081" s="83"/>
      <c r="Y2081" s="20"/>
      <c r="AP2081" s="93"/>
      <c r="AQ2081" s="31"/>
      <c r="AR2081" s="31"/>
      <c r="AS2081" s="94"/>
      <c r="AT2081" s="31"/>
      <c r="AU2081" s="31"/>
      <c r="AV2081" s="94"/>
      <c r="AW2081" s="32"/>
      <c r="AX2081" s="32"/>
      <c r="AY2081" s="32"/>
      <c r="AZ2081" s="32"/>
      <c r="BA2081" s="32"/>
      <c r="BB2081" s="31"/>
      <c r="BC2081" s="31"/>
      <c r="BD2081" s="31"/>
      <c r="BE2081" s="31"/>
      <c r="BF2081" s="96"/>
    </row>
    <row r="2082" spans="1:58" x14ac:dyDescent="0.35">
      <c r="A2082"/>
      <c r="D2082"/>
      <c r="G2082"/>
      <c r="H2082" s="20"/>
      <c r="I2082" s="20"/>
      <c r="J2082" s="20"/>
      <c r="K2082" s="20"/>
      <c r="L2082" s="20"/>
      <c r="Q2082" s="83"/>
      <c r="Y2082" s="20"/>
      <c r="AP2082" s="92"/>
      <c r="AQ2082" s="67"/>
      <c r="AR2082" s="67"/>
      <c r="AS2082" s="73"/>
      <c r="AT2082" s="67"/>
      <c r="AU2082" s="67"/>
      <c r="AV2082" s="73"/>
      <c r="AW2082" s="68"/>
      <c r="AX2082" s="68"/>
      <c r="AY2082" s="68"/>
      <c r="AZ2082" s="68"/>
      <c r="BA2082" s="68"/>
      <c r="BB2082" s="67"/>
      <c r="BC2082" s="67"/>
      <c r="BD2082" s="67"/>
      <c r="BE2082" s="67"/>
      <c r="BF2082" s="95"/>
    </row>
    <row r="2083" spans="1:58" x14ac:dyDescent="0.35">
      <c r="A2083"/>
      <c r="D2083"/>
      <c r="G2083"/>
      <c r="H2083" s="20"/>
      <c r="I2083" s="20"/>
      <c r="J2083" s="20"/>
      <c r="K2083" s="20"/>
      <c r="L2083" s="20"/>
      <c r="Q2083" s="83"/>
      <c r="Y2083" s="20"/>
      <c r="AP2083" s="93"/>
      <c r="AQ2083" s="31"/>
      <c r="AR2083" s="31"/>
      <c r="AS2083" s="94"/>
      <c r="AT2083" s="31"/>
      <c r="AU2083" s="31"/>
      <c r="AV2083" s="94"/>
      <c r="AW2083" s="32"/>
      <c r="AX2083" s="32"/>
      <c r="AY2083" s="32"/>
      <c r="AZ2083" s="32"/>
      <c r="BA2083" s="32"/>
      <c r="BB2083" s="31"/>
      <c r="BC2083" s="31"/>
      <c r="BD2083" s="31"/>
      <c r="BE2083" s="31"/>
      <c r="BF2083" s="96"/>
    </row>
    <row r="2084" spans="1:58" x14ac:dyDescent="0.35">
      <c r="A2084"/>
      <c r="D2084"/>
      <c r="G2084"/>
      <c r="H2084" s="20"/>
      <c r="I2084" s="20"/>
      <c r="J2084" s="20"/>
      <c r="K2084" s="20"/>
      <c r="L2084" s="20"/>
      <c r="Q2084" s="83"/>
      <c r="Y2084" s="20"/>
      <c r="AP2084" s="92"/>
      <c r="AQ2084" s="67"/>
      <c r="AR2084" s="67"/>
      <c r="AS2084" s="73"/>
      <c r="AT2084" s="67"/>
      <c r="AU2084" s="67"/>
      <c r="AV2084" s="73"/>
      <c r="AW2084" s="68"/>
      <c r="AX2084" s="68"/>
      <c r="AY2084" s="68"/>
      <c r="AZ2084" s="68"/>
      <c r="BA2084" s="68"/>
      <c r="BB2084" s="67"/>
      <c r="BC2084" s="67"/>
      <c r="BD2084" s="67"/>
      <c r="BE2084" s="67"/>
      <c r="BF2084" s="95"/>
    </row>
    <row r="2085" spans="1:58" x14ac:dyDescent="0.35">
      <c r="A2085"/>
      <c r="D2085"/>
      <c r="G2085"/>
      <c r="H2085" s="20"/>
      <c r="I2085" s="20"/>
      <c r="J2085" s="20"/>
      <c r="K2085" s="20"/>
      <c r="L2085" s="20"/>
      <c r="Q2085" s="83"/>
      <c r="Y2085" s="20"/>
      <c r="AP2085" s="93"/>
      <c r="AQ2085" s="31"/>
      <c r="AR2085" s="31"/>
      <c r="AS2085" s="94"/>
      <c r="AT2085" s="31"/>
      <c r="AU2085" s="31"/>
      <c r="AV2085" s="94"/>
      <c r="AW2085" s="32"/>
      <c r="AX2085" s="32"/>
      <c r="AY2085" s="32"/>
      <c r="AZ2085" s="32"/>
      <c r="BA2085" s="32"/>
      <c r="BB2085" s="31"/>
      <c r="BC2085" s="31"/>
      <c r="BD2085" s="31"/>
      <c r="BE2085" s="31"/>
      <c r="BF2085" s="96"/>
    </row>
    <row r="2086" spans="1:58" x14ac:dyDescent="0.35">
      <c r="A2086"/>
      <c r="D2086"/>
      <c r="G2086"/>
      <c r="H2086" s="20"/>
      <c r="I2086" s="20"/>
      <c r="J2086" s="20"/>
      <c r="K2086" s="20"/>
      <c r="L2086" s="20"/>
      <c r="Q2086" s="83"/>
      <c r="Y2086" s="20"/>
      <c r="AP2086" s="92"/>
      <c r="AQ2086" s="67"/>
      <c r="AR2086" s="67"/>
      <c r="AS2086" s="73"/>
      <c r="AT2086" s="67"/>
      <c r="AU2086" s="67"/>
      <c r="AV2086" s="73"/>
      <c r="AW2086" s="68"/>
      <c r="AX2086" s="68"/>
      <c r="AY2086" s="68"/>
      <c r="AZ2086" s="68"/>
      <c r="BA2086" s="68"/>
      <c r="BB2086" s="67"/>
      <c r="BC2086" s="67"/>
      <c r="BD2086" s="67"/>
      <c r="BE2086" s="67"/>
      <c r="BF2086" s="95"/>
    </row>
    <row r="2087" spans="1:58" x14ac:dyDescent="0.35">
      <c r="A2087"/>
      <c r="D2087"/>
      <c r="G2087"/>
      <c r="H2087" s="20"/>
      <c r="I2087" s="20"/>
      <c r="J2087" s="20"/>
      <c r="K2087" s="20"/>
      <c r="L2087" s="20"/>
      <c r="Q2087" s="83"/>
      <c r="Y2087" s="20"/>
      <c r="AP2087" s="93"/>
      <c r="AQ2087" s="31"/>
      <c r="AR2087" s="31"/>
      <c r="AS2087" s="94"/>
      <c r="AT2087" s="31"/>
      <c r="AU2087" s="31"/>
      <c r="AV2087" s="94"/>
      <c r="AW2087" s="32"/>
      <c r="AX2087" s="32"/>
      <c r="AY2087" s="32"/>
      <c r="AZ2087" s="32"/>
      <c r="BA2087" s="32"/>
      <c r="BB2087" s="31"/>
      <c r="BC2087" s="31"/>
      <c r="BD2087" s="31"/>
      <c r="BE2087" s="31"/>
      <c r="BF2087" s="96"/>
    </row>
    <row r="2088" spans="1:58" x14ac:dyDescent="0.35">
      <c r="A2088"/>
      <c r="D2088"/>
      <c r="G2088"/>
      <c r="H2088" s="20"/>
      <c r="I2088" s="20"/>
      <c r="J2088" s="20"/>
      <c r="K2088" s="20"/>
      <c r="L2088" s="20"/>
      <c r="Q2088" s="83"/>
      <c r="Y2088" s="20"/>
      <c r="AP2088" s="92"/>
      <c r="AQ2088" s="67"/>
      <c r="AR2088" s="67"/>
      <c r="AS2088" s="73"/>
      <c r="AT2088" s="67"/>
      <c r="AU2088" s="67"/>
      <c r="AV2088" s="73"/>
      <c r="AW2088" s="68"/>
      <c r="AX2088" s="68"/>
      <c r="AY2088" s="68"/>
      <c r="AZ2088" s="68"/>
      <c r="BA2088" s="68"/>
      <c r="BB2088" s="67"/>
      <c r="BC2088" s="67"/>
      <c r="BD2088" s="67"/>
      <c r="BE2088" s="67"/>
      <c r="BF2088" s="95"/>
    </row>
    <row r="2089" spans="1:58" x14ac:dyDescent="0.35">
      <c r="A2089"/>
      <c r="D2089"/>
      <c r="G2089"/>
      <c r="H2089" s="20"/>
      <c r="I2089" s="20"/>
      <c r="J2089" s="20"/>
      <c r="K2089" s="20"/>
      <c r="L2089" s="20"/>
      <c r="Q2089" s="83"/>
      <c r="Y2089" s="20"/>
      <c r="AP2089" s="93"/>
      <c r="AQ2089" s="31"/>
      <c r="AR2089" s="31"/>
      <c r="AS2089" s="94"/>
      <c r="AT2089" s="31"/>
      <c r="AU2089" s="31"/>
      <c r="AV2089" s="94"/>
      <c r="AW2089" s="32"/>
      <c r="AX2089" s="32"/>
      <c r="AY2089" s="32"/>
      <c r="AZ2089" s="32"/>
      <c r="BA2089" s="32"/>
      <c r="BB2089" s="31"/>
      <c r="BC2089" s="31"/>
      <c r="BD2089" s="31"/>
      <c r="BE2089" s="31"/>
      <c r="BF2089" s="96"/>
    </row>
    <row r="2090" spans="1:58" x14ac:dyDescent="0.35">
      <c r="A2090"/>
      <c r="D2090"/>
      <c r="G2090"/>
      <c r="H2090" s="20"/>
      <c r="I2090" s="20"/>
      <c r="J2090" s="20"/>
      <c r="K2090" s="20"/>
      <c r="L2090" s="20"/>
      <c r="Q2090" s="83"/>
      <c r="Y2090" s="20"/>
      <c r="AP2090" s="92"/>
      <c r="AQ2090" s="67"/>
      <c r="AR2090" s="67"/>
      <c r="AS2090" s="73"/>
      <c r="AT2090" s="67"/>
      <c r="AU2090" s="67"/>
      <c r="AV2090" s="73"/>
      <c r="AW2090" s="68"/>
      <c r="AX2090" s="68"/>
      <c r="AY2090" s="68"/>
      <c r="AZ2090" s="68"/>
      <c r="BA2090" s="68"/>
      <c r="BB2090" s="67"/>
      <c r="BC2090" s="67"/>
      <c r="BD2090" s="67"/>
      <c r="BE2090" s="67"/>
      <c r="BF2090" s="95"/>
    </row>
    <row r="2091" spans="1:58" x14ac:dyDescent="0.35">
      <c r="A2091"/>
      <c r="D2091"/>
      <c r="G2091"/>
      <c r="H2091" s="20"/>
      <c r="I2091" s="20"/>
      <c r="J2091" s="20"/>
      <c r="K2091" s="20"/>
      <c r="L2091" s="20"/>
      <c r="Q2091" s="83"/>
      <c r="Y2091" s="20"/>
      <c r="AP2091" s="93"/>
      <c r="AQ2091" s="31"/>
      <c r="AR2091" s="31"/>
      <c r="AS2091" s="94"/>
      <c r="AT2091" s="31"/>
      <c r="AU2091" s="31"/>
      <c r="AV2091" s="94"/>
      <c r="AW2091" s="32"/>
      <c r="AX2091" s="32"/>
      <c r="AY2091" s="32"/>
      <c r="AZ2091" s="32"/>
      <c r="BA2091" s="32"/>
      <c r="BB2091" s="31"/>
      <c r="BC2091" s="31"/>
      <c r="BD2091" s="31"/>
      <c r="BE2091" s="31"/>
      <c r="BF2091" s="96"/>
    </row>
    <row r="2092" spans="1:58" x14ac:dyDescent="0.35">
      <c r="A2092"/>
      <c r="D2092"/>
      <c r="G2092"/>
      <c r="H2092" s="20"/>
      <c r="I2092" s="20"/>
      <c r="J2092" s="20"/>
      <c r="K2092" s="20"/>
      <c r="L2092" s="20"/>
      <c r="Q2092" s="83"/>
      <c r="Y2092" s="20"/>
      <c r="AP2092" s="92"/>
      <c r="AQ2092" s="67"/>
      <c r="AR2092" s="67"/>
      <c r="AS2092" s="73"/>
      <c r="AT2092" s="67"/>
      <c r="AU2092" s="67"/>
      <c r="AV2092" s="73"/>
      <c r="AW2092" s="68"/>
      <c r="AX2092" s="68"/>
      <c r="AY2092" s="68"/>
      <c r="AZ2092" s="68"/>
      <c r="BA2092" s="68"/>
      <c r="BB2092" s="67"/>
      <c r="BC2092" s="67"/>
      <c r="BD2092" s="67"/>
      <c r="BE2092" s="67"/>
      <c r="BF2092" s="95"/>
    </row>
    <row r="2093" spans="1:58" x14ac:dyDescent="0.35">
      <c r="A2093"/>
      <c r="D2093"/>
      <c r="G2093"/>
      <c r="H2093" s="20"/>
      <c r="I2093" s="20"/>
      <c r="J2093" s="20"/>
      <c r="K2093" s="20"/>
      <c r="L2093" s="20"/>
      <c r="Q2093" s="83"/>
      <c r="Y2093" s="20"/>
      <c r="AP2093" s="93"/>
      <c r="AQ2093" s="31"/>
      <c r="AR2093" s="31"/>
      <c r="AS2093" s="94"/>
      <c r="AT2093" s="31"/>
      <c r="AU2093" s="31"/>
      <c r="AV2093" s="94"/>
      <c r="AW2093" s="32"/>
      <c r="AX2093" s="32"/>
      <c r="AY2093" s="32"/>
      <c r="AZ2093" s="32"/>
      <c r="BA2093" s="32"/>
      <c r="BB2093" s="31"/>
      <c r="BC2093" s="31"/>
      <c r="BD2093" s="31"/>
      <c r="BE2093" s="31"/>
      <c r="BF2093" s="96"/>
    </row>
    <row r="2094" spans="1:58" x14ac:dyDescent="0.35">
      <c r="A2094"/>
      <c r="D2094"/>
      <c r="G2094"/>
      <c r="H2094" s="20"/>
      <c r="I2094" s="20"/>
      <c r="J2094" s="20"/>
      <c r="K2094" s="20"/>
      <c r="L2094" s="20"/>
      <c r="Q2094" s="83"/>
      <c r="Y2094" s="20"/>
      <c r="AP2094" s="92"/>
      <c r="AQ2094" s="67"/>
      <c r="AR2094" s="67"/>
      <c r="AS2094" s="73"/>
      <c r="AT2094" s="67"/>
      <c r="AU2094" s="67"/>
      <c r="AV2094" s="73"/>
      <c r="AW2094" s="68"/>
      <c r="AX2094" s="68"/>
      <c r="AY2094" s="68"/>
      <c r="AZ2094" s="68"/>
      <c r="BA2094" s="68"/>
      <c r="BB2094" s="67"/>
      <c r="BC2094" s="67"/>
      <c r="BD2094" s="67"/>
      <c r="BE2094" s="67"/>
      <c r="BF2094" s="95"/>
    </row>
    <row r="2095" spans="1:58" x14ac:dyDescent="0.35">
      <c r="A2095"/>
      <c r="D2095"/>
      <c r="G2095"/>
      <c r="H2095" s="20"/>
      <c r="I2095" s="20"/>
      <c r="J2095" s="20"/>
      <c r="K2095" s="20"/>
      <c r="L2095" s="20"/>
      <c r="Q2095" s="83"/>
      <c r="Y2095" s="20"/>
      <c r="AP2095" s="93"/>
      <c r="AQ2095" s="31"/>
      <c r="AR2095" s="31"/>
      <c r="AS2095" s="94"/>
      <c r="AT2095" s="31"/>
      <c r="AU2095" s="31"/>
      <c r="AV2095" s="94"/>
      <c r="AW2095" s="32"/>
      <c r="AX2095" s="32"/>
      <c r="AY2095" s="32"/>
      <c r="AZ2095" s="32"/>
      <c r="BA2095" s="32"/>
      <c r="BB2095" s="31"/>
      <c r="BC2095" s="31"/>
      <c r="BD2095" s="31"/>
      <c r="BE2095" s="31"/>
      <c r="BF2095" s="96"/>
    </row>
    <row r="2096" spans="1:58" x14ac:dyDescent="0.35">
      <c r="A2096"/>
      <c r="D2096"/>
      <c r="G2096"/>
      <c r="H2096" s="20"/>
      <c r="I2096" s="20"/>
      <c r="J2096" s="20"/>
      <c r="K2096" s="20"/>
      <c r="L2096" s="20"/>
      <c r="Q2096" s="83"/>
      <c r="Y2096" s="20"/>
      <c r="AP2096" s="92"/>
      <c r="AQ2096" s="67"/>
      <c r="AR2096" s="67"/>
      <c r="AS2096" s="73"/>
      <c r="AT2096" s="67"/>
      <c r="AU2096" s="67"/>
      <c r="AV2096" s="73"/>
      <c r="AW2096" s="68"/>
      <c r="AX2096" s="68"/>
      <c r="AY2096" s="68"/>
      <c r="AZ2096" s="68"/>
      <c r="BA2096" s="68"/>
      <c r="BB2096" s="67"/>
      <c r="BC2096" s="67"/>
      <c r="BD2096" s="67"/>
      <c r="BE2096" s="67"/>
      <c r="BF2096" s="95"/>
    </row>
    <row r="2097" spans="1:58" x14ac:dyDescent="0.35">
      <c r="A2097"/>
      <c r="D2097"/>
      <c r="G2097"/>
      <c r="H2097" s="20"/>
      <c r="I2097" s="20"/>
      <c r="J2097" s="20"/>
      <c r="K2097" s="20"/>
      <c r="L2097" s="20"/>
      <c r="Q2097" s="83"/>
      <c r="Y2097" s="20"/>
      <c r="AP2097" s="93"/>
      <c r="AQ2097" s="31"/>
      <c r="AR2097" s="31"/>
      <c r="AS2097" s="94"/>
      <c r="AT2097" s="31"/>
      <c r="AU2097" s="31"/>
      <c r="AV2097" s="94"/>
      <c r="AW2097" s="32"/>
      <c r="AX2097" s="32"/>
      <c r="AY2097" s="32"/>
      <c r="AZ2097" s="32"/>
      <c r="BA2097" s="32"/>
      <c r="BB2097" s="31"/>
      <c r="BC2097" s="31"/>
      <c r="BD2097" s="31"/>
      <c r="BE2097" s="31"/>
      <c r="BF2097" s="96"/>
    </row>
    <row r="2098" spans="1:58" x14ac:dyDescent="0.35">
      <c r="A2098"/>
      <c r="D2098"/>
      <c r="G2098"/>
      <c r="H2098" s="20"/>
      <c r="I2098" s="20"/>
      <c r="J2098" s="20"/>
      <c r="K2098" s="20"/>
      <c r="L2098" s="20"/>
      <c r="Q2098" s="83"/>
      <c r="Y2098" s="20"/>
      <c r="AP2098" s="92"/>
      <c r="AQ2098" s="67"/>
      <c r="AR2098" s="67"/>
      <c r="AS2098" s="73"/>
      <c r="AT2098" s="67"/>
      <c r="AU2098" s="67"/>
      <c r="AV2098" s="73"/>
      <c r="AW2098" s="68"/>
      <c r="AX2098" s="68"/>
      <c r="AY2098" s="68"/>
      <c r="AZ2098" s="68"/>
      <c r="BA2098" s="68"/>
      <c r="BB2098" s="67"/>
      <c r="BC2098" s="67"/>
      <c r="BD2098" s="67"/>
      <c r="BE2098" s="67"/>
      <c r="BF2098" s="95"/>
    </row>
    <row r="2099" spans="1:58" x14ac:dyDescent="0.35">
      <c r="A2099"/>
      <c r="D2099"/>
      <c r="G2099"/>
      <c r="H2099" s="20"/>
      <c r="I2099" s="20"/>
      <c r="J2099" s="20"/>
      <c r="K2099" s="20"/>
      <c r="L2099" s="20"/>
      <c r="Q2099" s="83"/>
      <c r="Y2099" s="20"/>
      <c r="AP2099" s="93"/>
      <c r="AQ2099" s="31"/>
      <c r="AR2099" s="31"/>
      <c r="AS2099" s="94"/>
      <c r="AT2099" s="31"/>
      <c r="AU2099" s="31"/>
      <c r="AV2099" s="94"/>
      <c r="AW2099" s="32"/>
      <c r="AX2099" s="32"/>
      <c r="AY2099" s="32"/>
      <c r="AZ2099" s="32"/>
      <c r="BA2099" s="32"/>
      <c r="BB2099" s="31"/>
      <c r="BC2099" s="31"/>
      <c r="BD2099" s="31"/>
      <c r="BE2099" s="31"/>
      <c r="BF2099" s="96"/>
    </row>
    <row r="2100" spans="1:58" x14ac:dyDescent="0.35">
      <c r="A2100"/>
      <c r="D2100"/>
      <c r="G2100"/>
      <c r="H2100" s="20"/>
      <c r="I2100" s="20"/>
      <c r="J2100" s="20"/>
      <c r="K2100" s="20"/>
      <c r="L2100" s="20"/>
      <c r="Q2100" s="83"/>
      <c r="Y2100" s="20"/>
      <c r="AP2100" s="92"/>
      <c r="AQ2100" s="67"/>
      <c r="AR2100" s="67"/>
      <c r="AS2100" s="73"/>
      <c r="AT2100" s="67"/>
      <c r="AU2100" s="67"/>
      <c r="AV2100" s="73"/>
      <c r="AW2100" s="68"/>
      <c r="AX2100" s="68"/>
      <c r="AY2100" s="68"/>
      <c r="AZ2100" s="68"/>
      <c r="BA2100" s="68"/>
      <c r="BB2100" s="67"/>
      <c r="BC2100" s="67"/>
      <c r="BD2100" s="67"/>
      <c r="BE2100" s="67"/>
      <c r="BF2100" s="95"/>
    </row>
    <row r="2101" spans="1:58" x14ac:dyDescent="0.35">
      <c r="A2101"/>
      <c r="D2101"/>
      <c r="G2101"/>
      <c r="H2101" s="20"/>
      <c r="I2101" s="20"/>
      <c r="J2101" s="20"/>
      <c r="K2101" s="20"/>
      <c r="L2101" s="20"/>
      <c r="Q2101" s="83"/>
      <c r="Y2101" s="20"/>
      <c r="AP2101" s="93"/>
      <c r="AQ2101" s="31"/>
      <c r="AR2101" s="31"/>
      <c r="AS2101" s="94"/>
      <c r="AT2101" s="31"/>
      <c r="AU2101" s="31"/>
      <c r="AV2101" s="94"/>
      <c r="AW2101" s="32"/>
      <c r="AX2101" s="32"/>
      <c r="AY2101" s="32"/>
      <c r="AZ2101" s="32"/>
      <c r="BA2101" s="32"/>
      <c r="BB2101" s="31"/>
      <c r="BC2101" s="31"/>
      <c r="BD2101" s="31"/>
      <c r="BE2101" s="31"/>
      <c r="BF2101" s="96"/>
    </row>
    <row r="2102" spans="1:58" x14ac:dyDescent="0.35">
      <c r="A2102"/>
      <c r="D2102"/>
      <c r="G2102"/>
      <c r="H2102" s="20"/>
      <c r="I2102" s="20"/>
      <c r="J2102" s="20"/>
      <c r="K2102" s="20"/>
      <c r="L2102" s="20"/>
      <c r="Q2102" s="83"/>
      <c r="Y2102" s="20"/>
      <c r="AP2102" s="92"/>
      <c r="AQ2102" s="67"/>
      <c r="AR2102" s="67"/>
      <c r="AS2102" s="73"/>
      <c r="AT2102" s="67"/>
      <c r="AU2102" s="67"/>
      <c r="AV2102" s="73"/>
      <c r="AW2102" s="68"/>
      <c r="AX2102" s="68"/>
      <c r="AY2102" s="68"/>
      <c r="AZ2102" s="68"/>
      <c r="BA2102" s="68"/>
      <c r="BB2102" s="67"/>
      <c r="BC2102" s="67"/>
      <c r="BD2102" s="67"/>
      <c r="BE2102" s="67"/>
      <c r="BF2102" s="95"/>
    </row>
    <row r="2103" spans="1:58" x14ac:dyDescent="0.35">
      <c r="A2103"/>
      <c r="D2103"/>
      <c r="G2103"/>
      <c r="H2103" s="20"/>
      <c r="I2103" s="20"/>
      <c r="J2103" s="20"/>
      <c r="K2103" s="20"/>
      <c r="L2103" s="20"/>
      <c r="Q2103" s="83"/>
      <c r="Y2103" s="20"/>
      <c r="AP2103" s="93"/>
      <c r="AQ2103" s="31"/>
      <c r="AR2103" s="31"/>
      <c r="AS2103" s="94"/>
      <c r="AT2103" s="31"/>
      <c r="AU2103" s="31"/>
      <c r="AV2103" s="94"/>
      <c r="AW2103" s="32"/>
      <c r="AX2103" s="32"/>
      <c r="AY2103" s="32"/>
      <c r="AZ2103" s="32"/>
      <c r="BA2103" s="32"/>
      <c r="BB2103" s="31"/>
      <c r="BC2103" s="31"/>
      <c r="BD2103" s="31"/>
      <c r="BE2103" s="31"/>
      <c r="BF2103" s="96"/>
    </row>
    <row r="2104" spans="1:58" x14ac:dyDescent="0.35">
      <c r="A2104"/>
      <c r="D2104"/>
      <c r="G2104"/>
      <c r="H2104" s="20"/>
      <c r="I2104" s="20"/>
      <c r="J2104" s="20"/>
      <c r="K2104" s="20"/>
      <c r="L2104" s="20"/>
      <c r="Q2104" s="83"/>
      <c r="Y2104" s="20"/>
      <c r="AP2104" s="92"/>
      <c r="AQ2104" s="67"/>
      <c r="AR2104" s="67"/>
      <c r="AS2104" s="73"/>
      <c r="AT2104" s="67"/>
      <c r="AU2104" s="67"/>
      <c r="AV2104" s="73"/>
      <c r="AW2104" s="68"/>
      <c r="AX2104" s="68"/>
      <c r="AY2104" s="68"/>
      <c r="AZ2104" s="68"/>
      <c r="BA2104" s="68"/>
      <c r="BB2104" s="67"/>
      <c r="BC2104" s="67"/>
      <c r="BD2104" s="67"/>
      <c r="BE2104" s="67"/>
      <c r="BF2104" s="95"/>
    </row>
    <row r="2105" spans="1:58" x14ac:dyDescent="0.35">
      <c r="A2105"/>
      <c r="D2105"/>
      <c r="G2105"/>
      <c r="H2105" s="20"/>
      <c r="I2105" s="20"/>
      <c r="J2105" s="20"/>
      <c r="K2105" s="20"/>
      <c r="L2105" s="20"/>
      <c r="Q2105" s="83"/>
      <c r="Y2105" s="20"/>
      <c r="AP2105" s="93"/>
      <c r="AQ2105" s="31"/>
      <c r="AR2105" s="31"/>
      <c r="AS2105" s="94"/>
      <c r="AT2105" s="31"/>
      <c r="AU2105" s="31"/>
      <c r="AV2105" s="94"/>
      <c r="AW2105" s="32"/>
      <c r="AX2105" s="32"/>
      <c r="AY2105" s="32"/>
      <c r="AZ2105" s="32"/>
      <c r="BA2105" s="32"/>
      <c r="BB2105" s="31"/>
      <c r="BC2105" s="31"/>
      <c r="BD2105" s="31"/>
      <c r="BE2105" s="31"/>
      <c r="BF2105" s="96"/>
    </row>
    <row r="2106" spans="1:58" x14ac:dyDescent="0.35">
      <c r="A2106"/>
      <c r="D2106"/>
      <c r="G2106"/>
      <c r="H2106" s="20"/>
      <c r="I2106" s="20"/>
      <c r="J2106" s="20"/>
      <c r="K2106" s="20"/>
      <c r="L2106" s="20"/>
      <c r="Q2106" s="83"/>
      <c r="Y2106" s="20"/>
      <c r="AP2106" s="92"/>
      <c r="AQ2106" s="67"/>
      <c r="AR2106" s="67"/>
      <c r="AS2106" s="73"/>
      <c r="AT2106" s="67"/>
      <c r="AU2106" s="67"/>
      <c r="AV2106" s="73"/>
      <c r="AW2106" s="68"/>
      <c r="AX2106" s="68"/>
      <c r="AY2106" s="68"/>
      <c r="AZ2106" s="68"/>
      <c r="BA2106" s="68"/>
      <c r="BB2106" s="67"/>
      <c r="BC2106" s="67"/>
      <c r="BD2106" s="67"/>
      <c r="BE2106" s="67"/>
      <c r="BF2106" s="95"/>
    </row>
    <row r="2107" spans="1:58" x14ac:dyDescent="0.35">
      <c r="A2107"/>
      <c r="D2107"/>
      <c r="G2107"/>
      <c r="H2107" s="20"/>
      <c r="I2107" s="20"/>
      <c r="J2107" s="20"/>
      <c r="K2107" s="20"/>
      <c r="L2107" s="20"/>
      <c r="Q2107" s="83"/>
      <c r="Y2107" s="20"/>
      <c r="AP2107" s="93"/>
      <c r="AQ2107" s="31"/>
      <c r="AR2107" s="31"/>
      <c r="AS2107" s="94"/>
      <c r="AT2107" s="31"/>
      <c r="AU2107" s="31"/>
      <c r="AV2107" s="94"/>
      <c r="AW2107" s="32"/>
      <c r="AX2107" s="32"/>
      <c r="AY2107" s="32"/>
      <c r="AZ2107" s="32"/>
      <c r="BA2107" s="32"/>
      <c r="BB2107" s="31"/>
      <c r="BC2107" s="31"/>
      <c r="BD2107" s="31"/>
      <c r="BE2107" s="31"/>
      <c r="BF2107" s="96"/>
    </row>
    <row r="2108" spans="1:58" x14ac:dyDescent="0.35">
      <c r="A2108"/>
      <c r="D2108"/>
      <c r="G2108"/>
      <c r="H2108" s="20"/>
      <c r="I2108" s="20"/>
      <c r="J2108" s="20"/>
      <c r="K2108" s="20"/>
      <c r="L2108" s="20"/>
      <c r="Q2108" s="83"/>
      <c r="Y2108" s="20"/>
      <c r="AP2108" s="92"/>
      <c r="AQ2108" s="67"/>
      <c r="AR2108" s="67"/>
      <c r="AS2108" s="73"/>
      <c r="AT2108" s="67"/>
      <c r="AU2108" s="67"/>
      <c r="AV2108" s="73"/>
      <c r="AW2108" s="68"/>
      <c r="AX2108" s="68"/>
      <c r="AY2108" s="68"/>
      <c r="AZ2108" s="68"/>
      <c r="BA2108" s="68"/>
      <c r="BB2108" s="67"/>
      <c r="BC2108" s="67"/>
      <c r="BD2108" s="67"/>
      <c r="BE2108" s="67"/>
      <c r="BF2108" s="95"/>
    </row>
    <row r="2109" spans="1:58" x14ac:dyDescent="0.35">
      <c r="A2109"/>
      <c r="D2109"/>
      <c r="G2109"/>
      <c r="H2109" s="20"/>
      <c r="I2109" s="20"/>
      <c r="J2109" s="20"/>
      <c r="K2109" s="20"/>
      <c r="L2109" s="20"/>
      <c r="Q2109" s="83"/>
      <c r="Y2109" s="20"/>
      <c r="AP2109" s="93"/>
      <c r="AQ2109" s="31"/>
      <c r="AR2109" s="31"/>
      <c r="AS2109" s="94"/>
      <c r="AT2109" s="31"/>
      <c r="AU2109" s="31"/>
      <c r="AV2109" s="94"/>
      <c r="AW2109" s="32"/>
      <c r="AX2109" s="32"/>
      <c r="AY2109" s="32"/>
      <c r="AZ2109" s="32"/>
      <c r="BA2109" s="32"/>
      <c r="BB2109" s="31"/>
      <c r="BC2109" s="31"/>
      <c r="BD2109" s="31"/>
      <c r="BE2109" s="31"/>
      <c r="BF2109" s="96"/>
    </row>
    <row r="2110" spans="1:58" x14ac:dyDescent="0.35">
      <c r="A2110"/>
      <c r="D2110"/>
      <c r="G2110"/>
      <c r="H2110" s="20"/>
      <c r="I2110" s="20"/>
      <c r="J2110" s="20"/>
      <c r="K2110" s="20"/>
      <c r="L2110" s="20"/>
      <c r="Q2110" s="83"/>
      <c r="Y2110" s="20"/>
      <c r="AP2110" s="92"/>
      <c r="AQ2110" s="67"/>
      <c r="AR2110" s="67"/>
      <c r="AS2110" s="73"/>
      <c r="AT2110" s="67"/>
      <c r="AU2110" s="67"/>
      <c r="AV2110" s="73"/>
      <c r="AW2110" s="68"/>
      <c r="AX2110" s="68"/>
      <c r="AY2110" s="68"/>
      <c r="AZ2110" s="68"/>
      <c r="BA2110" s="68"/>
      <c r="BB2110" s="67"/>
      <c r="BC2110" s="67"/>
      <c r="BD2110" s="67"/>
      <c r="BE2110" s="67"/>
      <c r="BF2110" s="95"/>
    </row>
    <row r="2111" spans="1:58" x14ac:dyDescent="0.35">
      <c r="A2111"/>
      <c r="D2111"/>
      <c r="G2111"/>
      <c r="H2111" s="20"/>
      <c r="I2111" s="20"/>
      <c r="J2111" s="20"/>
      <c r="K2111" s="20"/>
      <c r="L2111" s="20"/>
      <c r="Q2111" s="83"/>
      <c r="Y2111" s="20"/>
      <c r="AP2111" s="93"/>
      <c r="AQ2111" s="31"/>
      <c r="AR2111" s="31"/>
      <c r="AS2111" s="94"/>
      <c r="AT2111" s="31"/>
      <c r="AU2111" s="31"/>
      <c r="AV2111" s="94"/>
      <c r="AW2111" s="32"/>
      <c r="AX2111" s="32"/>
      <c r="AY2111" s="32"/>
      <c r="AZ2111" s="32"/>
      <c r="BA2111" s="32"/>
      <c r="BB2111" s="31"/>
      <c r="BC2111" s="31"/>
      <c r="BD2111" s="31"/>
      <c r="BE2111" s="31"/>
      <c r="BF2111" s="96"/>
    </row>
    <row r="2112" spans="1:58" x14ac:dyDescent="0.35">
      <c r="A2112"/>
      <c r="D2112"/>
      <c r="G2112"/>
      <c r="H2112" s="20"/>
      <c r="I2112" s="20"/>
      <c r="J2112" s="20"/>
      <c r="K2112" s="20"/>
      <c r="L2112" s="20"/>
      <c r="Q2112" s="83"/>
      <c r="Y2112" s="20"/>
      <c r="AP2112" s="92"/>
      <c r="AQ2112" s="67"/>
      <c r="AR2112" s="67"/>
      <c r="AS2112" s="73"/>
      <c r="AT2112" s="67"/>
      <c r="AU2112" s="67"/>
      <c r="AV2112" s="73"/>
      <c r="AW2112" s="68"/>
      <c r="AX2112" s="68"/>
      <c r="AY2112" s="68"/>
      <c r="AZ2112" s="68"/>
      <c r="BA2112" s="68"/>
      <c r="BB2112" s="67"/>
      <c r="BC2112" s="67"/>
      <c r="BD2112" s="67"/>
      <c r="BE2112" s="67"/>
      <c r="BF2112" s="95"/>
    </row>
    <row r="2113" spans="1:58" x14ac:dyDescent="0.35">
      <c r="A2113"/>
      <c r="D2113"/>
      <c r="G2113"/>
      <c r="H2113" s="20"/>
      <c r="I2113" s="20"/>
      <c r="J2113" s="20"/>
      <c r="K2113" s="20"/>
      <c r="L2113" s="20"/>
      <c r="Q2113" s="83"/>
      <c r="Y2113" s="20"/>
      <c r="AP2113" s="93"/>
      <c r="AQ2113" s="31"/>
      <c r="AR2113" s="31"/>
      <c r="AS2113" s="94"/>
      <c r="AT2113" s="31"/>
      <c r="AU2113" s="31"/>
      <c r="AV2113" s="94"/>
      <c r="AW2113" s="32"/>
      <c r="AX2113" s="32"/>
      <c r="AY2113" s="32"/>
      <c r="AZ2113" s="32"/>
      <c r="BA2113" s="32"/>
      <c r="BB2113" s="31"/>
      <c r="BC2113" s="31"/>
      <c r="BD2113" s="31"/>
      <c r="BE2113" s="31"/>
      <c r="BF2113" s="96"/>
    </row>
    <row r="2114" spans="1:58" x14ac:dyDescent="0.35">
      <c r="A2114"/>
      <c r="D2114"/>
      <c r="G2114"/>
      <c r="H2114" s="20"/>
      <c r="I2114" s="20"/>
      <c r="J2114" s="20"/>
      <c r="K2114" s="20"/>
      <c r="L2114" s="20"/>
      <c r="Q2114" s="83"/>
      <c r="Y2114" s="20"/>
      <c r="AP2114" s="92"/>
      <c r="AQ2114" s="67"/>
      <c r="AR2114" s="67"/>
      <c r="AS2114" s="73"/>
      <c r="AT2114" s="67"/>
      <c r="AU2114" s="67"/>
      <c r="AV2114" s="73"/>
      <c r="AW2114" s="68"/>
      <c r="AX2114" s="68"/>
      <c r="AY2114" s="68"/>
      <c r="AZ2114" s="68"/>
      <c r="BA2114" s="68"/>
      <c r="BB2114" s="67"/>
      <c r="BC2114" s="67"/>
      <c r="BD2114" s="67"/>
      <c r="BE2114" s="67"/>
      <c r="BF2114" s="95"/>
    </row>
    <row r="2115" spans="1:58" x14ac:dyDescent="0.35">
      <c r="A2115"/>
      <c r="D2115"/>
      <c r="G2115"/>
      <c r="H2115" s="20"/>
      <c r="I2115" s="20"/>
      <c r="J2115" s="20"/>
      <c r="K2115" s="20"/>
      <c r="L2115" s="20"/>
      <c r="Q2115" s="83"/>
      <c r="Y2115" s="20"/>
      <c r="AP2115" s="93"/>
      <c r="AQ2115" s="31"/>
      <c r="AR2115" s="31"/>
      <c r="AS2115" s="94"/>
      <c r="AT2115" s="31"/>
      <c r="AU2115" s="31"/>
      <c r="AV2115" s="94"/>
      <c r="AW2115" s="32"/>
      <c r="AX2115" s="32"/>
      <c r="AY2115" s="32"/>
      <c r="AZ2115" s="32"/>
      <c r="BA2115" s="32"/>
      <c r="BB2115" s="31"/>
      <c r="BC2115" s="31"/>
      <c r="BD2115" s="31"/>
      <c r="BE2115" s="31"/>
      <c r="BF2115" s="96"/>
    </row>
    <row r="2116" spans="1:58" x14ac:dyDescent="0.35">
      <c r="A2116"/>
      <c r="D2116"/>
      <c r="G2116"/>
      <c r="H2116" s="20"/>
      <c r="I2116" s="20"/>
      <c r="J2116" s="20"/>
      <c r="K2116" s="20"/>
      <c r="L2116" s="20"/>
      <c r="Q2116" s="83"/>
      <c r="Y2116" s="20"/>
      <c r="AP2116" s="92"/>
      <c r="AQ2116" s="67"/>
      <c r="AR2116" s="67"/>
      <c r="AS2116" s="73"/>
      <c r="AT2116" s="67"/>
      <c r="AU2116" s="67"/>
      <c r="AV2116" s="73"/>
      <c r="AW2116" s="68"/>
      <c r="AX2116" s="68"/>
      <c r="AY2116" s="68"/>
      <c r="AZ2116" s="68"/>
      <c r="BA2116" s="68"/>
      <c r="BB2116" s="67"/>
      <c r="BC2116" s="67"/>
      <c r="BD2116" s="67"/>
      <c r="BE2116" s="67"/>
      <c r="BF2116" s="95"/>
    </row>
    <row r="2117" spans="1:58" x14ac:dyDescent="0.35">
      <c r="A2117"/>
      <c r="D2117"/>
      <c r="G2117"/>
      <c r="H2117" s="20"/>
      <c r="I2117" s="20"/>
      <c r="J2117" s="20"/>
      <c r="K2117" s="20"/>
      <c r="L2117" s="20"/>
      <c r="Q2117" s="83"/>
      <c r="Y2117" s="20"/>
      <c r="AP2117" s="93"/>
      <c r="AQ2117" s="31"/>
      <c r="AR2117" s="31"/>
      <c r="AS2117" s="94"/>
      <c r="AT2117" s="31"/>
      <c r="AU2117" s="31"/>
      <c r="AV2117" s="94"/>
      <c r="AW2117" s="32"/>
      <c r="AX2117" s="32"/>
      <c r="AY2117" s="32"/>
      <c r="AZ2117" s="32"/>
      <c r="BA2117" s="32"/>
      <c r="BB2117" s="31"/>
      <c r="BC2117" s="31"/>
      <c r="BD2117" s="31"/>
      <c r="BE2117" s="31"/>
      <c r="BF2117" s="96"/>
    </row>
    <row r="2118" spans="1:58" x14ac:dyDescent="0.35">
      <c r="A2118"/>
      <c r="D2118"/>
      <c r="G2118"/>
      <c r="H2118" s="20"/>
      <c r="I2118" s="20"/>
      <c r="J2118" s="20"/>
      <c r="K2118" s="20"/>
      <c r="L2118" s="20"/>
      <c r="Q2118" s="83"/>
      <c r="Y2118" s="20"/>
      <c r="AP2118" s="92"/>
      <c r="AQ2118" s="67"/>
      <c r="AR2118" s="67"/>
      <c r="AS2118" s="73"/>
      <c r="AT2118" s="67"/>
      <c r="AU2118" s="67"/>
      <c r="AV2118" s="73"/>
      <c r="AW2118" s="68"/>
      <c r="AX2118" s="68"/>
      <c r="AY2118" s="68"/>
      <c r="AZ2118" s="68"/>
      <c r="BA2118" s="68"/>
      <c r="BB2118" s="67"/>
      <c r="BC2118" s="67"/>
      <c r="BD2118" s="67"/>
      <c r="BE2118" s="67"/>
      <c r="BF2118" s="95"/>
    </row>
    <row r="2119" spans="1:58" x14ac:dyDescent="0.35">
      <c r="A2119"/>
      <c r="D2119"/>
      <c r="G2119"/>
      <c r="H2119" s="20"/>
      <c r="I2119" s="20"/>
      <c r="J2119" s="20"/>
      <c r="K2119" s="20"/>
      <c r="L2119" s="20"/>
      <c r="Q2119" s="83"/>
      <c r="Y2119" s="20"/>
      <c r="AP2119" s="93"/>
      <c r="AQ2119" s="31"/>
      <c r="AR2119" s="31"/>
      <c r="AS2119" s="94"/>
      <c r="AT2119" s="31"/>
      <c r="AU2119" s="31"/>
      <c r="AV2119" s="94"/>
      <c r="AW2119" s="32"/>
      <c r="AX2119" s="32"/>
      <c r="AY2119" s="32"/>
      <c r="AZ2119" s="32"/>
      <c r="BA2119" s="32"/>
      <c r="BB2119" s="31"/>
      <c r="BC2119" s="31"/>
      <c r="BD2119" s="31"/>
      <c r="BE2119" s="31"/>
      <c r="BF2119" s="96"/>
    </row>
    <row r="2120" spans="1:58" x14ac:dyDescent="0.35">
      <c r="A2120"/>
      <c r="D2120"/>
      <c r="G2120"/>
      <c r="H2120" s="20"/>
      <c r="I2120" s="20"/>
      <c r="J2120" s="20"/>
      <c r="K2120" s="20"/>
      <c r="L2120" s="20"/>
      <c r="Q2120" s="83"/>
      <c r="Y2120" s="20"/>
      <c r="AP2120" s="92"/>
      <c r="AQ2120" s="67"/>
      <c r="AR2120" s="67"/>
      <c r="AS2120" s="73"/>
      <c r="AT2120" s="67"/>
      <c r="AU2120" s="67"/>
      <c r="AV2120" s="73"/>
      <c r="AW2120" s="68"/>
      <c r="AX2120" s="68"/>
      <c r="AY2120" s="68"/>
      <c r="AZ2120" s="68"/>
      <c r="BA2120" s="68"/>
      <c r="BB2120" s="67"/>
      <c r="BC2120" s="67"/>
      <c r="BD2120" s="67"/>
      <c r="BE2120" s="67"/>
      <c r="BF2120" s="95"/>
    </row>
    <row r="2121" spans="1:58" x14ac:dyDescent="0.35">
      <c r="A2121"/>
      <c r="D2121"/>
      <c r="G2121"/>
      <c r="H2121" s="20"/>
      <c r="I2121" s="20"/>
      <c r="J2121" s="20"/>
      <c r="K2121" s="20"/>
      <c r="L2121" s="20"/>
      <c r="Q2121" s="83"/>
      <c r="Y2121" s="20"/>
      <c r="AP2121" s="93"/>
      <c r="AQ2121" s="31"/>
      <c r="AR2121" s="31"/>
      <c r="AS2121" s="94"/>
      <c r="AT2121" s="31"/>
      <c r="AU2121" s="31"/>
      <c r="AV2121" s="94"/>
      <c r="AW2121" s="32"/>
      <c r="AX2121" s="32"/>
      <c r="AY2121" s="32"/>
      <c r="AZ2121" s="32"/>
      <c r="BA2121" s="32"/>
      <c r="BB2121" s="31"/>
      <c r="BC2121" s="31"/>
      <c r="BD2121" s="31"/>
      <c r="BE2121" s="31"/>
      <c r="BF2121" s="96"/>
    </row>
    <row r="2122" spans="1:58" x14ac:dyDescent="0.35">
      <c r="A2122"/>
      <c r="D2122"/>
      <c r="G2122"/>
      <c r="H2122" s="20"/>
      <c r="I2122" s="20"/>
      <c r="J2122" s="20"/>
      <c r="K2122" s="20"/>
      <c r="L2122" s="20"/>
      <c r="Q2122" s="83"/>
      <c r="Y2122" s="20"/>
      <c r="AP2122" s="92"/>
      <c r="AQ2122" s="67"/>
      <c r="AR2122" s="67"/>
      <c r="AS2122" s="73"/>
      <c r="AT2122" s="67"/>
      <c r="AU2122" s="67"/>
      <c r="AV2122" s="73"/>
      <c r="AW2122" s="68"/>
      <c r="AX2122" s="68"/>
      <c r="AY2122" s="68"/>
      <c r="AZ2122" s="68"/>
      <c r="BA2122" s="68"/>
      <c r="BB2122" s="67"/>
      <c r="BC2122" s="67"/>
      <c r="BD2122" s="67"/>
      <c r="BE2122" s="67"/>
      <c r="BF2122" s="95"/>
    </row>
    <row r="2123" spans="1:58" x14ac:dyDescent="0.35">
      <c r="A2123"/>
      <c r="D2123"/>
      <c r="G2123"/>
      <c r="H2123" s="20"/>
      <c r="I2123" s="20"/>
      <c r="J2123" s="20"/>
      <c r="K2123" s="20"/>
      <c r="L2123" s="20"/>
      <c r="Q2123" s="83"/>
      <c r="Y2123" s="20"/>
      <c r="AP2123" s="93"/>
      <c r="AQ2123" s="31"/>
      <c r="AR2123" s="31"/>
      <c r="AS2123" s="94"/>
      <c r="AT2123" s="31"/>
      <c r="AU2123" s="31"/>
      <c r="AV2123" s="94"/>
      <c r="AW2123" s="32"/>
      <c r="AX2123" s="32"/>
      <c r="AY2123" s="32"/>
      <c r="AZ2123" s="32"/>
      <c r="BA2123" s="32"/>
      <c r="BB2123" s="31"/>
      <c r="BC2123" s="31"/>
      <c r="BD2123" s="31"/>
      <c r="BE2123" s="31"/>
      <c r="BF2123" s="96"/>
    </row>
    <row r="2124" spans="1:58" x14ac:dyDescent="0.35">
      <c r="A2124"/>
      <c r="D2124"/>
      <c r="G2124"/>
      <c r="H2124" s="20"/>
      <c r="I2124" s="20"/>
      <c r="J2124" s="20"/>
      <c r="K2124" s="20"/>
      <c r="L2124" s="20"/>
      <c r="Q2124" s="83"/>
      <c r="Y2124" s="20"/>
      <c r="AP2124" s="92"/>
      <c r="AQ2124" s="67"/>
      <c r="AR2124" s="67"/>
      <c r="AS2124" s="73"/>
      <c r="AT2124" s="67"/>
      <c r="AU2124" s="67"/>
      <c r="AV2124" s="73"/>
      <c r="AW2124" s="68"/>
      <c r="AX2124" s="68"/>
      <c r="AY2124" s="68"/>
      <c r="AZ2124" s="68"/>
      <c r="BA2124" s="68"/>
      <c r="BB2124" s="67"/>
      <c r="BC2124" s="67"/>
      <c r="BD2124" s="67"/>
      <c r="BE2124" s="67"/>
      <c r="BF2124" s="95"/>
    </row>
    <row r="2125" spans="1:58" x14ac:dyDescent="0.35">
      <c r="A2125"/>
      <c r="D2125"/>
      <c r="G2125"/>
      <c r="H2125" s="20"/>
      <c r="I2125" s="20"/>
      <c r="J2125" s="20"/>
      <c r="K2125" s="20"/>
      <c r="L2125" s="20"/>
      <c r="Q2125" s="83"/>
      <c r="Y2125" s="20"/>
      <c r="AP2125" s="93"/>
      <c r="AQ2125" s="31"/>
      <c r="AR2125" s="31"/>
      <c r="AS2125" s="94"/>
      <c r="AT2125" s="31"/>
      <c r="AU2125" s="31"/>
      <c r="AV2125" s="94"/>
      <c r="AW2125" s="32"/>
      <c r="AX2125" s="32"/>
      <c r="AY2125" s="32"/>
      <c r="AZ2125" s="32"/>
      <c r="BA2125" s="32"/>
      <c r="BB2125" s="31"/>
      <c r="BC2125" s="31"/>
      <c r="BD2125" s="31"/>
      <c r="BE2125" s="31"/>
      <c r="BF2125" s="96"/>
    </row>
    <row r="2126" spans="1:58" x14ac:dyDescent="0.35">
      <c r="A2126"/>
      <c r="D2126"/>
      <c r="G2126"/>
      <c r="H2126" s="20"/>
      <c r="I2126" s="20"/>
      <c r="J2126" s="20"/>
      <c r="K2126" s="20"/>
      <c r="L2126" s="20"/>
      <c r="Q2126" s="83"/>
      <c r="Y2126" s="20"/>
      <c r="AP2126" s="92"/>
      <c r="AQ2126" s="67"/>
      <c r="AR2126" s="67"/>
      <c r="AS2126" s="73"/>
      <c r="AT2126" s="67"/>
      <c r="AU2126" s="67"/>
      <c r="AV2126" s="73"/>
      <c r="AW2126" s="68"/>
      <c r="AX2126" s="68"/>
      <c r="AY2126" s="68"/>
      <c r="AZ2126" s="68"/>
      <c r="BA2126" s="68"/>
      <c r="BB2126" s="67"/>
      <c r="BC2126" s="67"/>
      <c r="BD2126" s="67"/>
      <c r="BE2126" s="67"/>
      <c r="BF2126" s="95"/>
    </row>
    <row r="2127" spans="1:58" x14ac:dyDescent="0.35">
      <c r="A2127"/>
      <c r="D2127"/>
      <c r="G2127"/>
      <c r="H2127" s="20"/>
      <c r="I2127" s="20"/>
      <c r="J2127" s="20"/>
      <c r="K2127" s="20"/>
      <c r="L2127" s="20"/>
      <c r="Q2127" s="83"/>
      <c r="Y2127" s="20"/>
      <c r="AP2127" s="93"/>
      <c r="AQ2127" s="31"/>
      <c r="AR2127" s="31"/>
      <c r="AS2127" s="94"/>
      <c r="AT2127" s="31"/>
      <c r="AU2127" s="31"/>
      <c r="AV2127" s="94"/>
      <c r="AW2127" s="32"/>
      <c r="AX2127" s="32"/>
      <c r="AY2127" s="32"/>
      <c r="AZ2127" s="32"/>
      <c r="BA2127" s="32"/>
      <c r="BB2127" s="31"/>
      <c r="BC2127" s="31"/>
      <c r="BD2127" s="31"/>
      <c r="BE2127" s="31"/>
      <c r="BF2127" s="96"/>
    </row>
    <row r="2128" spans="1:58" x14ac:dyDescent="0.35">
      <c r="A2128"/>
      <c r="D2128"/>
      <c r="G2128"/>
      <c r="H2128" s="20"/>
      <c r="I2128" s="20"/>
      <c r="J2128" s="20"/>
      <c r="K2128" s="20"/>
      <c r="L2128" s="20"/>
      <c r="Q2128" s="83"/>
      <c r="Y2128" s="20"/>
      <c r="AP2128" s="92"/>
      <c r="AQ2128" s="67"/>
      <c r="AR2128" s="67"/>
      <c r="AS2128" s="73"/>
      <c r="AT2128" s="67"/>
      <c r="AU2128" s="67"/>
      <c r="AV2128" s="73"/>
      <c r="AW2128" s="68"/>
      <c r="AX2128" s="68"/>
      <c r="AY2128" s="68"/>
      <c r="AZ2128" s="68"/>
      <c r="BA2128" s="68"/>
      <c r="BB2128" s="67"/>
      <c r="BC2128" s="67"/>
      <c r="BD2128" s="67"/>
      <c r="BE2128" s="67"/>
      <c r="BF2128" s="95"/>
    </row>
    <row r="2129" spans="1:58" x14ac:dyDescent="0.35">
      <c r="A2129"/>
      <c r="D2129"/>
      <c r="G2129"/>
      <c r="H2129" s="20"/>
      <c r="I2129" s="20"/>
      <c r="J2129" s="20"/>
      <c r="K2129" s="20"/>
      <c r="L2129" s="20"/>
      <c r="Q2129" s="83"/>
      <c r="Y2129" s="20"/>
      <c r="AP2129" s="93"/>
      <c r="AQ2129" s="31"/>
      <c r="AR2129" s="31"/>
      <c r="AS2129" s="94"/>
      <c r="AT2129" s="31"/>
      <c r="AU2129" s="31"/>
      <c r="AV2129" s="94"/>
      <c r="AW2129" s="32"/>
      <c r="AX2129" s="32"/>
      <c r="AY2129" s="32"/>
      <c r="AZ2129" s="32"/>
      <c r="BA2129" s="32"/>
      <c r="BB2129" s="31"/>
      <c r="BC2129" s="31"/>
      <c r="BD2129" s="31"/>
      <c r="BE2129" s="31"/>
      <c r="BF2129" s="96"/>
    </row>
    <row r="2130" spans="1:58" x14ac:dyDescent="0.35">
      <c r="A2130"/>
      <c r="D2130"/>
      <c r="G2130"/>
      <c r="H2130" s="20"/>
      <c r="I2130" s="20"/>
      <c r="J2130" s="20"/>
      <c r="K2130" s="20"/>
      <c r="L2130" s="20"/>
      <c r="Q2130" s="83"/>
      <c r="Y2130" s="20"/>
      <c r="AP2130" s="92"/>
      <c r="AQ2130" s="67"/>
      <c r="AR2130" s="67"/>
      <c r="AS2130" s="73"/>
      <c r="AT2130" s="67"/>
      <c r="AU2130" s="67"/>
      <c r="AV2130" s="73"/>
      <c r="AW2130" s="68"/>
      <c r="AX2130" s="68"/>
      <c r="AY2130" s="68"/>
      <c r="AZ2130" s="68"/>
      <c r="BA2130" s="68"/>
      <c r="BB2130" s="67"/>
      <c r="BC2130" s="67"/>
      <c r="BD2130" s="67"/>
      <c r="BE2130" s="67"/>
      <c r="BF2130" s="95"/>
    </row>
    <row r="2131" spans="1:58" x14ac:dyDescent="0.35">
      <c r="A2131"/>
      <c r="D2131"/>
      <c r="G2131"/>
      <c r="H2131" s="20"/>
      <c r="I2131" s="20"/>
      <c r="J2131" s="20"/>
      <c r="K2131" s="20"/>
      <c r="L2131" s="20"/>
      <c r="Q2131" s="83"/>
      <c r="Y2131" s="20"/>
      <c r="AP2131" s="93"/>
      <c r="AQ2131" s="31"/>
      <c r="AR2131" s="31"/>
      <c r="AS2131" s="94"/>
      <c r="AT2131" s="31"/>
      <c r="AU2131" s="31"/>
      <c r="AV2131" s="94"/>
      <c r="AW2131" s="32"/>
      <c r="AX2131" s="32"/>
      <c r="AY2131" s="32"/>
      <c r="AZ2131" s="32"/>
      <c r="BA2131" s="32"/>
      <c r="BB2131" s="31"/>
      <c r="BC2131" s="31"/>
      <c r="BD2131" s="31"/>
      <c r="BE2131" s="31"/>
      <c r="BF2131" s="96"/>
    </row>
    <row r="2132" spans="1:58" x14ac:dyDescent="0.35">
      <c r="A2132"/>
      <c r="D2132"/>
      <c r="G2132"/>
      <c r="H2132" s="20"/>
      <c r="I2132" s="20"/>
      <c r="J2132" s="20"/>
      <c r="K2132" s="20"/>
      <c r="L2132" s="20"/>
      <c r="Q2132" s="83"/>
      <c r="Y2132" s="20"/>
      <c r="AP2132" s="92"/>
      <c r="AQ2132" s="67"/>
      <c r="AR2132" s="67"/>
      <c r="AS2132" s="73"/>
      <c r="AT2132" s="67"/>
      <c r="AU2132" s="67"/>
      <c r="AV2132" s="73"/>
      <c r="AW2132" s="68"/>
      <c r="AX2132" s="68"/>
      <c r="AY2132" s="68"/>
      <c r="AZ2132" s="68"/>
      <c r="BA2132" s="68"/>
      <c r="BB2132" s="67"/>
      <c r="BC2132" s="67"/>
      <c r="BD2132" s="67"/>
      <c r="BE2132" s="67"/>
      <c r="BF2132" s="95"/>
    </row>
    <row r="2133" spans="1:58" x14ac:dyDescent="0.35">
      <c r="A2133"/>
      <c r="D2133"/>
      <c r="G2133"/>
      <c r="H2133" s="20"/>
      <c r="I2133" s="20"/>
      <c r="J2133" s="20"/>
      <c r="K2133" s="20"/>
      <c r="L2133" s="20"/>
      <c r="Q2133" s="83"/>
      <c r="Y2133" s="20"/>
      <c r="AP2133" s="93"/>
      <c r="AQ2133" s="31"/>
      <c r="AR2133" s="31"/>
      <c r="AS2133" s="94"/>
      <c r="AT2133" s="31"/>
      <c r="AU2133" s="31"/>
      <c r="AV2133" s="94"/>
      <c r="AW2133" s="32"/>
      <c r="AX2133" s="32"/>
      <c r="AY2133" s="32"/>
      <c r="AZ2133" s="32"/>
      <c r="BA2133" s="32"/>
      <c r="BB2133" s="31"/>
      <c r="BC2133" s="31"/>
      <c r="BD2133" s="31"/>
      <c r="BE2133" s="31"/>
      <c r="BF2133" s="96"/>
    </row>
    <row r="2134" spans="1:58" x14ac:dyDescent="0.35">
      <c r="A2134"/>
      <c r="D2134"/>
      <c r="G2134"/>
      <c r="H2134" s="20"/>
      <c r="I2134" s="20"/>
      <c r="J2134" s="20"/>
      <c r="K2134" s="20"/>
      <c r="L2134" s="20"/>
      <c r="Q2134" s="83"/>
      <c r="Y2134" s="20"/>
      <c r="AP2134" s="92"/>
      <c r="AQ2134" s="67"/>
      <c r="AR2134" s="67"/>
      <c r="AS2134" s="73"/>
      <c r="AT2134" s="67"/>
      <c r="AU2134" s="67"/>
      <c r="AV2134" s="73"/>
      <c r="AW2134" s="68"/>
      <c r="AX2134" s="68"/>
      <c r="AY2134" s="68"/>
      <c r="AZ2134" s="68"/>
      <c r="BA2134" s="68"/>
      <c r="BB2134" s="67"/>
      <c r="BC2134" s="67"/>
      <c r="BD2134" s="67"/>
      <c r="BE2134" s="67"/>
      <c r="BF2134" s="95"/>
    </row>
    <row r="2135" spans="1:58" x14ac:dyDescent="0.35">
      <c r="A2135"/>
      <c r="D2135"/>
      <c r="G2135"/>
      <c r="H2135" s="20"/>
      <c r="I2135" s="20"/>
      <c r="J2135" s="20"/>
      <c r="K2135" s="20"/>
      <c r="L2135" s="20"/>
      <c r="Q2135" s="83"/>
      <c r="Y2135" s="20"/>
      <c r="AP2135" s="93"/>
      <c r="AQ2135" s="31"/>
      <c r="AR2135" s="31"/>
      <c r="AS2135" s="94"/>
      <c r="AT2135" s="31"/>
      <c r="AU2135" s="31"/>
      <c r="AV2135" s="94"/>
      <c r="AW2135" s="32"/>
      <c r="AX2135" s="32"/>
      <c r="AY2135" s="32"/>
      <c r="AZ2135" s="32"/>
      <c r="BA2135" s="32"/>
      <c r="BB2135" s="31"/>
      <c r="BC2135" s="31"/>
      <c r="BD2135" s="31"/>
      <c r="BE2135" s="31"/>
      <c r="BF2135" s="96"/>
    </row>
    <row r="2136" spans="1:58" x14ac:dyDescent="0.35">
      <c r="A2136"/>
      <c r="D2136"/>
      <c r="G2136"/>
      <c r="H2136" s="20"/>
      <c r="I2136" s="20"/>
      <c r="J2136" s="20"/>
      <c r="K2136" s="20"/>
      <c r="L2136" s="20"/>
      <c r="Q2136" s="83"/>
      <c r="Y2136" s="20"/>
      <c r="AP2136" s="92"/>
      <c r="AQ2136" s="67"/>
      <c r="AR2136" s="67"/>
      <c r="AS2136" s="73"/>
      <c r="AT2136" s="67"/>
      <c r="AU2136" s="67"/>
      <c r="AV2136" s="73"/>
      <c r="AW2136" s="68"/>
      <c r="AX2136" s="68"/>
      <c r="AY2136" s="68"/>
      <c r="AZ2136" s="68"/>
      <c r="BA2136" s="68"/>
      <c r="BB2136" s="67"/>
      <c r="BC2136" s="67"/>
      <c r="BD2136" s="67"/>
      <c r="BE2136" s="67"/>
      <c r="BF2136" s="95"/>
    </row>
    <row r="2137" spans="1:58" x14ac:dyDescent="0.35">
      <c r="A2137"/>
      <c r="D2137"/>
      <c r="G2137"/>
      <c r="H2137" s="20"/>
      <c r="I2137" s="20"/>
      <c r="J2137" s="20"/>
      <c r="K2137" s="20"/>
      <c r="L2137" s="20"/>
      <c r="Q2137" s="83"/>
      <c r="Y2137" s="20"/>
      <c r="AP2137" s="93"/>
      <c r="AQ2137" s="31"/>
      <c r="AR2137" s="31"/>
      <c r="AS2137" s="94"/>
      <c r="AT2137" s="31"/>
      <c r="AU2137" s="31"/>
      <c r="AV2137" s="94"/>
      <c r="AW2137" s="32"/>
      <c r="AX2137" s="32"/>
      <c r="AY2137" s="32"/>
      <c r="AZ2137" s="32"/>
      <c r="BA2137" s="32"/>
      <c r="BB2137" s="31"/>
      <c r="BC2137" s="31"/>
      <c r="BD2137" s="31"/>
      <c r="BE2137" s="31"/>
      <c r="BF2137" s="96"/>
    </row>
    <row r="2138" spans="1:58" x14ac:dyDescent="0.35">
      <c r="A2138"/>
      <c r="D2138"/>
      <c r="G2138"/>
      <c r="H2138" s="20"/>
      <c r="I2138" s="20"/>
      <c r="J2138" s="20"/>
      <c r="K2138" s="20"/>
      <c r="L2138" s="20"/>
      <c r="Q2138" s="83"/>
      <c r="Y2138" s="20"/>
      <c r="AP2138" s="92"/>
      <c r="AQ2138" s="67"/>
      <c r="AR2138" s="67"/>
      <c r="AS2138" s="73"/>
      <c r="AT2138" s="67"/>
      <c r="AU2138" s="67"/>
      <c r="AV2138" s="73"/>
      <c r="AW2138" s="68"/>
      <c r="AX2138" s="68"/>
      <c r="AY2138" s="68"/>
      <c r="AZ2138" s="68"/>
      <c r="BA2138" s="68"/>
      <c r="BB2138" s="67"/>
      <c r="BC2138" s="67"/>
      <c r="BD2138" s="67"/>
      <c r="BE2138" s="67"/>
      <c r="BF2138" s="95"/>
    </row>
    <row r="2139" spans="1:58" x14ac:dyDescent="0.35">
      <c r="A2139"/>
      <c r="D2139"/>
      <c r="G2139"/>
      <c r="H2139" s="20"/>
      <c r="I2139" s="20"/>
      <c r="J2139" s="20"/>
      <c r="K2139" s="20"/>
      <c r="L2139" s="20"/>
      <c r="Q2139" s="83"/>
      <c r="Y2139" s="20"/>
      <c r="AP2139" s="93"/>
      <c r="AQ2139" s="31"/>
      <c r="AR2139" s="31"/>
      <c r="AS2139" s="94"/>
      <c r="AT2139" s="31"/>
      <c r="AU2139" s="31"/>
      <c r="AV2139" s="94"/>
      <c r="AW2139" s="32"/>
      <c r="AX2139" s="32"/>
      <c r="AY2139" s="32"/>
      <c r="AZ2139" s="32"/>
      <c r="BA2139" s="32"/>
      <c r="BB2139" s="31"/>
      <c r="BC2139" s="31"/>
      <c r="BD2139" s="31"/>
      <c r="BE2139" s="31"/>
      <c r="BF2139" s="96"/>
    </row>
    <row r="2140" spans="1:58" x14ac:dyDescent="0.35">
      <c r="A2140"/>
      <c r="D2140"/>
      <c r="G2140"/>
      <c r="H2140" s="20"/>
      <c r="I2140" s="20"/>
      <c r="J2140" s="20"/>
      <c r="K2140" s="20"/>
      <c r="L2140" s="20"/>
      <c r="Q2140" s="83"/>
      <c r="Y2140" s="20"/>
      <c r="AP2140" s="92"/>
      <c r="AQ2140" s="67"/>
      <c r="AR2140" s="67"/>
      <c r="AS2140" s="73"/>
      <c r="AT2140" s="67"/>
      <c r="AU2140" s="67"/>
      <c r="AV2140" s="73"/>
      <c r="AW2140" s="68"/>
      <c r="AX2140" s="68"/>
      <c r="AY2140" s="68"/>
      <c r="AZ2140" s="68"/>
      <c r="BA2140" s="68"/>
      <c r="BB2140" s="67"/>
      <c r="BC2140" s="67"/>
      <c r="BD2140" s="67"/>
      <c r="BE2140" s="67"/>
      <c r="BF2140" s="95"/>
    </row>
    <row r="2141" spans="1:58" x14ac:dyDescent="0.35">
      <c r="A2141"/>
      <c r="D2141"/>
      <c r="G2141"/>
      <c r="H2141" s="20"/>
      <c r="I2141" s="20"/>
      <c r="J2141" s="20"/>
      <c r="K2141" s="20"/>
      <c r="L2141" s="20"/>
      <c r="Q2141" s="83"/>
      <c r="Y2141" s="20"/>
      <c r="AP2141" s="93"/>
      <c r="AQ2141" s="31"/>
      <c r="AR2141" s="31"/>
      <c r="AS2141" s="94"/>
      <c r="AT2141" s="31"/>
      <c r="AU2141" s="31"/>
      <c r="AV2141" s="94"/>
      <c r="AW2141" s="32"/>
      <c r="AX2141" s="32"/>
      <c r="AY2141" s="32"/>
      <c r="AZ2141" s="32"/>
      <c r="BA2141" s="32"/>
      <c r="BB2141" s="31"/>
      <c r="BC2141" s="31"/>
      <c r="BD2141" s="31"/>
      <c r="BE2141" s="31"/>
      <c r="BF2141" s="96"/>
    </row>
    <row r="2142" spans="1:58" x14ac:dyDescent="0.35">
      <c r="A2142"/>
      <c r="D2142"/>
      <c r="G2142"/>
      <c r="H2142" s="20"/>
      <c r="I2142" s="20"/>
      <c r="J2142" s="20"/>
      <c r="K2142" s="20"/>
      <c r="L2142" s="20"/>
      <c r="Q2142" s="83"/>
      <c r="Y2142" s="20"/>
      <c r="AP2142" s="92"/>
      <c r="AQ2142" s="67"/>
      <c r="AR2142" s="67"/>
      <c r="AS2142" s="73"/>
      <c r="AT2142" s="67"/>
      <c r="AU2142" s="67"/>
      <c r="AV2142" s="73"/>
      <c r="AW2142" s="68"/>
      <c r="AX2142" s="68"/>
      <c r="AY2142" s="68"/>
      <c r="AZ2142" s="68"/>
      <c r="BA2142" s="68"/>
      <c r="BB2142" s="67"/>
      <c r="BC2142" s="67"/>
      <c r="BD2142" s="67"/>
      <c r="BE2142" s="67"/>
      <c r="BF2142" s="95"/>
    </row>
    <row r="2143" spans="1:58" x14ac:dyDescent="0.35">
      <c r="A2143"/>
      <c r="D2143"/>
      <c r="G2143"/>
      <c r="H2143" s="20"/>
      <c r="I2143" s="20"/>
      <c r="J2143" s="20"/>
      <c r="K2143" s="20"/>
      <c r="L2143" s="20"/>
      <c r="Q2143" s="83"/>
      <c r="Y2143" s="20"/>
      <c r="AP2143" s="93"/>
      <c r="AQ2143" s="31"/>
      <c r="AR2143" s="31"/>
      <c r="AS2143" s="94"/>
      <c r="AT2143" s="31"/>
      <c r="AU2143" s="31"/>
      <c r="AV2143" s="94"/>
      <c r="AW2143" s="32"/>
      <c r="AX2143" s="32"/>
      <c r="AY2143" s="32"/>
      <c r="AZ2143" s="32"/>
      <c r="BA2143" s="32"/>
      <c r="BB2143" s="31"/>
      <c r="BC2143" s="31"/>
      <c r="BD2143" s="31"/>
      <c r="BE2143" s="31"/>
      <c r="BF2143" s="96"/>
    </row>
    <row r="2144" spans="1:58" x14ac:dyDescent="0.35">
      <c r="A2144"/>
      <c r="D2144"/>
      <c r="G2144"/>
      <c r="H2144" s="20"/>
      <c r="I2144" s="20"/>
      <c r="J2144" s="20"/>
      <c r="K2144" s="20"/>
      <c r="L2144" s="20"/>
      <c r="Q2144" s="83"/>
      <c r="Y2144" s="20"/>
      <c r="AP2144" s="92"/>
      <c r="AQ2144" s="67"/>
      <c r="AR2144" s="67"/>
      <c r="AS2144" s="73"/>
      <c r="AT2144" s="67"/>
      <c r="AU2144" s="67"/>
      <c r="AV2144" s="73"/>
      <c r="AW2144" s="68"/>
      <c r="AX2144" s="68"/>
      <c r="AY2144" s="68"/>
      <c r="AZ2144" s="68"/>
      <c r="BA2144" s="68"/>
      <c r="BB2144" s="67"/>
      <c r="BC2144" s="67"/>
      <c r="BD2144" s="67"/>
      <c r="BE2144" s="67"/>
      <c r="BF2144" s="95"/>
    </row>
    <row r="2145" spans="1:58" x14ac:dyDescent="0.35">
      <c r="A2145"/>
      <c r="D2145"/>
      <c r="G2145"/>
      <c r="H2145" s="20"/>
      <c r="I2145" s="20"/>
      <c r="J2145" s="20"/>
      <c r="K2145" s="20"/>
      <c r="L2145" s="20"/>
      <c r="Q2145" s="83"/>
      <c r="Y2145" s="20"/>
      <c r="AP2145" s="93"/>
      <c r="AQ2145" s="31"/>
      <c r="AR2145" s="31"/>
      <c r="AS2145" s="94"/>
      <c r="AT2145" s="31"/>
      <c r="AU2145" s="31"/>
      <c r="AV2145" s="94"/>
      <c r="AW2145" s="32"/>
      <c r="AX2145" s="32"/>
      <c r="AY2145" s="32"/>
      <c r="AZ2145" s="32"/>
      <c r="BA2145" s="32"/>
      <c r="BB2145" s="31"/>
      <c r="BC2145" s="31"/>
      <c r="BD2145" s="31"/>
      <c r="BE2145" s="31"/>
      <c r="BF2145" s="96"/>
    </row>
    <row r="2146" spans="1:58" x14ac:dyDescent="0.35">
      <c r="A2146"/>
      <c r="D2146"/>
      <c r="G2146"/>
      <c r="H2146" s="20"/>
      <c r="I2146" s="20"/>
      <c r="J2146" s="20"/>
      <c r="K2146" s="20"/>
      <c r="L2146" s="20"/>
      <c r="Q2146" s="83"/>
      <c r="Y2146" s="20"/>
      <c r="AP2146" s="92"/>
      <c r="AQ2146" s="67"/>
      <c r="AR2146" s="67"/>
      <c r="AS2146" s="73"/>
      <c r="AT2146" s="67"/>
      <c r="AU2146" s="67"/>
      <c r="AV2146" s="73"/>
      <c r="AW2146" s="68"/>
      <c r="AX2146" s="68"/>
      <c r="AY2146" s="68"/>
      <c r="AZ2146" s="68"/>
      <c r="BA2146" s="68"/>
      <c r="BB2146" s="67"/>
      <c r="BC2146" s="67"/>
      <c r="BD2146" s="67"/>
      <c r="BE2146" s="67"/>
      <c r="BF2146" s="95"/>
    </row>
    <row r="2147" spans="1:58" x14ac:dyDescent="0.35">
      <c r="A2147"/>
      <c r="D2147"/>
      <c r="G2147"/>
      <c r="H2147" s="20"/>
      <c r="I2147" s="20"/>
      <c r="J2147" s="20"/>
      <c r="K2147" s="20"/>
      <c r="L2147" s="20"/>
      <c r="Q2147" s="83"/>
      <c r="Y2147" s="20"/>
      <c r="AP2147" s="93"/>
      <c r="AQ2147" s="31"/>
      <c r="AR2147" s="31"/>
      <c r="AS2147" s="94"/>
      <c r="AT2147" s="31"/>
      <c r="AU2147" s="31"/>
      <c r="AV2147" s="94"/>
      <c r="AW2147" s="32"/>
      <c r="AX2147" s="32"/>
      <c r="AY2147" s="32"/>
      <c r="AZ2147" s="32"/>
      <c r="BA2147" s="32"/>
      <c r="BB2147" s="31"/>
      <c r="BC2147" s="31"/>
      <c r="BD2147" s="31"/>
      <c r="BE2147" s="31"/>
      <c r="BF2147" s="96"/>
    </row>
    <row r="2148" spans="1:58" x14ac:dyDescent="0.35">
      <c r="A2148"/>
      <c r="D2148"/>
      <c r="G2148"/>
      <c r="H2148" s="20"/>
      <c r="I2148" s="20"/>
      <c r="J2148" s="20"/>
      <c r="K2148" s="20"/>
      <c r="L2148" s="20"/>
      <c r="Q2148" s="83"/>
      <c r="Y2148" s="20"/>
      <c r="AP2148" s="92"/>
      <c r="AQ2148" s="67"/>
      <c r="AR2148" s="67"/>
      <c r="AS2148" s="73"/>
      <c r="AT2148" s="67"/>
      <c r="AU2148" s="67"/>
      <c r="AV2148" s="73"/>
      <c r="AW2148" s="68"/>
      <c r="AX2148" s="68"/>
      <c r="AY2148" s="68"/>
      <c r="AZ2148" s="68"/>
      <c r="BA2148" s="68"/>
      <c r="BB2148" s="67"/>
      <c r="BC2148" s="67"/>
      <c r="BD2148" s="67"/>
      <c r="BE2148" s="67"/>
      <c r="BF2148" s="95"/>
    </row>
    <row r="2149" spans="1:58" x14ac:dyDescent="0.35">
      <c r="A2149"/>
      <c r="D2149"/>
      <c r="G2149"/>
      <c r="H2149" s="20"/>
      <c r="I2149" s="20"/>
      <c r="J2149" s="20"/>
      <c r="K2149" s="20"/>
      <c r="L2149" s="20"/>
      <c r="Q2149" s="83"/>
      <c r="Y2149" s="20"/>
      <c r="AP2149" s="93"/>
      <c r="AQ2149" s="31"/>
      <c r="AR2149" s="31"/>
      <c r="AS2149" s="94"/>
      <c r="AT2149" s="31"/>
      <c r="AU2149" s="31"/>
      <c r="AV2149" s="94"/>
      <c r="AW2149" s="32"/>
      <c r="AX2149" s="32"/>
      <c r="AY2149" s="32"/>
      <c r="AZ2149" s="32"/>
      <c r="BA2149" s="32"/>
      <c r="BB2149" s="31"/>
      <c r="BC2149" s="31"/>
      <c r="BD2149" s="31"/>
      <c r="BE2149" s="31"/>
      <c r="BF2149" s="96"/>
    </row>
    <row r="2150" spans="1:58" x14ac:dyDescent="0.35">
      <c r="A2150"/>
      <c r="D2150"/>
      <c r="G2150"/>
      <c r="H2150" s="20"/>
      <c r="I2150" s="20"/>
      <c r="J2150" s="20"/>
      <c r="K2150" s="20"/>
      <c r="L2150" s="20"/>
      <c r="Q2150" s="83"/>
      <c r="Y2150" s="20"/>
      <c r="AP2150" s="92"/>
      <c r="AQ2150" s="67"/>
      <c r="AR2150" s="67"/>
      <c r="AS2150" s="73"/>
      <c r="AT2150" s="67"/>
      <c r="AU2150" s="67"/>
      <c r="AV2150" s="73"/>
      <c r="AW2150" s="68"/>
      <c r="AX2150" s="68"/>
      <c r="AY2150" s="68"/>
      <c r="AZ2150" s="68"/>
      <c r="BA2150" s="68"/>
      <c r="BB2150" s="67"/>
      <c r="BC2150" s="67"/>
      <c r="BD2150" s="67"/>
      <c r="BE2150" s="67"/>
      <c r="BF2150" s="95"/>
    </row>
    <row r="2151" spans="1:58" x14ac:dyDescent="0.35">
      <c r="A2151"/>
      <c r="D2151"/>
      <c r="G2151"/>
      <c r="H2151" s="20"/>
      <c r="I2151" s="20"/>
      <c r="J2151" s="20"/>
      <c r="K2151" s="20"/>
      <c r="L2151" s="20"/>
      <c r="Q2151" s="83"/>
      <c r="Y2151" s="20"/>
      <c r="AP2151" s="93"/>
      <c r="AQ2151" s="31"/>
      <c r="AR2151" s="31"/>
      <c r="AS2151" s="94"/>
      <c r="AT2151" s="31"/>
      <c r="AU2151" s="31"/>
      <c r="AV2151" s="94"/>
      <c r="AW2151" s="32"/>
      <c r="AX2151" s="32"/>
      <c r="AY2151" s="32"/>
      <c r="AZ2151" s="32"/>
      <c r="BA2151" s="32"/>
      <c r="BB2151" s="31"/>
      <c r="BC2151" s="31"/>
      <c r="BD2151" s="31"/>
      <c r="BE2151" s="31"/>
      <c r="BF2151" s="96"/>
    </row>
    <row r="2152" spans="1:58" x14ac:dyDescent="0.35">
      <c r="A2152"/>
      <c r="D2152"/>
      <c r="G2152"/>
      <c r="H2152" s="20"/>
      <c r="I2152" s="20"/>
      <c r="J2152" s="20"/>
      <c r="K2152" s="20"/>
      <c r="L2152" s="20"/>
      <c r="Q2152" s="83"/>
      <c r="Y2152" s="20"/>
      <c r="AP2152" s="92"/>
      <c r="AQ2152" s="67"/>
      <c r="AR2152" s="67"/>
      <c r="AS2152" s="73"/>
      <c r="AT2152" s="67"/>
      <c r="AU2152" s="67"/>
      <c r="AV2152" s="73"/>
      <c r="AW2152" s="68"/>
      <c r="AX2152" s="68"/>
      <c r="AY2152" s="68"/>
      <c r="AZ2152" s="68"/>
      <c r="BA2152" s="68"/>
      <c r="BB2152" s="67"/>
      <c r="BC2152" s="67"/>
      <c r="BD2152" s="67"/>
      <c r="BE2152" s="67"/>
      <c r="BF2152" s="95"/>
    </row>
    <row r="2153" spans="1:58" x14ac:dyDescent="0.35">
      <c r="A2153"/>
      <c r="D2153"/>
      <c r="G2153"/>
      <c r="H2153" s="20"/>
      <c r="I2153" s="20"/>
      <c r="J2153" s="20"/>
      <c r="K2153" s="20"/>
      <c r="L2153" s="20"/>
      <c r="Q2153" s="83"/>
      <c r="Y2153" s="20"/>
      <c r="AP2153" s="93"/>
      <c r="AQ2153" s="31"/>
      <c r="AR2153" s="31"/>
      <c r="AS2153" s="94"/>
      <c r="AT2153" s="31"/>
      <c r="AU2153" s="31"/>
      <c r="AV2153" s="94"/>
      <c r="AW2153" s="32"/>
      <c r="AX2153" s="32"/>
      <c r="AY2153" s="32"/>
      <c r="AZ2153" s="32"/>
      <c r="BA2153" s="32"/>
      <c r="BB2153" s="31"/>
      <c r="BC2153" s="31"/>
      <c r="BD2153" s="31"/>
      <c r="BE2153" s="31"/>
      <c r="BF2153" s="96"/>
    </row>
    <row r="2154" spans="1:58" x14ac:dyDescent="0.35">
      <c r="A2154"/>
      <c r="D2154"/>
      <c r="G2154"/>
      <c r="H2154" s="20"/>
      <c r="I2154" s="20"/>
      <c r="J2154" s="20"/>
      <c r="K2154" s="20"/>
      <c r="L2154" s="20"/>
      <c r="Q2154" s="83"/>
      <c r="Y2154" s="20"/>
      <c r="AP2154" s="92"/>
      <c r="AQ2154" s="67"/>
      <c r="AR2154" s="67"/>
      <c r="AS2154" s="73"/>
      <c r="AT2154" s="67"/>
      <c r="AU2154" s="67"/>
      <c r="AV2154" s="73"/>
      <c r="AW2154" s="68"/>
      <c r="AX2154" s="68"/>
      <c r="AY2154" s="68"/>
      <c r="AZ2154" s="68"/>
      <c r="BA2154" s="68"/>
      <c r="BB2154" s="67"/>
      <c r="BC2154" s="67"/>
      <c r="BD2154" s="67"/>
      <c r="BE2154" s="67"/>
      <c r="BF2154" s="95"/>
    </row>
    <row r="2155" spans="1:58" x14ac:dyDescent="0.35">
      <c r="A2155"/>
      <c r="D2155"/>
      <c r="G2155"/>
      <c r="H2155" s="20"/>
      <c r="I2155" s="20"/>
      <c r="J2155" s="20"/>
      <c r="K2155" s="20"/>
      <c r="L2155" s="20"/>
      <c r="Q2155" s="83"/>
      <c r="Y2155" s="20"/>
      <c r="AP2155" s="93"/>
      <c r="AQ2155" s="31"/>
      <c r="AR2155" s="31"/>
      <c r="AS2155" s="94"/>
      <c r="AT2155" s="31"/>
      <c r="AU2155" s="31"/>
      <c r="AV2155" s="94"/>
      <c r="AW2155" s="32"/>
      <c r="AX2155" s="32"/>
      <c r="AY2155" s="32"/>
      <c r="AZ2155" s="32"/>
      <c r="BA2155" s="32"/>
      <c r="BB2155" s="31"/>
      <c r="BC2155" s="31"/>
      <c r="BD2155" s="31"/>
      <c r="BE2155" s="31"/>
      <c r="BF2155" s="96"/>
    </row>
    <row r="2156" spans="1:58" x14ac:dyDescent="0.35">
      <c r="A2156"/>
      <c r="D2156"/>
      <c r="G2156"/>
      <c r="H2156" s="20"/>
      <c r="I2156" s="20"/>
      <c r="J2156" s="20"/>
      <c r="K2156" s="20"/>
      <c r="L2156" s="20"/>
      <c r="Q2156" s="83"/>
      <c r="Y2156" s="20"/>
      <c r="AP2156" s="92"/>
      <c r="AQ2156" s="67"/>
      <c r="AR2156" s="67"/>
      <c r="AS2156" s="73"/>
      <c r="AT2156" s="67"/>
      <c r="AU2156" s="67"/>
      <c r="AV2156" s="73"/>
      <c r="AW2156" s="68"/>
      <c r="AX2156" s="68"/>
      <c r="AY2156" s="68"/>
      <c r="AZ2156" s="68"/>
      <c r="BA2156" s="68"/>
      <c r="BB2156" s="67"/>
      <c r="BC2156" s="67"/>
      <c r="BD2156" s="67"/>
      <c r="BE2156" s="67"/>
      <c r="BF2156" s="95"/>
    </row>
    <row r="2157" spans="1:58" x14ac:dyDescent="0.35">
      <c r="A2157"/>
      <c r="D2157"/>
      <c r="G2157"/>
      <c r="H2157" s="20"/>
      <c r="I2157" s="20"/>
      <c r="J2157" s="20"/>
      <c r="K2157" s="20"/>
      <c r="L2157" s="20"/>
      <c r="Q2157" s="83"/>
      <c r="Y2157" s="20"/>
      <c r="AP2157" s="93"/>
      <c r="AQ2157" s="31"/>
      <c r="AR2157" s="31"/>
      <c r="AS2157" s="94"/>
      <c r="AT2157" s="31"/>
      <c r="AU2157" s="31"/>
      <c r="AV2157" s="94"/>
      <c r="AW2157" s="32"/>
      <c r="AX2157" s="32"/>
      <c r="AY2157" s="32"/>
      <c r="AZ2157" s="32"/>
      <c r="BA2157" s="32"/>
      <c r="BB2157" s="31"/>
      <c r="BC2157" s="31"/>
      <c r="BD2157" s="31"/>
      <c r="BE2157" s="31"/>
      <c r="BF2157" s="96"/>
    </row>
    <row r="2158" spans="1:58" x14ac:dyDescent="0.35">
      <c r="A2158"/>
      <c r="D2158"/>
      <c r="G2158"/>
      <c r="H2158" s="20"/>
      <c r="I2158" s="20"/>
      <c r="J2158" s="20"/>
      <c r="K2158" s="20"/>
      <c r="L2158" s="20"/>
      <c r="Q2158" s="83"/>
      <c r="Y2158" s="20"/>
      <c r="AP2158" s="92"/>
      <c r="AQ2158" s="67"/>
      <c r="AR2158" s="67"/>
      <c r="AS2158" s="73"/>
      <c r="AT2158" s="67"/>
      <c r="AU2158" s="67"/>
      <c r="AV2158" s="73"/>
      <c r="AW2158" s="68"/>
      <c r="AX2158" s="68"/>
      <c r="AY2158" s="68"/>
      <c r="AZ2158" s="68"/>
      <c r="BA2158" s="68"/>
      <c r="BB2158" s="67"/>
      <c r="BC2158" s="67"/>
      <c r="BD2158" s="67"/>
      <c r="BE2158" s="67"/>
      <c r="BF2158" s="95"/>
    </row>
    <row r="2159" spans="1:58" x14ac:dyDescent="0.35">
      <c r="A2159"/>
      <c r="D2159"/>
      <c r="G2159"/>
      <c r="H2159" s="20"/>
      <c r="I2159" s="20"/>
      <c r="J2159" s="20"/>
      <c r="K2159" s="20"/>
      <c r="L2159" s="20"/>
      <c r="Q2159" s="83"/>
      <c r="Y2159" s="20"/>
      <c r="AP2159" s="93"/>
      <c r="AQ2159" s="31"/>
      <c r="AR2159" s="31"/>
      <c r="AS2159" s="94"/>
      <c r="AT2159" s="31"/>
      <c r="AU2159" s="31"/>
      <c r="AV2159" s="94"/>
      <c r="AW2159" s="32"/>
      <c r="AX2159" s="32"/>
      <c r="AY2159" s="32"/>
      <c r="AZ2159" s="32"/>
      <c r="BA2159" s="32"/>
      <c r="BB2159" s="31"/>
      <c r="BC2159" s="31"/>
      <c r="BD2159" s="31"/>
      <c r="BE2159" s="31"/>
      <c r="BF2159" s="96"/>
    </row>
    <row r="2160" spans="1:58" x14ac:dyDescent="0.35">
      <c r="A2160"/>
      <c r="D2160"/>
      <c r="G2160"/>
      <c r="H2160" s="20"/>
      <c r="I2160" s="20"/>
      <c r="J2160" s="20"/>
      <c r="K2160" s="20"/>
      <c r="L2160" s="20"/>
      <c r="Q2160" s="83"/>
      <c r="Y2160" s="20"/>
      <c r="AP2160" s="92"/>
      <c r="AQ2160" s="67"/>
      <c r="AR2160" s="67"/>
      <c r="AS2160" s="73"/>
      <c r="AT2160" s="67"/>
      <c r="AU2160" s="67"/>
      <c r="AV2160" s="73"/>
      <c r="AW2160" s="68"/>
      <c r="AX2160" s="68"/>
      <c r="AY2160" s="68"/>
      <c r="AZ2160" s="68"/>
      <c r="BA2160" s="68"/>
      <c r="BB2160" s="67"/>
      <c r="BC2160" s="67"/>
      <c r="BD2160" s="67"/>
      <c r="BE2160" s="67"/>
      <c r="BF2160" s="95"/>
    </row>
    <row r="2161" spans="1:58" x14ac:dyDescent="0.35">
      <c r="A2161"/>
      <c r="D2161"/>
      <c r="G2161"/>
      <c r="H2161" s="20"/>
      <c r="I2161" s="20"/>
      <c r="J2161" s="20"/>
      <c r="K2161" s="20"/>
      <c r="L2161" s="20"/>
      <c r="Q2161" s="83"/>
      <c r="Y2161" s="20"/>
      <c r="AP2161" s="93"/>
      <c r="AQ2161" s="31"/>
      <c r="AR2161" s="31"/>
      <c r="AS2161" s="94"/>
      <c r="AT2161" s="31"/>
      <c r="AU2161" s="31"/>
      <c r="AV2161" s="94"/>
      <c r="AW2161" s="32"/>
      <c r="AX2161" s="32"/>
      <c r="AY2161" s="32"/>
      <c r="AZ2161" s="32"/>
      <c r="BA2161" s="32"/>
      <c r="BB2161" s="31"/>
      <c r="BC2161" s="31"/>
      <c r="BD2161" s="31"/>
      <c r="BE2161" s="31"/>
      <c r="BF2161" s="96"/>
    </row>
    <row r="2162" spans="1:58" x14ac:dyDescent="0.35">
      <c r="A2162"/>
      <c r="D2162"/>
      <c r="G2162"/>
      <c r="H2162" s="20"/>
      <c r="I2162" s="20"/>
      <c r="J2162" s="20"/>
      <c r="K2162" s="20"/>
      <c r="L2162" s="20"/>
      <c r="Q2162" s="83"/>
      <c r="Y2162" s="20"/>
      <c r="AP2162" s="92"/>
      <c r="AQ2162" s="67"/>
      <c r="AR2162" s="67"/>
      <c r="AS2162" s="73"/>
      <c r="AT2162" s="67"/>
      <c r="AU2162" s="67"/>
      <c r="AV2162" s="73"/>
      <c r="AW2162" s="68"/>
      <c r="AX2162" s="68"/>
      <c r="AY2162" s="68"/>
      <c r="AZ2162" s="68"/>
      <c r="BA2162" s="68"/>
      <c r="BB2162" s="67"/>
      <c r="BC2162" s="67"/>
      <c r="BD2162" s="67"/>
      <c r="BE2162" s="67"/>
      <c r="BF2162" s="95"/>
    </row>
    <row r="2163" spans="1:58" x14ac:dyDescent="0.35">
      <c r="A2163"/>
      <c r="D2163"/>
      <c r="G2163"/>
      <c r="H2163" s="20"/>
      <c r="I2163" s="20"/>
      <c r="J2163" s="20"/>
      <c r="K2163" s="20"/>
      <c r="L2163" s="20"/>
      <c r="Q2163" s="83"/>
      <c r="Y2163" s="20"/>
      <c r="AP2163" s="93"/>
      <c r="AQ2163" s="31"/>
      <c r="AR2163" s="31"/>
      <c r="AS2163" s="94"/>
      <c r="AT2163" s="31"/>
      <c r="AU2163" s="31"/>
      <c r="AV2163" s="94"/>
      <c r="AW2163" s="32"/>
      <c r="AX2163" s="32"/>
      <c r="AY2163" s="32"/>
      <c r="AZ2163" s="32"/>
      <c r="BA2163" s="32"/>
      <c r="BB2163" s="31"/>
      <c r="BC2163" s="31"/>
      <c r="BD2163" s="31"/>
      <c r="BE2163" s="31"/>
      <c r="BF2163" s="96"/>
    </row>
    <row r="2164" spans="1:58" x14ac:dyDescent="0.35">
      <c r="A2164"/>
      <c r="D2164"/>
      <c r="G2164"/>
      <c r="H2164" s="20"/>
      <c r="I2164" s="20"/>
      <c r="J2164" s="20"/>
      <c r="K2164" s="20"/>
      <c r="L2164" s="20"/>
      <c r="Q2164" s="83"/>
      <c r="Y2164" s="20"/>
      <c r="AP2164" s="92"/>
      <c r="AQ2164" s="67"/>
      <c r="AR2164" s="67"/>
      <c r="AS2164" s="73"/>
      <c r="AT2164" s="67"/>
      <c r="AU2164" s="67"/>
      <c r="AV2164" s="73"/>
      <c r="AW2164" s="68"/>
      <c r="AX2164" s="68"/>
      <c r="AY2164" s="68"/>
      <c r="AZ2164" s="68"/>
      <c r="BA2164" s="68"/>
      <c r="BB2164" s="67"/>
      <c r="BC2164" s="67"/>
      <c r="BD2164" s="67"/>
      <c r="BE2164" s="67"/>
      <c r="BF2164" s="95"/>
    </row>
    <row r="2165" spans="1:58" x14ac:dyDescent="0.35">
      <c r="A2165"/>
      <c r="D2165"/>
      <c r="G2165"/>
      <c r="H2165" s="20"/>
      <c r="I2165" s="20"/>
      <c r="J2165" s="20"/>
      <c r="K2165" s="20"/>
      <c r="L2165" s="20"/>
      <c r="Q2165" s="83"/>
      <c r="Y2165" s="20"/>
      <c r="AP2165" s="93"/>
      <c r="AQ2165" s="31"/>
      <c r="AR2165" s="31"/>
      <c r="AS2165" s="94"/>
      <c r="AT2165" s="31"/>
      <c r="AU2165" s="31"/>
      <c r="AV2165" s="94"/>
      <c r="AW2165" s="32"/>
      <c r="AX2165" s="32"/>
      <c r="AY2165" s="32"/>
      <c r="AZ2165" s="32"/>
      <c r="BA2165" s="32"/>
      <c r="BB2165" s="31"/>
      <c r="BC2165" s="31"/>
      <c r="BD2165" s="31"/>
      <c r="BE2165" s="31"/>
      <c r="BF2165" s="96"/>
    </row>
    <row r="2166" spans="1:58" x14ac:dyDescent="0.35">
      <c r="A2166"/>
      <c r="D2166"/>
      <c r="G2166"/>
      <c r="H2166" s="20"/>
      <c r="I2166" s="20"/>
      <c r="J2166" s="20"/>
      <c r="K2166" s="20"/>
      <c r="L2166" s="20"/>
      <c r="Q2166" s="83"/>
      <c r="Y2166" s="20"/>
      <c r="AP2166" s="92"/>
      <c r="AQ2166" s="67"/>
      <c r="AR2166" s="67"/>
      <c r="AS2166" s="73"/>
      <c r="AT2166" s="67"/>
      <c r="AU2166" s="67"/>
      <c r="AV2166" s="73"/>
      <c r="AW2166" s="68"/>
      <c r="AX2166" s="68"/>
      <c r="AY2166" s="68"/>
      <c r="AZ2166" s="68"/>
      <c r="BA2166" s="68"/>
      <c r="BB2166" s="67"/>
      <c r="BC2166" s="67"/>
      <c r="BD2166" s="67"/>
      <c r="BE2166" s="67"/>
      <c r="BF2166" s="95"/>
    </row>
    <row r="2167" spans="1:58" x14ac:dyDescent="0.35">
      <c r="A2167"/>
      <c r="D2167"/>
      <c r="G2167"/>
      <c r="H2167" s="20"/>
      <c r="I2167" s="20"/>
      <c r="J2167" s="20"/>
      <c r="K2167" s="20"/>
      <c r="L2167" s="20"/>
      <c r="Q2167" s="83"/>
      <c r="Y2167" s="20"/>
      <c r="AP2167" s="93"/>
      <c r="AQ2167" s="31"/>
      <c r="AR2167" s="31"/>
      <c r="AS2167" s="94"/>
      <c r="AT2167" s="31"/>
      <c r="AU2167" s="31"/>
      <c r="AV2167" s="94"/>
      <c r="AW2167" s="32"/>
      <c r="AX2167" s="32"/>
      <c r="AY2167" s="32"/>
      <c r="AZ2167" s="32"/>
      <c r="BA2167" s="32"/>
      <c r="BB2167" s="31"/>
      <c r="BC2167" s="31"/>
      <c r="BD2167" s="31"/>
      <c r="BE2167" s="31"/>
      <c r="BF2167" s="96"/>
    </row>
    <row r="2168" spans="1:58" x14ac:dyDescent="0.35">
      <c r="A2168"/>
      <c r="D2168"/>
      <c r="G2168"/>
      <c r="H2168" s="20"/>
      <c r="I2168" s="20"/>
      <c r="J2168" s="20"/>
      <c r="K2168" s="20"/>
      <c r="L2168" s="20"/>
      <c r="Q2168" s="83"/>
      <c r="Y2168" s="20"/>
      <c r="AP2168" s="92"/>
      <c r="AQ2168" s="67"/>
      <c r="AR2168" s="67"/>
      <c r="AS2168" s="73"/>
      <c r="AT2168" s="67"/>
      <c r="AU2168" s="67"/>
      <c r="AV2168" s="73"/>
      <c r="AW2168" s="68"/>
      <c r="AX2168" s="68"/>
      <c r="AY2168" s="68"/>
      <c r="AZ2168" s="68"/>
      <c r="BA2168" s="68"/>
      <c r="BB2168" s="67"/>
      <c r="BC2168" s="67"/>
      <c r="BD2168" s="67"/>
      <c r="BE2168" s="67"/>
      <c r="BF2168" s="95"/>
    </row>
    <row r="2169" spans="1:58" x14ac:dyDescent="0.35">
      <c r="A2169"/>
      <c r="D2169"/>
      <c r="G2169"/>
      <c r="H2169" s="20"/>
      <c r="I2169" s="20"/>
      <c r="J2169" s="20"/>
      <c r="K2169" s="20"/>
      <c r="L2169" s="20"/>
      <c r="Q2169" s="83"/>
      <c r="Y2169" s="20"/>
      <c r="AP2169" s="93"/>
      <c r="AQ2169" s="31"/>
      <c r="AR2169" s="31"/>
      <c r="AS2169" s="94"/>
      <c r="AT2169" s="31"/>
      <c r="AU2169" s="31"/>
      <c r="AV2169" s="94"/>
      <c r="AW2169" s="32"/>
      <c r="AX2169" s="32"/>
      <c r="AY2169" s="32"/>
      <c r="AZ2169" s="32"/>
      <c r="BA2169" s="32"/>
      <c r="BB2169" s="31"/>
      <c r="BC2169" s="31"/>
      <c r="BD2169" s="31"/>
      <c r="BE2169" s="31"/>
      <c r="BF2169" s="96"/>
    </row>
    <row r="2170" spans="1:58" x14ac:dyDescent="0.35">
      <c r="A2170"/>
      <c r="D2170"/>
      <c r="G2170"/>
      <c r="H2170" s="20"/>
      <c r="I2170" s="20"/>
      <c r="J2170" s="20"/>
      <c r="K2170" s="20"/>
      <c r="L2170" s="20"/>
      <c r="Q2170" s="83"/>
      <c r="Y2170" s="20"/>
      <c r="AP2170" s="92"/>
      <c r="AQ2170" s="67"/>
      <c r="AR2170" s="67"/>
      <c r="AS2170" s="73"/>
      <c r="AT2170" s="67"/>
      <c r="AU2170" s="67"/>
      <c r="AV2170" s="73"/>
      <c r="AW2170" s="68"/>
      <c r="AX2170" s="68"/>
      <c r="AY2170" s="68"/>
      <c r="AZ2170" s="68"/>
      <c r="BA2170" s="68"/>
      <c r="BB2170" s="67"/>
      <c r="BC2170" s="67"/>
      <c r="BD2170" s="67"/>
      <c r="BE2170" s="67"/>
      <c r="BF2170" s="95"/>
    </row>
    <row r="2171" spans="1:58" x14ac:dyDescent="0.35">
      <c r="A2171"/>
      <c r="D2171"/>
      <c r="G2171"/>
      <c r="H2171" s="20"/>
      <c r="I2171" s="20"/>
      <c r="J2171" s="20"/>
      <c r="K2171" s="20"/>
      <c r="L2171" s="20"/>
      <c r="Q2171" s="83"/>
      <c r="Y2171" s="20"/>
      <c r="AP2171" s="93"/>
      <c r="AQ2171" s="31"/>
      <c r="AR2171" s="31"/>
      <c r="AS2171" s="94"/>
      <c r="AT2171" s="31"/>
      <c r="AU2171" s="31"/>
      <c r="AV2171" s="94"/>
      <c r="AW2171" s="32"/>
      <c r="AX2171" s="32"/>
      <c r="AY2171" s="32"/>
      <c r="AZ2171" s="32"/>
      <c r="BA2171" s="32"/>
      <c r="BB2171" s="31"/>
      <c r="BC2171" s="31"/>
      <c r="BD2171" s="31"/>
      <c r="BE2171" s="31"/>
      <c r="BF2171" s="96"/>
    </row>
    <row r="2172" spans="1:58" x14ac:dyDescent="0.35">
      <c r="A2172"/>
      <c r="D2172"/>
      <c r="G2172"/>
      <c r="H2172" s="20"/>
      <c r="I2172" s="20"/>
      <c r="J2172" s="20"/>
      <c r="K2172" s="20"/>
      <c r="L2172" s="20"/>
      <c r="Q2172" s="83"/>
      <c r="Y2172" s="20"/>
      <c r="AP2172" s="92"/>
      <c r="AQ2172" s="67"/>
      <c r="AR2172" s="67"/>
      <c r="AS2172" s="73"/>
      <c r="AT2172" s="67"/>
      <c r="AU2172" s="67"/>
      <c r="AV2172" s="73"/>
      <c r="AW2172" s="68"/>
      <c r="AX2172" s="68"/>
      <c r="AY2172" s="68"/>
      <c r="AZ2172" s="68"/>
      <c r="BA2172" s="68"/>
      <c r="BB2172" s="67"/>
      <c r="BC2172" s="67"/>
      <c r="BD2172" s="67"/>
      <c r="BE2172" s="67"/>
      <c r="BF2172" s="95"/>
    </row>
    <row r="2173" spans="1:58" x14ac:dyDescent="0.35">
      <c r="A2173"/>
      <c r="D2173"/>
      <c r="G2173"/>
      <c r="H2173" s="20"/>
      <c r="I2173" s="20"/>
      <c r="J2173" s="20"/>
      <c r="K2173" s="20"/>
      <c r="L2173" s="20"/>
      <c r="Q2173" s="83"/>
      <c r="Y2173" s="20"/>
      <c r="AP2173" s="93"/>
      <c r="AQ2173" s="31"/>
      <c r="AR2173" s="31"/>
      <c r="AS2173" s="94"/>
      <c r="AT2173" s="31"/>
      <c r="AU2173" s="31"/>
      <c r="AV2173" s="94"/>
      <c r="AW2173" s="32"/>
      <c r="AX2173" s="32"/>
      <c r="AY2173" s="32"/>
      <c r="AZ2173" s="32"/>
      <c r="BA2173" s="32"/>
      <c r="BB2173" s="31"/>
      <c r="BC2173" s="31"/>
      <c r="BD2173" s="31"/>
      <c r="BE2173" s="31"/>
      <c r="BF2173" s="96"/>
    </row>
    <row r="2174" spans="1:58" x14ac:dyDescent="0.35">
      <c r="A2174"/>
      <c r="D2174"/>
      <c r="G2174"/>
      <c r="H2174" s="20"/>
      <c r="I2174" s="20"/>
      <c r="J2174" s="20"/>
      <c r="K2174" s="20"/>
      <c r="L2174" s="20"/>
      <c r="Q2174" s="83"/>
      <c r="Y2174" s="20"/>
      <c r="AP2174" s="92"/>
      <c r="AQ2174" s="67"/>
      <c r="AR2174" s="67"/>
      <c r="AS2174" s="73"/>
      <c r="AT2174" s="67"/>
      <c r="AU2174" s="67"/>
      <c r="AV2174" s="73"/>
      <c r="AW2174" s="68"/>
      <c r="AX2174" s="68"/>
      <c r="AY2174" s="68"/>
      <c r="AZ2174" s="68"/>
      <c r="BA2174" s="68"/>
      <c r="BB2174" s="67"/>
      <c r="BC2174" s="67"/>
      <c r="BD2174" s="67"/>
      <c r="BE2174" s="67"/>
      <c r="BF2174" s="95"/>
    </row>
    <row r="2175" spans="1:58" x14ac:dyDescent="0.35">
      <c r="A2175"/>
      <c r="D2175"/>
      <c r="G2175"/>
      <c r="H2175" s="20"/>
      <c r="I2175" s="20"/>
      <c r="J2175" s="20"/>
      <c r="K2175" s="20"/>
      <c r="L2175" s="20"/>
      <c r="Q2175" s="83"/>
      <c r="Y2175" s="20"/>
      <c r="AP2175" s="93"/>
      <c r="AQ2175" s="31"/>
      <c r="AR2175" s="31"/>
      <c r="AS2175" s="94"/>
      <c r="AT2175" s="31"/>
      <c r="AU2175" s="31"/>
      <c r="AV2175" s="94"/>
      <c r="AW2175" s="32"/>
      <c r="AX2175" s="32"/>
      <c r="AY2175" s="32"/>
      <c r="AZ2175" s="32"/>
      <c r="BA2175" s="32"/>
      <c r="BB2175" s="31"/>
      <c r="BC2175" s="31"/>
      <c r="BD2175" s="31"/>
      <c r="BE2175" s="31"/>
      <c r="BF2175" s="96"/>
    </row>
    <row r="2176" spans="1:58" x14ac:dyDescent="0.35">
      <c r="A2176"/>
      <c r="D2176"/>
      <c r="G2176"/>
      <c r="H2176" s="20"/>
      <c r="I2176" s="20"/>
      <c r="J2176" s="20"/>
      <c r="K2176" s="20"/>
      <c r="L2176" s="20"/>
      <c r="Q2176" s="83"/>
      <c r="Y2176" s="20"/>
      <c r="AP2176" s="92"/>
      <c r="AQ2176" s="67"/>
      <c r="AR2176" s="67"/>
      <c r="AS2176" s="73"/>
      <c r="AT2176" s="67"/>
      <c r="AU2176" s="67"/>
      <c r="AV2176" s="73"/>
      <c r="AW2176" s="68"/>
      <c r="AX2176" s="68"/>
      <c r="AY2176" s="68"/>
      <c r="AZ2176" s="68"/>
      <c r="BA2176" s="68"/>
      <c r="BB2176" s="67"/>
      <c r="BC2176" s="67"/>
      <c r="BD2176" s="67"/>
      <c r="BE2176" s="67"/>
      <c r="BF2176" s="95"/>
    </row>
    <row r="2177" spans="1:58" x14ac:dyDescent="0.35">
      <c r="A2177"/>
      <c r="D2177"/>
      <c r="G2177"/>
      <c r="H2177" s="20"/>
      <c r="I2177" s="20"/>
      <c r="J2177" s="20"/>
      <c r="K2177" s="20"/>
      <c r="L2177" s="20"/>
      <c r="Q2177" s="83"/>
      <c r="Y2177" s="20"/>
      <c r="AP2177" s="93"/>
      <c r="AQ2177" s="31"/>
      <c r="AR2177" s="31"/>
      <c r="AS2177" s="94"/>
      <c r="AT2177" s="31"/>
      <c r="AU2177" s="31"/>
      <c r="AV2177" s="94"/>
      <c r="AW2177" s="32"/>
      <c r="AX2177" s="32"/>
      <c r="AY2177" s="32"/>
      <c r="AZ2177" s="32"/>
      <c r="BA2177" s="32"/>
      <c r="BB2177" s="31"/>
      <c r="BC2177" s="31"/>
      <c r="BD2177" s="31"/>
      <c r="BE2177" s="31"/>
      <c r="BF2177" s="96"/>
    </row>
    <row r="2178" spans="1:58" x14ac:dyDescent="0.35">
      <c r="A2178"/>
      <c r="D2178"/>
      <c r="G2178"/>
      <c r="H2178" s="20"/>
      <c r="I2178" s="20"/>
      <c r="J2178" s="20"/>
      <c r="K2178" s="20"/>
      <c r="L2178" s="20"/>
      <c r="Q2178" s="83"/>
      <c r="Y2178" s="20"/>
      <c r="AP2178" s="92"/>
      <c r="AQ2178" s="67"/>
      <c r="AR2178" s="67"/>
      <c r="AS2178" s="73"/>
      <c r="AT2178" s="67"/>
      <c r="AU2178" s="67"/>
      <c r="AV2178" s="73"/>
      <c r="AW2178" s="68"/>
      <c r="AX2178" s="68"/>
      <c r="AY2178" s="68"/>
      <c r="AZ2178" s="68"/>
      <c r="BA2178" s="68"/>
      <c r="BB2178" s="67"/>
      <c r="BC2178" s="67"/>
      <c r="BD2178" s="67"/>
      <c r="BE2178" s="67"/>
      <c r="BF2178" s="95"/>
    </row>
    <row r="2179" spans="1:58" x14ac:dyDescent="0.35">
      <c r="A2179"/>
      <c r="D2179"/>
      <c r="G2179"/>
      <c r="H2179" s="20"/>
      <c r="I2179" s="20"/>
      <c r="J2179" s="20"/>
      <c r="K2179" s="20"/>
      <c r="L2179" s="20"/>
      <c r="Q2179" s="83"/>
      <c r="Y2179" s="20"/>
      <c r="AP2179" s="93"/>
      <c r="AQ2179" s="31"/>
      <c r="AR2179" s="31"/>
      <c r="AS2179" s="94"/>
      <c r="AT2179" s="31"/>
      <c r="AU2179" s="31"/>
      <c r="AV2179" s="94"/>
      <c r="AW2179" s="32"/>
      <c r="AX2179" s="32"/>
      <c r="AY2179" s="32"/>
      <c r="AZ2179" s="32"/>
      <c r="BA2179" s="32"/>
      <c r="BB2179" s="31"/>
      <c r="BC2179" s="31"/>
      <c r="BD2179" s="31"/>
      <c r="BE2179" s="31"/>
      <c r="BF2179" s="96"/>
    </row>
    <row r="2180" spans="1:58" x14ac:dyDescent="0.35">
      <c r="A2180"/>
      <c r="D2180"/>
      <c r="G2180"/>
      <c r="H2180" s="20"/>
      <c r="I2180" s="20"/>
      <c r="J2180" s="20"/>
      <c r="K2180" s="20"/>
      <c r="L2180" s="20"/>
      <c r="Q2180" s="83"/>
      <c r="Y2180" s="20"/>
      <c r="AP2180" s="92"/>
      <c r="AQ2180" s="67"/>
      <c r="AR2180" s="67"/>
      <c r="AS2180" s="73"/>
      <c r="AT2180" s="67"/>
      <c r="AU2180" s="67"/>
      <c r="AV2180" s="73"/>
      <c r="AW2180" s="68"/>
      <c r="AX2180" s="68"/>
      <c r="AY2180" s="68"/>
      <c r="AZ2180" s="68"/>
      <c r="BA2180" s="68"/>
      <c r="BB2180" s="67"/>
      <c r="BC2180" s="67"/>
      <c r="BD2180" s="67"/>
      <c r="BE2180" s="67"/>
      <c r="BF2180" s="95"/>
    </row>
    <row r="2181" spans="1:58" x14ac:dyDescent="0.35">
      <c r="A2181"/>
      <c r="D2181"/>
      <c r="G2181"/>
      <c r="H2181" s="20"/>
      <c r="I2181" s="20"/>
      <c r="J2181" s="20"/>
      <c r="K2181" s="20"/>
      <c r="L2181" s="20"/>
      <c r="Q2181" s="83"/>
      <c r="Y2181" s="20"/>
      <c r="AP2181" s="93"/>
      <c r="AQ2181" s="31"/>
      <c r="AR2181" s="31"/>
      <c r="AS2181" s="94"/>
      <c r="AT2181" s="31"/>
      <c r="AU2181" s="31"/>
      <c r="AV2181" s="94"/>
      <c r="AW2181" s="32"/>
      <c r="AX2181" s="32"/>
      <c r="AY2181" s="32"/>
      <c r="AZ2181" s="32"/>
      <c r="BA2181" s="32"/>
      <c r="BB2181" s="31"/>
      <c r="BC2181" s="31"/>
      <c r="BD2181" s="31"/>
      <c r="BE2181" s="31"/>
      <c r="BF2181" s="96"/>
    </row>
    <row r="2182" spans="1:58" x14ac:dyDescent="0.35">
      <c r="A2182"/>
      <c r="D2182"/>
      <c r="G2182"/>
      <c r="H2182" s="20"/>
      <c r="I2182" s="20"/>
      <c r="J2182" s="20"/>
      <c r="K2182" s="20"/>
      <c r="L2182" s="20"/>
      <c r="Q2182" s="83"/>
      <c r="Y2182" s="20"/>
      <c r="AP2182" s="92"/>
      <c r="AQ2182" s="67"/>
      <c r="AR2182" s="67"/>
      <c r="AS2182" s="73"/>
      <c r="AT2182" s="67"/>
      <c r="AU2182" s="67"/>
      <c r="AV2182" s="73"/>
      <c r="AW2182" s="68"/>
      <c r="AX2182" s="68"/>
      <c r="AY2182" s="68"/>
      <c r="AZ2182" s="68"/>
      <c r="BA2182" s="68"/>
      <c r="BB2182" s="67"/>
      <c r="BC2182" s="67"/>
      <c r="BD2182" s="67"/>
      <c r="BE2182" s="67"/>
      <c r="BF2182" s="95"/>
    </row>
    <row r="2183" spans="1:58" x14ac:dyDescent="0.35">
      <c r="A2183"/>
      <c r="D2183"/>
      <c r="G2183"/>
      <c r="H2183" s="20"/>
      <c r="I2183" s="20"/>
      <c r="J2183" s="20"/>
      <c r="K2183" s="20"/>
      <c r="L2183" s="20"/>
      <c r="Q2183" s="83"/>
      <c r="Y2183" s="20"/>
      <c r="AP2183" s="93"/>
      <c r="AQ2183" s="31"/>
      <c r="AR2183" s="31"/>
      <c r="AS2183" s="94"/>
      <c r="AT2183" s="31"/>
      <c r="AU2183" s="31"/>
      <c r="AV2183" s="94"/>
      <c r="AW2183" s="32"/>
      <c r="AX2183" s="32"/>
      <c r="AY2183" s="32"/>
      <c r="AZ2183" s="32"/>
      <c r="BA2183" s="32"/>
      <c r="BB2183" s="31"/>
      <c r="BC2183" s="31"/>
      <c r="BD2183" s="31"/>
      <c r="BE2183" s="31"/>
      <c r="BF2183" s="96"/>
    </row>
    <row r="2184" spans="1:58" x14ac:dyDescent="0.35">
      <c r="A2184"/>
      <c r="D2184"/>
      <c r="G2184"/>
      <c r="H2184" s="20"/>
      <c r="I2184" s="20"/>
      <c r="J2184" s="20"/>
      <c r="K2184" s="20"/>
      <c r="L2184" s="20"/>
      <c r="Q2184" s="83"/>
      <c r="Y2184" s="20"/>
      <c r="AP2184" s="92"/>
      <c r="AQ2184" s="67"/>
      <c r="AR2184" s="67"/>
      <c r="AS2184" s="73"/>
      <c r="AT2184" s="67"/>
      <c r="AU2184" s="67"/>
      <c r="AV2184" s="73"/>
      <c r="AW2184" s="68"/>
      <c r="AX2184" s="68"/>
      <c r="AY2184" s="68"/>
      <c r="AZ2184" s="68"/>
      <c r="BA2184" s="68"/>
      <c r="BB2184" s="67"/>
      <c r="BC2184" s="67"/>
      <c r="BD2184" s="67"/>
      <c r="BE2184" s="67"/>
      <c r="BF2184" s="95"/>
    </row>
    <row r="2185" spans="1:58" x14ac:dyDescent="0.35">
      <c r="A2185"/>
      <c r="D2185"/>
      <c r="G2185"/>
      <c r="H2185" s="20"/>
      <c r="I2185" s="20"/>
      <c r="J2185" s="20"/>
      <c r="K2185" s="20"/>
      <c r="L2185" s="20"/>
      <c r="Q2185" s="83"/>
      <c r="Y2185" s="20"/>
      <c r="AP2185" s="93"/>
      <c r="AQ2185" s="31"/>
      <c r="AR2185" s="31"/>
      <c r="AS2185" s="94"/>
      <c r="AT2185" s="31"/>
      <c r="AU2185" s="31"/>
      <c r="AV2185" s="94"/>
      <c r="AW2185" s="32"/>
      <c r="AX2185" s="32"/>
      <c r="AY2185" s="32"/>
      <c r="AZ2185" s="32"/>
      <c r="BA2185" s="32"/>
      <c r="BB2185" s="31"/>
      <c r="BC2185" s="31"/>
      <c r="BD2185" s="31"/>
      <c r="BE2185" s="31"/>
      <c r="BF2185" s="96"/>
    </row>
    <row r="2186" spans="1:58" x14ac:dyDescent="0.35">
      <c r="A2186"/>
      <c r="D2186"/>
      <c r="G2186"/>
      <c r="H2186" s="20"/>
      <c r="I2186" s="20"/>
      <c r="J2186" s="20"/>
      <c r="K2186" s="20"/>
      <c r="L2186" s="20"/>
      <c r="Q2186" s="83"/>
      <c r="Y2186" s="20"/>
      <c r="AP2186" s="92"/>
      <c r="AQ2186" s="67"/>
      <c r="AR2186" s="67"/>
      <c r="AS2186" s="73"/>
      <c r="AT2186" s="67"/>
      <c r="AU2186" s="67"/>
      <c r="AV2186" s="73"/>
      <c r="AW2186" s="68"/>
      <c r="AX2186" s="68"/>
      <c r="AY2186" s="68"/>
      <c r="AZ2186" s="68"/>
      <c r="BA2186" s="68"/>
      <c r="BB2186" s="67"/>
      <c r="BC2186" s="67"/>
      <c r="BD2186" s="67"/>
      <c r="BE2186" s="67"/>
      <c r="BF2186" s="95"/>
    </row>
    <row r="2187" spans="1:58" x14ac:dyDescent="0.35">
      <c r="AP2187" s="93"/>
      <c r="AQ2187" s="31"/>
      <c r="AR2187" s="31"/>
      <c r="AS2187" s="94"/>
      <c r="AT2187" s="31"/>
      <c r="AU2187" s="31"/>
      <c r="AV2187" s="94"/>
      <c r="AW2187" s="32"/>
      <c r="AX2187" s="32"/>
      <c r="AY2187" s="32"/>
      <c r="AZ2187" s="32"/>
      <c r="BA2187" s="32"/>
      <c r="BB2187" s="31"/>
      <c r="BC2187" s="31"/>
      <c r="BD2187" s="31"/>
      <c r="BE2187" s="31"/>
      <c r="BF2187" s="96"/>
    </row>
    <row r="2188" spans="1:58" x14ac:dyDescent="0.35">
      <c r="AP2188" s="92"/>
      <c r="AQ2188" s="67"/>
      <c r="AR2188" s="67"/>
      <c r="AS2188" s="73"/>
      <c r="AT2188" s="67"/>
      <c r="AU2188" s="67"/>
      <c r="AV2188" s="73"/>
      <c r="AW2188" s="68"/>
      <c r="AX2188" s="68"/>
      <c r="AY2188" s="68"/>
      <c r="AZ2188" s="68"/>
      <c r="BA2188" s="68"/>
      <c r="BB2188" s="67"/>
      <c r="BC2188" s="67"/>
      <c r="BD2188" s="67"/>
      <c r="BE2188" s="67"/>
      <c r="BF2188" s="95"/>
    </row>
    <row r="2189" spans="1:58" x14ac:dyDescent="0.35">
      <c r="AP2189" s="93"/>
      <c r="AQ2189" s="31"/>
      <c r="AR2189" s="31"/>
      <c r="AS2189" s="94"/>
      <c r="AT2189" s="31"/>
      <c r="AU2189" s="31"/>
      <c r="AV2189" s="94"/>
      <c r="AW2189" s="32"/>
      <c r="AX2189" s="32"/>
      <c r="AY2189" s="32"/>
      <c r="AZ2189" s="32"/>
      <c r="BA2189" s="32"/>
      <c r="BB2189" s="31"/>
      <c r="BC2189" s="31"/>
      <c r="BD2189" s="31"/>
      <c r="BE2189" s="31"/>
      <c r="BF2189" s="96"/>
    </row>
    <row r="2190" spans="1:58" x14ac:dyDescent="0.35">
      <c r="AP2190" s="92"/>
      <c r="AQ2190" s="67"/>
      <c r="AR2190" s="67"/>
      <c r="AS2190" s="73"/>
      <c r="AT2190" s="67"/>
      <c r="AU2190" s="67"/>
      <c r="AV2190" s="73"/>
      <c r="AW2190" s="68"/>
      <c r="AX2190" s="68"/>
      <c r="AY2190" s="68"/>
      <c r="AZ2190" s="68"/>
      <c r="BA2190" s="68"/>
      <c r="BB2190" s="67"/>
      <c r="BC2190" s="67"/>
      <c r="BD2190" s="67"/>
      <c r="BE2190" s="67"/>
      <c r="BF2190" s="95"/>
    </row>
    <row r="2191" spans="1:58" x14ac:dyDescent="0.35">
      <c r="AP2191" s="93"/>
      <c r="AQ2191" s="31"/>
      <c r="AR2191" s="31"/>
      <c r="AS2191" s="94"/>
      <c r="AT2191" s="31"/>
      <c r="AU2191" s="31"/>
      <c r="AV2191" s="94"/>
      <c r="AW2191" s="32"/>
      <c r="AX2191" s="32"/>
      <c r="AY2191" s="32"/>
      <c r="AZ2191" s="32"/>
      <c r="BA2191" s="32"/>
      <c r="BB2191" s="31"/>
      <c r="BC2191" s="31"/>
      <c r="BD2191" s="31"/>
      <c r="BE2191" s="31"/>
      <c r="BF2191" s="96"/>
    </row>
    <row r="2192" spans="1:58" x14ac:dyDescent="0.35">
      <c r="AP2192" s="92"/>
      <c r="AQ2192" s="67"/>
      <c r="AR2192" s="67"/>
      <c r="AS2192" s="73"/>
      <c r="AT2192" s="67"/>
      <c r="AU2192" s="67"/>
      <c r="AV2192" s="73"/>
      <c r="AW2192" s="68"/>
      <c r="AX2192" s="68"/>
      <c r="AY2192" s="68"/>
      <c r="AZ2192" s="68"/>
      <c r="BA2192" s="68"/>
      <c r="BB2192" s="67"/>
      <c r="BC2192" s="67"/>
      <c r="BD2192" s="67"/>
      <c r="BE2192" s="67"/>
      <c r="BF2192" s="95"/>
    </row>
    <row r="2193" spans="42:58" x14ac:dyDescent="0.35">
      <c r="AP2193" s="93"/>
      <c r="AQ2193" s="31"/>
      <c r="AR2193" s="31"/>
      <c r="AS2193" s="94"/>
      <c r="AT2193" s="31"/>
      <c r="AU2193" s="31"/>
      <c r="AV2193" s="94"/>
      <c r="AW2193" s="32"/>
      <c r="AX2193" s="32"/>
      <c r="AY2193" s="32"/>
      <c r="AZ2193" s="32"/>
      <c r="BA2193" s="32"/>
      <c r="BB2193" s="31"/>
      <c r="BC2193" s="31"/>
      <c r="BD2193" s="31"/>
      <c r="BE2193" s="31"/>
      <c r="BF2193" s="96"/>
    </row>
    <row r="2194" spans="42:58" x14ac:dyDescent="0.35">
      <c r="AP2194" s="92"/>
      <c r="AQ2194" s="67"/>
      <c r="AR2194" s="67"/>
      <c r="AS2194" s="73"/>
      <c r="AT2194" s="67"/>
      <c r="AU2194" s="67"/>
      <c r="AV2194" s="73"/>
      <c r="AW2194" s="68"/>
      <c r="AX2194" s="68"/>
      <c r="AY2194" s="68"/>
      <c r="AZ2194" s="68"/>
      <c r="BA2194" s="68"/>
      <c r="BB2194" s="67"/>
      <c r="BC2194" s="67"/>
      <c r="BD2194" s="67"/>
      <c r="BE2194" s="67"/>
      <c r="BF2194" s="95"/>
    </row>
    <row r="2195" spans="42:58" x14ac:dyDescent="0.35">
      <c r="AP2195" s="93"/>
      <c r="AQ2195" s="31"/>
      <c r="AR2195" s="31"/>
      <c r="AS2195" s="94"/>
      <c r="AT2195" s="31"/>
      <c r="AU2195" s="31"/>
      <c r="AV2195" s="94"/>
      <c r="AW2195" s="32"/>
      <c r="AX2195" s="32"/>
      <c r="AY2195" s="32"/>
      <c r="AZ2195" s="32"/>
      <c r="BA2195" s="32"/>
      <c r="BB2195" s="31"/>
      <c r="BC2195" s="31"/>
      <c r="BD2195" s="31"/>
      <c r="BE2195" s="31"/>
      <c r="BF2195" s="96"/>
    </row>
    <row r="2196" spans="42:58" x14ac:dyDescent="0.35">
      <c r="AP2196" s="92"/>
      <c r="AQ2196" s="67"/>
      <c r="AR2196" s="67"/>
      <c r="AS2196" s="73"/>
      <c r="AT2196" s="67"/>
      <c r="AU2196" s="67"/>
      <c r="AV2196" s="73"/>
      <c r="AW2196" s="68"/>
      <c r="AX2196" s="68"/>
      <c r="AY2196" s="68"/>
      <c r="AZ2196" s="68"/>
      <c r="BA2196" s="68"/>
      <c r="BB2196" s="67"/>
      <c r="BC2196" s="67"/>
      <c r="BD2196" s="67"/>
      <c r="BE2196" s="67"/>
      <c r="BF2196" s="95"/>
    </row>
    <row r="2197" spans="42:58" x14ac:dyDescent="0.35">
      <c r="AP2197" s="93"/>
      <c r="AQ2197" s="31"/>
      <c r="AR2197" s="31"/>
      <c r="AS2197" s="94"/>
      <c r="AT2197" s="31"/>
      <c r="AU2197" s="31"/>
      <c r="AV2197" s="94"/>
      <c r="AW2197" s="32"/>
      <c r="AX2197" s="32"/>
      <c r="AY2197" s="32"/>
      <c r="AZ2197" s="32"/>
      <c r="BA2197" s="32"/>
      <c r="BB2197" s="31"/>
      <c r="BC2197" s="31"/>
      <c r="BD2197" s="31"/>
      <c r="BE2197" s="31"/>
      <c r="BF2197" s="96"/>
    </row>
    <row r="2198" spans="42:58" x14ac:dyDescent="0.35">
      <c r="AP2198" s="92"/>
      <c r="AQ2198" s="67"/>
      <c r="AR2198" s="67"/>
      <c r="AS2198" s="73"/>
      <c r="AT2198" s="67"/>
      <c r="AU2198" s="67"/>
      <c r="AV2198" s="73"/>
      <c r="AW2198" s="68"/>
      <c r="AX2198" s="68"/>
      <c r="AY2198" s="68"/>
      <c r="AZ2198" s="68"/>
      <c r="BA2198" s="68"/>
      <c r="BB2198" s="67"/>
      <c r="BC2198" s="67"/>
      <c r="BD2198" s="67"/>
      <c r="BE2198" s="67"/>
      <c r="BF2198" s="95"/>
    </row>
    <row r="2199" spans="42:58" x14ac:dyDescent="0.35">
      <c r="AP2199" s="93"/>
      <c r="AQ2199" s="31"/>
      <c r="AR2199" s="31"/>
      <c r="AS2199" s="94"/>
      <c r="AT2199" s="31"/>
      <c r="AU2199" s="31"/>
      <c r="AV2199" s="94"/>
      <c r="AW2199" s="32"/>
      <c r="AX2199" s="32"/>
      <c r="AY2199" s="32"/>
      <c r="AZ2199" s="32"/>
      <c r="BA2199" s="32"/>
      <c r="BB2199" s="31"/>
      <c r="BC2199" s="31"/>
      <c r="BD2199" s="31"/>
      <c r="BE2199" s="31"/>
      <c r="BF2199" s="96"/>
    </row>
    <row r="2200" spans="42:58" x14ac:dyDescent="0.35">
      <c r="AP2200" s="92"/>
      <c r="AQ2200" s="67"/>
      <c r="AR2200" s="67"/>
      <c r="AS2200" s="73"/>
      <c r="AT2200" s="67"/>
      <c r="AU2200" s="67"/>
      <c r="AV2200" s="73"/>
      <c r="AW2200" s="68"/>
      <c r="AX2200" s="68"/>
      <c r="AY2200" s="68"/>
      <c r="AZ2200" s="68"/>
      <c r="BA2200" s="68"/>
      <c r="BB2200" s="67"/>
      <c r="BC2200" s="67"/>
      <c r="BD2200" s="67"/>
      <c r="BE2200" s="67"/>
      <c r="BF2200" s="95"/>
    </row>
    <row r="2201" spans="42:58" x14ac:dyDescent="0.35">
      <c r="AP2201" s="93"/>
      <c r="AQ2201" s="31"/>
      <c r="AR2201" s="31"/>
      <c r="AS2201" s="94"/>
      <c r="AT2201" s="31"/>
      <c r="AU2201" s="31"/>
      <c r="AV2201" s="94"/>
      <c r="AW2201" s="32"/>
      <c r="AX2201" s="32"/>
      <c r="AY2201" s="32"/>
      <c r="AZ2201" s="32"/>
      <c r="BA2201" s="32"/>
      <c r="BB2201" s="31"/>
      <c r="BC2201" s="31"/>
      <c r="BD2201" s="31"/>
      <c r="BE2201" s="31"/>
      <c r="BF2201" s="96"/>
    </row>
    <row r="2202" spans="42:58" x14ac:dyDescent="0.35">
      <c r="AP2202" s="92"/>
      <c r="AQ2202" s="67"/>
      <c r="AR2202" s="67"/>
      <c r="AS2202" s="73"/>
      <c r="AT2202" s="67"/>
      <c r="AU2202" s="67"/>
      <c r="AV2202" s="73"/>
      <c r="AW2202" s="68"/>
      <c r="AX2202" s="68"/>
      <c r="AY2202" s="68"/>
      <c r="AZ2202" s="68"/>
      <c r="BA2202" s="68"/>
      <c r="BB2202" s="67"/>
      <c r="BC2202" s="67"/>
      <c r="BD2202" s="67"/>
      <c r="BE2202" s="67"/>
      <c r="BF2202" s="95"/>
    </row>
    <row r="2203" spans="42:58" x14ac:dyDescent="0.35">
      <c r="AP2203" s="93"/>
      <c r="AQ2203" s="31"/>
      <c r="AR2203" s="31"/>
      <c r="AS2203" s="94"/>
      <c r="AT2203" s="31"/>
      <c r="AU2203" s="31"/>
      <c r="AV2203" s="94"/>
      <c r="AW2203" s="32"/>
      <c r="AX2203" s="32"/>
      <c r="AY2203" s="32"/>
      <c r="AZ2203" s="32"/>
      <c r="BA2203" s="32"/>
      <c r="BB2203" s="31"/>
      <c r="BC2203" s="31"/>
      <c r="BD2203" s="31"/>
      <c r="BE2203" s="31"/>
      <c r="BF2203" s="96"/>
    </row>
    <row r="2204" spans="42:58" x14ac:dyDescent="0.35">
      <c r="AP2204" s="92"/>
      <c r="AQ2204" s="67"/>
      <c r="AR2204" s="67"/>
      <c r="AS2204" s="73"/>
      <c r="AT2204" s="67"/>
      <c r="AU2204" s="67"/>
      <c r="AV2204" s="73"/>
      <c r="AW2204" s="68"/>
      <c r="AX2204" s="68"/>
      <c r="AY2204" s="68"/>
      <c r="AZ2204" s="68"/>
      <c r="BA2204" s="68"/>
      <c r="BB2204" s="67"/>
      <c r="BC2204" s="67"/>
      <c r="BD2204" s="67"/>
      <c r="BE2204" s="67"/>
      <c r="BF2204" s="95"/>
    </row>
    <row r="2205" spans="42:58" x14ac:dyDescent="0.35">
      <c r="AP2205" s="93"/>
      <c r="AQ2205" s="31"/>
      <c r="AR2205" s="31"/>
      <c r="AS2205" s="94"/>
      <c r="AT2205" s="31"/>
      <c r="AU2205" s="31"/>
      <c r="AV2205" s="94"/>
      <c r="AW2205" s="32"/>
      <c r="AX2205" s="32"/>
      <c r="AY2205" s="32"/>
      <c r="AZ2205" s="32"/>
      <c r="BA2205" s="32"/>
      <c r="BB2205" s="31"/>
      <c r="BC2205" s="31"/>
      <c r="BD2205" s="31"/>
      <c r="BE2205" s="31"/>
      <c r="BF2205" s="96"/>
    </row>
    <row r="2206" spans="42:58" x14ac:dyDescent="0.35">
      <c r="AP2206" s="92"/>
      <c r="AQ2206" s="67"/>
      <c r="AR2206" s="67"/>
      <c r="AS2206" s="73"/>
      <c r="AT2206" s="67"/>
      <c r="AU2206" s="67"/>
      <c r="AV2206" s="73"/>
      <c r="AW2206" s="68"/>
      <c r="AX2206" s="68"/>
      <c r="AY2206" s="68"/>
      <c r="AZ2206" s="68"/>
      <c r="BA2206" s="68"/>
      <c r="BB2206" s="67"/>
      <c r="BC2206" s="67"/>
      <c r="BD2206" s="67"/>
      <c r="BE2206" s="67"/>
      <c r="BF2206" s="95"/>
    </row>
    <row r="2207" spans="42:58" x14ac:dyDescent="0.35">
      <c r="AP2207" s="93"/>
      <c r="AQ2207" s="31"/>
      <c r="AR2207" s="31"/>
      <c r="AS2207" s="94"/>
      <c r="AT2207" s="31"/>
      <c r="AU2207" s="31"/>
      <c r="AV2207" s="94"/>
      <c r="AW2207" s="32"/>
      <c r="AX2207" s="32"/>
      <c r="AY2207" s="32"/>
      <c r="AZ2207" s="32"/>
      <c r="BA2207" s="32"/>
      <c r="BB2207" s="31"/>
      <c r="BC2207" s="31"/>
      <c r="BD2207" s="31"/>
      <c r="BE2207" s="31"/>
      <c r="BF2207" s="96"/>
    </row>
    <row r="2208" spans="42:58" x14ac:dyDescent="0.35">
      <c r="AP2208" s="92"/>
      <c r="AQ2208" s="67"/>
      <c r="AR2208" s="67"/>
      <c r="AS2208" s="73"/>
      <c r="AT2208" s="67"/>
      <c r="AU2208" s="67"/>
      <c r="AV2208" s="73"/>
      <c r="AW2208" s="68"/>
      <c r="AX2208" s="68"/>
      <c r="AY2208" s="68"/>
      <c r="AZ2208" s="68"/>
      <c r="BA2208" s="68"/>
      <c r="BB2208" s="67"/>
      <c r="BC2208" s="67"/>
      <c r="BD2208" s="67"/>
      <c r="BE2208" s="67"/>
      <c r="BF2208" s="95"/>
    </row>
    <row r="2209" spans="42:58" x14ac:dyDescent="0.35">
      <c r="AP2209" s="93"/>
      <c r="AQ2209" s="31"/>
      <c r="AR2209" s="31"/>
      <c r="AS2209" s="94"/>
      <c r="AT2209" s="31"/>
      <c r="AU2209" s="31"/>
      <c r="AV2209" s="94"/>
      <c r="AW2209" s="32"/>
      <c r="AX2209" s="32"/>
      <c r="AY2209" s="32"/>
      <c r="AZ2209" s="32"/>
      <c r="BA2209" s="32"/>
      <c r="BB2209" s="31"/>
      <c r="BC2209" s="31"/>
      <c r="BD2209" s="31"/>
      <c r="BE2209" s="31"/>
      <c r="BF2209" s="96"/>
    </row>
    <row r="2210" spans="42:58" x14ac:dyDescent="0.35">
      <c r="AP2210" s="92"/>
      <c r="AQ2210" s="67"/>
      <c r="AR2210" s="67"/>
      <c r="AS2210" s="73"/>
      <c r="AT2210" s="67"/>
      <c r="AU2210" s="67"/>
      <c r="AV2210" s="73"/>
      <c r="AW2210" s="68"/>
      <c r="AX2210" s="68"/>
      <c r="AY2210" s="68"/>
      <c r="AZ2210" s="68"/>
      <c r="BA2210" s="68"/>
      <c r="BB2210" s="67"/>
      <c r="BC2210" s="67"/>
      <c r="BD2210" s="67"/>
      <c r="BE2210" s="67"/>
      <c r="BF2210" s="95"/>
    </row>
    <row r="2211" spans="42:58" x14ac:dyDescent="0.35">
      <c r="AP2211" s="93"/>
      <c r="AQ2211" s="31"/>
      <c r="AR2211" s="31"/>
      <c r="AS2211" s="94"/>
      <c r="AT2211" s="31"/>
      <c r="AU2211" s="31"/>
      <c r="AV2211" s="94"/>
      <c r="AW2211" s="32"/>
      <c r="AX2211" s="32"/>
      <c r="AY2211" s="32"/>
      <c r="AZ2211" s="32"/>
      <c r="BA2211" s="32"/>
      <c r="BB2211" s="31"/>
      <c r="BC2211" s="31"/>
      <c r="BD2211" s="31"/>
      <c r="BE2211" s="31"/>
      <c r="BF2211" s="96"/>
    </row>
    <row r="2212" spans="42:58" x14ac:dyDescent="0.35">
      <c r="AP2212" s="92"/>
      <c r="AQ2212" s="67"/>
      <c r="AR2212" s="67"/>
      <c r="AS2212" s="73"/>
      <c r="AT2212" s="67"/>
      <c r="AU2212" s="67"/>
      <c r="AV2212" s="73"/>
      <c r="AW2212" s="68"/>
      <c r="AX2212" s="68"/>
      <c r="AY2212" s="68"/>
      <c r="AZ2212" s="68"/>
      <c r="BA2212" s="68"/>
      <c r="BB2212" s="67"/>
      <c r="BC2212" s="67"/>
      <c r="BD2212" s="67"/>
      <c r="BE2212" s="67"/>
      <c r="BF2212" s="95"/>
    </row>
    <row r="2213" spans="42:58" x14ac:dyDescent="0.35">
      <c r="AP2213" s="93"/>
      <c r="AQ2213" s="31"/>
      <c r="AR2213" s="31"/>
      <c r="AS2213" s="94"/>
      <c r="AT2213" s="31"/>
      <c r="AU2213" s="31"/>
      <c r="AV2213" s="94"/>
      <c r="AW2213" s="32"/>
      <c r="AX2213" s="32"/>
      <c r="AY2213" s="32"/>
      <c r="AZ2213" s="32"/>
      <c r="BA2213" s="32"/>
      <c r="BB2213" s="31"/>
      <c r="BC2213" s="31"/>
      <c r="BD2213" s="31"/>
      <c r="BE2213" s="31"/>
      <c r="BF2213" s="96"/>
    </row>
    <row r="2214" spans="42:58" x14ac:dyDescent="0.35">
      <c r="AP2214" s="92"/>
      <c r="AQ2214" s="67"/>
      <c r="AR2214" s="67"/>
      <c r="AS2214" s="73"/>
      <c r="AT2214" s="67"/>
      <c r="AU2214" s="67"/>
      <c r="AV2214" s="73"/>
      <c r="AW2214" s="68"/>
      <c r="AX2214" s="68"/>
      <c r="AY2214" s="68"/>
      <c r="AZ2214" s="68"/>
      <c r="BA2214" s="68"/>
      <c r="BB2214" s="67"/>
      <c r="BC2214" s="67"/>
      <c r="BD2214" s="67"/>
      <c r="BE2214" s="67"/>
      <c r="BF2214" s="95"/>
    </row>
    <row r="2215" spans="42:58" x14ac:dyDescent="0.35">
      <c r="AP2215" s="93"/>
      <c r="AQ2215" s="31"/>
      <c r="AR2215" s="31"/>
      <c r="AS2215" s="94"/>
      <c r="AT2215" s="31"/>
      <c r="AU2215" s="31"/>
      <c r="AV2215" s="94"/>
      <c r="AW2215" s="32"/>
      <c r="AX2215" s="32"/>
      <c r="AY2215" s="32"/>
      <c r="AZ2215" s="32"/>
      <c r="BA2215" s="32"/>
      <c r="BB2215" s="31"/>
      <c r="BC2215" s="31"/>
      <c r="BD2215" s="31"/>
      <c r="BE2215" s="31"/>
      <c r="BF2215" s="96"/>
    </row>
    <row r="2216" spans="42:58" x14ac:dyDescent="0.35">
      <c r="AP2216" s="92"/>
      <c r="AQ2216" s="67"/>
      <c r="AR2216" s="67"/>
      <c r="AS2216" s="73"/>
      <c r="AT2216" s="67"/>
      <c r="AU2216" s="67"/>
      <c r="AV2216" s="73"/>
      <c r="AW2216" s="68"/>
      <c r="AX2216" s="68"/>
      <c r="AY2216" s="68"/>
      <c r="AZ2216" s="68"/>
      <c r="BA2216" s="68"/>
      <c r="BB2216" s="67"/>
      <c r="BC2216" s="67"/>
      <c r="BD2216" s="67"/>
      <c r="BE2216" s="67"/>
      <c r="BF2216" s="95"/>
    </row>
    <row r="2217" spans="42:58" x14ac:dyDescent="0.35">
      <c r="AP2217" s="93"/>
      <c r="AQ2217" s="31"/>
      <c r="AR2217" s="31"/>
      <c r="AS2217" s="94"/>
      <c r="AT2217" s="31"/>
      <c r="AU2217" s="31"/>
      <c r="AV2217" s="94"/>
      <c r="AW2217" s="32"/>
      <c r="AX2217" s="32"/>
      <c r="AY2217" s="32"/>
      <c r="AZ2217" s="32"/>
      <c r="BA2217" s="32"/>
      <c r="BB2217" s="31"/>
      <c r="BC2217" s="31"/>
      <c r="BD2217" s="31"/>
      <c r="BE2217" s="31"/>
      <c r="BF2217" s="96"/>
    </row>
    <row r="2218" spans="42:58" x14ac:dyDescent="0.35">
      <c r="AP2218" s="92"/>
      <c r="AQ2218" s="67"/>
      <c r="AR2218" s="67"/>
      <c r="AS2218" s="73"/>
      <c r="AT2218" s="67"/>
      <c r="AU2218" s="67"/>
      <c r="AV2218" s="73"/>
      <c r="AW2218" s="68"/>
      <c r="AX2218" s="68"/>
      <c r="AY2218" s="68"/>
      <c r="AZ2218" s="68"/>
      <c r="BA2218" s="68"/>
      <c r="BB2218" s="67"/>
      <c r="BC2218" s="67"/>
      <c r="BD2218" s="67"/>
      <c r="BE2218" s="67"/>
      <c r="BF2218" s="95"/>
    </row>
    <row r="2219" spans="42:58" x14ac:dyDescent="0.35">
      <c r="AP2219" s="93"/>
      <c r="AQ2219" s="31"/>
      <c r="AR2219" s="31"/>
      <c r="AS2219" s="94"/>
      <c r="AT2219" s="31"/>
      <c r="AU2219" s="31"/>
      <c r="AV2219" s="94"/>
      <c r="AW2219" s="32"/>
      <c r="AX2219" s="32"/>
      <c r="AY2219" s="32"/>
      <c r="AZ2219" s="32"/>
      <c r="BA2219" s="32"/>
      <c r="BB2219" s="31"/>
      <c r="BC2219" s="31"/>
      <c r="BD2219" s="31"/>
      <c r="BE2219" s="31"/>
      <c r="BF2219" s="96"/>
    </row>
    <row r="2220" spans="42:58" x14ac:dyDescent="0.35">
      <c r="AP2220" s="92"/>
      <c r="AQ2220" s="67"/>
      <c r="AR2220" s="67"/>
      <c r="AS2220" s="73"/>
      <c r="AT2220" s="67"/>
      <c r="AU2220" s="67"/>
      <c r="AV2220" s="73"/>
      <c r="AW2220" s="68"/>
      <c r="AX2220" s="68"/>
      <c r="AY2220" s="68"/>
      <c r="AZ2220" s="68"/>
      <c r="BA2220" s="68"/>
      <c r="BB2220" s="67"/>
      <c r="BC2220" s="67"/>
      <c r="BD2220" s="67"/>
      <c r="BE2220" s="67"/>
      <c r="BF2220" s="95"/>
    </row>
    <row r="2221" spans="42:58" x14ac:dyDescent="0.35">
      <c r="AP2221" s="93"/>
      <c r="AQ2221" s="31"/>
      <c r="AR2221" s="31"/>
      <c r="AS2221" s="94"/>
      <c r="AT2221" s="31"/>
      <c r="AU2221" s="31"/>
      <c r="AV2221" s="94"/>
      <c r="AW2221" s="32"/>
      <c r="AX2221" s="32"/>
      <c r="AY2221" s="32"/>
      <c r="AZ2221" s="32"/>
      <c r="BA2221" s="32"/>
      <c r="BB2221" s="31"/>
      <c r="BC2221" s="31"/>
      <c r="BD2221" s="31"/>
      <c r="BE2221" s="31"/>
      <c r="BF2221" s="96"/>
    </row>
    <row r="2222" spans="42:58" x14ac:dyDescent="0.35">
      <c r="AP2222" s="92"/>
      <c r="AQ2222" s="67"/>
      <c r="AR2222" s="67"/>
      <c r="AS2222" s="73"/>
      <c r="AT2222" s="67"/>
      <c r="AU2222" s="67"/>
      <c r="AV2222" s="73"/>
      <c r="AW2222" s="68"/>
      <c r="AX2222" s="68"/>
      <c r="AY2222" s="68"/>
      <c r="AZ2222" s="68"/>
      <c r="BA2222" s="68"/>
      <c r="BB2222" s="67"/>
      <c r="BC2222" s="67"/>
      <c r="BD2222" s="67"/>
      <c r="BE2222" s="67"/>
      <c r="BF2222" s="95"/>
    </row>
    <row r="2223" spans="42:58" x14ac:dyDescent="0.35">
      <c r="AP2223" s="93"/>
      <c r="AQ2223" s="31"/>
      <c r="AR2223" s="31"/>
      <c r="AS2223" s="94"/>
      <c r="AT2223" s="31"/>
      <c r="AU2223" s="31"/>
      <c r="AV2223" s="94"/>
      <c r="AW2223" s="32"/>
      <c r="AX2223" s="32"/>
      <c r="AY2223" s="32"/>
      <c r="AZ2223" s="32"/>
      <c r="BA2223" s="32"/>
      <c r="BB2223" s="31"/>
      <c r="BC2223" s="31"/>
      <c r="BD2223" s="31"/>
      <c r="BE2223" s="31"/>
      <c r="BF2223" s="96"/>
    </row>
    <row r="2224" spans="42:58" x14ac:dyDescent="0.35">
      <c r="AP2224" s="92"/>
      <c r="AQ2224" s="67"/>
      <c r="AR2224" s="67"/>
      <c r="AS2224" s="73"/>
      <c r="AT2224" s="67"/>
      <c r="AU2224" s="67"/>
      <c r="AV2224" s="73"/>
      <c r="AW2224" s="68"/>
      <c r="AX2224" s="68"/>
      <c r="AY2224" s="68"/>
      <c r="AZ2224" s="68"/>
      <c r="BA2224" s="68"/>
      <c r="BB2224" s="67"/>
      <c r="BC2224" s="67"/>
      <c r="BD2224" s="67"/>
      <c r="BE2224" s="67"/>
      <c r="BF2224" s="95"/>
    </row>
    <row r="2225" spans="42:58" x14ac:dyDescent="0.35">
      <c r="AP2225" s="93"/>
      <c r="AQ2225" s="31"/>
      <c r="AR2225" s="31"/>
      <c r="AS2225" s="94"/>
      <c r="AT2225" s="31"/>
      <c r="AU2225" s="31"/>
      <c r="AV2225" s="94"/>
      <c r="AW2225" s="32"/>
      <c r="AX2225" s="32"/>
      <c r="AY2225" s="32"/>
      <c r="AZ2225" s="32"/>
      <c r="BA2225" s="32"/>
      <c r="BB2225" s="31"/>
      <c r="BC2225" s="31"/>
      <c r="BD2225" s="31"/>
      <c r="BE2225" s="31"/>
      <c r="BF2225" s="96"/>
    </row>
    <row r="2226" spans="42:58" x14ac:dyDescent="0.35">
      <c r="AP2226" s="92"/>
      <c r="AQ2226" s="67"/>
      <c r="AR2226" s="67"/>
      <c r="AS2226" s="73"/>
      <c r="AT2226" s="67"/>
      <c r="AU2226" s="67"/>
      <c r="AV2226" s="73"/>
      <c r="AW2226" s="68"/>
      <c r="AX2226" s="68"/>
      <c r="AY2226" s="68"/>
      <c r="AZ2226" s="68"/>
      <c r="BA2226" s="68"/>
      <c r="BB2226" s="67"/>
      <c r="BC2226" s="67"/>
      <c r="BD2226" s="67"/>
      <c r="BE2226" s="67"/>
      <c r="BF2226" s="95"/>
    </row>
    <row r="2227" spans="42:58" x14ac:dyDescent="0.35">
      <c r="AP2227" s="93"/>
      <c r="AQ2227" s="31"/>
      <c r="AR2227" s="31"/>
      <c r="AS2227" s="94"/>
      <c r="AT2227" s="31"/>
      <c r="AU2227" s="31"/>
      <c r="AV2227" s="94"/>
      <c r="AW2227" s="32"/>
      <c r="AX2227" s="32"/>
      <c r="AY2227" s="32"/>
      <c r="AZ2227" s="32"/>
      <c r="BA2227" s="32"/>
      <c r="BB2227" s="31"/>
      <c r="BC2227" s="31"/>
      <c r="BD2227" s="31"/>
      <c r="BE2227" s="31"/>
      <c r="BF2227" s="96"/>
    </row>
    <row r="2228" spans="42:58" x14ac:dyDescent="0.35">
      <c r="AP2228" s="92"/>
      <c r="AQ2228" s="67"/>
      <c r="AR2228" s="67"/>
      <c r="AS2228" s="73"/>
      <c r="AT2228" s="67"/>
      <c r="AU2228" s="67"/>
      <c r="AV2228" s="73"/>
      <c r="AW2228" s="68"/>
      <c r="AX2228" s="68"/>
      <c r="AY2228" s="68"/>
      <c r="AZ2228" s="68"/>
      <c r="BA2228" s="68"/>
      <c r="BB2228" s="67"/>
      <c r="BC2228" s="67"/>
      <c r="BD2228" s="67"/>
      <c r="BE2228" s="67"/>
      <c r="BF2228" s="95"/>
    </row>
    <row r="2229" spans="42:58" x14ac:dyDescent="0.35">
      <c r="AP2229" s="93"/>
      <c r="AQ2229" s="31"/>
      <c r="AR2229" s="31"/>
      <c r="AS2229" s="94"/>
      <c r="AT2229" s="31"/>
      <c r="AU2229" s="31"/>
      <c r="AV2229" s="94"/>
      <c r="AW2229" s="32"/>
      <c r="AX2229" s="32"/>
      <c r="AY2229" s="32"/>
      <c r="AZ2229" s="32"/>
      <c r="BA2229" s="32"/>
      <c r="BB2229" s="31"/>
      <c r="BC2229" s="31"/>
      <c r="BD2229" s="31"/>
      <c r="BE2229" s="31"/>
      <c r="BF2229" s="96"/>
    </row>
    <row r="2230" spans="42:58" x14ac:dyDescent="0.35">
      <c r="AP2230" s="92"/>
      <c r="AQ2230" s="67"/>
      <c r="AR2230" s="67"/>
      <c r="AS2230" s="73"/>
      <c r="AT2230" s="67"/>
      <c r="AU2230" s="67"/>
      <c r="AV2230" s="73"/>
      <c r="AW2230" s="68"/>
      <c r="AX2230" s="68"/>
      <c r="AY2230" s="68"/>
      <c r="AZ2230" s="68"/>
      <c r="BA2230" s="68"/>
      <c r="BB2230" s="67"/>
      <c r="BC2230" s="67"/>
      <c r="BD2230" s="67"/>
      <c r="BE2230" s="67"/>
      <c r="BF2230" s="95"/>
    </row>
    <row r="2231" spans="42:58" x14ac:dyDescent="0.35">
      <c r="AP2231" s="93"/>
      <c r="AQ2231" s="31"/>
      <c r="AR2231" s="31"/>
      <c r="AS2231" s="94"/>
      <c r="AT2231" s="31"/>
      <c r="AU2231" s="31"/>
      <c r="AV2231" s="94"/>
      <c r="AW2231" s="32"/>
      <c r="AX2231" s="32"/>
      <c r="AY2231" s="32"/>
      <c r="AZ2231" s="32"/>
      <c r="BA2231" s="32"/>
      <c r="BB2231" s="31"/>
      <c r="BC2231" s="31"/>
      <c r="BD2231" s="31"/>
      <c r="BE2231" s="31"/>
      <c r="BF2231" s="96"/>
    </row>
    <row r="2232" spans="42:58" x14ac:dyDescent="0.35">
      <c r="AP2232" s="92"/>
      <c r="AQ2232" s="67"/>
      <c r="AR2232" s="67"/>
      <c r="AS2232" s="73"/>
      <c r="AT2232" s="67"/>
      <c r="AU2232" s="67"/>
      <c r="AV2232" s="73"/>
      <c r="AW2232" s="68"/>
      <c r="AX2232" s="68"/>
      <c r="AY2232" s="68"/>
      <c r="AZ2232" s="68"/>
      <c r="BA2232" s="68"/>
      <c r="BB2232" s="67"/>
      <c r="BC2232" s="67"/>
      <c r="BD2232" s="67"/>
      <c r="BE2232" s="67"/>
      <c r="BF2232" s="95"/>
    </row>
    <row r="2233" spans="42:58" x14ac:dyDescent="0.35">
      <c r="AP2233" s="93"/>
      <c r="AQ2233" s="31"/>
      <c r="AR2233" s="31"/>
      <c r="AS2233" s="94"/>
      <c r="AT2233" s="31"/>
      <c r="AU2233" s="31"/>
      <c r="AV2233" s="94"/>
      <c r="AW2233" s="32"/>
      <c r="AX2233" s="32"/>
      <c r="AY2233" s="32"/>
      <c r="AZ2233" s="32"/>
      <c r="BA2233" s="32"/>
      <c r="BB2233" s="31"/>
      <c r="BC2233" s="31"/>
      <c r="BD2233" s="31"/>
      <c r="BE2233" s="31"/>
      <c r="BF2233" s="96"/>
    </row>
    <row r="2234" spans="42:58" x14ac:dyDescent="0.35">
      <c r="AP2234" s="92"/>
      <c r="AQ2234" s="67"/>
      <c r="AR2234" s="67"/>
      <c r="AS2234" s="73"/>
      <c r="AT2234" s="67"/>
      <c r="AU2234" s="67"/>
      <c r="AV2234" s="73"/>
      <c r="AW2234" s="68"/>
      <c r="AX2234" s="68"/>
      <c r="AY2234" s="68"/>
      <c r="AZ2234" s="68"/>
      <c r="BA2234" s="68"/>
      <c r="BB2234" s="67"/>
      <c r="BC2234" s="67"/>
      <c r="BD2234" s="67"/>
      <c r="BE2234" s="67"/>
      <c r="BF2234" s="95"/>
    </row>
    <row r="2235" spans="42:58" x14ac:dyDescent="0.35">
      <c r="AP2235" s="93"/>
      <c r="AQ2235" s="31"/>
      <c r="AR2235" s="31"/>
      <c r="AS2235" s="94"/>
      <c r="AT2235" s="31"/>
      <c r="AU2235" s="31"/>
      <c r="AV2235" s="94"/>
      <c r="AW2235" s="32"/>
      <c r="AX2235" s="32"/>
      <c r="AY2235" s="32"/>
      <c r="AZ2235" s="32"/>
      <c r="BA2235" s="32"/>
      <c r="BB2235" s="31"/>
      <c r="BC2235" s="31"/>
      <c r="BD2235" s="31"/>
      <c r="BE2235" s="31"/>
      <c r="BF2235" s="96"/>
    </row>
    <row r="2236" spans="42:58" x14ac:dyDescent="0.35">
      <c r="AP2236" s="92"/>
      <c r="AQ2236" s="67"/>
      <c r="AR2236" s="67"/>
      <c r="AS2236" s="73"/>
      <c r="AT2236" s="67"/>
      <c r="AU2236" s="67"/>
      <c r="AV2236" s="73"/>
      <c r="AW2236" s="68"/>
      <c r="AX2236" s="68"/>
      <c r="AY2236" s="68"/>
      <c r="AZ2236" s="68"/>
      <c r="BA2236" s="68"/>
      <c r="BB2236" s="67"/>
      <c r="BC2236" s="67"/>
      <c r="BD2236" s="67"/>
      <c r="BE2236" s="67"/>
      <c r="BF2236" s="95"/>
    </row>
    <row r="2237" spans="42:58" x14ac:dyDescent="0.35">
      <c r="AP2237" s="93"/>
      <c r="AQ2237" s="31"/>
      <c r="AR2237" s="31"/>
      <c r="AS2237" s="94"/>
      <c r="AT2237" s="31"/>
      <c r="AU2237" s="31"/>
      <c r="AV2237" s="94"/>
      <c r="AW2237" s="32"/>
      <c r="AX2237" s="32"/>
      <c r="AY2237" s="32"/>
      <c r="AZ2237" s="32"/>
      <c r="BA2237" s="32"/>
      <c r="BB2237" s="31"/>
      <c r="BC2237" s="31"/>
      <c r="BD2237" s="31"/>
      <c r="BE2237" s="31"/>
      <c r="BF2237" s="96"/>
    </row>
    <row r="2238" spans="42:58" x14ac:dyDescent="0.35">
      <c r="AP2238" s="92"/>
      <c r="AQ2238" s="67"/>
      <c r="AR2238" s="67"/>
      <c r="AS2238" s="73"/>
      <c r="AT2238" s="67"/>
      <c r="AU2238" s="67"/>
      <c r="AV2238" s="73"/>
      <c r="AW2238" s="68"/>
      <c r="AX2238" s="68"/>
      <c r="AY2238" s="68"/>
      <c r="AZ2238" s="68"/>
      <c r="BA2238" s="68"/>
      <c r="BB2238" s="67"/>
      <c r="BC2238" s="67"/>
      <c r="BD2238" s="67"/>
      <c r="BE2238" s="67"/>
      <c r="BF2238" s="95"/>
    </row>
    <row r="2239" spans="42:58" x14ac:dyDescent="0.35">
      <c r="AP2239" s="93"/>
      <c r="AQ2239" s="31"/>
      <c r="AR2239" s="31"/>
      <c r="AS2239" s="94"/>
      <c r="AT2239" s="31"/>
      <c r="AU2239" s="31"/>
      <c r="AV2239" s="94"/>
      <c r="AW2239" s="32"/>
      <c r="AX2239" s="32"/>
      <c r="AY2239" s="32"/>
      <c r="AZ2239" s="32"/>
      <c r="BA2239" s="32"/>
      <c r="BB2239" s="31"/>
      <c r="BC2239" s="31"/>
      <c r="BD2239" s="31"/>
      <c r="BE2239" s="31"/>
      <c r="BF2239" s="96"/>
    </row>
    <row r="2240" spans="42:58" x14ac:dyDescent="0.35">
      <c r="AP2240" s="92"/>
      <c r="AQ2240" s="67"/>
      <c r="AR2240" s="67"/>
      <c r="AS2240" s="73"/>
      <c r="AT2240" s="67"/>
      <c r="AU2240" s="67"/>
      <c r="AV2240" s="73"/>
      <c r="AW2240" s="68"/>
      <c r="AX2240" s="68"/>
      <c r="AY2240" s="68"/>
      <c r="AZ2240" s="68"/>
      <c r="BA2240" s="68"/>
      <c r="BB2240" s="67"/>
      <c r="BC2240" s="67"/>
      <c r="BD2240" s="67"/>
      <c r="BE2240" s="67"/>
      <c r="BF2240" s="95"/>
    </row>
    <row r="2241" spans="42:58" x14ac:dyDescent="0.35">
      <c r="AP2241" s="93"/>
      <c r="AQ2241" s="31"/>
      <c r="AR2241" s="31"/>
      <c r="AS2241" s="94"/>
      <c r="AT2241" s="31"/>
      <c r="AU2241" s="31"/>
      <c r="AV2241" s="94"/>
      <c r="AW2241" s="32"/>
      <c r="AX2241" s="32"/>
      <c r="AY2241" s="32"/>
      <c r="AZ2241" s="32"/>
      <c r="BA2241" s="32"/>
      <c r="BB2241" s="31"/>
      <c r="BC2241" s="31"/>
      <c r="BD2241" s="31"/>
      <c r="BE2241" s="31"/>
      <c r="BF2241" s="96"/>
    </row>
    <row r="2242" spans="42:58" x14ac:dyDescent="0.35">
      <c r="AP2242" s="92"/>
      <c r="AQ2242" s="67"/>
      <c r="AR2242" s="67"/>
      <c r="AS2242" s="73"/>
      <c r="AT2242" s="67"/>
      <c r="AU2242" s="67"/>
      <c r="AV2242" s="73"/>
      <c r="AW2242" s="68"/>
      <c r="AX2242" s="68"/>
      <c r="AY2242" s="68"/>
      <c r="AZ2242" s="68"/>
      <c r="BA2242" s="68"/>
      <c r="BB2242" s="67"/>
      <c r="BC2242" s="67"/>
      <c r="BD2242" s="67"/>
      <c r="BE2242" s="67"/>
      <c r="BF2242" s="95"/>
    </row>
    <row r="2243" spans="42:58" x14ac:dyDescent="0.35">
      <c r="AP2243" s="93"/>
      <c r="AQ2243" s="31"/>
      <c r="AR2243" s="31"/>
      <c r="AS2243" s="94"/>
      <c r="AT2243" s="31"/>
      <c r="AU2243" s="31"/>
      <c r="AV2243" s="94"/>
      <c r="AW2243" s="32"/>
      <c r="AX2243" s="32"/>
      <c r="AY2243" s="32"/>
      <c r="AZ2243" s="32"/>
      <c r="BA2243" s="32"/>
      <c r="BB2243" s="31"/>
      <c r="BC2243" s="31"/>
      <c r="BD2243" s="31"/>
      <c r="BE2243" s="31"/>
      <c r="BF2243" s="96"/>
    </row>
    <row r="2244" spans="42:58" x14ac:dyDescent="0.35">
      <c r="AP2244" s="92"/>
      <c r="AQ2244" s="67"/>
      <c r="AR2244" s="67"/>
      <c r="AS2244" s="73"/>
      <c r="AT2244" s="67"/>
      <c r="AU2244" s="67"/>
      <c r="AV2244" s="73"/>
      <c r="AW2244" s="68"/>
      <c r="AX2244" s="68"/>
      <c r="AY2244" s="68"/>
      <c r="AZ2244" s="68"/>
      <c r="BA2244" s="68"/>
      <c r="BB2244" s="67"/>
      <c r="BC2244" s="67"/>
      <c r="BD2244" s="67"/>
      <c r="BE2244" s="67"/>
      <c r="BF2244" s="95"/>
    </row>
    <row r="2245" spans="42:58" x14ac:dyDescent="0.35">
      <c r="AP2245" s="93"/>
      <c r="AQ2245" s="31"/>
      <c r="AR2245" s="31"/>
      <c r="AS2245" s="94"/>
      <c r="AT2245" s="31"/>
      <c r="AU2245" s="31"/>
      <c r="AV2245" s="94"/>
      <c r="AW2245" s="32"/>
      <c r="AX2245" s="32"/>
      <c r="AY2245" s="32"/>
      <c r="AZ2245" s="32"/>
      <c r="BA2245" s="32"/>
      <c r="BB2245" s="31"/>
      <c r="BC2245" s="31"/>
      <c r="BD2245" s="31"/>
      <c r="BE2245" s="31"/>
      <c r="BF2245" s="96"/>
    </row>
    <row r="2246" spans="42:58" x14ac:dyDescent="0.35">
      <c r="AP2246" s="92"/>
      <c r="AQ2246" s="67"/>
      <c r="AR2246" s="67"/>
      <c r="AS2246" s="73"/>
      <c r="AT2246" s="67"/>
      <c r="AU2246" s="67"/>
      <c r="AV2246" s="73"/>
      <c r="AW2246" s="68"/>
      <c r="AX2246" s="68"/>
      <c r="AY2246" s="68"/>
      <c r="AZ2246" s="68"/>
      <c r="BA2246" s="68"/>
      <c r="BB2246" s="67"/>
      <c r="BC2246" s="67"/>
      <c r="BD2246" s="67"/>
      <c r="BE2246" s="67"/>
      <c r="BF2246" s="95"/>
    </row>
    <row r="2247" spans="42:58" x14ac:dyDescent="0.35">
      <c r="AP2247" s="93"/>
      <c r="AQ2247" s="31"/>
      <c r="AR2247" s="31"/>
      <c r="AS2247" s="94"/>
      <c r="AT2247" s="31"/>
      <c r="AU2247" s="31"/>
      <c r="AV2247" s="94"/>
      <c r="AW2247" s="32"/>
      <c r="AX2247" s="32"/>
      <c r="AY2247" s="32"/>
      <c r="AZ2247" s="32"/>
      <c r="BA2247" s="32"/>
      <c r="BB2247" s="31"/>
      <c r="BC2247" s="31"/>
      <c r="BD2247" s="31"/>
      <c r="BE2247" s="31"/>
      <c r="BF2247" s="96"/>
    </row>
    <row r="2248" spans="42:58" x14ac:dyDescent="0.35">
      <c r="AP2248" s="92"/>
      <c r="AQ2248" s="67"/>
      <c r="AR2248" s="67"/>
      <c r="AS2248" s="73"/>
      <c r="AT2248" s="67"/>
      <c r="AU2248" s="67"/>
      <c r="AV2248" s="73"/>
      <c r="AW2248" s="68"/>
      <c r="AX2248" s="68"/>
      <c r="AY2248" s="68"/>
      <c r="AZ2248" s="68"/>
      <c r="BA2248" s="68"/>
      <c r="BB2248" s="67"/>
      <c r="BC2248" s="67"/>
      <c r="BD2248" s="67"/>
      <c r="BE2248" s="67"/>
      <c r="BF2248" s="95"/>
    </row>
    <row r="2249" spans="42:58" x14ac:dyDescent="0.35">
      <c r="AP2249" s="93"/>
      <c r="AQ2249" s="31"/>
      <c r="AR2249" s="31"/>
      <c r="AS2249" s="94"/>
      <c r="AT2249" s="31"/>
      <c r="AU2249" s="31"/>
      <c r="AV2249" s="94"/>
      <c r="AW2249" s="32"/>
      <c r="AX2249" s="32"/>
      <c r="AY2249" s="32"/>
      <c r="AZ2249" s="32"/>
      <c r="BA2249" s="32"/>
      <c r="BB2249" s="31"/>
      <c r="BC2249" s="31"/>
      <c r="BD2249" s="31"/>
      <c r="BE2249" s="31"/>
      <c r="BF2249" s="96"/>
    </row>
    <row r="2250" spans="42:58" x14ac:dyDescent="0.35">
      <c r="AP2250" s="92"/>
      <c r="AQ2250" s="67"/>
      <c r="AR2250" s="67"/>
      <c r="AS2250" s="73"/>
      <c r="AT2250" s="67"/>
      <c r="AU2250" s="67"/>
      <c r="AV2250" s="73"/>
      <c r="AW2250" s="68"/>
      <c r="AX2250" s="68"/>
      <c r="AY2250" s="68"/>
      <c r="AZ2250" s="68"/>
      <c r="BA2250" s="68"/>
      <c r="BB2250" s="67"/>
      <c r="BC2250" s="67"/>
      <c r="BD2250" s="67"/>
      <c r="BE2250" s="67"/>
      <c r="BF2250" s="95"/>
    </row>
    <row r="2251" spans="42:58" x14ac:dyDescent="0.35">
      <c r="AP2251" s="93"/>
      <c r="AQ2251" s="31"/>
      <c r="AR2251" s="31"/>
      <c r="AS2251" s="94"/>
      <c r="AT2251" s="31"/>
      <c r="AU2251" s="31"/>
      <c r="AV2251" s="94"/>
      <c r="AW2251" s="32"/>
      <c r="AX2251" s="32"/>
      <c r="AY2251" s="32"/>
      <c r="AZ2251" s="32"/>
      <c r="BA2251" s="32"/>
      <c r="BB2251" s="31"/>
      <c r="BC2251" s="31"/>
      <c r="BD2251" s="31"/>
      <c r="BE2251" s="31"/>
      <c r="BF2251" s="96"/>
    </row>
    <row r="2252" spans="42:58" x14ac:dyDescent="0.35">
      <c r="AP2252" s="92"/>
      <c r="AQ2252" s="67"/>
      <c r="AR2252" s="67"/>
      <c r="AS2252" s="73"/>
      <c r="AT2252" s="67"/>
      <c r="AU2252" s="67"/>
      <c r="AV2252" s="73"/>
      <c r="AW2252" s="68"/>
      <c r="AX2252" s="68"/>
      <c r="AY2252" s="68"/>
      <c r="AZ2252" s="68"/>
      <c r="BA2252" s="68"/>
      <c r="BB2252" s="67"/>
      <c r="BC2252" s="67"/>
      <c r="BD2252" s="67"/>
      <c r="BE2252" s="67"/>
      <c r="BF2252" s="95"/>
    </row>
    <row r="2253" spans="42:58" x14ac:dyDescent="0.35">
      <c r="AP2253" s="93"/>
      <c r="AQ2253" s="31"/>
      <c r="AR2253" s="31"/>
      <c r="AS2253" s="94"/>
      <c r="AT2253" s="31"/>
      <c r="AU2253" s="31"/>
      <c r="AV2253" s="94"/>
      <c r="AW2253" s="32"/>
      <c r="AX2253" s="32"/>
      <c r="AY2253" s="32"/>
      <c r="AZ2253" s="32"/>
      <c r="BA2253" s="32"/>
      <c r="BB2253" s="31"/>
      <c r="BC2253" s="31"/>
      <c r="BD2253" s="31"/>
      <c r="BE2253" s="31"/>
      <c r="BF2253" s="96"/>
    </row>
    <row r="2254" spans="42:58" x14ac:dyDescent="0.35">
      <c r="AP2254" s="92"/>
      <c r="AQ2254" s="67"/>
      <c r="AR2254" s="67"/>
      <c r="AS2254" s="73"/>
      <c r="AT2254" s="67"/>
      <c r="AU2254" s="67"/>
      <c r="AV2254" s="73"/>
      <c r="AW2254" s="68"/>
      <c r="AX2254" s="68"/>
      <c r="AY2254" s="68"/>
      <c r="AZ2254" s="68"/>
      <c r="BA2254" s="68"/>
      <c r="BB2254" s="67"/>
      <c r="BC2254" s="67"/>
      <c r="BD2254" s="67"/>
      <c r="BE2254" s="67"/>
      <c r="BF2254" s="95"/>
    </row>
    <row r="2255" spans="42:58" x14ac:dyDescent="0.35">
      <c r="AP2255" s="93"/>
      <c r="AQ2255" s="31"/>
      <c r="AR2255" s="31"/>
      <c r="AS2255" s="94"/>
      <c r="AT2255" s="31"/>
      <c r="AU2255" s="31"/>
      <c r="AV2255" s="94"/>
      <c r="AW2255" s="32"/>
      <c r="AX2255" s="32"/>
      <c r="AY2255" s="32"/>
      <c r="AZ2255" s="32"/>
      <c r="BA2255" s="32"/>
      <c r="BB2255" s="31"/>
      <c r="BC2255" s="31"/>
      <c r="BD2255" s="31"/>
      <c r="BE2255" s="31"/>
      <c r="BF2255" s="96"/>
    </row>
    <row r="2256" spans="42:58" x14ac:dyDescent="0.35">
      <c r="AP2256" s="92"/>
      <c r="AQ2256" s="67"/>
      <c r="AR2256" s="67"/>
      <c r="AS2256" s="73"/>
      <c r="AT2256" s="67"/>
      <c r="AU2256" s="67"/>
      <c r="AV2256" s="73"/>
      <c r="AW2256" s="68"/>
      <c r="AX2256" s="68"/>
      <c r="AY2256" s="68"/>
      <c r="AZ2256" s="68"/>
      <c r="BA2256" s="68"/>
      <c r="BB2256" s="67"/>
      <c r="BC2256" s="67"/>
      <c r="BD2256" s="67"/>
      <c r="BE2256" s="67"/>
      <c r="BF2256" s="95"/>
    </row>
    <row r="2257" spans="42:58" x14ac:dyDescent="0.35">
      <c r="AP2257" s="93"/>
      <c r="AQ2257" s="31"/>
      <c r="AR2257" s="31"/>
      <c r="AS2257" s="94"/>
      <c r="AT2257" s="31"/>
      <c r="AU2257" s="31"/>
      <c r="AV2257" s="94"/>
      <c r="AW2257" s="32"/>
      <c r="AX2257" s="32"/>
      <c r="AY2257" s="32"/>
      <c r="AZ2257" s="32"/>
      <c r="BA2257" s="32"/>
      <c r="BB2257" s="31"/>
      <c r="BC2257" s="31"/>
      <c r="BD2257" s="31"/>
      <c r="BE2257" s="31"/>
      <c r="BF2257" s="96"/>
    </row>
    <row r="2258" spans="42:58" x14ac:dyDescent="0.35">
      <c r="AP2258" s="92"/>
      <c r="AQ2258" s="67"/>
      <c r="AR2258" s="67"/>
      <c r="AS2258" s="73"/>
      <c r="AT2258" s="67"/>
      <c r="AU2258" s="67"/>
      <c r="AV2258" s="73"/>
      <c r="AW2258" s="68"/>
      <c r="AX2258" s="68"/>
      <c r="AY2258" s="68"/>
      <c r="AZ2258" s="68"/>
      <c r="BA2258" s="68"/>
      <c r="BB2258" s="67"/>
      <c r="BC2258" s="67"/>
      <c r="BD2258" s="67"/>
      <c r="BE2258" s="67"/>
      <c r="BF2258" s="95"/>
    </row>
    <row r="2259" spans="42:58" x14ac:dyDescent="0.35">
      <c r="AP2259" s="93"/>
      <c r="AQ2259" s="31"/>
      <c r="AR2259" s="31"/>
      <c r="AS2259" s="94"/>
      <c r="AT2259" s="31"/>
      <c r="AU2259" s="31"/>
      <c r="AV2259" s="94"/>
      <c r="AW2259" s="32"/>
      <c r="AX2259" s="32"/>
      <c r="AY2259" s="32"/>
      <c r="AZ2259" s="32"/>
      <c r="BA2259" s="32"/>
      <c r="BB2259" s="31"/>
      <c r="BC2259" s="31"/>
      <c r="BD2259" s="31"/>
      <c r="BE2259" s="31"/>
      <c r="BF2259" s="96"/>
    </row>
    <row r="2260" spans="42:58" x14ac:dyDescent="0.35">
      <c r="AP2260" s="92"/>
      <c r="AQ2260" s="67"/>
      <c r="AR2260" s="67"/>
      <c r="AS2260" s="73"/>
      <c r="AT2260" s="67"/>
      <c r="AU2260" s="67"/>
      <c r="AV2260" s="73"/>
      <c r="AW2260" s="68"/>
      <c r="AX2260" s="68"/>
      <c r="AY2260" s="68"/>
      <c r="AZ2260" s="68"/>
      <c r="BA2260" s="68"/>
      <c r="BB2260" s="67"/>
      <c r="BC2260" s="67"/>
      <c r="BD2260" s="67"/>
      <c r="BE2260" s="67"/>
      <c r="BF2260" s="95"/>
    </row>
    <row r="2261" spans="42:58" x14ac:dyDescent="0.35">
      <c r="AP2261" s="93"/>
      <c r="AQ2261" s="31"/>
      <c r="AR2261" s="31"/>
      <c r="AS2261" s="94"/>
      <c r="AT2261" s="31"/>
      <c r="AU2261" s="31"/>
      <c r="AV2261" s="94"/>
      <c r="AW2261" s="32"/>
      <c r="AX2261" s="32"/>
      <c r="AY2261" s="32"/>
      <c r="AZ2261" s="32"/>
      <c r="BA2261" s="32"/>
      <c r="BB2261" s="31"/>
      <c r="BC2261" s="31"/>
      <c r="BD2261" s="31"/>
      <c r="BE2261" s="31"/>
      <c r="BF2261" s="96"/>
    </row>
    <row r="2262" spans="42:58" x14ac:dyDescent="0.35">
      <c r="AP2262" s="92"/>
      <c r="AQ2262" s="67"/>
      <c r="AR2262" s="67"/>
      <c r="AS2262" s="73"/>
      <c r="AT2262" s="67"/>
      <c r="AU2262" s="67"/>
      <c r="AV2262" s="73"/>
      <c r="AW2262" s="68"/>
      <c r="AX2262" s="68"/>
      <c r="AY2262" s="68"/>
      <c r="AZ2262" s="68"/>
      <c r="BA2262" s="68"/>
      <c r="BB2262" s="67"/>
      <c r="BC2262" s="67"/>
      <c r="BD2262" s="67"/>
      <c r="BE2262" s="67"/>
      <c r="BF2262" s="95"/>
    </row>
    <row r="2263" spans="42:58" x14ac:dyDescent="0.35">
      <c r="AP2263" s="93"/>
      <c r="AQ2263" s="31"/>
      <c r="AR2263" s="31"/>
      <c r="AS2263" s="94"/>
      <c r="AT2263" s="31"/>
      <c r="AU2263" s="31"/>
      <c r="AV2263" s="94"/>
      <c r="AW2263" s="32"/>
      <c r="AX2263" s="32"/>
      <c r="AY2263" s="32"/>
      <c r="AZ2263" s="32"/>
      <c r="BA2263" s="32"/>
      <c r="BB2263" s="31"/>
      <c r="BC2263" s="31"/>
      <c r="BD2263" s="31"/>
      <c r="BE2263" s="31"/>
      <c r="BF2263" s="96"/>
    </row>
    <row r="2264" spans="42:58" x14ac:dyDescent="0.35">
      <c r="AP2264" s="92"/>
      <c r="AQ2264" s="67"/>
      <c r="AR2264" s="67"/>
      <c r="AS2264" s="73"/>
      <c r="AT2264" s="67"/>
      <c r="AU2264" s="67"/>
      <c r="AV2264" s="73"/>
      <c r="AW2264" s="68"/>
      <c r="AX2264" s="68"/>
      <c r="AY2264" s="68"/>
      <c r="AZ2264" s="68"/>
      <c r="BA2264" s="68"/>
      <c r="BB2264" s="67"/>
      <c r="BC2264" s="67"/>
      <c r="BD2264" s="67"/>
      <c r="BE2264" s="67"/>
      <c r="BF2264" s="95"/>
    </row>
    <row r="2265" spans="42:58" x14ac:dyDescent="0.35">
      <c r="AP2265" s="93"/>
      <c r="AQ2265" s="31"/>
      <c r="AR2265" s="31"/>
      <c r="AS2265" s="94"/>
      <c r="AT2265" s="31"/>
      <c r="AU2265" s="31"/>
      <c r="AV2265" s="94"/>
      <c r="AW2265" s="32"/>
      <c r="AX2265" s="32"/>
      <c r="AY2265" s="32"/>
      <c r="AZ2265" s="32"/>
      <c r="BA2265" s="32"/>
      <c r="BB2265" s="31"/>
      <c r="BC2265" s="31"/>
      <c r="BD2265" s="31"/>
      <c r="BE2265" s="31"/>
      <c r="BF2265" s="96"/>
    </row>
    <row r="2266" spans="42:58" x14ac:dyDescent="0.35">
      <c r="AP2266" s="92"/>
      <c r="AQ2266" s="67"/>
      <c r="AR2266" s="67"/>
      <c r="AS2266" s="73"/>
      <c r="AT2266" s="67"/>
      <c r="AU2266" s="67"/>
      <c r="AV2266" s="73"/>
      <c r="AW2266" s="68"/>
      <c r="AX2266" s="68"/>
      <c r="AY2266" s="68"/>
      <c r="AZ2266" s="68"/>
      <c r="BA2266" s="68"/>
      <c r="BB2266" s="67"/>
      <c r="BC2266" s="67"/>
      <c r="BD2266" s="67"/>
      <c r="BE2266" s="67"/>
      <c r="BF2266" s="95"/>
    </row>
    <row r="2267" spans="42:58" x14ac:dyDescent="0.35">
      <c r="AP2267" s="93"/>
      <c r="AQ2267" s="31"/>
      <c r="AR2267" s="31"/>
      <c r="AS2267" s="94"/>
      <c r="AT2267" s="31"/>
      <c r="AU2267" s="31"/>
      <c r="AV2267" s="94"/>
      <c r="AW2267" s="32"/>
      <c r="AX2267" s="32"/>
      <c r="AY2267" s="32"/>
      <c r="AZ2267" s="32"/>
      <c r="BA2267" s="32"/>
      <c r="BB2267" s="31"/>
      <c r="BC2267" s="31"/>
      <c r="BD2267" s="31"/>
      <c r="BE2267" s="31"/>
      <c r="BF2267" s="96"/>
    </row>
    <row r="2268" spans="42:58" x14ac:dyDescent="0.35">
      <c r="AP2268" s="92"/>
      <c r="AQ2268" s="67"/>
      <c r="AR2268" s="67"/>
      <c r="AS2268" s="73"/>
      <c r="AT2268" s="67"/>
      <c r="AU2268" s="67"/>
      <c r="AV2268" s="73"/>
      <c r="AW2268" s="68"/>
      <c r="AX2268" s="68"/>
      <c r="AY2268" s="68"/>
      <c r="AZ2268" s="68"/>
      <c r="BA2268" s="68"/>
      <c r="BB2268" s="67"/>
      <c r="BC2268" s="67"/>
      <c r="BD2268" s="67"/>
      <c r="BE2268" s="67"/>
      <c r="BF2268" s="95"/>
    </row>
    <row r="2269" spans="42:58" x14ac:dyDescent="0.35">
      <c r="AP2269" s="93"/>
      <c r="AQ2269" s="31"/>
      <c r="AR2269" s="31"/>
      <c r="AS2269" s="94"/>
      <c r="AT2269" s="31"/>
      <c r="AU2269" s="31"/>
      <c r="AV2269" s="94"/>
      <c r="AW2269" s="32"/>
      <c r="AX2269" s="32"/>
      <c r="AY2269" s="32"/>
      <c r="AZ2269" s="32"/>
      <c r="BA2269" s="32"/>
      <c r="BB2269" s="31"/>
      <c r="BC2269" s="31"/>
      <c r="BD2269" s="31"/>
      <c r="BE2269" s="31"/>
      <c r="BF2269" s="96"/>
    </row>
    <row r="2270" spans="42:58" x14ac:dyDescent="0.35">
      <c r="AP2270" s="92"/>
      <c r="AQ2270" s="67"/>
      <c r="AR2270" s="67"/>
      <c r="AS2270" s="73"/>
      <c r="AT2270" s="67"/>
      <c r="AU2270" s="67"/>
      <c r="AV2270" s="73"/>
      <c r="AW2270" s="68"/>
      <c r="AX2270" s="68"/>
      <c r="AY2270" s="68"/>
      <c r="AZ2270" s="68"/>
      <c r="BA2270" s="68"/>
      <c r="BB2270" s="67"/>
      <c r="BC2270" s="67"/>
      <c r="BD2270" s="67"/>
      <c r="BE2270" s="67"/>
      <c r="BF2270" s="95"/>
    </row>
    <row r="2271" spans="42:58" x14ac:dyDescent="0.35">
      <c r="AP2271" s="93"/>
      <c r="AQ2271" s="31"/>
      <c r="AR2271" s="31"/>
      <c r="AS2271" s="94"/>
      <c r="AT2271" s="31"/>
      <c r="AU2271" s="31"/>
      <c r="AV2271" s="94"/>
      <c r="AW2271" s="32"/>
      <c r="AX2271" s="32"/>
      <c r="AY2271" s="32"/>
      <c r="AZ2271" s="32"/>
      <c r="BA2271" s="32"/>
      <c r="BB2271" s="31"/>
      <c r="BC2271" s="31"/>
      <c r="BD2271" s="31"/>
      <c r="BE2271" s="31"/>
      <c r="BF2271" s="96"/>
    </row>
    <row r="2272" spans="42:58" x14ac:dyDescent="0.35">
      <c r="AP2272" s="92"/>
      <c r="AQ2272" s="67"/>
      <c r="AR2272" s="67"/>
      <c r="AS2272" s="73"/>
      <c r="AT2272" s="67"/>
      <c r="AU2272" s="67"/>
      <c r="AV2272" s="73"/>
      <c r="AW2272" s="68"/>
      <c r="AX2272" s="68"/>
      <c r="AY2272" s="68"/>
      <c r="AZ2272" s="68"/>
      <c r="BA2272" s="68"/>
      <c r="BB2272" s="67"/>
      <c r="BC2272" s="67"/>
      <c r="BD2272" s="67"/>
      <c r="BE2272" s="67"/>
      <c r="BF2272" s="95"/>
    </row>
    <row r="2273" spans="42:58" x14ac:dyDescent="0.35">
      <c r="AP2273" s="93"/>
      <c r="AQ2273" s="31"/>
      <c r="AR2273" s="31"/>
      <c r="AS2273" s="94"/>
      <c r="AT2273" s="31"/>
      <c r="AU2273" s="31"/>
      <c r="AV2273" s="94"/>
      <c r="AW2273" s="32"/>
      <c r="AX2273" s="32"/>
      <c r="AY2273" s="32"/>
      <c r="AZ2273" s="32"/>
      <c r="BA2273" s="32"/>
      <c r="BB2273" s="31"/>
      <c r="BC2273" s="31"/>
      <c r="BD2273" s="31"/>
      <c r="BE2273" s="31"/>
      <c r="BF2273" s="96"/>
    </row>
    <row r="2274" spans="42:58" x14ac:dyDescent="0.35">
      <c r="AP2274" s="92"/>
      <c r="AQ2274" s="67"/>
      <c r="AR2274" s="67"/>
      <c r="AS2274" s="73"/>
      <c r="AT2274" s="67"/>
      <c r="AU2274" s="67"/>
      <c r="AV2274" s="73"/>
      <c r="AW2274" s="68"/>
      <c r="AX2274" s="68"/>
      <c r="AY2274" s="68"/>
      <c r="AZ2274" s="68"/>
      <c r="BA2274" s="68"/>
      <c r="BB2274" s="67"/>
      <c r="BC2274" s="67"/>
      <c r="BD2274" s="67"/>
      <c r="BE2274" s="67"/>
      <c r="BF2274" s="95"/>
    </row>
    <row r="2275" spans="42:58" x14ac:dyDescent="0.35">
      <c r="AP2275" s="93"/>
      <c r="AQ2275" s="31"/>
      <c r="AR2275" s="31"/>
      <c r="AS2275" s="94"/>
      <c r="AT2275" s="31"/>
      <c r="AU2275" s="31"/>
      <c r="AV2275" s="94"/>
      <c r="AW2275" s="32"/>
      <c r="AX2275" s="32"/>
      <c r="AY2275" s="32"/>
      <c r="AZ2275" s="32"/>
      <c r="BA2275" s="32"/>
      <c r="BB2275" s="31"/>
      <c r="BC2275" s="31"/>
      <c r="BD2275" s="31"/>
      <c r="BE2275" s="31"/>
      <c r="BF2275" s="96"/>
    </row>
    <row r="2276" spans="42:58" x14ac:dyDescent="0.35">
      <c r="AP2276" s="92"/>
      <c r="AQ2276" s="67"/>
      <c r="AR2276" s="67"/>
      <c r="AS2276" s="73"/>
      <c r="AT2276" s="67"/>
      <c r="AU2276" s="67"/>
      <c r="AV2276" s="73"/>
      <c r="AW2276" s="68"/>
      <c r="AX2276" s="68"/>
      <c r="AY2276" s="68"/>
      <c r="AZ2276" s="68"/>
      <c r="BA2276" s="68"/>
      <c r="BB2276" s="67"/>
      <c r="BC2276" s="67"/>
      <c r="BD2276" s="67"/>
      <c r="BE2276" s="67"/>
      <c r="BF2276" s="95"/>
    </row>
    <row r="2277" spans="42:58" x14ac:dyDescent="0.35">
      <c r="AP2277" s="93"/>
      <c r="AQ2277" s="31"/>
      <c r="AR2277" s="31"/>
      <c r="AS2277" s="94"/>
      <c r="AT2277" s="31"/>
      <c r="AU2277" s="31"/>
      <c r="AV2277" s="94"/>
      <c r="AW2277" s="32"/>
      <c r="AX2277" s="32"/>
      <c r="AY2277" s="32"/>
      <c r="AZ2277" s="32"/>
      <c r="BA2277" s="32"/>
      <c r="BB2277" s="31"/>
      <c r="BC2277" s="31"/>
      <c r="BD2277" s="31"/>
      <c r="BE2277" s="31"/>
      <c r="BF2277" s="96"/>
    </row>
    <row r="2278" spans="42:58" x14ac:dyDescent="0.35">
      <c r="AP2278" s="92"/>
      <c r="AQ2278" s="67"/>
      <c r="AR2278" s="67"/>
      <c r="AS2278" s="73"/>
      <c r="AT2278" s="67"/>
      <c r="AU2278" s="67"/>
      <c r="AV2278" s="73"/>
      <c r="AW2278" s="68"/>
      <c r="AX2278" s="68"/>
      <c r="AY2278" s="68"/>
      <c r="AZ2278" s="68"/>
      <c r="BA2278" s="68"/>
      <c r="BB2278" s="67"/>
      <c r="BC2278" s="67"/>
      <c r="BD2278" s="67"/>
      <c r="BE2278" s="67"/>
      <c r="BF2278" s="95"/>
    </row>
    <row r="2279" spans="42:58" x14ac:dyDescent="0.35">
      <c r="AP2279" s="93"/>
      <c r="AQ2279" s="31"/>
      <c r="AR2279" s="31"/>
      <c r="AS2279" s="94"/>
      <c r="AT2279" s="31"/>
      <c r="AU2279" s="31"/>
      <c r="AV2279" s="94"/>
      <c r="AW2279" s="32"/>
      <c r="AX2279" s="32"/>
      <c r="AY2279" s="32"/>
      <c r="AZ2279" s="32"/>
      <c r="BA2279" s="32"/>
      <c r="BB2279" s="31"/>
      <c r="BC2279" s="31"/>
      <c r="BD2279" s="31"/>
      <c r="BE2279" s="31"/>
      <c r="BF2279" s="96"/>
    </row>
    <row r="2280" spans="42:58" x14ac:dyDescent="0.35">
      <c r="AP2280" s="92"/>
      <c r="AQ2280" s="67"/>
      <c r="AR2280" s="67"/>
      <c r="AS2280" s="73"/>
      <c r="AT2280" s="67"/>
      <c r="AU2280" s="67"/>
      <c r="AV2280" s="73"/>
      <c r="AW2280" s="68"/>
      <c r="AX2280" s="68"/>
      <c r="AY2280" s="68"/>
      <c r="AZ2280" s="68"/>
      <c r="BA2280" s="68"/>
      <c r="BB2280" s="67"/>
      <c r="BC2280" s="67"/>
      <c r="BD2280" s="67"/>
      <c r="BE2280" s="67"/>
      <c r="BF2280" s="95"/>
    </row>
    <row r="2281" spans="42:58" x14ac:dyDescent="0.35">
      <c r="AP2281" s="93"/>
      <c r="AQ2281" s="31"/>
      <c r="AR2281" s="31"/>
      <c r="AS2281" s="94"/>
      <c r="AT2281" s="31"/>
      <c r="AU2281" s="31"/>
      <c r="AV2281" s="94"/>
      <c r="AW2281" s="32"/>
      <c r="AX2281" s="32"/>
      <c r="AY2281" s="32"/>
      <c r="AZ2281" s="32"/>
      <c r="BA2281" s="32"/>
      <c r="BB2281" s="31"/>
      <c r="BC2281" s="31"/>
      <c r="BD2281" s="31"/>
      <c r="BE2281" s="31"/>
      <c r="BF2281" s="96"/>
    </row>
    <row r="2282" spans="42:58" x14ac:dyDescent="0.35">
      <c r="AP2282" s="92"/>
      <c r="AQ2282" s="67"/>
      <c r="AR2282" s="67"/>
      <c r="AS2282" s="73"/>
      <c r="AT2282" s="67"/>
      <c r="AU2282" s="67"/>
      <c r="AV2282" s="73"/>
      <c r="AW2282" s="68"/>
      <c r="AX2282" s="68"/>
      <c r="AY2282" s="68"/>
      <c r="AZ2282" s="68"/>
      <c r="BA2282" s="68"/>
      <c r="BB2282" s="67"/>
      <c r="BC2282" s="67"/>
      <c r="BD2282" s="67"/>
      <c r="BE2282" s="67"/>
      <c r="BF2282" s="95"/>
    </row>
    <row r="2283" spans="42:58" x14ac:dyDescent="0.35">
      <c r="AP2283" s="93"/>
      <c r="AQ2283" s="31"/>
      <c r="AR2283" s="31"/>
      <c r="AS2283" s="94"/>
      <c r="AT2283" s="31"/>
      <c r="AU2283" s="31"/>
      <c r="AV2283" s="94"/>
      <c r="AW2283" s="32"/>
      <c r="AX2283" s="32"/>
      <c r="AY2283" s="32"/>
      <c r="AZ2283" s="32"/>
      <c r="BA2283" s="32"/>
      <c r="BB2283" s="31"/>
      <c r="BC2283" s="31"/>
      <c r="BD2283" s="31"/>
      <c r="BE2283" s="31"/>
      <c r="BF2283" s="96"/>
    </row>
    <row r="2284" spans="42:58" x14ac:dyDescent="0.35">
      <c r="AP2284" s="92"/>
      <c r="AQ2284" s="67"/>
      <c r="AR2284" s="67"/>
      <c r="AS2284" s="73"/>
      <c r="AT2284" s="67"/>
      <c r="AU2284" s="67"/>
      <c r="AV2284" s="73"/>
      <c r="AW2284" s="68"/>
      <c r="AX2284" s="68"/>
      <c r="AY2284" s="68"/>
      <c r="AZ2284" s="68"/>
      <c r="BA2284" s="68"/>
      <c r="BB2284" s="67"/>
      <c r="BC2284" s="67"/>
      <c r="BD2284" s="67"/>
      <c r="BE2284" s="67"/>
      <c r="BF2284" s="95"/>
    </row>
    <row r="2285" spans="42:58" x14ac:dyDescent="0.35">
      <c r="AP2285" s="93"/>
      <c r="AQ2285" s="31"/>
      <c r="AR2285" s="31"/>
      <c r="AS2285" s="94"/>
      <c r="AT2285" s="31"/>
      <c r="AU2285" s="31"/>
      <c r="AV2285" s="94"/>
      <c r="AW2285" s="32"/>
      <c r="AX2285" s="32"/>
      <c r="AY2285" s="32"/>
      <c r="AZ2285" s="32"/>
      <c r="BA2285" s="32"/>
      <c r="BB2285" s="31"/>
      <c r="BC2285" s="31"/>
      <c r="BD2285" s="31"/>
      <c r="BE2285" s="31"/>
      <c r="BF2285" s="96"/>
    </row>
    <row r="2286" spans="42:58" x14ac:dyDescent="0.35">
      <c r="AP2286" s="92"/>
      <c r="AQ2286" s="67"/>
      <c r="AR2286" s="67"/>
      <c r="AS2286" s="73"/>
      <c r="AT2286" s="67"/>
      <c r="AU2286" s="67"/>
      <c r="AV2286" s="73"/>
      <c r="AW2286" s="68"/>
      <c r="AX2286" s="68"/>
      <c r="AY2286" s="68"/>
      <c r="AZ2286" s="68"/>
      <c r="BA2286" s="68"/>
      <c r="BB2286" s="67"/>
      <c r="BC2286" s="67"/>
      <c r="BD2286" s="67"/>
      <c r="BE2286" s="67"/>
      <c r="BF2286" s="95"/>
    </row>
    <row r="2287" spans="42:58" x14ac:dyDescent="0.35">
      <c r="AP2287" s="93"/>
      <c r="AQ2287" s="31"/>
      <c r="AR2287" s="31"/>
      <c r="AS2287" s="94"/>
      <c r="AT2287" s="31"/>
      <c r="AU2287" s="31"/>
      <c r="AV2287" s="94"/>
      <c r="AW2287" s="32"/>
      <c r="AX2287" s="32"/>
      <c r="AY2287" s="32"/>
      <c r="AZ2287" s="32"/>
      <c r="BA2287" s="32"/>
      <c r="BB2287" s="31"/>
      <c r="BC2287" s="31"/>
      <c r="BD2287" s="31"/>
      <c r="BE2287" s="31"/>
      <c r="BF2287" s="96"/>
    </row>
    <row r="2288" spans="42:58" x14ac:dyDescent="0.35">
      <c r="AP2288" s="92"/>
      <c r="AQ2288" s="67"/>
      <c r="AR2288" s="67"/>
      <c r="AS2288" s="73"/>
      <c r="AT2288" s="67"/>
      <c r="AU2288" s="67"/>
      <c r="AV2288" s="73"/>
      <c r="AW2288" s="68"/>
      <c r="AX2288" s="68"/>
      <c r="AY2288" s="68"/>
      <c r="AZ2288" s="68"/>
      <c r="BA2288" s="68"/>
      <c r="BB2288" s="67"/>
      <c r="BC2288" s="67"/>
      <c r="BD2288" s="67"/>
      <c r="BE2288" s="67"/>
      <c r="BF2288" s="95"/>
    </row>
    <row r="2289" spans="42:58" x14ac:dyDescent="0.35">
      <c r="AP2289" s="93"/>
      <c r="AQ2289" s="31"/>
      <c r="AR2289" s="31"/>
      <c r="AS2289" s="94"/>
      <c r="AT2289" s="31"/>
      <c r="AU2289" s="31"/>
      <c r="AV2289" s="94"/>
      <c r="AW2289" s="32"/>
      <c r="AX2289" s="32"/>
      <c r="AY2289" s="32"/>
      <c r="AZ2289" s="32"/>
      <c r="BA2289" s="32"/>
      <c r="BB2289" s="31"/>
      <c r="BC2289" s="31"/>
      <c r="BD2289" s="31"/>
      <c r="BE2289" s="31"/>
      <c r="BF2289" s="96"/>
    </row>
    <row r="2290" spans="42:58" x14ac:dyDescent="0.35">
      <c r="AP2290" s="92"/>
      <c r="AQ2290" s="67"/>
      <c r="AR2290" s="67"/>
      <c r="AS2290" s="73"/>
      <c r="AT2290" s="67"/>
      <c r="AU2290" s="67"/>
      <c r="AV2290" s="73"/>
      <c r="AW2290" s="68"/>
      <c r="AX2290" s="68"/>
      <c r="AY2290" s="68"/>
      <c r="AZ2290" s="68"/>
      <c r="BA2290" s="68"/>
      <c r="BB2290" s="67"/>
      <c r="BC2290" s="67"/>
      <c r="BD2290" s="67"/>
      <c r="BE2290" s="67"/>
      <c r="BF2290" s="95"/>
    </row>
    <row r="2291" spans="42:58" x14ac:dyDescent="0.35">
      <c r="AP2291" s="93"/>
      <c r="AQ2291" s="31"/>
      <c r="AR2291" s="31"/>
      <c r="AS2291" s="94"/>
      <c r="AT2291" s="31"/>
      <c r="AU2291" s="31"/>
      <c r="AV2291" s="94"/>
      <c r="AW2291" s="32"/>
      <c r="AX2291" s="32"/>
      <c r="AY2291" s="32"/>
      <c r="AZ2291" s="32"/>
      <c r="BA2291" s="32"/>
      <c r="BB2291" s="31"/>
      <c r="BC2291" s="31"/>
      <c r="BD2291" s="31"/>
      <c r="BE2291" s="31"/>
      <c r="BF2291" s="96"/>
    </row>
    <row r="2292" spans="42:58" x14ac:dyDescent="0.35">
      <c r="AP2292" s="92"/>
      <c r="AQ2292" s="67"/>
      <c r="AR2292" s="67"/>
      <c r="AS2292" s="73"/>
      <c r="AT2292" s="67"/>
      <c r="AU2292" s="67"/>
      <c r="AV2292" s="73"/>
      <c r="AW2292" s="68"/>
      <c r="AX2292" s="68"/>
      <c r="AY2292" s="68"/>
      <c r="AZ2292" s="68"/>
      <c r="BA2292" s="68"/>
      <c r="BB2292" s="67"/>
      <c r="BC2292" s="67"/>
      <c r="BD2292" s="67"/>
      <c r="BE2292" s="67"/>
      <c r="BF2292" s="95"/>
    </row>
    <row r="2293" spans="42:58" x14ac:dyDescent="0.35">
      <c r="AP2293" s="93"/>
      <c r="AQ2293" s="31"/>
      <c r="AR2293" s="31"/>
      <c r="AS2293" s="94"/>
      <c r="AT2293" s="31"/>
      <c r="AU2293" s="31"/>
      <c r="AV2293" s="94"/>
      <c r="AW2293" s="32"/>
      <c r="AX2293" s="32"/>
      <c r="AY2293" s="32"/>
      <c r="AZ2293" s="32"/>
      <c r="BA2293" s="32"/>
      <c r="BB2293" s="31"/>
      <c r="BC2293" s="31"/>
      <c r="BD2293" s="31"/>
      <c r="BE2293" s="31"/>
      <c r="BF2293" s="96"/>
    </row>
    <row r="2294" spans="42:58" x14ac:dyDescent="0.35">
      <c r="AP2294" s="92"/>
      <c r="AQ2294" s="67"/>
      <c r="AR2294" s="67"/>
      <c r="AS2294" s="73"/>
      <c r="AT2294" s="67"/>
      <c r="AU2294" s="67"/>
      <c r="AV2294" s="73"/>
      <c r="AW2294" s="68"/>
      <c r="AX2294" s="68"/>
      <c r="AY2294" s="68"/>
      <c r="AZ2294" s="68"/>
      <c r="BA2294" s="68"/>
      <c r="BB2294" s="67"/>
      <c r="BC2294" s="67"/>
      <c r="BD2294" s="67"/>
      <c r="BE2294" s="67"/>
      <c r="BF2294" s="95"/>
    </row>
    <row r="2295" spans="42:58" x14ac:dyDescent="0.35">
      <c r="AP2295" s="93"/>
      <c r="AQ2295" s="31"/>
      <c r="AR2295" s="31"/>
      <c r="AS2295" s="94"/>
      <c r="AT2295" s="31"/>
      <c r="AU2295" s="31"/>
      <c r="AV2295" s="94"/>
      <c r="AW2295" s="32"/>
      <c r="AX2295" s="32"/>
      <c r="AY2295" s="32"/>
      <c r="AZ2295" s="32"/>
      <c r="BA2295" s="32"/>
      <c r="BB2295" s="31"/>
      <c r="BC2295" s="31"/>
      <c r="BD2295" s="31"/>
      <c r="BE2295" s="31"/>
      <c r="BF2295" s="96"/>
    </row>
    <row r="2296" spans="42:58" x14ac:dyDescent="0.35">
      <c r="AP2296" s="92"/>
      <c r="AQ2296" s="67"/>
      <c r="AR2296" s="67"/>
      <c r="AS2296" s="73"/>
      <c r="AT2296" s="67"/>
      <c r="AU2296" s="67"/>
      <c r="AV2296" s="73"/>
      <c r="AW2296" s="68"/>
      <c r="AX2296" s="68"/>
      <c r="AY2296" s="68"/>
      <c r="AZ2296" s="68"/>
      <c r="BA2296" s="68"/>
      <c r="BB2296" s="67"/>
      <c r="BC2296" s="67"/>
      <c r="BD2296" s="67"/>
      <c r="BE2296" s="67"/>
      <c r="BF2296" s="95"/>
    </row>
    <row r="2297" spans="42:58" x14ac:dyDescent="0.35">
      <c r="AP2297" s="93"/>
      <c r="AQ2297" s="31"/>
      <c r="AR2297" s="31"/>
      <c r="AS2297" s="94"/>
      <c r="AT2297" s="31"/>
      <c r="AU2297" s="31"/>
      <c r="AV2297" s="94"/>
      <c r="AW2297" s="32"/>
      <c r="AX2297" s="32"/>
      <c r="AY2297" s="32"/>
      <c r="AZ2297" s="32"/>
      <c r="BA2297" s="32"/>
      <c r="BB2297" s="31"/>
      <c r="BC2297" s="31"/>
      <c r="BD2297" s="31"/>
      <c r="BE2297" s="31"/>
      <c r="BF2297" s="96"/>
    </row>
    <row r="2298" spans="42:58" x14ac:dyDescent="0.35">
      <c r="AP2298" s="92"/>
      <c r="AQ2298" s="67"/>
      <c r="AR2298" s="67"/>
      <c r="AS2298" s="73"/>
      <c r="AT2298" s="67"/>
      <c r="AU2298" s="67"/>
      <c r="AV2298" s="73"/>
      <c r="AW2298" s="68"/>
      <c r="AX2298" s="68"/>
      <c r="AY2298" s="68"/>
      <c r="AZ2298" s="68"/>
      <c r="BA2298" s="68"/>
      <c r="BB2298" s="67"/>
      <c r="BC2298" s="67"/>
      <c r="BD2298" s="67"/>
      <c r="BE2298" s="67"/>
      <c r="BF2298" s="95"/>
    </row>
    <row r="2299" spans="42:58" x14ac:dyDescent="0.35">
      <c r="AP2299" s="93"/>
      <c r="AQ2299" s="31"/>
      <c r="AR2299" s="31"/>
      <c r="AS2299" s="94"/>
      <c r="AT2299" s="31"/>
      <c r="AU2299" s="31"/>
      <c r="AV2299" s="94"/>
      <c r="AW2299" s="32"/>
      <c r="AX2299" s="32"/>
      <c r="AY2299" s="32"/>
      <c r="AZ2299" s="32"/>
      <c r="BA2299" s="32"/>
      <c r="BB2299" s="31"/>
      <c r="BC2299" s="31"/>
      <c r="BD2299" s="31"/>
      <c r="BE2299" s="31"/>
      <c r="BF2299" s="96"/>
    </row>
    <row r="2300" spans="42:58" x14ac:dyDescent="0.35">
      <c r="AP2300" s="92"/>
      <c r="AQ2300" s="67"/>
      <c r="AR2300" s="67"/>
      <c r="AS2300" s="73"/>
      <c r="AT2300" s="67"/>
      <c r="AU2300" s="67"/>
      <c r="AV2300" s="73"/>
      <c r="AW2300" s="68"/>
      <c r="AX2300" s="68"/>
      <c r="AY2300" s="68"/>
      <c r="AZ2300" s="68"/>
      <c r="BA2300" s="68"/>
      <c r="BB2300" s="67"/>
      <c r="BC2300" s="67"/>
      <c r="BD2300" s="67"/>
      <c r="BE2300" s="67"/>
      <c r="BF2300" s="95"/>
    </row>
    <row r="2301" spans="42:58" x14ac:dyDescent="0.35">
      <c r="AP2301" s="93"/>
      <c r="AQ2301" s="31"/>
      <c r="AR2301" s="31"/>
      <c r="AS2301" s="94"/>
      <c r="AT2301" s="31"/>
      <c r="AU2301" s="31"/>
      <c r="AV2301" s="94"/>
      <c r="AW2301" s="32"/>
      <c r="AX2301" s="32"/>
      <c r="AY2301" s="32"/>
      <c r="AZ2301" s="32"/>
      <c r="BA2301" s="32"/>
      <c r="BB2301" s="31"/>
      <c r="BC2301" s="31"/>
      <c r="BD2301" s="31"/>
      <c r="BE2301" s="31"/>
      <c r="BF2301" s="96"/>
    </row>
    <row r="2302" spans="42:58" x14ac:dyDescent="0.35">
      <c r="AP2302" s="92"/>
      <c r="AQ2302" s="67"/>
      <c r="AR2302" s="67"/>
      <c r="AS2302" s="73"/>
      <c r="AT2302" s="67"/>
      <c r="AU2302" s="67"/>
      <c r="AV2302" s="73"/>
      <c r="AW2302" s="68"/>
      <c r="AX2302" s="68"/>
      <c r="AY2302" s="68"/>
      <c r="AZ2302" s="68"/>
      <c r="BA2302" s="68"/>
      <c r="BB2302" s="67"/>
      <c r="BC2302" s="67"/>
      <c r="BD2302" s="67"/>
      <c r="BE2302" s="67"/>
      <c r="BF2302" s="95"/>
    </row>
    <row r="2303" spans="42:58" x14ac:dyDescent="0.35">
      <c r="AP2303" s="93"/>
      <c r="AQ2303" s="31"/>
      <c r="AR2303" s="31"/>
      <c r="AS2303" s="94"/>
      <c r="AT2303" s="31"/>
      <c r="AU2303" s="31"/>
      <c r="AV2303" s="94"/>
      <c r="AW2303" s="32"/>
      <c r="AX2303" s="32"/>
      <c r="AY2303" s="32"/>
      <c r="AZ2303" s="32"/>
      <c r="BA2303" s="32"/>
      <c r="BB2303" s="31"/>
      <c r="BC2303" s="31"/>
      <c r="BD2303" s="31"/>
      <c r="BE2303" s="31"/>
      <c r="BF2303" s="96"/>
    </row>
    <row r="2304" spans="42:58" x14ac:dyDescent="0.35">
      <c r="AP2304" s="92"/>
      <c r="AQ2304" s="67"/>
      <c r="AR2304" s="67"/>
      <c r="AS2304" s="73"/>
      <c r="AT2304" s="67"/>
      <c r="AU2304" s="67"/>
      <c r="AV2304" s="73"/>
      <c r="AW2304" s="68"/>
      <c r="AX2304" s="68"/>
      <c r="AY2304" s="68"/>
      <c r="AZ2304" s="68"/>
      <c r="BA2304" s="68"/>
      <c r="BB2304" s="67"/>
      <c r="BC2304" s="67"/>
      <c r="BD2304" s="67"/>
      <c r="BE2304" s="67"/>
      <c r="BF2304" s="95"/>
    </row>
    <row r="2305" spans="42:58" x14ac:dyDescent="0.35">
      <c r="AP2305" s="93"/>
      <c r="AQ2305" s="31"/>
      <c r="AR2305" s="31"/>
      <c r="AS2305" s="94"/>
      <c r="AT2305" s="31"/>
      <c r="AU2305" s="31"/>
      <c r="AV2305" s="94"/>
      <c r="AW2305" s="32"/>
      <c r="AX2305" s="32"/>
      <c r="AY2305" s="32"/>
      <c r="AZ2305" s="32"/>
      <c r="BA2305" s="32"/>
      <c r="BB2305" s="31"/>
      <c r="BC2305" s="31"/>
      <c r="BD2305" s="31"/>
      <c r="BE2305" s="31"/>
      <c r="BF2305" s="96"/>
    </row>
    <row r="2306" spans="42:58" x14ac:dyDescent="0.35">
      <c r="AP2306" s="92"/>
      <c r="AQ2306" s="67"/>
      <c r="AR2306" s="67"/>
      <c r="AS2306" s="73"/>
      <c r="AT2306" s="67"/>
      <c r="AU2306" s="67"/>
      <c r="AV2306" s="73"/>
      <c r="AW2306" s="68"/>
      <c r="AX2306" s="68"/>
      <c r="AY2306" s="68"/>
      <c r="AZ2306" s="68"/>
      <c r="BA2306" s="68"/>
      <c r="BB2306" s="67"/>
      <c r="BC2306" s="67"/>
      <c r="BD2306" s="67"/>
      <c r="BE2306" s="67"/>
      <c r="BF2306" s="95"/>
    </row>
    <row r="2307" spans="42:58" x14ac:dyDescent="0.35">
      <c r="AP2307" s="93"/>
      <c r="AQ2307" s="31"/>
      <c r="AR2307" s="31"/>
      <c r="AS2307" s="94"/>
      <c r="AT2307" s="31"/>
      <c r="AU2307" s="31"/>
      <c r="AV2307" s="94"/>
      <c r="AW2307" s="32"/>
      <c r="AX2307" s="32"/>
      <c r="AY2307" s="32"/>
      <c r="AZ2307" s="32"/>
      <c r="BA2307" s="32"/>
      <c r="BB2307" s="31"/>
      <c r="BC2307" s="31"/>
      <c r="BD2307" s="31"/>
      <c r="BE2307" s="31"/>
      <c r="BF2307" s="96"/>
    </row>
    <row r="2308" spans="42:58" x14ac:dyDescent="0.35">
      <c r="AP2308" s="92"/>
      <c r="AQ2308" s="67"/>
      <c r="AR2308" s="67"/>
      <c r="AS2308" s="73"/>
      <c r="AT2308" s="67"/>
      <c r="AU2308" s="67"/>
      <c r="AV2308" s="73"/>
      <c r="AW2308" s="68"/>
      <c r="AX2308" s="68"/>
      <c r="AY2308" s="68"/>
      <c r="AZ2308" s="68"/>
      <c r="BA2308" s="68"/>
      <c r="BB2308" s="67"/>
      <c r="BC2308" s="67"/>
      <c r="BD2308" s="67"/>
      <c r="BE2308" s="67"/>
      <c r="BF2308" s="95"/>
    </row>
    <row r="2309" spans="42:58" x14ac:dyDescent="0.35">
      <c r="AP2309" s="93"/>
      <c r="AQ2309" s="31"/>
      <c r="AR2309" s="31"/>
      <c r="AS2309" s="94"/>
      <c r="AT2309" s="31"/>
      <c r="AU2309" s="31"/>
      <c r="AV2309" s="94"/>
      <c r="AW2309" s="32"/>
      <c r="AX2309" s="32"/>
      <c r="AY2309" s="32"/>
      <c r="AZ2309" s="32"/>
      <c r="BA2309" s="32"/>
      <c r="BB2309" s="31"/>
      <c r="BC2309" s="31"/>
      <c r="BD2309" s="31"/>
      <c r="BE2309" s="31"/>
      <c r="BF2309" s="96"/>
    </row>
    <row r="2310" spans="42:58" x14ac:dyDescent="0.35">
      <c r="AP2310" s="92"/>
      <c r="AQ2310" s="67"/>
      <c r="AR2310" s="67"/>
      <c r="AS2310" s="73"/>
      <c r="AT2310" s="67"/>
      <c r="AU2310" s="67"/>
      <c r="AV2310" s="73"/>
      <c r="AW2310" s="68"/>
      <c r="AX2310" s="68"/>
      <c r="AY2310" s="68"/>
      <c r="AZ2310" s="68"/>
      <c r="BA2310" s="68"/>
      <c r="BB2310" s="67"/>
      <c r="BC2310" s="67"/>
      <c r="BD2310" s="67"/>
      <c r="BE2310" s="67"/>
      <c r="BF2310" s="95"/>
    </row>
    <row r="2311" spans="42:58" x14ac:dyDescent="0.35">
      <c r="AP2311" s="93"/>
      <c r="AQ2311" s="31"/>
      <c r="AR2311" s="31"/>
      <c r="AS2311" s="94"/>
      <c r="AT2311" s="31"/>
      <c r="AU2311" s="31"/>
      <c r="AV2311" s="94"/>
      <c r="AW2311" s="32"/>
      <c r="AX2311" s="32"/>
      <c r="AY2311" s="32"/>
      <c r="AZ2311" s="32"/>
      <c r="BA2311" s="32"/>
      <c r="BB2311" s="31"/>
      <c r="BC2311" s="31"/>
      <c r="BD2311" s="31"/>
      <c r="BE2311" s="31"/>
      <c r="BF2311" s="96"/>
    </row>
    <row r="2312" spans="42:58" x14ac:dyDescent="0.35">
      <c r="AP2312" s="92"/>
      <c r="AQ2312" s="67"/>
      <c r="AR2312" s="67"/>
      <c r="AS2312" s="73"/>
      <c r="AT2312" s="67"/>
      <c r="AU2312" s="67"/>
      <c r="AV2312" s="73"/>
      <c r="AW2312" s="68"/>
      <c r="AX2312" s="68"/>
      <c r="AY2312" s="68"/>
      <c r="AZ2312" s="68"/>
      <c r="BA2312" s="68"/>
      <c r="BB2312" s="67"/>
      <c r="BC2312" s="67"/>
      <c r="BD2312" s="67"/>
      <c r="BE2312" s="67"/>
      <c r="BF2312" s="95"/>
    </row>
    <row r="2313" spans="42:58" x14ac:dyDescent="0.35">
      <c r="AP2313" s="93"/>
      <c r="AQ2313" s="31"/>
      <c r="AR2313" s="31"/>
      <c r="AS2313" s="94"/>
      <c r="AT2313" s="31"/>
      <c r="AU2313" s="31"/>
      <c r="AV2313" s="94"/>
      <c r="AW2313" s="32"/>
      <c r="AX2313" s="32"/>
      <c r="AY2313" s="32"/>
      <c r="AZ2313" s="32"/>
      <c r="BA2313" s="32"/>
      <c r="BB2313" s="31"/>
      <c r="BC2313" s="31"/>
      <c r="BD2313" s="31"/>
      <c r="BE2313" s="31"/>
      <c r="BF2313" s="96"/>
    </row>
    <row r="2314" spans="42:58" x14ac:dyDescent="0.35">
      <c r="AP2314" s="92"/>
      <c r="AQ2314" s="67"/>
      <c r="AR2314" s="67"/>
      <c r="AS2314" s="73"/>
      <c r="AT2314" s="67"/>
      <c r="AU2314" s="67"/>
      <c r="AV2314" s="73"/>
      <c r="AW2314" s="68"/>
      <c r="AX2314" s="68"/>
      <c r="AY2314" s="68"/>
      <c r="AZ2314" s="68"/>
      <c r="BA2314" s="68"/>
      <c r="BB2314" s="67"/>
      <c r="BC2314" s="67"/>
      <c r="BD2314" s="67"/>
      <c r="BE2314" s="67"/>
      <c r="BF2314" s="95"/>
    </row>
    <row r="2315" spans="42:58" x14ac:dyDescent="0.35">
      <c r="AP2315" s="93"/>
      <c r="AQ2315" s="31"/>
      <c r="AR2315" s="31"/>
      <c r="AS2315" s="94"/>
      <c r="AT2315" s="31"/>
      <c r="AU2315" s="31"/>
      <c r="AV2315" s="94"/>
      <c r="AW2315" s="32"/>
      <c r="AX2315" s="32"/>
      <c r="AY2315" s="32"/>
      <c r="AZ2315" s="32"/>
      <c r="BA2315" s="32"/>
      <c r="BB2315" s="31"/>
      <c r="BC2315" s="31"/>
      <c r="BD2315" s="31"/>
      <c r="BE2315" s="31"/>
      <c r="BF2315" s="96"/>
    </row>
    <row r="2316" spans="42:58" x14ac:dyDescent="0.35">
      <c r="AP2316" s="92"/>
      <c r="AQ2316" s="67"/>
      <c r="AR2316" s="67"/>
      <c r="AS2316" s="73"/>
      <c r="AT2316" s="67"/>
      <c r="AU2316" s="67"/>
      <c r="AV2316" s="73"/>
      <c r="AW2316" s="68"/>
      <c r="AX2316" s="68"/>
      <c r="AY2316" s="68"/>
      <c r="AZ2316" s="68"/>
      <c r="BA2316" s="68"/>
      <c r="BB2316" s="67"/>
      <c r="BC2316" s="67"/>
      <c r="BD2316" s="67"/>
      <c r="BE2316" s="67"/>
      <c r="BF2316" s="95"/>
    </row>
    <row r="2317" spans="42:58" x14ac:dyDescent="0.35">
      <c r="AP2317" s="93"/>
      <c r="AQ2317" s="31"/>
      <c r="AR2317" s="31"/>
      <c r="AS2317" s="94"/>
      <c r="AT2317" s="31"/>
      <c r="AU2317" s="31"/>
      <c r="AV2317" s="94"/>
      <c r="AW2317" s="32"/>
      <c r="AX2317" s="32"/>
      <c r="AY2317" s="32"/>
      <c r="AZ2317" s="32"/>
      <c r="BA2317" s="32"/>
      <c r="BB2317" s="31"/>
      <c r="BC2317" s="31"/>
      <c r="BD2317" s="31"/>
      <c r="BE2317" s="31"/>
      <c r="BF2317" s="96"/>
    </row>
    <row r="2318" spans="42:58" x14ac:dyDescent="0.35">
      <c r="AP2318" s="92"/>
      <c r="AQ2318" s="67"/>
      <c r="AR2318" s="67"/>
      <c r="AS2318" s="73"/>
      <c r="AT2318" s="67"/>
      <c r="AU2318" s="67"/>
      <c r="AV2318" s="73"/>
      <c r="AW2318" s="68"/>
      <c r="AX2318" s="68"/>
      <c r="AY2318" s="68"/>
      <c r="AZ2318" s="68"/>
      <c r="BA2318" s="68"/>
      <c r="BB2318" s="67"/>
      <c r="BC2318" s="67"/>
      <c r="BD2318" s="67"/>
      <c r="BE2318" s="67"/>
      <c r="BF2318" s="95"/>
    </row>
    <row r="2319" spans="42:58" x14ac:dyDescent="0.35">
      <c r="AP2319" s="93"/>
      <c r="AQ2319" s="31"/>
      <c r="AR2319" s="31"/>
      <c r="AS2319" s="94"/>
      <c r="AT2319" s="31"/>
      <c r="AU2319" s="31"/>
      <c r="AV2319" s="94"/>
      <c r="AW2319" s="32"/>
      <c r="AX2319" s="32"/>
      <c r="AY2319" s="32"/>
      <c r="AZ2319" s="32"/>
      <c r="BA2319" s="32"/>
      <c r="BB2319" s="31"/>
      <c r="BC2319" s="31"/>
      <c r="BD2319" s="31"/>
      <c r="BE2319" s="31"/>
      <c r="BF2319" s="96"/>
    </row>
    <row r="2320" spans="42:58" x14ac:dyDescent="0.35">
      <c r="AP2320" s="92"/>
      <c r="AQ2320" s="67"/>
      <c r="AR2320" s="67"/>
      <c r="AS2320" s="73"/>
      <c r="AT2320" s="67"/>
      <c r="AU2320" s="67"/>
      <c r="AV2320" s="73"/>
      <c r="AW2320" s="68"/>
      <c r="AX2320" s="68"/>
      <c r="AY2320" s="68"/>
      <c r="AZ2320" s="68"/>
      <c r="BA2320" s="68"/>
      <c r="BB2320" s="67"/>
      <c r="BC2320" s="67"/>
      <c r="BD2320" s="67"/>
      <c r="BE2320" s="67"/>
      <c r="BF2320" s="95"/>
    </row>
    <row r="2321" spans="42:58" x14ac:dyDescent="0.35">
      <c r="AP2321" s="93"/>
      <c r="AQ2321" s="31"/>
      <c r="AR2321" s="31"/>
      <c r="AS2321" s="94"/>
      <c r="AT2321" s="31"/>
      <c r="AU2321" s="31"/>
      <c r="AV2321" s="94"/>
      <c r="AW2321" s="32"/>
      <c r="AX2321" s="32"/>
      <c r="AY2321" s="32"/>
      <c r="AZ2321" s="32"/>
      <c r="BA2321" s="32"/>
      <c r="BB2321" s="31"/>
      <c r="BC2321" s="31"/>
      <c r="BD2321" s="31"/>
      <c r="BE2321" s="31"/>
      <c r="BF2321" s="96"/>
    </row>
    <row r="2322" spans="42:58" x14ac:dyDescent="0.35">
      <c r="AP2322" s="92"/>
      <c r="AQ2322" s="67"/>
      <c r="AR2322" s="67"/>
      <c r="AS2322" s="73"/>
      <c r="AT2322" s="67"/>
      <c r="AU2322" s="67"/>
      <c r="AV2322" s="73"/>
      <c r="AW2322" s="68"/>
      <c r="AX2322" s="68"/>
      <c r="AY2322" s="68"/>
      <c r="AZ2322" s="68"/>
      <c r="BA2322" s="68"/>
      <c r="BB2322" s="67"/>
      <c r="BC2322" s="67"/>
      <c r="BD2322" s="67"/>
      <c r="BE2322" s="67"/>
      <c r="BF2322" s="95"/>
    </row>
    <row r="2323" spans="42:58" x14ac:dyDescent="0.35">
      <c r="AP2323" s="93"/>
      <c r="AQ2323" s="31"/>
      <c r="AR2323" s="31"/>
      <c r="AS2323" s="94"/>
      <c r="AT2323" s="31"/>
      <c r="AU2323" s="31"/>
      <c r="AV2323" s="94"/>
      <c r="AW2323" s="32"/>
      <c r="AX2323" s="32"/>
      <c r="AY2323" s="32"/>
      <c r="AZ2323" s="32"/>
      <c r="BA2323" s="32"/>
      <c r="BB2323" s="31"/>
      <c r="BC2323" s="31"/>
      <c r="BD2323" s="31"/>
      <c r="BE2323" s="31"/>
      <c r="BF2323" s="96"/>
    </row>
    <row r="2324" spans="42:58" x14ac:dyDescent="0.35">
      <c r="AP2324" s="92"/>
      <c r="AQ2324" s="67"/>
      <c r="AR2324" s="67"/>
      <c r="AS2324" s="73"/>
      <c r="AT2324" s="67"/>
      <c r="AU2324" s="67"/>
      <c r="AV2324" s="73"/>
      <c r="AW2324" s="68"/>
      <c r="AX2324" s="68"/>
      <c r="AY2324" s="68"/>
      <c r="AZ2324" s="68"/>
      <c r="BA2324" s="68"/>
      <c r="BB2324" s="67"/>
      <c r="BC2324" s="67"/>
      <c r="BD2324" s="67"/>
      <c r="BE2324" s="67"/>
      <c r="BF2324" s="95"/>
    </row>
    <row r="2325" spans="42:58" x14ac:dyDescent="0.35">
      <c r="AP2325" s="93"/>
      <c r="AQ2325" s="31"/>
      <c r="AR2325" s="31"/>
      <c r="AS2325" s="94"/>
      <c r="AT2325" s="31"/>
      <c r="AU2325" s="31"/>
      <c r="AV2325" s="94"/>
      <c r="AW2325" s="32"/>
      <c r="AX2325" s="32"/>
      <c r="AY2325" s="32"/>
      <c r="AZ2325" s="32"/>
      <c r="BA2325" s="32"/>
      <c r="BB2325" s="31"/>
      <c r="BC2325" s="31"/>
      <c r="BD2325" s="31"/>
      <c r="BE2325" s="31"/>
      <c r="BF2325" s="96"/>
    </row>
    <row r="2326" spans="42:58" x14ac:dyDescent="0.35">
      <c r="AP2326" s="92"/>
      <c r="AQ2326" s="67"/>
      <c r="AR2326" s="67"/>
      <c r="AS2326" s="73"/>
      <c r="AT2326" s="67"/>
      <c r="AU2326" s="67"/>
      <c r="AV2326" s="73"/>
      <c r="AW2326" s="68"/>
      <c r="AX2326" s="68"/>
      <c r="AY2326" s="68"/>
      <c r="AZ2326" s="68"/>
      <c r="BA2326" s="68"/>
      <c r="BB2326" s="67"/>
      <c r="BC2326" s="67"/>
      <c r="BD2326" s="67"/>
      <c r="BE2326" s="67"/>
      <c r="BF2326" s="95"/>
    </row>
    <row r="2327" spans="42:58" x14ac:dyDescent="0.35">
      <c r="AP2327" s="93"/>
      <c r="AQ2327" s="31"/>
      <c r="AR2327" s="31"/>
      <c r="AS2327" s="94"/>
      <c r="AT2327" s="31"/>
      <c r="AU2327" s="31"/>
      <c r="AV2327" s="94"/>
      <c r="AW2327" s="32"/>
      <c r="AX2327" s="32"/>
      <c r="AY2327" s="32"/>
      <c r="AZ2327" s="32"/>
      <c r="BA2327" s="32"/>
      <c r="BB2327" s="31"/>
      <c r="BC2327" s="31"/>
      <c r="BD2327" s="31"/>
      <c r="BE2327" s="31"/>
      <c r="BF2327" s="96"/>
    </row>
    <row r="2328" spans="42:58" x14ac:dyDescent="0.35">
      <c r="AP2328" s="92"/>
      <c r="AQ2328" s="67"/>
      <c r="AR2328" s="67"/>
      <c r="AS2328" s="73"/>
      <c r="AT2328" s="67"/>
      <c r="AU2328" s="67"/>
      <c r="AV2328" s="73"/>
      <c r="AW2328" s="68"/>
      <c r="AX2328" s="68"/>
      <c r="AY2328" s="68"/>
      <c r="AZ2328" s="68"/>
      <c r="BA2328" s="68"/>
      <c r="BB2328" s="67"/>
      <c r="BC2328" s="67"/>
      <c r="BD2328" s="67"/>
      <c r="BE2328" s="67"/>
      <c r="BF2328" s="95"/>
    </row>
    <row r="2329" spans="42:58" x14ac:dyDescent="0.35">
      <c r="AP2329" s="93"/>
      <c r="AQ2329" s="31"/>
      <c r="AR2329" s="31"/>
      <c r="AS2329" s="94"/>
      <c r="AT2329" s="31"/>
      <c r="AU2329" s="31"/>
      <c r="AV2329" s="94"/>
      <c r="AW2329" s="32"/>
      <c r="AX2329" s="32"/>
      <c r="AY2329" s="32"/>
      <c r="AZ2329" s="32"/>
      <c r="BA2329" s="32"/>
      <c r="BB2329" s="31"/>
      <c r="BC2329" s="31"/>
      <c r="BD2329" s="31"/>
      <c r="BE2329" s="31"/>
      <c r="BF2329" s="96"/>
    </row>
    <row r="2330" spans="42:58" x14ac:dyDescent="0.35">
      <c r="AP2330" s="92"/>
      <c r="AQ2330" s="67"/>
      <c r="AR2330" s="67"/>
      <c r="AS2330" s="73"/>
      <c r="AT2330" s="67"/>
      <c r="AU2330" s="67"/>
      <c r="AV2330" s="73"/>
      <c r="AW2330" s="68"/>
      <c r="AX2330" s="68"/>
      <c r="AY2330" s="68"/>
      <c r="AZ2330" s="68"/>
      <c r="BA2330" s="68"/>
      <c r="BB2330" s="67"/>
      <c r="BC2330" s="67"/>
      <c r="BD2330" s="67"/>
      <c r="BE2330" s="67"/>
      <c r="BF2330" s="95"/>
    </row>
    <row r="2331" spans="42:58" x14ac:dyDescent="0.35">
      <c r="AP2331" s="93"/>
      <c r="AQ2331" s="31"/>
      <c r="AR2331" s="31"/>
      <c r="AS2331" s="94"/>
      <c r="AT2331" s="31"/>
      <c r="AU2331" s="31"/>
      <c r="AV2331" s="94"/>
      <c r="AW2331" s="32"/>
      <c r="AX2331" s="32"/>
      <c r="AY2331" s="32"/>
      <c r="AZ2331" s="32"/>
      <c r="BA2331" s="32"/>
      <c r="BB2331" s="31"/>
      <c r="BC2331" s="31"/>
      <c r="BD2331" s="31"/>
      <c r="BE2331" s="31"/>
      <c r="BF2331" s="96"/>
    </row>
    <row r="2332" spans="42:58" x14ac:dyDescent="0.35">
      <c r="AP2332" s="92"/>
      <c r="AQ2332" s="67"/>
      <c r="AR2332" s="67"/>
      <c r="AS2332" s="73"/>
      <c r="AT2332" s="67"/>
      <c r="AU2332" s="67"/>
      <c r="AV2332" s="73"/>
      <c r="AW2332" s="68"/>
      <c r="AX2332" s="68"/>
      <c r="AY2332" s="68"/>
      <c r="AZ2332" s="68"/>
      <c r="BA2332" s="68"/>
      <c r="BB2332" s="67"/>
      <c r="BC2332" s="67"/>
      <c r="BD2332" s="67"/>
      <c r="BE2332" s="67"/>
      <c r="BF2332" s="95"/>
    </row>
    <row r="2333" spans="42:58" x14ac:dyDescent="0.35">
      <c r="AP2333" s="93"/>
      <c r="AQ2333" s="31"/>
      <c r="AR2333" s="31"/>
      <c r="AS2333" s="94"/>
      <c r="AT2333" s="31"/>
      <c r="AU2333" s="31"/>
      <c r="AV2333" s="94"/>
      <c r="AW2333" s="32"/>
      <c r="AX2333" s="32"/>
      <c r="AY2333" s="32"/>
      <c r="AZ2333" s="32"/>
      <c r="BA2333" s="32"/>
      <c r="BB2333" s="31"/>
      <c r="BC2333" s="31"/>
      <c r="BD2333" s="31"/>
      <c r="BE2333" s="31"/>
      <c r="BF2333" s="96"/>
    </row>
    <row r="2334" spans="42:58" x14ac:dyDescent="0.35">
      <c r="AP2334" s="92"/>
      <c r="AQ2334" s="67"/>
      <c r="AR2334" s="67"/>
      <c r="AS2334" s="73"/>
      <c r="AT2334" s="67"/>
      <c r="AU2334" s="67"/>
      <c r="AV2334" s="73"/>
      <c r="AW2334" s="68"/>
      <c r="AX2334" s="68"/>
      <c r="AY2334" s="68"/>
      <c r="AZ2334" s="68"/>
      <c r="BA2334" s="68"/>
      <c r="BB2334" s="67"/>
      <c r="BC2334" s="67"/>
      <c r="BD2334" s="67"/>
      <c r="BE2334" s="67"/>
      <c r="BF2334" s="95"/>
    </row>
    <row r="2335" spans="42:58" x14ac:dyDescent="0.35">
      <c r="AP2335" s="93"/>
      <c r="AQ2335" s="31"/>
      <c r="AR2335" s="31"/>
      <c r="AS2335" s="94"/>
      <c r="AT2335" s="31"/>
      <c r="AU2335" s="31"/>
      <c r="AV2335" s="94"/>
      <c r="AW2335" s="32"/>
      <c r="AX2335" s="32"/>
      <c r="AY2335" s="32"/>
      <c r="AZ2335" s="32"/>
      <c r="BA2335" s="32"/>
      <c r="BB2335" s="31"/>
      <c r="BC2335" s="31"/>
      <c r="BD2335" s="31"/>
      <c r="BE2335" s="31"/>
      <c r="BF2335" s="96"/>
    </row>
    <row r="2336" spans="42:58" x14ac:dyDescent="0.35">
      <c r="AP2336" s="92"/>
      <c r="AQ2336" s="67"/>
      <c r="AR2336" s="67"/>
      <c r="AS2336" s="73"/>
      <c r="AT2336" s="67"/>
      <c r="AU2336" s="67"/>
      <c r="AV2336" s="73"/>
      <c r="AW2336" s="68"/>
      <c r="AX2336" s="68"/>
      <c r="AY2336" s="68"/>
      <c r="AZ2336" s="68"/>
      <c r="BA2336" s="68"/>
      <c r="BB2336" s="67"/>
      <c r="BC2336" s="67"/>
      <c r="BD2336" s="67"/>
      <c r="BE2336" s="67"/>
      <c r="BF2336" s="95"/>
    </row>
    <row r="2337" spans="42:58" x14ac:dyDescent="0.35">
      <c r="AP2337" s="93"/>
      <c r="AQ2337" s="31"/>
      <c r="AR2337" s="31"/>
      <c r="AS2337" s="94"/>
      <c r="AT2337" s="31"/>
      <c r="AU2337" s="31"/>
      <c r="AV2337" s="94"/>
      <c r="AW2337" s="32"/>
      <c r="AX2337" s="32"/>
      <c r="AY2337" s="32"/>
      <c r="AZ2337" s="32"/>
      <c r="BA2337" s="32"/>
      <c r="BB2337" s="31"/>
      <c r="BC2337" s="31"/>
      <c r="BD2337" s="31"/>
      <c r="BE2337" s="31"/>
      <c r="BF2337" s="96"/>
    </row>
    <row r="2338" spans="42:58" x14ac:dyDescent="0.35">
      <c r="AP2338" s="92"/>
      <c r="AQ2338" s="67"/>
      <c r="AR2338" s="67"/>
      <c r="AS2338" s="73"/>
      <c r="AT2338" s="67"/>
      <c r="AU2338" s="67"/>
      <c r="AV2338" s="73"/>
      <c r="AW2338" s="68"/>
      <c r="AX2338" s="68"/>
      <c r="AY2338" s="68"/>
      <c r="AZ2338" s="68"/>
      <c r="BA2338" s="68"/>
      <c r="BB2338" s="67"/>
      <c r="BC2338" s="67"/>
      <c r="BD2338" s="67"/>
      <c r="BE2338" s="67"/>
      <c r="BF2338" s="95"/>
    </row>
    <row r="2339" spans="42:58" x14ac:dyDescent="0.35">
      <c r="AP2339" s="93"/>
      <c r="AQ2339" s="31"/>
      <c r="AR2339" s="31"/>
      <c r="AS2339" s="94"/>
      <c r="AT2339" s="31"/>
      <c r="AU2339" s="31"/>
      <c r="AV2339" s="94"/>
      <c r="AW2339" s="32"/>
      <c r="AX2339" s="32"/>
      <c r="AY2339" s="32"/>
      <c r="AZ2339" s="32"/>
      <c r="BA2339" s="32"/>
      <c r="BB2339" s="31"/>
      <c r="BC2339" s="31"/>
      <c r="BD2339" s="31"/>
      <c r="BE2339" s="31"/>
      <c r="BF2339" s="96"/>
    </row>
    <row r="2340" spans="42:58" x14ac:dyDescent="0.35">
      <c r="AP2340" s="92"/>
      <c r="AQ2340" s="67"/>
      <c r="AR2340" s="67"/>
      <c r="AS2340" s="73"/>
      <c r="AT2340" s="67"/>
      <c r="AU2340" s="67"/>
      <c r="AV2340" s="73"/>
      <c r="AW2340" s="68"/>
      <c r="AX2340" s="68"/>
      <c r="AY2340" s="68"/>
      <c r="AZ2340" s="68"/>
      <c r="BA2340" s="68"/>
      <c r="BB2340" s="67"/>
      <c r="BC2340" s="67"/>
      <c r="BD2340" s="67"/>
      <c r="BE2340" s="67"/>
      <c r="BF2340" s="95"/>
    </row>
    <row r="2341" spans="42:58" x14ac:dyDescent="0.35">
      <c r="AP2341" s="93"/>
      <c r="AQ2341" s="31"/>
      <c r="AR2341" s="31"/>
      <c r="AS2341" s="94"/>
      <c r="AT2341" s="31"/>
      <c r="AU2341" s="31"/>
      <c r="AV2341" s="94"/>
      <c r="AW2341" s="32"/>
      <c r="AX2341" s="32"/>
      <c r="AY2341" s="32"/>
      <c r="AZ2341" s="32"/>
      <c r="BA2341" s="32"/>
      <c r="BB2341" s="31"/>
      <c r="BC2341" s="31"/>
      <c r="BD2341" s="31"/>
      <c r="BE2341" s="31"/>
      <c r="BF2341" s="96"/>
    </row>
    <row r="2342" spans="42:58" x14ac:dyDescent="0.35">
      <c r="AP2342" s="92"/>
      <c r="AQ2342" s="67"/>
      <c r="AR2342" s="67"/>
      <c r="AS2342" s="73"/>
      <c r="AT2342" s="67"/>
      <c r="AU2342" s="67"/>
      <c r="AV2342" s="73"/>
      <c r="AW2342" s="68"/>
      <c r="AX2342" s="68"/>
      <c r="AY2342" s="68"/>
      <c r="AZ2342" s="68"/>
      <c r="BA2342" s="68"/>
      <c r="BB2342" s="67"/>
      <c r="BC2342" s="67"/>
      <c r="BD2342" s="67"/>
      <c r="BE2342" s="67"/>
      <c r="BF2342" s="95"/>
    </row>
    <row r="2343" spans="42:58" x14ac:dyDescent="0.35">
      <c r="AP2343" s="93"/>
      <c r="AQ2343" s="31"/>
      <c r="AR2343" s="31"/>
      <c r="AS2343" s="94"/>
      <c r="AT2343" s="31"/>
      <c r="AU2343" s="31"/>
      <c r="AV2343" s="94"/>
      <c r="AW2343" s="32"/>
      <c r="AX2343" s="32"/>
      <c r="AY2343" s="32"/>
      <c r="AZ2343" s="32"/>
      <c r="BA2343" s="32"/>
      <c r="BB2343" s="31"/>
      <c r="BC2343" s="31"/>
      <c r="BD2343" s="31"/>
      <c r="BE2343" s="31"/>
      <c r="BF2343" s="96"/>
    </row>
    <row r="2344" spans="42:58" x14ac:dyDescent="0.35">
      <c r="AP2344" s="92"/>
      <c r="AQ2344" s="67"/>
      <c r="AR2344" s="67"/>
      <c r="AS2344" s="73"/>
      <c r="AT2344" s="67"/>
      <c r="AU2344" s="67"/>
      <c r="AV2344" s="73"/>
      <c r="AW2344" s="68"/>
      <c r="AX2344" s="68"/>
      <c r="AY2344" s="68"/>
      <c r="AZ2344" s="68"/>
      <c r="BA2344" s="68"/>
      <c r="BB2344" s="67"/>
      <c r="BC2344" s="67"/>
      <c r="BD2344" s="67"/>
      <c r="BE2344" s="67"/>
      <c r="BF2344" s="95"/>
    </row>
    <row r="2345" spans="42:58" x14ac:dyDescent="0.35">
      <c r="AP2345" s="93"/>
      <c r="AQ2345" s="31"/>
      <c r="AR2345" s="31"/>
      <c r="AS2345" s="94"/>
      <c r="AT2345" s="31"/>
      <c r="AU2345" s="31"/>
      <c r="AV2345" s="94"/>
      <c r="AW2345" s="32"/>
      <c r="AX2345" s="32"/>
      <c r="AY2345" s="32"/>
      <c r="AZ2345" s="32"/>
      <c r="BA2345" s="32"/>
      <c r="BB2345" s="31"/>
      <c r="BC2345" s="31"/>
      <c r="BD2345" s="31"/>
      <c r="BE2345" s="31"/>
      <c r="BF2345" s="96"/>
    </row>
    <row r="2346" spans="42:58" x14ac:dyDescent="0.35">
      <c r="AP2346" s="92"/>
      <c r="AQ2346" s="67"/>
      <c r="AR2346" s="67"/>
      <c r="AS2346" s="73"/>
      <c r="AT2346" s="67"/>
      <c r="AU2346" s="67"/>
      <c r="AV2346" s="73"/>
      <c r="AW2346" s="68"/>
      <c r="AX2346" s="68"/>
      <c r="AY2346" s="68"/>
      <c r="AZ2346" s="68"/>
      <c r="BA2346" s="68"/>
      <c r="BB2346" s="67"/>
      <c r="BC2346" s="67"/>
      <c r="BD2346" s="67"/>
      <c r="BE2346" s="67"/>
      <c r="BF2346" s="95"/>
    </row>
    <row r="2347" spans="42:58" x14ac:dyDescent="0.35">
      <c r="AP2347" s="93"/>
      <c r="AQ2347" s="31"/>
      <c r="AR2347" s="31"/>
      <c r="AS2347" s="94"/>
      <c r="AT2347" s="31"/>
      <c r="AU2347" s="31"/>
      <c r="AV2347" s="94"/>
      <c r="AW2347" s="32"/>
      <c r="AX2347" s="32"/>
      <c r="AY2347" s="32"/>
      <c r="AZ2347" s="32"/>
      <c r="BA2347" s="32"/>
      <c r="BB2347" s="31"/>
      <c r="BC2347" s="31"/>
      <c r="BD2347" s="31"/>
      <c r="BE2347" s="31"/>
      <c r="BF2347" s="96"/>
    </row>
    <row r="2348" spans="42:58" x14ac:dyDescent="0.35">
      <c r="AP2348" s="92"/>
      <c r="AQ2348" s="67"/>
      <c r="AR2348" s="67"/>
      <c r="AS2348" s="73"/>
      <c r="AT2348" s="67"/>
      <c r="AU2348" s="67"/>
      <c r="AV2348" s="73"/>
      <c r="AW2348" s="68"/>
      <c r="AX2348" s="68"/>
      <c r="AY2348" s="68"/>
      <c r="AZ2348" s="68"/>
      <c r="BA2348" s="68"/>
      <c r="BB2348" s="67"/>
      <c r="BC2348" s="67"/>
      <c r="BD2348" s="67"/>
      <c r="BE2348" s="67"/>
      <c r="BF2348" s="95"/>
    </row>
    <row r="2349" spans="42:58" x14ac:dyDescent="0.35">
      <c r="AP2349" s="93"/>
      <c r="AQ2349" s="31"/>
      <c r="AR2349" s="31"/>
      <c r="AS2349" s="94"/>
      <c r="AT2349" s="31"/>
      <c r="AU2349" s="31"/>
      <c r="AV2349" s="94"/>
      <c r="AW2349" s="32"/>
      <c r="AX2349" s="32"/>
      <c r="AY2349" s="32"/>
      <c r="AZ2349" s="32"/>
      <c r="BA2349" s="32"/>
      <c r="BB2349" s="31"/>
      <c r="BC2349" s="31"/>
      <c r="BD2349" s="31"/>
      <c r="BE2349" s="31"/>
      <c r="BF2349" s="96"/>
    </row>
    <row r="2350" spans="42:58" x14ac:dyDescent="0.35">
      <c r="AP2350" s="92"/>
      <c r="AQ2350" s="67"/>
      <c r="AR2350" s="67"/>
      <c r="AS2350" s="73"/>
      <c r="AT2350" s="67"/>
      <c r="AU2350" s="67"/>
      <c r="AV2350" s="73"/>
      <c r="AW2350" s="68"/>
      <c r="AX2350" s="68"/>
      <c r="AY2350" s="68"/>
      <c r="AZ2350" s="68"/>
      <c r="BA2350" s="68"/>
      <c r="BB2350" s="67"/>
      <c r="BC2350" s="67"/>
      <c r="BD2350" s="67"/>
      <c r="BE2350" s="67"/>
      <c r="BF2350" s="95"/>
    </row>
    <row r="2351" spans="42:58" x14ac:dyDescent="0.35">
      <c r="AP2351" s="93"/>
      <c r="AQ2351" s="31"/>
      <c r="AR2351" s="31"/>
      <c r="AS2351" s="94"/>
      <c r="AT2351" s="31"/>
      <c r="AU2351" s="31"/>
      <c r="AV2351" s="94"/>
      <c r="AW2351" s="32"/>
      <c r="AX2351" s="32"/>
      <c r="AY2351" s="32"/>
      <c r="AZ2351" s="32"/>
      <c r="BA2351" s="32"/>
      <c r="BB2351" s="31"/>
      <c r="BC2351" s="31"/>
      <c r="BD2351" s="31"/>
      <c r="BE2351" s="31"/>
      <c r="BF2351" s="96"/>
    </row>
    <row r="2352" spans="42:58" x14ac:dyDescent="0.35">
      <c r="AP2352" s="92"/>
      <c r="AQ2352" s="67"/>
      <c r="AR2352" s="67"/>
      <c r="AS2352" s="73"/>
      <c r="AT2352" s="67"/>
      <c r="AU2352" s="67"/>
      <c r="AV2352" s="73"/>
      <c r="AW2352" s="68"/>
      <c r="AX2352" s="68"/>
      <c r="AY2352" s="68"/>
      <c r="AZ2352" s="68"/>
      <c r="BA2352" s="68"/>
      <c r="BB2352" s="67"/>
      <c r="BC2352" s="67"/>
      <c r="BD2352" s="67"/>
      <c r="BE2352" s="67"/>
      <c r="BF2352" s="95"/>
    </row>
    <row r="2353" spans="42:58" x14ac:dyDescent="0.35">
      <c r="AP2353" s="93"/>
      <c r="AQ2353" s="31"/>
      <c r="AR2353" s="31"/>
      <c r="AS2353" s="94"/>
      <c r="AT2353" s="31"/>
      <c r="AU2353" s="31"/>
      <c r="AV2353" s="94"/>
      <c r="AW2353" s="32"/>
      <c r="AX2353" s="32"/>
      <c r="AY2353" s="32"/>
      <c r="AZ2353" s="32"/>
      <c r="BA2353" s="32"/>
      <c r="BB2353" s="31"/>
      <c r="BC2353" s="31"/>
      <c r="BD2353" s="31"/>
      <c r="BE2353" s="31"/>
      <c r="BF2353" s="96"/>
    </row>
    <row r="2354" spans="42:58" x14ac:dyDescent="0.35">
      <c r="AP2354" s="92"/>
      <c r="AQ2354" s="67"/>
      <c r="AR2354" s="67"/>
      <c r="AS2354" s="73"/>
      <c r="AT2354" s="67"/>
      <c r="AU2354" s="67"/>
      <c r="AV2354" s="73"/>
      <c r="AW2354" s="68"/>
      <c r="AX2354" s="68"/>
      <c r="AY2354" s="68"/>
      <c r="AZ2354" s="68"/>
      <c r="BA2354" s="68"/>
      <c r="BB2354" s="67"/>
      <c r="BC2354" s="67"/>
      <c r="BD2354" s="67"/>
      <c r="BE2354" s="67"/>
      <c r="BF2354" s="95"/>
    </row>
    <row r="2355" spans="42:58" x14ac:dyDescent="0.35">
      <c r="AP2355" s="93"/>
      <c r="AQ2355" s="31"/>
      <c r="AR2355" s="31"/>
      <c r="AS2355" s="94"/>
      <c r="AT2355" s="31"/>
      <c r="AU2355" s="31"/>
      <c r="AV2355" s="94"/>
      <c r="AW2355" s="32"/>
      <c r="AX2355" s="32"/>
      <c r="AY2355" s="32"/>
      <c r="AZ2355" s="32"/>
      <c r="BA2355" s="32"/>
      <c r="BB2355" s="31"/>
      <c r="BC2355" s="31"/>
      <c r="BD2355" s="31"/>
      <c r="BE2355" s="31"/>
      <c r="BF2355" s="96"/>
    </row>
    <row r="2356" spans="42:58" x14ac:dyDescent="0.35">
      <c r="AP2356" s="92"/>
      <c r="AQ2356" s="67"/>
      <c r="AR2356" s="67"/>
      <c r="AS2356" s="73"/>
      <c r="AT2356" s="67"/>
      <c r="AU2356" s="67"/>
      <c r="AV2356" s="73"/>
      <c r="AW2356" s="68"/>
      <c r="AX2356" s="68"/>
      <c r="AY2356" s="68"/>
      <c r="AZ2356" s="68"/>
      <c r="BA2356" s="68"/>
      <c r="BB2356" s="67"/>
      <c r="BC2356" s="67"/>
      <c r="BD2356" s="67"/>
      <c r="BE2356" s="67"/>
      <c r="BF2356" s="95"/>
    </row>
    <row r="2357" spans="42:58" x14ac:dyDescent="0.35">
      <c r="AP2357" s="93"/>
      <c r="AQ2357" s="31"/>
      <c r="AR2357" s="31"/>
      <c r="AS2357" s="94"/>
      <c r="AT2357" s="31"/>
      <c r="AU2357" s="31"/>
      <c r="AV2357" s="94"/>
      <c r="AW2357" s="32"/>
      <c r="AX2357" s="32"/>
      <c r="AY2357" s="32"/>
      <c r="AZ2357" s="32"/>
      <c r="BA2357" s="32"/>
      <c r="BB2357" s="31"/>
      <c r="BC2357" s="31"/>
      <c r="BD2357" s="31"/>
      <c r="BE2357" s="31"/>
      <c r="BF2357" s="96"/>
    </row>
    <row r="2358" spans="42:58" x14ac:dyDescent="0.35">
      <c r="AP2358" s="92"/>
      <c r="AQ2358" s="67"/>
      <c r="AR2358" s="67"/>
      <c r="AS2358" s="73"/>
      <c r="AT2358" s="67"/>
      <c r="AU2358" s="67"/>
      <c r="AV2358" s="73"/>
      <c r="AW2358" s="68"/>
      <c r="AX2358" s="68"/>
      <c r="AY2358" s="68"/>
      <c r="AZ2358" s="68"/>
      <c r="BA2358" s="68"/>
      <c r="BB2358" s="67"/>
      <c r="BC2358" s="67"/>
      <c r="BD2358" s="67"/>
      <c r="BE2358" s="67"/>
      <c r="BF2358" s="95"/>
    </row>
    <row r="2359" spans="42:58" x14ac:dyDescent="0.35">
      <c r="AP2359" s="93"/>
      <c r="AQ2359" s="31"/>
      <c r="AR2359" s="31"/>
      <c r="AS2359" s="94"/>
      <c r="AT2359" s="31"/>
      <c r="AU2359" s="31"/>
      <c r="AV2359" s="94"/>
      <c r="AW2359" s="32"/>
      <c r="AX2359" s="32"/>
      <c r="AY2359" s="32"/>
      <c r="AZ2359" s="32"/>
      <c r="BA2359" s="32"/>
      <c r="BB2359" s="31"/>
      <c r="BC2359" s="31"/>
      <c r="BD2359" s="31"/>
      <c r="BE2359" s="31"/>
      <c r="BF2359" s="96"/>
    </row>
    <row r="2360" spans="42:58" x14ac:dyDescent="0.35">
      <c r="AP2360" s="92"/>
      <c r="AQ2360" s="67"/>
      <c r="AR2360" s="67"/>
      <c r="AS2360" s="73"/>
      <c r="AT2360" s="67"/>
      <c r="AU2360" s="67"/>
      <c r="AV2360" s="73"/>
      <c r="AW2360" s="68"/>
      <c r="AX2360" s="68"/>
      <c r="AY2360" s="68"/>
      <c r="AZ2360" s="68"/>
      <c r="BA2360" s="68"/>
      <c r="BB2360" s="67"/>
      <c r="BC2360" s="67"/>
      <c r="BD2360" s="67"/>
      <c r="BE2360" s="67"/>
      <c r="BF2360" s="95"/>
    </row>
    <row r="2361" spans="42:58" x14ac:dyDescent="0.35">
      <c r="AP2361" s="93"/>
      <c r="AQ2361" s="31"/>
      <c r="AR2361" s="31"/>
      <c r="AS2361" s="94"/>
      <c r="AT2361" s="31"/>
      <c r="AU2361" s="31"/>
      <c r="AV2361" s="94"/>
      <c r="AW2361" s="32"/>
      <c r="AX2361" s="32"/>
      <c r="AY2361" s="32"/>
      <c r="AZ2361" s="32"/>
      <c r="BA2361" s="32"/>
      <c r="BB2361" s="31"/>
      <c r="BC2361" s="31"/>
      <c r="BD2361" s="31"/>
      <c r="BE2361" s="31"/>
      <c r="BF2361" s="96"/>
    </row>
    <row r="2362" spans="42:58" x14ac:dyDescent="0.35">
      <c r="AP2362" s="92"/>
      <c r="AQ2362" s="67"/>
      <c r="AR2362" s="67"/>
      <c r="AS2362" s="73"/>
      <c r="AT2362" s="67"/>
      <c r="AU2362" s="67"/>
      <c r="AV2362" s="73"/>
      <c r="AW2362" s="68"/>
      <c r="AX2362" s="68"/>
      <c r="AY2362" s="68"/>
      <c r="AZ2362" s="68"/>
      <c r="BA2362" s="68"/>
      <c r="BB2362" s="67"/>
      <c r="BC2362" s="67"/>
      <c r="BD2362" s="67"/>
      <c r="BE2362" s="67"/>
      <c r="BF2362" s="95"/>
    </row>
    <row r="2363" spans="42:58" x14ac:dyDescent="0.35">
      <c r="AP2363" s="93"/>
      <c r="AQ2363" s="31"/>
      <c r="AR2363" s="31"/>
      <c r="AS2363" s="94"/>
      <c r="AT2363" s="31"/>
      <c r="AU2363" s="31"/>
      <c r="AV2363" s="94"/>
      <c r="AW2363" s="32"/>
      <c r="AX2363" s="32"/>
      <c r="AY2363" s="32"/>
      <c r="AZ2363" s="32"/>
      <c r="BA2363" s="32"/>
      <c r="BB2363" s="31"/>
      <c r="BC2363" s="31"/>
      <c r="BD2363" s="31"/>
      <c r="BE2363" s="31"/>
      <c r="BF2363" s="96"/>
    </row>
    <row r="2364" spans="42:58" x14ac:dyDescent="0.35">
      <c r="AP2364" s="92"/>
      <c r="AQ2364" s="67"/>
      <c r="AR2364" s="67"/>
      <c r="AS2364" s="73"/>
      <c r="AT2364" s="67"/>
      <c r="AU2364" s="67"/>
      <c r="AV2364" s="73"/>
      <c r="AW2364" s="68"/>
      <c r="AX2364" s="68"/>
      <c r="AY2364" s="68"/>
      <c r="AZ2364" s="68"/>
      <c r="BA2364" s="68"/>
      <c r="BB2364" s="67"/>
      <c r="BC2364" s="67"/>
      <c r="BD2364" s="67"/>
      <c r="BE2364" s="67"/>
      <c r="BF2364" s="95"/>
    </row>
    <row r="2365" spans="42:58" x14ac:dyDescent="0.35">
      <c r="AP2365" s="93"/>
      <c r="AQ2365" s="31"/>
      <c r="AR2365" s="31"/>
      <c r="AS2365" s="94"/>
      <c r="AT2365" s="31"/>
      <c r="AU2365" s="31"/>
      <c r="AV2365" s="94"/>
      <c r="AW2365" s="32"/>
      <c r="AX2365" s="32"/>
      <c r="AY2365" s="32"/>
      <c r="AZ2365" s="32"/>
      <c r="BA2365" s="32"/>
      <c r="BB2365" s="31"/>
      <c r="BC2365" s="31"/>
      <c r="BD2365" s="31"/>
      <c r="BE2365" s="31"/>
      <c r="BF2365" s="96"/>
    </row>
    <row r="2366" spans="42:58" x14ac:dyDescent="0.35">
      <c r="AP2366" s="92"/>
      <c r="AQ2366" s="67"/>
      <c r="AR2366" s="67"/>
      <c r="AS2366" s="73"/>
      <c r="AT2366" s="67"/>
      <c r="AU2366" s="67"/>
      <c r="AV2366" s="73"/>
      <c r="AW2366" s="68"/>
      <c r="AX2366" s="68"/>
      <c r="AY2366" s="68"/>
      <c r="AZ2366" s="68"/>
      <c r="BA2366" s="68"/>
      <c r="BB2366" s="67"/>
      <c r="BC2366" s="67"/>
      <c r="BD2366" s="67"/>
      <c r="BE2366" s="67"/>
      <c r="BF2366" s="95"/>
    </row>
    <row r="2367" spans="42:58" x14ac:dyDescent="0.35">
      <c r="AP2367" s="93"/>
      <c r="AQ2367" s="31"/>
      <c r="AR2367" s="31"/>
      <c r="AS2367" s="94"/>
      <c r="AT2367" s="31"/>
      <c r="AU2367" s="31"/>
      <c r="AV2367" s="94"/>
      <c r="AW2367" s="32"/>
      <c r="AX2367" s="32"/>
      <c r="AY2367" s="32"/>
      <c r="AZ2367" s="32"/>
      <c r="BA2367" s="32"/>
      <c r="BB2367" s="31"/>
      <c r="BC2367" s="31"/>
      <c r="BD2367" s="31"/>
      <c r="BE2367" s="31"/>
      <c r="BF2367" s="96"/>
    </row>
    <row r="2368" spans="42:58" x14ac:dyDescent="0.35">
      <c r="AP2368" s="92"/>
      <c r="AQ2368" s="67"/>
      <c r="AR2368" s="67"/>
      <c r="AS2368" s="73"/>
      <c r="AT2368" s="67"/>
      <c r="AU2368" s="67"/>
      <c r="AV2368" s="73"/>
      <c r="AW2368" s="68"/>
      <c r="AX2368" s="68"/>
      <c r="AY2368" s="68"/>
      <c r="AZ2368" s="68"/>
      <c r="BA2368" s="68"/>
      <c r="BB2368" s="67"/>
      <c r="BC2368" s="67"/>
      <c r="BD2368" s="67"/>
      <c r="BE2368" s="67"/>
      <c r="BF2368" s="95"/>
    </row>
    <row r="2369" spans="42:58" x14ac:dyDescent="0.35">
      <c r="AP2369" s="93"/>
      <c r="AQ2369" s="31"/>
      <c r="AR2369" s="31"/>
      <c r="AS2369" s="94"/>
      <c r="AT2369" s="31"/>
      <c r="AU2369" s="31"/>
      <c r="AV2369" s="94"/>
      <c r="AW2369" s="32"/>
      <c r="AX2369" s="32"/>
      <c r="AY2369" s="32"/>
      <c r="AZ2369" s="32"/>
      <c r="BA2369" s="32"/>
      <c r="BB2369" s="31"/>
      <c r="BC2369" s="31"/>
      <c r="BD2369" s="31"/>
      <c r="BE2369" s="31"/>
      <c r="BF2369" s="96"/>
    </row>
    <row r="2370" spans="42:58" x14ac:dyDescent="0.35">
      <c r="AP2370" s="92"/>
      <c r="AQ2370" s="67"/>
      <c r="AR2370" s="67"/>
      <c r="AS2370" s="73"/>
      <c r="AT2370" s="67"/>
      <c r="AU2370" s="67"/>
      <c r="AV2370" s="73"/>
      <c r="AW2370" s="68"/>
      <c r="AX2370" s="68"/>
      <c r="AY2370" s="68"/>
      <c r="AZ2370" s="68"/>
      <c r="BA2370" s="68"/>
      <c r="BB2370" s="67"/>
      <c r="BC2370" s="67"/>
      <c r="BD2370" s="67"/>
      <c r="BE2370" s="67"/>
      <c r="BF2370" s="95"/>
    </row>
    <row r="2371" spans="42:58" x14ac:dyDescent="0.35">
      <c r="AP2371" s="93"/>
      <c r="AQ2371" s="31"/>
      <c r="AR2371" s="31"/>
      <c r="AS2371" s="94"/>
      <c r="AT2371" s="31"/>
      <c r="AU2371" s="31"/>
      <c r="AV2371" s="94"/>
      <c r="AW2371" s="32"/>
      <c r="AX2371" s="32"/>
      <c r="AY2371" s="32"/>
      <c r="AZ2371" s="32"/>
      <c r="BA2371" s="32"/>
      <c r="BB2371" s="31"/>
      <c r="BC2371" s="31"/>
      <c r="BD2371" s="31"/>
      <c r="BE2371" s="31"/>
      <c r="BF2371" s="96"/>
    </row>
    <row r="2372" spans="42:58" x14ac:dyDescent="0.35">
      <c r="AP2372" s="92"/>
      <c r="AQ2372" s="67"/>
      <c r="AR2372" s="67"/>
      <c r="AS2372" s="73"/>
      <c r="AT2372" s="67"/>
      <c r="AU2372" s="67"/>
      <c r="AV2372" s="73"/>
      <c r="AW2372" s="68"/>
      <c r="AX2372" s="68"/>
      <c r="AY2372" s="68"/>
      <c r="AZ2372" s="68"/>
      <c r="BA2372" s="68"/>
      <c r="BB2372" s="67"/>
      <c r="BC2372" s="67"/>
      <c r="BD2372" s="67"/>
      <c r="BE2372" s="67"/>
      <c r="BF2372" s="95"/>
    </row>
    <row r="2373" spans="42:58" x14ac:dyDescent="0.35">
      <c r="AP2373" s="93"/>
      <c r="AQ2373" s="31"/>
      <c r="AR2373" s="31"/>
      <c r="AS2373" s="94"/>
      <c r="AT2373" s="31"/>
      <c r="AU2373" s="31"/>
      <c r="AV2373" s="94"/>
      <c r="AW2373" s="32"/>
      <c r="AX2373" s="32"/>
      <c r="AY2373" s="32"/>
      <c r="AZ2373" s="32"/>
      <c r="BA2373" s="32"/>
      <c r="BB2373" s="31"/>
      <c r="BC2373" s="31"/>
      <c r="BD2373" s="31"/>
      <c r="BE2373" s="31"/>
      <c r="BF2373" s="96"/>
    </row>
    <row r="2374" spans="42:58" x14ac:dyDescent="0.35">
      <c r="AP2374" s="92"/>
      <c r="AQ2374" s="67"/>
      <c r="AR2374" s="67"/>
      <c r="AS2374" s="73"/>
      <c r="AT2374" s="67"/>
      <c r="AU2374" s="67"/>
      <c r="AV2374" s="73"/>
      <c r="AW2374" s="68"/>
      <c r="AX2374" s="68"/>
      <c r="AY2374" s="68"/>
      <c r="AZ2374" s="68"/>
      <c r="BA2374" s="68"/>
      <c r="BB2374" s="67"/>
      <c r="BC2374" s="67"/>
      <c r="BD2374" s="67"/>
      <c r="BE2374" s="67"/>
      <c r="BF2374" s="95"/>
    </row>
    <row r="2375" spans="42:58" x14ac:dyDescent="0.35">
      <c r="AP2375" s="93"/>
      <c r="AQ2375" s="31"/>
      <c r="AR2375" s="31"/>
      <c r="AS2375" s="94"/>
      <c r="AT2375" s="31"/>
      <c r="AU2375" s="31"/>
      <c r="AV2375" s="94"/>
      <c r="AW2375" s="32"/>
      <c r="AX2375" s="32"/>
      <c r="AY2375" s="32"/>
      <c r="AZ2375" s="32"/>
      <c r="BA2375" s="32"/>
      <c r="BB2375" s="31"/>
      <c r="BC2375" s="31"/>
      <c r="BD2375" s="31"/>
      <c r="BE2375" s="31"/>
      <c r="BF2375" s="96"/>
    </row>
    <row r="2376" spans="42:58" x14ac:dyDescent="0.35">
      <c r="AP2376" s="92"/>
      <c r="AQ2376" s="67"/>
      <c r="AR2376" s="67"/>
      <c r="AS2376" s="73"/>
      <c r="AT2376" s="67"/>
      <c r="AU2376" s="67"/>
      <c r="AV2376" s="73"/>
      <c r="AW2376" s="68"/>
      <c r="AX2376" s="68"/>
      <c r="AY2376" s="68"/>
      <c r="AZ2376" s="68"/>
      <c r="BA2376" s="68"/>
      <c r="BB2376" s="67"/>
      <c r="BC2376" s="67"/>
      <c r="BD2376" s="67"/>
      <c r="BE2376" s="67"/>
      <c r="BF2376" s="95"/>
    </row>
    <row r="2377" spans="42:58" x14ac:dyDescent="0.35">
      <c r="AP2377" s="93"/>
      <c r="AQ2377" s="31"/>
      <c r="AR2377" s="31"/>
      <c r="AS2377" s="94"/>
      <c r="AT2377" s="31"/>
      <c r="AU2377" s="31"/>
      <c r="AV2377" s="94"/>
      <c r="AW2377" s="32"/>
      <c r="AX2377" s="32"/>
      <c r="AY2377" s="32"/>
      <c r="AZ2377" s="32"/>
      <c r="BA2377" s="32"/>
      <c r="BB2377" s="31"/>
      <c r="BC2377" s="31"/>
      <c r="BD2377" s="31"/>
      <c r="BE2377" s="31"/>
      <c r="BF2377" s="96"/>
    </row>
    <row r="2378" spans="42:58" x14ac:dyDescent="0.35">
      <c r="AP2378" s="92"/>
      <c r="AQ2378" s="67"/>
      <c r="AR2378" s="67"/>
      <c r="AS2378" s="73"/>
      <c r="AT2378" s="67"/>
      <c r="AU2378" s="67"/>
      <c r="AV2378" s="73"/>
      <c r="AW2378" s="68"/>
      <c r="AX2378" s="68"/>
      <c r="AY2378" s="68"/>
      <c r="AZ2378" s="68"/>
      <c r="BA2378" s="68"/>
      <c r="BB2378" s="67"/>
      <c r="BC2378" s="67"/>
      <c r="BD2378" s="67"/>
      <c r="BE2378" s="67"/>
      <c r="BF2378" s="95"/>
    </row>
    <row r="2379" spans="42:58" x14ac:dyDescent="0.35">
      <c r="AP2379" s="93"/>
      <c r="AQ2379" s="31"/>
      <c r="AR2379" s="31"/>
      <c r="AS2379" s="94"/>
      <c r="AT2379" s="31"/>
      <c r="AU2379" s="31"/>
      <c r="AV2379" s="94"/>
      <c r="AW2379" s="32"/>
      <c r="AX2379" s="32"/>
      <c r="AY2379" s="32"/>
      <c r="AZ2379" s="32"/>
      <c r="BA2379" s="32"/>
      <c r="BB2379" s="31"/>
      <c r="BC2379" s="31"/>
      <c r="BD2379" s="31"/>
      <c r="BE2379" s="31"/>
      <c r="BF2379" s="96"/>
    </row>
    <row r="2380" spans="42:58" x14ac:dyDescent="0.35">
      <c r="AP2380" s="92"/>
      <c r="AQ2380" s="67"/>
      <c r="AR2380" s="67"/>
      <c r="AS2380" s="73"/>
      <c r="AT2380" s="67"/>
      <c r="AU2380" s="67"/>
      <c r="AV2380" s="73"/>
      <c r="AW2380" s="68"/>
      <c r="AX2380" s="68"/>
      <c r="AY2380" s="68"/>
      <c r="AZ2380" s="68"/>
      <c r="BA2380" s="68"/>
      <c r="BB2380" s="67"/>
      <c r="BC2380" s="67"/>
      <c r="BD2380" s="67"/>
      <c r="BE2380" s="67"/>
      <c r="BF2380" s="95"/>
    </row>
    <row r="2381" spans="42:58" x14ac:dyDescent="0.35">
      <c r="AP2381" s="93"/>
      <c r="AQ2381" s="31"/>
      <c r="AR2381" s="31"/>
      <c r="AS2381" s="94"/>
      <c r="AT2381" s="31"/>
      <c r="AU2381" s="31"/>
      <c r="AV2381" s="94"/>
      <c r="AW2381" s="32"/>
      <c r="AX2381" s="32"/>
      <c r="AY2381" s="32"/>
      <c r="AZ2381" s="32"/>
      <c r="BA2381" s="32"/>
      <c r="BB2381" s="31"/>
      <c r="BC2381" s="31"/>
      <c r="BD2381" s="31"/>
      <c r="BE2381" s="31"/>
      <c r="BF2381" s="96"/>
    </row>
    <row r="2382" spans="42:58" x14ac:dyDescent="0.35">
      <c r="AP2382" s="92"/>
      <c r="AQ2382" s="67"/>
      <c r="AR2382" s="67"/>
      <c r="AS2382" s="73"/>
      <c r="AT2382" s="67"/>
      <c r="AU2382" s="67"/>
      <c r="AV2382" s="73"/>
      <c r="AW2382" s="68"/>
      <c r="AX2382" s="68"/>
      <c r="AY2382" s="68"/>
      <c r="AZ2382" s="68"/>
      <c r="BA2382" s="68"/>
      <c r="BB2382" s="67"/>
      <c r="BC2382" s="67"/>
      <c r="BD2382" s="67"/>
      <c r="BE2382" s="67"/>
      <c r="BF2382" s="95"/>
    </row>
    <row r="2383" spans="42:58" x14ac:dyDescent="0.35">
      <c r="AP2383" s="93"/>
      <c r="AQ2383" s="31"/>
      <c r="AR2383" s="31"/>
      <c r="AS2383" s="94"/>
      <c r="AT2383" s="31"/>
      <c r="AU2383" s="31"/>
      <c r="AV2383" s="94"/>
      <c r="AW2383" s="32"/>
      <c r="AX2383" s="32"/>
      <c r="AY2383" s="32"/>
      <c r="AZ2383" s="32"/>
      <c r="BA2383" s="32"/>
      <c r="BB2383" s="31"/>
      <c r="BC2383" s="31"/>
      <c r="BD2383" s="31"/>
      <c r="BE2383" s="31"/>
      <c r="BF2383" s="96"/>
    </row>
    <row r="2384" spans="42:58" x14ac:dyDescent="0.35">
      <c r="AP2384" s="92"/>
      <c r="AQ2384" s="67"/>
      <c r="AR2384" s="67"/>
      <c r="AS2384" s="73"/>
      <c r="AT2384" s="67"/>
      <c r="AU2384" s="67"/>
      <c r="AV2384" s="73"/>
      <c r="AW2384" s="68"/>
      <c r="AX2384" s="68"/>
      <c r="AY2384" s="68"/>
      <c r="AZ2384" s="68"/>
      <c r="BA2384" s="68"/>
      <c r="BB2384" s="67"/>
      <c r="BC2384" s="67"/>
      <c r="BD2384" s="67"/>
      <c r="BE2384" s="67"/>
      <c r="BF2384" s="95"/>
    </row>
    <row r="2385" spans="42:58" x14ac:dyDescent="0.35">
      <c r="AP2385" s="93"/>
      <c r="AQ2385" s="31"/>
      <c r="AR2385" s="31"/>
      <c r="AS2385" s="94"/>
      <c r="AT2385" s="31"/>
      <c r="AU2385" s="31"/>
      <c r="AV2385" s="94"/>
      <c r="AW2385" s="32"/>
      <c r="AX2385" s="32"/>
      <c r="AY2385" s="32"/>
      <c r="AZ2385" s="32"/>
      <c r="BA2385" s="32"/>
      <c r="BB2385" s="31"/>
      <c r="BC2385" s="31"/>
      <c r="BD2385" s="31"/>
      <c r="BE2385" s="31"/>
      <c r="BF2385" s="96"/>
    </row>
    <row r="2386" spans="42:58" x14ac:dyDescent="0.35">
      <c r="AP2386" s="92"/>
      <c r="AQ2386" s="67"/>
      <c r="AR2386" s="67"/>
      <c r="AS2386" s="73"/>
      <c r="AT2386" s="67"/>
      <c r="AU2386" s="67"/>
      <c r="AV2386" s="73"/>
      <c r="AW2386" s="68"/>
      <c r="AX2386" s="68"/>
      <c r="AY2386" s="68"/>
      <c r="AZ2386" s="68"/>
      <c r="BA2386" s="68"/>
      <c r="BB2386" s="67"/>
      <c r="BC2386" s="67"/>
      <c r="BD2386" s="67"/>
      <c r="BE2386" s="67"/>
      <c r="BF2386" s="95"/>
    </row>
    <row r="2387" spans="42:58" x14ac:dyDescent="0.35">
      <c r="AP2387" s="93"/>
      <c r="AQ2387" s="31"/>
      <c r="AR2387" s="31"/>
      <c r="AS2387" s="94"/>
      <c r="AT2387" s="31"/>
      <c r="AU2387" s="31"/>
      <c r="AV2387" s="94"/>
      <c r="AW2387" s="32"/>
      <c r="AX2387" s="32"/>
      <c r="AY2387" s="32"/>
      <c r="AZ2387" s="32"/>
      <c r="BA2387" s="32"/>
      <c r="BB2387" s="31"/>
      <c r="BC2387" s="31"/>
      <c r="BD2387" s="31"/>
      <c r="BE2387" s="31"/>
      <c r="BF2387" s="96"/>
    </row>
    <row r="2388" spans="42:58" x14ac:dyDescent="0.35">
      <c r="AP2388" s="92"/>
      <c r="AQ2388" s="67"/>
      <c r="AR2388" s="67"/>
      <c r="AS2388" s="73"/>
      <c r="AT2388" s="67"/>
      <c r="AU2388" s="67"/>
      <c r="AV2388" s="73"/>
      <c r="AW2388" s="68"/>
      <c r="AX2388" s="68"/>
      <c r="AY2388" s="68"/>
      <c r="AZ2388" s="68"/>
      <c r="BA2388" s="68"/>
      <c r="BB2388" s="67"/>
      <c r="BC2388" s="67"/>
      <c r="BD2388" s="67"/>
      <c r="BE2388" s="67"/>
      <c r="BF2388" s="95"/>
    </row>
    <row r="2389" spans="42:58" x14ac:dyDescent="0.35">
      <c r="AP2389" s="93"/>
      <c r="AQ2389" s="31"/>
      <c r="AR2389" s="31"/>
      <c r="AS2389" s="94"/>
      <c r="AT2389" s="31"/>
      <c r="AU2389" s="31"/>
      <c r="AV2389" s="94"/>
      <c r="AW2389" s="32"/>
      <c r="AX2389" s="32"/>
      <c r="AY2389" s="32"/>
      <c r="AZ2389" s="32"/>
      <c r="BA2389" s="32"/>
      <c r="BB2389" s="31"/>
      <c r="BC2389" s="31"/>
      <c r="BD2389" s="31"/>
      <c r="BE2389" s="31"/>
      <c r="BF2389" s="96"/>
    </row>
    <row r="2390" spans="42:58" x14ac:dyDescent="0.35">
      <c r="AP2390" s="92"/>
      <c r="AQ2390" s="67"/>
      <c r="AR2390" s="67"/>
      <c r="AS2390" s="73"/>
      <c r="AT2390" s="67"/>
      <c r="AU2390" s="67"/>
      <c r="AV2390" s="73"/>
      <c r="AW2390" s="68"/>
      <c r="AX2390" s="68"/>
      <c r="AY2390" s="68"/>
      <c r="AZ2390" s="68"/>
      <c r="BA2390" s="68"/>
      <c r="BB2390" s="67"/>
      <c r="BC2390" s="67"/>
      <c r="BD2390" s="67"/>
      <c r="BE2390" s="67"/>
      <c r="BF2390" s="95"/>
    </row>
    <row r="2391" spans="42:58" x14ac:dyDescent="0.35">
      <c r="AP2391" s="93"/>
      <c r="AQ2391" s="31"/>
      <c r="AR2391" s="31"/>
      <c r="AS2391" s="94"/>
      <c r="AT2391" s="31"/>
      <c r="AU2391" s="31"/>
      <c r="AV2391" s="94"/>
      <c r="AW2391" s="32"/>
      <c r="AX2391" s="32"/>
      <c r="AY2391" s="32"/>
      <c r="AZ2391" s="32"/>
      <c r="BA2391" s="32"/>
      <c r="BB2391" s="31"/>
      <c r="BC2391" s="31"/>
      <c r="BD2391" s="31"/>
      <c r="BE2391" s="31"/>
      <c r="BF2391" s="96"/>
    </row>
    <row r="2392" spans="42:58" x14ac:dyDescent="0.35">
      <c r="AP2392" s="92"/>
      <c r="AQ2392" s="67"/>
      <c r="AR2392" s="67"/>
      <c r="AS2392" s="73"/>
      <c r="AT2392" s="67"/>
      <c r="AU2392" s="67"/>
      <c r="AV2392" s="73"/>
      <c r="AW2392" s="68"/>
      <c r="AX2392" s="68"/>
      <c r="AY2392" s="68"/>
      <c r="AZ2392" s="68"/>
      <c r="BA2392" s="68"/>
      <c r="BB2392" s="67"/>
      <c r="BC2392" s="67"/>
      <c r="BD2392" s="67"/>
      <c r="BE2392" s="67"/>
      <c r="BF2392" s="95"/>
    </row>
    <row r="2393" spans="42:58" x14ac:dyDescent="0.35">
      <c r="AP2393" s="93"/>
      <c r="AQ2393" s="31"/>
      <c r="AR2393" s="31"/>
      <c r="AS2393" s="94"/>
      <c r="AT2393" s="31"/>
      <c r="AU2393" s="31"/>
      <c r="AV2393" s="94"/>
      <c r="AW2393" s="32"/>
      <c r="AX2393" s="32"/>
      <c r="AY2393" s="32"/>
      <c r="AZ2393" s="32"/>
      <c r="BA2393" s="32"/>
      <c r="BB2393" s="31"/>
      <c r="BC2393" s="31"/>
      <c r="BD2393" s="31"/>
      <c r="BE2393" s="31"/>
      <c r="BF2393" s="96"/>
    </row>
    <row r="2394" spans="42:58" x14ac:dyDescent="0.35">
      <c r="AP2394" s="92"/>
      <c r="AQ2394" s="67"/>
      <c r="AR2394" s="67"/>
      <c r="AS2394" s="73"/>
      <c r="AT2394" s="67"/>
      <c r="AU2394" s="67"/>
      <c r="AV2394" s="73"/>
      <c r="AW2394" s="68"/>
      <c r="AX2394" s="68"/>
      <c r="AY2394" s="68"/>
      <c r="AZ2394" s="68"/>
      <c r="BA2394" s="68"/>
      <c r="BB2394" s="67"/>
      <c r="BC2394" s="67"/>
      <c r="BD2394" s="67"/>
      <c r="BE2394" s="67"/>
      <c r="BF2394" s="95"/>
    </row>
    <row r="2395" spans="42:58" x14ac:dyDescent="0.35">
      <c r="AP2395" s="93"/>
      <c r="AQ2395" s="31"/>
      <c r="AR2395" s="31"/>
      <c r="AS2395" s="94"/>
      <c r="AT2395" s="31"/>
      <c r="AU2395" s="31"/>
      <c r="AV2395" s="94"/>
      <c r="AW2395" s="32"/>
      <c r="AX2395" s="32"/>
      <c r="AY2395" s="32"/>
      <c r="AZ2395" s="32"/>
      <c r="BA2395" s="32"/>
      <c r="BB2395" s="31"/>
      <c r="BC2395" s="31"/>
      <c r="BD2395" s="31"/>
      <c r="BE2395" s="31"/>
      <c r="BF2395" s="96"/>
    </row>
    <row r="2396" spans="42:58" x14ac:dyDescent="0.35">
      <c r="AP2396" s="92"/>
      <c r="AQ2396" s="67"/>
      <c r="AR2396" s="67"/>
      <c r="AS2396" s="73"/>
      <c r="AT2396" s="67"/>
      <c r="AU2396" s="67"/>
      <c r="AV2396" s="73"/>
      <c r="AW2396" s="68"/>
      <c r="AX2396" s="68"/>
      <c r="AY2396" s="68"/>
      <c r="AZ2396" s="68"/>
      <c r="BA2396" s="68"/>
      <c r="BB2396" s="67"/>
      <c r="BC2396" s="67"/>
      <c r="BD2396" s="67"/>
      <c r="BE2396" s="67"/>
      <c r="BF2396" s="95"/>
    </row>
    <row r="2397" spans="42:58" x14ac:dyDescent="0.35">
      <c r="AP2397" s="93"/>
      <c r="AQ2397" s="31"/>
      <c r="AR2397" s="31"/>
      <c r="AS2397" s="94"/>
      <c r="AT2397" s="31"/>
      <c r="AU2397" s="31"/>
      <c r="AV2397" s="94"/>
      <c r="AW2397" s="32"/>
      <c r="AX2397" s="32"/>
      <c r="AY2397" s="32"/>
      <c r="AZ2397" s="32"/>
      <c r="BA2397" s="32"/>
      <c r="BB2397" s="31"/>
      <c r="BC2397" s="31"/>
      <c r="BD2397" s="31"/>
      <c r="BE2397" s="31"/>
      <c r="BF2397" s="96"/>
    </row>
    <row r="2398" spans="42:58" x14ac:dyDescent="0.35">
      <c r="AP2398" s="92"/>
      <c r="AQ2398" s="67"/>
      <c r="AR2398" s="67"/>
      <c r="AS2398" s="73"/>
      <c r="AT2398" s="67"/>
      <c r="AU2398" s="67"/>
      <c r="AV2398" s="73"/>
      <c r="AW2398" s="68"/>
      <c r="AX2398" s="68"/>
      <c r="AY2398" s="68"/>
      <c r="AZ2398" s="68"/>
      <c r="BA2398" s="68"/>
      <c r="BB2398" s="67"/>
      <c r="BC2398" s="67"/>
      <c r="BD2398" s="67"/>
      <c r="BE2398" s="67"/>
      <c r="BF2398" s="95"/>
    </row>
    <row r="2399" spans="42:58" x14ac:dyDescent="0.35">
      <c r="AP2399" s="93"/>
      <c r="AQ2399" s="31"/>
      <c r="AR2399" s="31"/>
      <c r="AS2399" s="94"/>
      <c r="AT2399" s="31"/>
      <c r="AU2399" s="31"/>
      <c r="AV2399" s="94"/>
      <c r="AW2399" s="32"/>
      <c r="AX2399" s="32"/>
      <c r="AY2399" s="32"/>
      <c r="AZ2399" s="32"/>
      <c r="BA2399" s="32"/>
      <c r="BB2399" s="31"/>
      <c r="BC2399" s="31"/>
      <c r="BD2399" s="31"/>
      <c r="BE2399" s="31"/>
      <c r="BF2399" s="96"/>
    </row>
    <row r="2400" spans="42:58" x14ac:dyDescent="0.35">
      <c r="AP2400" s="92"/>
      <c r="AQ2400" s="67"/>
      <c r="AR2400" s="67"/>
      <c r="AS2400" s="73"/>
      <c r="AT2400" s="67"/>
      <c r="AU2400" s="67"/>
      <c r="AV2400" s="73"/>
      <c r="AW2400" s="68"/>
      <c r="AX2400" s="68"/>
      <c r="AY2400" s="68"/>
      <c r="AZ2400" s="68"/>
      <c r="BA2400" s="68"/>
      <c r="BB2400" s="67"/>
      <c r="BC2400" s="67"/>
      <c r="BD2400" s="67"/>
      <c r="BE2400" s="67"/>
      <c r="BF2400" s="95"/>
    </row>
    <row r="2401" spans="42:58" x14ac:dyDescent="0.35">
      <c r="AP2401" s="93"/>
      <c r="AQ2401" s="31"/>
      <c r="AR2401" s="31"/>
      <c r="AS2401" s="94"/>
      <c r="AT2401" s="31"/>
      <c r="AU2401" s="31"/>
      <c r="AV2401" s="94"/>
      <c r="AW2401" s="32"/>
      <c r="AX2401" s="32"/>
      <c r="AY2401" s="32"/>
      <c r="AZ2401" s="32"/>
      <c r="BA2401" s="32"/>
      <c r="BB2401" s="31"/>
      <c r="BC2401" s="31"/>
      <c r="BD2401" s="31"/>
      <c r="BE2401" s="31"/>
      <c r="BF2401" s="96"/>
    </row>
    <row r="2402" spans="42:58" x14ac:dyDescent="0.35">
      <c r="AP2402" s="92"/>
      <c r="AQ2402" s="67"/>
      <c r="AR2402" s="67"/>
      <c r="AS2402" s="73"/>
      <c r="AT2402" s="67"/>
      <c r="AU2402" s="67"/>
      <c r="AV2402" s="73"/>
      <c r="AW2402" s="68"/>
      <c r="AX2402" s="68"/>
      <c r="AY2402" s="68"/>
      <c r="AZ2402" s="68"/>
      <c r="BA2402" s="68"/>
      <c r="BB2402" s="67"/>
      <c r="BC2402" s="67"/>
      <c r="BD2402" s="67"/>
      <c r="BE2402" s="67"/>
      <c r="BF2402" s="95"/>
    </row>
    <row r="2403" spans="42:58" x14ac:dyDescent="0.35">
      <c r="AP2403" s="93"/>
      <c r="AQ2403" s="31"/>
      <c r="AR2403" s="31"/>
      <c r="AS2403" s="94"/>
      <c r="AT2403" s="31"/>
      <c r="AU2403" s="31"/>
      <c r="AV2403" s="94"/>
      <c r="AW2403" s="32"/>
      <c r="AX2403" s="32"/>
      <c r="AY2403" s="32"/>
      <c r="AZ2403" s="32"/>
      <c r="BA2403" s="32"/>
      <c r="BB2403" s="31"/>
      <c r="BC2403" s="31"/>
      <c r="BD2403" s="31"/>
      <c r="BE2403" s="31"/>
      <c r="BF2403" s="96"/>
    </row>
    <row r="2404" spans="42:58" x14ac:dyDescent="0.35">
      <c r="AP2404" s="92"/>
      <c r="AQ2404" s="67"/>
      <c r="AR2404" s="67"/>
      <c r="AS2404" s="73"/>
      <c r="AT2404" s="67"/>
      <c r="AU2404" s="67"/>
      <c r="AV2404" s="73"/>
      <c r="AW2404" s="68"/>
      <c r="AX2404" s="68"/>
      <c r="AY2404" s="68"/>
      <c r="AZ2404" s="68"/>
      <c r="BA2404" s="68"/>
      <c r="BB2404" s="67"/>
      <c r="BC2404" s="67"/>
      <c r="BD2404" s="67"/>
      <c r="BE2404" s="67"/>
      <c r="BF2404" s="95"/>
    </row>
    <row r="2405" spans="42:58" x14ac:dyDescent="0.35">
      <c r="AP2405" s="93"/>
      <c r="AQ2405" s="31"/>
      <c r="AR2405" s="31"/>
      <c r="AS2405" s="94"/>
      <c r="AT2405" s="31"/>
      <c r="AU2405" s="31"/>
      <c r="AV2405" s="94"/>
      <c r="AW2405" s="32"/>
      <c r="AX2405" s="32"/>
      <c r="AY2405" s="32"/>
      <c r="AZ2405" s="32"/>
      <c r="BA2405" s="32"/>
      <c r="BB2405" s="31"/>
      <c r="BC2405" s="31"/>
      <c r="BD2405" s="31"/>
      <c r="BE2405" s="31"/>
      <c r="BF2405" s="96"/>
    </row>
    <row r="2406" spans="42:58" x14ac:dyDescent="0.35">
      <c r="AP2406" s="92"/>
      <c r="AQ2406" s="67"/>
      <c r="AR2406" s="67"/>
      <c r="AS2406" s="73"/>
      <c r="AT2406" s="67"/>
      <c r="AU2406" s="67"/>
      <c r="AV2406" s="73"/>
      <c r="AW2406" s="68"/>
      <c r="AX2406" s="68"/>
      <c r="AY2406" s="68"/>
      <c r="AZ2406" s="68"/>
      <c r="BA2406" s="68"/>
      <c r="BB2406" s="67"/>
      <c r="BC2406" s="67"/>
      <c r="BD2406" s="67"/>
      <c r="BE2406" s="67"/>
      <c r="BF2406" s="95"/>
    </row>
    <row r="2407" spans="42:58" x14ac:dyDescent="0.35">
      <c r="AP2407" s="93"/>
      <c r="AQ2407" s="31"/>
      <c r="AR2407" s="31"/>
      <c r="AS2407" s="94"/>
      <c r="AT2407" s="31"/>
      <c r="AU2407" s="31"/>
      <c r="AV2407" s="94"/>
      <c r="AW2407" s="32"/>
      <c r="AX2407" s="32"/>
      <c r="AY2407" s="32"/>
      <c r="AZ2407" s="32"/>
      <c r="BA2407" s="32"/>
      <c r="BB2407" s="31"/>
      <c r="BC2407" s="31"/>
      <c r="BD2407" s="31"/>
      <c r="BE2407" s="31"/>
      <c r="BF2407" s="96"/>
    </row>
    <row r="2408" spans="42:58" x14ac:dyDescent="0.35">
      <c r="AP2408" s="92"/>
      <c r="AQ2408" s="67"/>
      <c r="AR2408" s="67"/>
      <c r="AS2408" s="73"/>
      <c r="AT2408" s="67"/>
      <c r="AU2408" s="67"/>
      <c r="AV2408" s="73"/>
      <c r="AW2408" s="68"/>
      <c r="AX2408" s="68"/>
      <c r="AY2408" s="68"/>
      <c r="AZ2408" s="68"/>
      <c r="BA2408" s="68"/>
      <c r="BB2408" s="67"/>
      <c r="BC2408" s="67"/>
      <c r="BD2408" s="67"/>
      <c r="BE2408" s="67"/>
      <c r="BF2408" s="95"/>
    </row>
    <row r="2409" spans="42:58" x14ac:dyDescent="0.35">
      <c r="AP2409" s="93"/>
      <c r="AQ2409" s="31"/>
      <c r="AR2409" s="31"/>
      <c r="AS2409" s="94"/>
      <c r="AT2409" s="31"/>
      <c r="AU2409" s="31"/>
      <c r="AV2409" s="94"/>
      <c r="AW2409" s="32"/>
      <c r="AX2409" s="32"/>
      <c r="AY2409" s="32"/>
      <c r="AZ2409" s="32"/>
      <c r="BA2409" s="32"/>
      <c r="BB2409" s="31"/>
      <c r="BC2409" s="31"/>
      <c r="BD2409" s="31"/>
      <c r="BE2409" s="31"/>
      <c r="BF2409" s="96"/>
    </row>
    <row r="2410" spans="42:58" x14ac:dyDescent="0.35">
      <c r="AP2410" s="92"/>
      <c r="AQ2410" s="67"/>
      <c r="AR2410" s="67"/>
      <c r="AS2410" s="73"/>
      <c r="AT2410" s="67"/>
      <c r="AU2410" s="67"/>
      <c r="AV2410" s="73"/>
      <c r="AW2410" s="68"/>
      <c r="AX2410" s="68"/>
      <c r="AY2410" s="68"/>
      <c r="AZ2410" s="68"/>
      <c r="BA2410" s="68"/>
      <c r="BB2410" s="67"/>
      <c r="BC2410" s="67"/>
      <c r="BD2410" s="67"/>
      <c r="BE2410" s="67"/>
      <c r="BF2410" s="95"/>
    </row>
    <row r="2411" spans="42:58" x14ac:dyDescent="0.35">
      <c r="AP2411" s="93"/>
      <c r="AQ2411" s="31"/>
      <c r="AR2411" s="31"/>
      <c r="AS2411" s="94"/>
      <c r="AT2411" s="31"/>
      <c r="AU2411" s="31"/>
      <c r="AV2411" s="94"/>
      <c r="AW2411" s="32"/>
      <c r="AX2411" s="32"/>
      <c r="AY2411" s="32"/>
      <c r="AZ2411" s="32"/>
      <c r="BA2411" s="32"/>
      <c r="BB2411" s="31"/>
      <c r="BC2411" s="31"/>
      <c r="BD2411" s="31"/>
      <c r="BE2411" s="31"/>
      <c r="BF2411" s="96"/>
    </row>
    <row r="2412" spans="42:58" x14ac:dyDescent="0.35">
      <c r="AP2412" s="92"/>
      <c r="AQ2412" s="67"/>
      <c r="AR2412" s="67"/>
      <c r="AS2412" s="73"/>
      <c r="AT2412" s="67"/>
      <c r="AU2412" s="67"/>
      <c r="AV2412" s="73"/>
      <c r="AW2412" s="68"/>
      <c r="AX2412" s="68"/>
      <c r="AY2412" s="68"/>
      <c r="AZ2412" s="68"/>
      <c r="BA2412" s="68"/>
      <c r="BB2412" s="67"/>
      <c r="BC2412" s="67"/>
      <c r="BD2412" s="67"/>
      <c r="BE2412" s="67"/>
      <c r="BF2412" s="95"/>
    </row>
    <row r="2413" spans="42:58" x14ac:dyDescent="0.35">
      <c r="AP2413" s="93"/>
      <c r="AQ2413" s="31"/>
      <c r="AR2413" s="31"/>
      <c r="AS2413" s="94"/>
      <c r="AT2413" s="31"/>
      <c r="AU2413" s="31"/>
      <c r="AV2413" s="94"/>
      <c r="AW2413" s="32"/>
      <c r="AX2413" s="32"/>
      <c r="AY2413" s="32"/>
      <c r="AZ2413" s="32"/>
      <c r="BA2413" s="32"/>
      <c r="BB2413" s="31"/>
      <c r="BC2413" s="31"/>
      <c r="BD2413" s="31"/>
      <c r="BE2413" s="31"/>
      <c r="BF2413" s="96"/>
    </row>
    <row r="2414" spans="42:58" x14ac:dyDescent="0.35">
      <c r="AP2414" s="92"/>
      <c r="AQ2414" s="67"/>
      <c r="AR2414" s="67"/>
      <c r="AS2414" s="73"/>
      <c r="AT2414" s="67"/>
      <c r="AU2414" s="67"/>
      <c r="AV2414" s="73"/>
      <c r="AW2414" s="68"/>
      <c r="AX2414" s="68"/>
      <c r="AY2414" s="68"/>
      <c r="AZ2414" s="68"/>
      <c r="BA2414" s="68"/>
      <c r="BB2414" s="67"/>
      <c r="BC2414" s="67"/>
      <c r="BD2414" s="67"/>
      <c r="BE2414" s="67"/>
      <c r="BF2414" s="95"/>
    </row>
    <row r="2415" spans="42:58" x14ac:dyDescent="0.35">
      <c r="AP2415" s="93"/>
      <c r="AQ2415" s="31"/>
      <c r="AR2415" s="31"/>
      <c r="AS2415" s="94"/>
      <c r="AT2415" s="31"/>
      <c r="AU2415" s="31"/>
      <c r="AV2415" s="94"/>
      <c r="AW2415" s="32"/>
      <c r="AX2415" s="32"/>
      <c r="AY2415" s="32"/>
      <c r="AZ2415" s="32"/>
      <c r="BA2415" s="32"/>
      <c r="BB2415" s="31"/>
      <c r="BC2415" s="31"/>
      <c r="BD2415" s="31"/>
      <c r="BE2415" s="31"/>
      <c r="BF2415" s="96"/>
    </row>
    <row r="2416" spans="42:58" x14ac:dyDescent="0.35">
      <c r="AP2416" s="92"/>
      <c r="AQ2416" s="67"/>
      <c r="AR2416" s="67"/>
      <c r="AS2416" s="73"/>
      <c r="AT2416" s="67"/>
      <c r="AU2416" s="67"/>
      <c r="AV2416" s="73"/>
      <c r="AW2416" s="68"/>
      <c r="AX2416" s="68"/>
      <c r="AY2416" s="68"/>
      <c r="AZ2416" s="68"/>
      <c r="BA2416" s="68"/>
      <c r="BB2416" s="67"/>
      <c r="BC2416" s="67"/>
      <c r="BD2416" s="67"/>
      <c r="BE2416" s="67"/>
      <c r="BF2416" s="95"/>
    </row>
    <row r="2417" spans="42:58" x14ac:dyDescent="0.35">
      <c r="AP2417" s="93"/>
      <c r="AQ2417" s="31"/>
      <c r="AR2417" s="31"/>
      <c r="AS2417" s="94"/>
      <c r="AT2417" s="31"/>
      <c r="AU2417" s="31"/>
      <c r="AV2417" s="94"/>
      <c r="AW2417" s="32"/>
      <c r="AX2417" s="32"/>
      <c r="AY2417" s="32"/>
      <c r="AZ2417" s="32"/>
      <c r="BA2417" s="32"/>
      <c r="BB2417" s="31"/>
      <c r="BC2417" s="31"/>
      <c r="BD2417" s="31"/>
      <c r="BE2417" s="31"/>
      <c r="BF2417" s="96"/>
    </row>
    <row r="2418" spans="42:58" x14ac:dyDescent="0.35">
      <c r="AP2418" s="92"/>
      <c r="AQ2418" s="67"/>
      <c r="AR2418" s="67"/>
      <c r="AS2418" s="73"/>
      <c r="AT2418" s="67"/>
      <c r="AU2418" s="67"/>
      <c r="AV2418" s="73"/>
      <c r="AW2418" s="68"/>
      <c r="AX2418" s="68"/>
      <c r="AY2418" s="68"/>
      <c r="AZ2418" s="68"/>
      <c r="BA2418" s="68"/>
      <c r="BB2418" s="67"/>
      <c r="BC2418" s="67"/>
      <c r="BD2418" s="67"/>
      <c r="BE2418" s="67"/>
      <c r="BF2418" s="95"/>
    </row>
    <row r="2419" spans="42:58" x14ac:dyDescent="0.35">
      <c r="AP2419" s="93"/>
      <c r="AQ2419" s="31"/>
      <c r="AR2419" s="31"/>
      <c r="AS2419" s="94"/>
      <c r="AT2419" s="31"/>
      <c r="AU2419" s="31"/>
      <c r="AV2419" s="94"/>
      <c r="AW2419" s="32"/>
      <c r="AX2419" s="32"/>
      <c r="AY2419" s="32"/>
      <c r="AZ2419" s="32"/>
      <c r="BA2419" s="32"/>
      <c r="BB2419" s="31"/>
      <c r="BC2419" s="31"/>
      <c r="BD2419" s="31"/>
      <c r="BE2419" s="31"/>
      <c r="BF2419" s="96"/>
    </row>
    <row r="2420" spans="42:58" x14ac:dyDescent="0.35">
      <c r="AP2420" s="92"/>
      <c r="AQ2420" s="67"/>
      <c r="AR2420" s="67"/>
      <c r="AS2420" s="73"/>
      <c r="AT2420" s="67"/>
      <c r="AU2420" s="67"/>
      <c r="AV2420" s="73"/>
      <c r="AW2420" s="68"/>
      <c r="AX2420" s="68"/>
      <c r="AY2420" s="68"/>
      <c r="AZ2420" s="68"/>
      <c r="BA2420" s="68"/>
      <c r="BB2420" s="67"/>
      <c r="BC2420" s="67"/>
      <c r="BD2420" s="67"/>
      <c r="BE2420" s="67"/>
      <c r="BF2420" s="95"/>
    </row>
    <row r="2421" spans="42:58" x14ac:dyDescent="0.35">
      <c r="AP2421" s="93"/>
      <c r="AQ2421" s="31"/>
      <c r="AR2421" s="31"/>
      <c r="AS2421" s="94"/>
      <c r="AT2421" s="31"/>
      <c r="AU2421" s="31"/>
      <c r="AV2421" s="94"/>
      <c r="AW2421" s="32"/>
      <c r="AX2421" s="32"/>
      <c r="AY2421" s="32"/>
      <c r="AZ2421" s="32"/>
      <c r="BA2421" s="32"/>
      <c r="BB2421" s="31"/>
      <c r="BC2421" s="31"/>
      <c r="BD2421" s="31"/>
      <c r="BE2421" s="31"/>
      <c r="BF2421" s="96"/>
    </row>
    <row r="2422" spans="42:58" x14ac:dyDescent="0.35">
      <c r="AP2422" s="92"/>
      <c r="AQ2422" s="67"/>
      <c r="AR2422" s="67"/>
      <c r="AS2422" s="73"/>
      <c r="AT2422" s="67"/>
      <c r="AU2422" s="67"/>
      <c r="AV2422" s="73"/>
      <c r="AW2422" s="68"/>
      <c r="AX2422" s="68"/>
      <c r="AY2422" s="68"/>
      <c r="AZ2422" s="68"/>
      <c r="BA2422" s="68"/>
      <c r="BB2422" s="67"/>
      <c r="BC2422" s="67"/>
      <c r="BD2422" s="67"/>
      <c r="BE2422" s="67"/>
      <c r="BF2422" s="95"/>
    </row>
    <row r="2423" spans="42:58" x14ac:dyDescent="0.35">
      <c r="AP2423" s="93"/>
      <c r="AQ2423" s="31"/>
      <c r="AR2423" s="31"/>
      <c r="AS2423" s="94"/>
      <c r="AT2423" s="31"/>
      <c r="AU2423" s="31"/>
      <c r="AV2423" s="94"/>
      <c r="AW2423" s="32"/>
      <c r="AX2423" s="32"/>
      <c r="AY2423" s="32"/>
      <c r="AZ2423" s="32"/>
      <c r="BA2423" s="32"/>
      <c r="BB2423" s="31"/>
      <c r="BC2423" s="31"/>
      <c r="BD2423" s="31"/>
      <c r="BE2423" s="31"/>
      <c r="BF2423" s="96"/>
    </row>
    <row r="2424" spans="42:58" x14ac:dyDescent="0.35">
      <c r="AP2424" s="92"/>
      <c r="AQ2424" s="67"/>
      <c r="AR2424" s="67"/>
      <c r="AS2424" s="73"/>
      <c r="AT2424" s="67"/>
      <c r="AU2424" s="67"/>
      <c r="AV2424" s="73"/>
      <c r="AW2424" s="68"/>
      <c r="AX2424" s="68"/>
      <c r="AY2424" s="68"/>
      <c r="AZ2424" s="68"/>
      <c r="BA2424" s="68"/>
      <c r="BB2424" s="67"/>
      <c r="BC2424" s="67"/>
      <c r="BD2424" s="67"/>
      <c r="BE2424" s="67"/>
      <c r="BF2424" s="95"/>
    </row>
    <row r="2425" spans="42:58" x14ac:dyDescent="0.35">
      <c r="AP2425" s="93"/>
      <c r="AQ2425" s="31"/>
      <c r="AR2425" s="31"/>
      <c r="AS2425" s="94"/>
      <c r="AT2425" s="31"/>
      <c r="AU2425" s="31"/>
      <c r="AV2425" s="94"/>
      <c r="AW2425" s="32"/>
      <c r="AX2425" s="32"/>
      <c r="AY2425" s="32"/>
      <c r="AZ2425" s="32"/>
      <c r="BA2425" s="32"/>
      <c r="BB2425" s="31"/>
      <c r="BC2425" s="31"/>
      <c r="BD2425" s="31"/>
      <c r="BE2425" s="31"/>
      <c r="BF2425" s="96"/>
    </row>
    <row r="2426" spans="42:58" x14ac:dyDescent="0.35">
      <c r="AP2426" s="92"/>
      <c r="AQ2426" s="67"/>
      <c r="AR2426" s="67"/>
      <c r="AS2426" s="73"/>
      <c r="AT2426" s="67"/>
      <c r="AU2426" s="67"/>
      <c r="AV2426" s="73"/>
      <c r="AW2426" s="68"/>
      <c r="AX2426" s="68"/>
      <c r="AY2426" s="68"/>
      <c r="AZ2426" s="68"/>
      <c r="BA2426" s="68"/>
      <c r="BB2426" s="67"/>
      <c r="BC2426" s="67"/>
      <c r="BD2426" s="67"/>
      <c r="BE2426" s="67"/>
      <c r="BF2426" s="95"/>
    </row>
    <row r="2427" spans="42:58" x14ac:dyDescent="0.35">
      <c r="AP2427" s="93"/>
      <c r="AQ2427" s="31"/>
      <c r="AR2427" s="31"/>
      <c r="AS2427" s="94"/>
      <c r="AT2427" s="31"/>
      <c r="AU2427" s="31"/>
      <c r="AV2427" s="94"/>
      <c r="AW2427" s="32"/>
      <c r="AX2427" s="32"/>
      <c r="AY2427" s="32"/>
      <c r="AZ2427" s="32"/>
      <c r="BA2427" s="32"/>
      <c r="BB2427" s="31"/>
      <c r="BC2427" s="31"/>
      <c r="BD2427" s="31"/>
      <c r="BE2427" s="31"/>
      <c r="BF2427" s="96"/>
    </row>
    <row r="2428" spans="42:58" x14ac:dyDescent="0.35">
      <c r="AP2428" s="92"/>
      <c r="AQ2428" s="67"/>
      <c r="AR2428" s="67"/>
      <c r="AS2428" s="73"/>
      <c r="AT2428" s="67"/>
      <c r="AU2428" s="67"/>
      <c r="AV2428" s="73"/>
      <c r="AW2428" s="68"/>
      <c r="AX2428" s="68"/>
      <c r="AY2428" s="68"/>
      <c r="AZ2428" s="68"/>
      <c r="BA2428" s="68"/>
      <c r="BB2428" s="67"/>
      <c r="BC2428" s="67"/>
      <c r="BD2428" s="67"/>
      <c r="BE2428" s="67"/>
      <c r="BF2428" s="95"/>
    </row>
    <row r="2429" spans="42:58" x14ac:dyDescent="0.35">
      <c r="AP2429" s="93"/>
      <c r="AQ2429" s="31"/>
      <c r="AR2429" s="31"/>
      <c r="AS2429" s="94"/>
      <c r="AT2429" s="31"/>
      <c r="AU2429" s="31"/>
      <c r="AV2429" s="94"/>
      <c r="AW2429" s="32"/>
      <c r="AX2429" s="32"/>
      <c r="AY2429" s="32"/>
      <c r="AZ2429" s="32"/>
      <c r="BA2429" s="32"/>
      <c r="BB2429" s="31"/>
      <c r="BC2429" s="31"/>
      <c r="BD2429" s="31"/>
      <c r="BE2429" s="31"/>
      <c r="BF2429" s="96"/>
    </row>
    <row r="2430" spans="42:58" x14ac:dyDescent="0.35">
      <c r="AP2430" s="92"/>
      <c r="AQ2430" s="67"/>
      <c r="AR2430" s="67"/>
      <c r="AS2430" s="73"/>
      <c r="AT2430" s="67"/>
      <c r="AU2430" s="67"/>
      <c r="AV2430" s="73"/>
      <c r="AW2430" s="68"/>
      <c r="AX2430" s="68"/>
      <c r="AY2430" s="68"/>
      <c r="AZ2430" s="68"/>
      <c r="BA2430" s="68"/>
      <c r="BB2430" s="67"/>
      <c r="BC2430" s="67"/>
      <c r="BD2430" s="67"/>
      <c r="BE2430" s="67"/>
      <c r="BF2430" s="95"/>
    </row>
    <row r="2431" spans="42:58" x14ac:dyDescent="0.35">
      <c r="AP2431" s="93"/>
      <c r="AQ2431" s="31"/>
      <c r="AR2431" s="31"/>
      <c r="AS2431" s="94"/>
      <c r="AT2431" s="31"/>
      <c r="AU2431" s="31"/>
      <c r="AV2431" s="94"/>
      <c r="AW2431" s="32"/>
      <c r="AX2431" s="32"/>
      <c r="AY2431" s="32"/>
      <c r="AZ2431" s="32"/>
      <c r="BA2431" s="32"/>
      <c r="BB2431" s="31"/>
      <c r="BC2431" s="31"/>
      <c r="BD2431" s="31"/>
      <c r="BE2431" s="31"/>
      <c r="BF2431" s="96"/>
    </row>
    <row r="2432" spans="42:58" x14ac:dyDescent="0.35">
      <c r="AP2432" s="92"/>
      <c r="AQ2432" s="67"/>
      <c r="AR2432" s="67"/>
      <c r="AS2432" s="73"/>
      <c r="AT2432" s="67"/>
      <c r="AU2432" s="67"/>
      <c r="AV2432" s="73"/>
      <c r="AW2432" s="68"/>
      <c r="AX2432" s="68"/>
      <c r="AY2432" s="68"/>
      <c r="AZ2432" s="68"/>
      <c r="BA2432" s="68"/>
      <c r="BB2432" s="67"/>
      <c r="BC2432" s="67"/>
      <c r="BD2432" s="67"/>
      <c r="BE2432" s="67"/>
      <c r="BF2432" s="95"/>
    </row>
    <row r="2433" spans="42:58" x14ac:dyDescent="0.35">
      <c r="AP2433" s="93"/>
      <c r="AQ2433" s="31"/>
      <c r="AR2433" s="31"/>
      <c r="AS2433" s="94"/>
      <c r="AT2433" s="31"/>
      <c r="AU2433" s="31"/>
      <c r="AV2433" s="94"/>
      <c r="AW2433" s="32"/>
      <c r="AX2433" s="32"/>
      <c r="AY2433" s="32"/>
      <c r="AZ2433" s="32"/>
      <c r="BA2433" s="32"/>
      <c r="BB2433" s="31"/>
      <c r="BC2433" s="31"/>
      <c r="BD2433" s="31"/>
      <c r="BE2433" s="31"/>
      <c r="BF2433" s="96"/>
    </row>
    <row r="2434" spans="42:58" x14ac:dyDescent="0.35">
      <c r="AP2434" s="92"/>
      <c r="AQ2434" s="67"/>
      <c r="AR2434" s="67"/>
      <c r="AS2434" s="73"/>
      <c r="AT2434" s="67"/>
      <c r="AU2434" s="67"/>
      <c r="AV2434" s="73"/>
      <c r="AW2434" s="68"/>
      <c r="AX2434" s="68"/>
      <c r="AY2434" s="68"/>
      <c r="AZ2434" s="68"/>
      <c r="BA2434" s="68"/>
      <c r="BB2434" s="67"/>
      <c r="BC2434" s="67"/>
      <c r="BD2434" s="67"/>
      <c r="BE2434" s="67"/>
      <c r="BF2434" s="95"/>
    </row>
    <row r="2435" spans="42:58" x14ac:dyDescent="0.35">
      <c r="AP2435" s="93"/>
      <c r="AQ2435" s="31"/>
      <c r="AR2435" s="31"/>
      <c r="AS2435" s="94"/>
      <c r="AT2435" s="31"/>
      <c r="AU2435" s="31"/>
      <c r="AV2435" s="94"/>
      <c r="AW2435" s="32"/>
      <c r="AX2435" s="32"/>
      <c r="AY2435" s="32"/>
      <c r="AZ2435" s="32"/>
      <c r="BA2435" s="32"/>
      <c r="BB2435" s="31"/>
      <c r="BC2435" s="31"/>
      <c r="BD2435" s="31"/>
      <c r="BE2435" s="31"/>
      <c r="BF2435" s="96"/>
    </row>
    <row r="2436" spans="42:58" x14ac:dyDescent="0.35">
      <c r="AP2436" s="92"/>
      <c r="AQ2436" s="67"/>
      <c r="AR2436" s="67"/>
      <c r="AS2436" s="73"/>
      <c r="AT2436" s="67"/>
      <c r="AU2436" s="67"/>
      <c r="AV2436" s="73"/>
      <c r="AW2436" s="68"/>
      <c r="AX2436" s="68"/>
      <c r="AY2436" s="68"/>
      <c r="AZ2436" s="68"/>
      <c r="BA2436" s="68"/>
      <c r="BB2436" s="67"/>
      <c r="BC2436" s="67"/>
      <c r="BD2436" s="67"/>
      <c r="BE2436" s="67"/>
      <c r="BF2436" s="95"/>
    </row>
    <row r="2437" spans="42:58" x14ac:dyDescent="0.35">
      <c r="AP2437" s="93"/>
      <c r="AQ2437" s="31"/>
      <c r="AR2437" s="31"/>
      <c r="AS2437" s="94"/>
      <c r="AT2437" s="31"/>
      <c r="AU2437" s="31"/>
      <c r="AV2437" s="94"/>
      <c r="AW2437" s="32"/>
      <c r="AX2437" s="32"/>
      <c r="AY2437" s="32"/>
      <c r="AZ2437" s="32"/>
      <c r="BA2437" s="32"/>
      <c r="BB2437" s="31"/>
      <c r="BC2437" s="31"/>
      <c r="BD2437" s="31"/>
      <c r="BE2437" s="31"/>
      <c r="BF2437" s="96"/>
    </row>
    <row r="2438" spans="42:58" x14ac:dyDescent="0.35">
      <c r="AP2438" s="92"/>
      <c r="AQ2438" s="67"/>
      <c r="AR2438" s="67"/>
      <c r="AS2438" s="73"/>
      <c r="AT2438" s="67"/>
      <c r="AU2438" s="67"/>
      <c r="AV2438" s="73"/>
      <c r="AW2438" s="68"/>
      <c r="AX2438" s="68"/>
      <c r="AY2438" s="68"/>
      <c r="AZ2438" s="68"/>
      <c r="BA2438" s="68"/>
      <c r="BB2438" s="67"/>
      <c r="BC2438" s="67"/>
      <c r="BD2438" s="67"/>
      <c r="BE2438" s="67"/>
      <c r="BF2438" s="95"/>
    </row>
    <row r="2439" spans="42:58" x14ac:dyDescent="0.35">
      <c r="AP2439" s="93"/>
      <c r="AQ2439" s="31"/>
      <c r="AR2439" s="31"/>
      <c r="AS2439" s="94"/>
      <c r="AT2439" s="31"/>
      <c r="AU2439" s="31"/>
      <c r="AV2439" s="94"/>
      <c r="AW2439" s="32"/>
      <c r="AX2439" s="32"/>
      <c r="AY2439" s="32"/>
      <c r="AZ2439" s="32"/>
      <c r="BA2439" s="32"/>
      <c r="BB2439" s="31"/>
      <c r="BC2439" s="31"/>
      <c r="BD2439" s="31"/>
      <c r="BE2439" s="31"/>
      <c r="BF2439" s="96"/>
    </row>
    <row r="2440" spans="42:58" x14ac:dyDescent="0.35">
      <c r="AP2440" s="92"/>
      <c r="AQ2440" s="67"/>
      <c r="AR2440" s="67"/>
      <c r="AS2440" s="73"/>
      <c r="AT2440" s="67"/>
      <c r="AU2440" s="67"/>
      <c r="AV2440" s="73"/>
      <c r="AW2440" s="68"/>
      <c r="AX2440" s="68"/>
      <c r="AY2440" s="68"/>
      <c r="AZ2440" s="68"/>
      <c r="BA2440" s="68"/>
      <c r="BB2440" s="67"/>
      <c r="BC2440" s="67"/>
      <c r="BD2440" s="67"/>
      <c r="BE2440" s="67"/>
      <c r="BF2440" s="95"/>
    </row>
    <row r="2441" spans="42:58" x14ac:dyDescent="0.35">
      <c r="AP2441" s="93"/>
      <c r="AQ2441" s="31"/>
      <c r="AR2441" s="31"/>
      <c r="AS2441" s="94"/>
      <c r="AT2441" s="31"/>
      <c r="AU2441" s="31"/>
      <c r="AV2441" s="94"/>
      <c r="AW2441" s="32"/>
      <c r="AX2441" s="32"/>
      <c r="AY2441" s="32"/>
      <c r="AZ2441" s="32"/>
      <c r="BA2441" s="32"/>
      <c r="BB2441" s="31"/>
      <c r="BC2441" s="31"/>
      <c r="BD2441" s="31"/>
      <c r="BE2441" s="31"/>
      <c r="BF2441" s="96"/>
    </row>
    <row r="2442" spans="42:58" x14ac:dyDescent="0.35">
      <c r="AP2442" s="92"/>
      <c r="AQ2442" s="67"/>
      <c r="AR2442" s="67"/>
      <c r="AS2442" s="73"/>
      <c r="AT2442" s="67"/>
      <c r="AU2442" s="67"/>
      <c r="AV2442" s="73"/>
      <c r="AW2442" s="68"/>
      <c r="AX2442" s="68"/>
      <c r="AY2442" s="68"/>
      <c r="AZ2442" s="68"/>
      <c r="BA2442" s="68"/>
      <c r="BB2442" s="67"/>
      <c r="BC2442" s="67"/>
      <c r="BD2442" s="67"/>
      <c r="BE2442" s="67"/>
      <c r="BF2442" s="95"/>
    </row>
    <row r="2443" spans="42:58" x14ac:dyDescent="0.35">
      <c r="AP2443" s="93"/>
      <c r="AQ2443" s="31"/>
      <c r="AR2443" s="31"/>
      <c r="AS2443" s="94"/>
      <c r="AT2443" s="31"/>
      <c r="AU2443" s="31"/>
      <c r="AV2443" s="94"/>
      <c r="AW2443" s="32"/>
      <c r="AX2443" s="32"/>
      <c r="AY2443" s="32"/>
      <c r="AZ2443" s="32"/>
      <c r="BA2443" s="32"/>
      <c r="BB2443" s="31"/>
      <c r="BC2443" s="31"/>
      <c r="BD2443" s="31"/>
      <c r="BE2443" s="31"/>
      <c r="BF2443" s="96"/>
    </row>
    <row r="2444" spans="42:58" x14ac:dyDescent="0.35">
      <c r="AP2444" s="92"/>
      <c r="AQ2444" s="67"/>
      <c r="AR2444" s="67"/>
      <c r="AS2444" s="73"/>
      <c r="AT2444" s="67"/>
      <c r="AU2444" s="67"/>
      <c r="AV2444" s="73"/>
      <c r="AW2444" s="68"/>
      <c r="AX2444" s="68"/>
      <c r="AY2444" s="68"/>
      <c r="AZ2444" s="68"/>
      <c r="BA2444" s="68"/>
      <c r="BB2444" s="67"/>
      <c r="BC2444" s="67"/>
      <c r="BD2444" s="67"/>
      <c r="BE2444" s="67"/>
      <c r="BF2444" s="95"/>
    </row>
    <row r="2445" spans="42:58" x14ac:dyDescent="0.35">
      <c r="AP2445" s="93"/>
      <c r="AQ2445" s="31"/>
      <c r="AR2445" s="31"/>
      <c r="AS2445" s="94"/>
      <c r="AT2445" s="31"/>
      <c r="AU2445" s="31"/>
      <c r="AV2445" s="94"/>
      <c r="AW2445" s="32"/>
      <c r="AX2445" s="32"/>
      <c r="AY2445" s="32"/>
      <c r="AZ2445" s="32"/>
      <c r="BA2445" s="32"/>
      <c r="BB2445" s="31"/>
      <c r="BC2445" s="31"/>
      <c r="BD2445" s="31"/>
      <c r="BE2445" s="31"/>
      <c r="BF2445" s="96"/>
    </row>
    <row r="2446" spans="42:58" x14ac:dyDescent="0.35">
      <c r="AP2446" s="92"/>
      <c r="AQ2446" s="67"/>
      <c r="AR2446" s="67"/>
      <c r="AS2446" s="73"/>
      <c r="AT2446" s="67"/>
      <c r="AU2446" s="67"/>
      <c r="AV2446" s="73"/>
      <c r="AW2446" s="68"/>
      <c r="AX2446" s="68"/>
      <c r="AY2446" s="68"/>
      <c r="AZ2446" s="68"/>
      <c r="BA2446" s="68"/>
      <c r="BB2446" s="67"/>
      <c r="BC2446" s="67"/>
      <c r="BD2446" s="67"/>
      <c r="BE2446" s="67"/>
      <c r="BF2446" s="95"/>
    </row>
    <row r="2447" spans="42:58" x14ac:dyDescent="0.35">
      <c r="AP2447" s="93"/>
      <c r="AQ2447" s="31"/>
      <c r="AR2447" s="31"/>
      <c r="AS2447" s="94"/>
      <c r="AT2447" s="31"/>
      <c r="AU2447" s="31"/>
      <c r="AV2447" s="94"/>
      <c r="AW2447" s="32"/>
      <c r="AX2447" s="32"/>
      <c r="AY2447" s="32"/>
      <c r="AZ2447" s="32"/>
      <c r="BA2447" s="32"/>
      <c r="BB2447" s="31"/>
      <c r="BC2447" s="31"/>
      <c r="BD2447" s="31"/>
      <c r="BE2447" s="31"/>
      <c r="BF2447" s="96"/>
    </row>
    <row r="2448" spans="42:58" x14ac:dyDescent="0.35">
      <c r="AP2448" s="92"/>
      <c r="AQ2448" s="67"/>
      <c r="AR2448" s="67"/>
      <c r="AS2448" s="73"/>
      <c r="AT2448" s="67"/>
      <c r="AU2448" s="67"/>
      <c r="AV2448" s="73"/>
      <c r="AW2448" s="68"/>
      <c r="AX2448" s="68"/>
      <c r="AY2448" s="68"/>
      <c r="AZ2448" s="68"/>
      <c r="BA2448" s="68"/>
      <c r="BB2448" s="67"/>
      <c r="BC2448" s="67"/>
      <c r="BD2448" s="67"/>
      <c r="BE2448" s="67"/>
      <c r="BF2448" s="95"/>
    </row>
    <row r="2449" spans="42:58" x14ac:dyDescent="0.35">
      <c r="AP2449" s="93"/>
      <c r="AQ2449" s="31"/>
      <c r="AR2449" s="31"/>
      <c r="AS2449" s="94"/>
      <c r="AT2449" s="31"/>
      <c r="AU2449" s="31"/>
      <c r="AV2449" s="94"/>
      <c r="AW2449" s="32"/>
      <c r="AX2449" s="32"/>
      <c r="AY2449" s="32"/>
      <c r="AZ2449" s="32"/>
      <c r="BA2449" s="32"/>
      <c r="BB2449" s="31"/>
      <c r="BC2449" s="31"/>
      <c r="BD2449" s="31"/>
      <c r="BE2449" s="31"/>
      <c r="BF2449" s="96"/>
    </row>
    <row r="2450" spans="42:58" x14ac:dyDescent="0.35">
      <c r="AP2450" s="92"/>
      <c r="AQ2450" s="67"/>
      <c r="AR2450" s="67"/>
      <c r="AS2450" s="73"/>
      <c r="AT2450" s="67"/>
      <c r="AU2450" s="67"/>
      <c r="AV2450" s="73"/>
      <c r="AW2450" s="68"/>
      <c r="AX2450" s="68"/>
      <c r="AY2450" s="68"/>
      <c r="AZ2450" s="68"/>
      <c r="BA2450" s="68"/>
      <c r="BB2450" s="67"/>
      <c r="BC2450" s="67"/>
      <c r="BD2450" s="67"/>
      <c r="BE2450" s="67"/>
      <c r="BF2450" s="95"/>
    </row>
    <row r="2451" spans="42:58" x14ac:dyDescent="0.35">
      <c r="AP2451" s="93"/>
      <c r="AQ2451" s="31"/>
      <c r="AR2451" s="31"/>
      <c r="AS2451" s="94"/>
      <c r="AT2451" s="31"/>
      <c r="AU2451" s="31"/>
      <c r="AV2451" s="94"/>
      <c r="AW2451" s="32"/>
      <c r="AX2451" s="32"/>
      <c r="AY2451" s="32"/>
      <c r="AZ2451" s="32"/>
      <c r="BA2451" s="32"/>
      <c r="BB2451" s="31"/>
      <c r="BC2451" s="31"/>
      <c r="BD2451" s="31"/>
      <c r="BE2451" s="31"/>
      <c r="BF2451" s="96"/>
    </row>
    <row r="2452" spans="42:58" x14ac:dyDescent="0.35">
      <c r="AP2452" s="92"/>
      <c r="AQ2452" s="67"/>
      <c r="AR2452" s="67"/>
      <c r="AS2452" s="73"/>
      <c r="AT2452" s="67"/>
      <c r="AU2452" s="67"/>
      <c r="AV2452" s="73"/>
      <c r="AW2452" s="68"/>
      <c r="AX2452" s="68"/>
      <c r="AY2452" s="68"/>
      <c r="AZ2452" s="68"/>
      <c r="BA2452" s="68"/>
      <c r="BB2452" s="67"/>
      <c r="BC2452" s="67"/>
      <c r="BD2452" s="67"/>
      <c r="BE2452" s="67"/>
      <c r="BF2452" s="95"/>
    </row>
    <row r="2453" spans="42:58" x14ac:dyDescent="0.35">
      <c r="AP2453" s="93"/>
      <c r="AQ2453" s="31"/>
      <c r="AR2453" s="31"/>
      <c r="AS2453" s="94"/>
      <c r="AT2453" s="31"/>
      <c r="AU2453" s="31"/>
      <c r="AV2453" s="94"/>
      <c r="AW2453" s="32"/>
      <c r="AX2453" s="32"/>
      <c r="AY2453" s="32"/>
      <c r="AZ2453" s="32"/>
      <c r="BA2453" s="32"/>
      <c r="BB2453" s="31"/>
      <c r="BC2453" s="31"/>
      <c r="BD2453" s="31"/>
      <c r="BE2453" s="31"/>
      <c r="BF2453" s="96"/>
    </row>
    <row r="2454" spans="42:58" x14ac:dyDescent="0.35">
      <c r="AP2454" s="92"/>
      <c r="AQ2454" s="67"/>
      <c r="AR2454" s="67"/>
      <c r="AS2454" s="73"/>
      <c r="AT2454" s="67"/>
      <c r="AU2454" s="67"/>
      <c r="AV2454" s="73"/>
      <c r="AW2454" s="68"/>
      <c r="AX2454" s="68"/>
      <c r="AY2454" s="68"/>
      <c r="AZ2454" s="68"/>
      <c r="BA2454" s="68"/>
      <c r="BB2454" s="67"/>
      <c r="BC2454" s="67"/>
      <c r="BD2454" s="67"/>
      <c r="BE2454" s="67"/>
      <c r="BF2454" s="95"/>
    </row>
    <row r="2455" spans="42:58" x14ac:dyDescent="0.35">
      <c r="AP2455" s="93"/>
      <c r="AQ2455" s="31"/>
      <c r="AR2455" s="31"/>
      <c r="AS2455" s="94"/>
      <c r="AT2455" s="31"/>
      <c r="AU2455" s="31"/>
      <c r="AV2455" s="94"/>
      <c r="AW2455" s="32"/>
      <c r="AX2455" s="32"/>
      <c r="AY2455" s="32"/>
      <c r="AZ2455" s="32"/>
      <c r="BA2455" s="32"/>
      <c r="BB2455" s="31"/>
      <c r="BC2455" s="31"/>
      <c r="BD2455" s="31"/>
      <c r="BE2455" s="31"/>
      <c r="BF2455" s="96"/>
    </row>
    <row r="2456" spans="42:58" x14ac:dyDescent="0.35">
      <c r="AP2456" s="92"/>
      <c r="AQ2456" s="67"/>
      <c r="AR2456" s="67"/>
      <c r="AS2456" s="73"/>
      <c r="AT2456" s="67"/>
      <c r="AU2456" s="67"/>
      <c r="AV2456" s="73"/>
      <c r="AW2456" s="68"/>
      <c r="AX2456" s="68"/>
      <c r="AY2456" s="68"/>
      <c r="AZ2456" s="68"/>
      <c r="BA2456" s="68"/>
      <c r="BB2456" s="67"/>
      <c r="BC2456" s="67"/>
      <c r="BD2456" s="67"/>
      <c r="BE2456" s="67"/>
      <c r="BF2456" s="95"/>
    </row>
    <row r="2457" spans="42:58" x14ac:dyDescent="0.35">
      <c r="AP2457" s="93"/>
      <c r="AQ2457" s="31"/>
      <c r="AR2457" s="31"/>
      <c r="AS2457" s="94"/>
      <c r="AT2457" s="31"/>
      <c r="AU2457" s="31"/>
      <c r="AV2457" s="94"/>
      <c r="AW2457" s="32"/>
      <c r="AX2457" s="32"/>
      <c r="AY2457" s="32"/>
      <c r="AZ2457" s="32"/>
      <c r="BA2457" s="32"/>
      <c r="BB2457" s="31"/>
      <c r="BC2457" s="31"/>
      <c r="BD2457" s="31"/>
      <c r="BE2457" s="31"/>
      <c r="BF2457" s="96"/>
    </row>
    <row r="2458" spans="42:58" x14ac:dyDescent="0.35">
      <c r="AP2458" s="92"/>
      <c r="AQ2458" s="67"/>
      <c r="AR2458" s="67"/>
      <c r="AS2458" s="73"/>
      <c r="AT2458" s="67"/>
      <c r="AU2458" s="67"/>
      <c r="AV2458" s="73"/>
      <c r="AW2458" s="68"/>
      <c r="AX2458" s="68"/>
      <c r="AY2458" s="68"/>
      <c r="AZ2458" s="68"/>
      <c r="BA2458" s="68"/>
      <c r="BB2458" s="67"/>
      <c r="BC2458" s="67"/>
      <c r="BD2458" s="67"/>
      <c r="BE2458" s="67"/>
      <c r="BF2458" s="95"/>
    </row>
    <row r="2459" spans="42:58" x14ac:dyDescent="0.35">
      <c r="AP2459" s="93"/>
      <c r="AQ2459" s="31"/>
      <c r="AR2459" s="31"/>
      <c r="AS2459" s="94"/>
      <c r="AT2459" s="31"/>
      <c r="AU2459" s="31"/>
      <c r="AV2459" s="94"/>
      <c r="AW2459" s="32"/>
      <c r="AX2459" s="32"/>
      <c r="AY2459" s="32"/>
      <c r="AZ2459" s="32"/>
      <c r="BA2459" s="32"/>
      <c r="BB2459" s="31"/>
      <c r="BC2459" s="31"/>
      <c r="BD2459" s="31"/>
      <c r="BE2459" s="31"/>
      <c r="BF2459" s="96"/>
    </row>
    <row r="2460" spans="42:58" x14ac:dyDescent="0.35">
      <c r="AP2460" s="92"/>
      <c r="AQ2460" s="67"/>
      <c r="AR2460" s="67"/>
      <c r="AS2460" s="73"/>
      <c r="AT2460" s="67"/>
      <c r="AU2460" s="67"/>
      <c r="AV2460" s="73"/>
      <c r="AW2460" s="68"/>
      <c r="AX2460" s="68"/>
      <c r="AY2460" s="68"/>
      <c r="AZ2460" s="68"/>
      <c r="BA2460" s="68"/>
      <c r="BB2460" s="67"/>
      <c r="BC2460" s="67"/>
      <c r="BD2460" s="67"/>
      <c r="BE2460" s="67"/>
      <c r="BF2460" s="95"/>
    </row>
    <row r="2461" spans="42:58" x14ac:dyDescent="0.35">
      <c r="AP2461" s="93"/>
      <c r="AQ2461" s="31"/>
      <c r="AR2461" s="31"/>
      <c r="AS2461" s="94"/>
      <c r="AT2461" s="31"/>
      <c r="AU2461" s="31"/>
      <c r="AV2461" s="94"/>
      <c r="AW2461" s="32"/>
      <c r="AX2461" s="32"/>
      <c r="AY2461" s="32"/>
      <c r="AZ2461" s="32"/>
      <c r="BA2461" s="32"/>
      <c r="BB2461" s="31"/>
      <c r="BC2461" s="31"/>
      <c r="BD2461" s="31"/>
      <c r="BE2461" s="31"/>
      <c r="BF2461" s="96"/>
    </row>
    <row r="2462" spans="42:58" x14ac:dyDescent="0.35">
      <c r="AP2462" s="92"/>
      <c r="AQ2462" s="67"/>
      <c r="AR2462" s="67"/>
      <c r="AS2462" s="73"/>
      <c r="AT2462" s="67"/>
      <c r="AU2462" s="67"/>
      <c r="AV2462" s="73"/>
      <c r="AW2462" s="68"/>
      <c r="AX2462" s="68"/>
      <c r="AY2462" s="68"/>
      <c r="AZ2462" s="68"/>
      <c r="BA2462" s="68"/>
      <c r="BB2462" s="67"/>
      <c r="BC2462" s="67"/>
      <c r="BD2462" s="67"/>
      <c r="BE2462" s="67"/>
      <c r="BF2462" s="95"/>
    </row>
    <row r="2463" spans="42:58" x14ac:dyDescent="0.35">
      <c r="AP2463" s="93"/>
      <c r="AQ2463" s="31"/>
      <c r="AR2463" s="31"/>
      <c r="AS2463" s="94"/>
      <c r="AT2463" s="31"/>
      <c r="AU2463" s="31"/>
      <c r="AV2463" s="94"/>
      <c r="AW2463" s="32"/>
      <c r="AX2463" s="32"/>
      <c r="AY2463" s="32"/>
      <c r="AZ2463" s="32"/>
      <c r="BA2463" s="32"/>
      <c r="BB2463" s="31"/>
      <c r="BC2463" s="31"/>
      <c r="BD2463" s="31"/>
      <c r="BE2463" s="31"/>
      <c r="BF2463" s="96"/>
    </row>
    <row r="2464" spans="42:58" x14ac:dyDescent="0.35">
      <c r="AP2464" s="92"/>
      <c r="AQ2464" s="67"/>
      <c r="AR2464" s="67"/>
      <c r="AS2464" s="73"/>
      <c r="AT2464" s="67"/>
      <c r="AU2464" s="67"/>
      <c r="AV2464" s="73"/>
      <c r="AW2464" s="68"/>
      <c r="AX2464" s="68"/>
      <c r="AY2464" s="68"/>
      <c r="AZ2464" s="68"/>
      <c r="BA2464" s="68"/>
      <c r="BB2464" s="67"/>
      <c r="BC2464" s="67"/>
      <c r="BD2464" s="67"/>
      <c r="BE2464" s="67"/>
      <c r="BF2464" s="95"/>
    </row>
    <row r="2465" spans="42:58" x14ac:dyDescent="0.35">
      <c r="AP2465" s="93"/>
      <c r="AQ2465" s="31"/>
      <c r="AR2465" s="31"/>
      <c r="AS2465" s="94"/>
      <c r="AT2465" s="31"/>
      <c r="AU2465" s="31"/>
      <c r="AV2465" s="94"/>
      <c r="AW2465" s="32"/>
      <c r="AX2465" s="32"/>
      <c r="AY2465" s="32"/>
      <c r="AZ2465" s="32"/>
      <c r="BA2465" s="32"/>
      <c r="BB2465" s="31"/>
      <c r="BC2465" s="31"/>
      <c r="BD2465" s="31"/>
      <c r="BE2465" s="31"/>
      <c r="BF2465" s="96"/>
    </row>
    <row r="2466" spans="42:58" x14ac:dyDescent="0.35">
      <c r="AP2466" s="92"/>
      <c r="AQ2466" s="67"/>
      <c r="AR2466" s="67"/>
      <c r="AS2466" s="73"/>
      <c r="AT2466" s="67"/>
      <c r="AU2466" s="67"/>
      <c r="AV2466" s="73"/>
      <c r="AW2466" s="68"/>
      <c r="AX2466" s="68"/>
      <c r="AY2466" s="68"/>
      <c r="AZ2466" s="68"/>
      <c r="BA2466" s="68"/>
      <c r="BB2466" s="67"/>
      <c r="BC2466" s="67"/>
      <c r="BD2466" s="67"/>
      <c r="BE2466" s="67"/>
      <c r="BF2466" s="95"/>
    </row>
    <row r="2467" spans="42:58" x14ac:dyDescent="0.35">
      <c r="AP2467" s="93"/>
      <c r="AQ2467" s="31"/>
      <c r="AR2467" s="31"/>
      <c r="AS2467" s="94"/>
      <c r="AT2467" s="31"/>
      <c r="AU2467" s="31"/>
      <c r="AV2467" s="94"/>
      <c r="AW2467" s="32"/>
      <c r="AX2467" s="32"/>
      <c r="AY2467" s="32"/>
      <c r="AZ2467" s="32"/>
      <c r="BA2467" s="32"/>
      <c r="BB2467" s="31"/>
      <c r="BC2467" s="31"/>
      <c r="BD2467" s="31"/>
      <c r="BE2467" s="31"/>
      <c r="BF2467" s="96"/>
    </row>
    <row r="2468" spans="42:58" x14ac:dyDescent="0.35">
      <c r="AP2468" s="92"/>
      <c r="AQ2468" s="67"/>
      <c r="AR2468" s="67"/>
      <c r="AS2468" s="73"/>
      <c r="AT2468" s="67"/>
      <c r="AU2468" s="67"/>
      <c r="AV2468" s="73"/>
      <c r="AW2468" s="68"/>
      <c r="AX2468" s="68"/>
      <c r="AY2468" s="68"/>
      <c r="AZ2468" s="68"/>
      <c r="BA2468" s="68"/>
      <c r="BB2468" s="67"/>
      <c r="BC2468" s="67"/>
      <c r="BD2468" s="67"/>
      <c r="BE2468" s="67"/>
      <c r="BF2468" s="95"/>
    </row>
    <row r="2469" spans="42:58" x14ac:dyDescent="0.35">
      <c r="AP2469" s="93"/>
      <c r="AQ2469" s="31"/>
      <c r="AR2469" s="31"/>
      <c r="AS2469" s="94"/>
      <c r="AT2469" s="31"/>
      <c r="AU2469" s="31"/>
      <c r="AV2469" s="94"/>
      <c r="AW2469" s="32"/>
      <c r="AX2469" s="32"/>
      <c r="AY2469" s="32"/>
      <c r="AZ2469" s="32"/>
      <c r="BA2469" s="32"/>
      <c r="BB2469" s="31"/>
      <c r="BC2469" s="31"/>
      <c r="BD2469" s="31"/>
      <c r="BE2469" s="31"/>
      <c r="BF2469" s="96"/>
    </row>
    <row r="2470" spans="42:58" x14ac:dyDescent="0.35">
      <c r="AP2470" s="92"/>
      <c r="AQ2470" s="67"/>
      <c r="AR2470" s="67"/>
      <c r="AS2470" s="73"/>
      <c r="AT2470" s="67"/>
      <c r="AU2470" s="67"/>
      <c r="AV2470" s="73"/>
      <c r="AW2470" s="68"/>
      <c r="AX2470" s="68"/>
      <c r="AY2470" s="68"/>
      <c r="AZ2470" s="68"/>
      <c r="BA2470" s="68"/>
      <c r="BB2470" s="67"/>
      <c r="BC2470" s="67"/>
      <c r="BD2470" s="67"/>
      <c r="BE2470" s="67"/>
      <c r="BF2470" s="95"/>
    </row>
    <row r="2471" spans="42:58" x14ac:dyDescent="0.35">
      <c r="AP2471" s="93"/>
      <c r="AQ2471" s="31"/>
      <c r="AR2471" s="31"/>
      <c r="AS2471" s="94"/>
      <c r="AT2471" s="31"/>
      <c r="AU2471" s="31"/>
      <c r="AV2471" s="94"/>
      <c r="AW2471" s="32"/>
      <c r="AX2471" s="32"/>
      <c r="AY2471" s="32"/>
      <c r="AZ2471" s="32"/>
      <c r="BA2471" s="32"/>
      <c r="BB2471" s="31"/>
      <c r="BC2471" s="31"/>
      <c r="BD2471" s="31"/>
      <c r="BE2471" s="31"/>
      <c r="BF2471" s="96"/>
    </row>
    <row r="2472" spans="42:58" x14ac:dyDescent="0.35">
      <c r="AP2472" s="92"/>
      <c r="AQ2472" s="67"/>
      <c r="AR2472" s="67"/>
      <c r="AS2472" s="73"/>
      <c r="AT2472" s="67"/>
      <c r="AU2472" s="67"/>
      <c r="AV2472" s="73"/>
      <c r="AW2472" s="68"/>
      <c r="AX2472" s="68"/>
      <c r="AY2472" s="68"/>
      <c r="AZ2472" s="68"/>
      <c r="BA2472" s="68"/>
      <c r="BB2472" s="67"/>
      <c r="BC2472" s="67"/>
      <c r="BD2472" s="67"/>
      <c r="BE2472" s="67"/>
      <c r="BF2472" s="95"/>
    </row>
    <row r="2473" spans="42:58" x14ac:dyDescent="0.35">
      <c r="AP2473" s="93"/>
      <c r="AQ2473" s="31"/>
      <c r="AR2473" s="31"/>
      <c r="AS2473" s="94"/>
      <c r="AT2473" s="31"/>
      <c r="AU2473" s="31"/>
      <c r="AV2473" s="94"/>
      <c r="AW2473" s="32"/>
      <c r="AX2473" s="32"/>
      <c r="AY2473" s="32"/>
      <c r="AZ2473" s="32"/>
      <c r="BA2473" s="32"/>
      <c r="BB2473" s="31"/>
      <c r="BC2473" s="31"/>
      <c r="BD2473" s="31"/>
      <c r="BE2473" s="31"/>
      <c r="BF2473" s="96"/>
    </row>
    <row r="2474" spans="42:58" x14ac:dyDescent="0.35">
      <c r="AP2474" s="92"/>
      <c r="AQ2474" s="67"/>
      <c r="AR2474" s="67"/>
      <c r="AS2474" s="73"/>
      <c r="AT2474" s="67"/>
      <c r="AU2474" s="67"/>
      <c r="AV2474" s="73"/>
      <c r="AW2474" s="68"/>
      <c r="AX2474" s="68"/>
      <c r="AY2474" s="68"/>
      <c r="AZ2474" s="68"/>
      <c r="BA2474" s="68"/>
      <c r="BB2474" s="67"/>
      <c r="BC2474" s="67"/>
      <c r="BD2474" s="67"/>
      <c r="BE2474" s="67"/>
      <c r="BF2474" s="95"/>
    </row>
    <row r="2475" spans="42:58" x14ac:dyDescent="0.35">
      <c r="AP2475" s="93"/>
      <c r="AQ2475" s="31"/>
      <c r="AR2475" s="31"/>
      <c r="AS2475" s="94"/>
      <c r="AT2475" s="31"/>
      <c r="AU2475" s="31"/>
      <c r="AV2475" s="94"/>
      <c r="AW2475" s="32"/>
      <c r="AX2475" s="32"/>
      <c r="AY2475" s="32"/>
      <c r="AZ2475" s="32"/>
      <c r="BA2475" s="32"/>
      <c r="BB2475" s="31"/>
      <c r="BC2475" s="31"/>
      <c r="BD2475" s="31"/>
      <c r="BE2475" s="31"/>
      <c r="BF2475" s="96"/>
    </row>
    <row r="2476" spans="42:58" x14ac:dyDescent="0.35">
      <c r="AP2476" s="92"/>
      <c r="AQ2476" s="67"/>
      <c r="AR2476" s="67"/>
      <c r="AS2476" s="73"/>
      <c r="AT2476" s="67"/>
      <c r="AU2476" s="67"/>
      <c r="AV2476" s="73"/>
      <c r="AW2476" s="68"/>
      <c r="AX2476" s="68"/>
      <c r="AY2476" s="68"/>
      <c r="AZ2476" s="68"/>
      <c r="BA2476" s="68"/>
      <c r="BB2476" s="67"/>
      <c r="BC2476" s="67"/>
      <c r="BD2476" s="67"/>
      <c r="BE2476" s="67"/>
      <c r="BF2476" s="95"/>
    </row>
    <row r="2477" spans="42:58" x14ac:dyDescent="0.35">
      <c r="AP2477" s="93"/>
      <c r="AQ2477" s="31"/>
      <c r="AR2477" s="31"/>
      <c r="AS2477" s="94"/>
      <c r="AT2477" s="31"/>
      <c r="AU2477" s="31"/>
      <c r="AV2477" s="94"/>
      <c r="AW2477" s="32"/>
      <c r="AX2477" s="32"/>
      <c r="AY2477" s="32"/>
      <c r="AZ2477" s="32"/>
      <c r="BA2477" s="32"/>
      <c r="BB2477" s="31"/>
      <c r="BC2477" s="31"/>
      <c r="BD2477" s="31"/>
      <c r="BE2477" s="31"/>
      <c r="BF2477" s="96"/>
    </row>
    <row r="2478" spans="42:58" x14ac:dyDescent="0.35">
      <c r="AP2478" s="92"/>
      <c r="AQ2478" s="67"/>
      <c r="AR2478" s="67"/>
      <c r="AS2478" s="73"/>
      <c r="AT2478" s="67"/>
      <c r="AU2478" s="67"/>
      <c r="AV2478" s="73"/>
      <c r="AW2478" s="68"/>
      <c r="AX2478" s="68"/>
      <c r="AY2478" s="68"/>
      <c r="AZ2478" s="68"/>
      <c r="BA2478" s="68"/>
      <c r="BB2478" s="67"/>
      <c r="BC2478" s="67"/>
      <c r="BD2478" s="67"/>
      <c r="BE2478" s="67"/>
      <c r="BF2478" s="95"/>
    </row>
    <row r="2479" spans="42:58" x14ac:dyDescent="0.35">
      <c r="AP2479" s="93"/>
      <c r="AQ2479" s="31"/>
      <c r="AR2479" s="31"/>
      <c r="AS2479" s="94"/>
      <c r="AT2479" s="31"/>
      <c r="AU2479" s="31"/>
      <c r="AV2479" s="94"/>
      <c r="AW2479" s="32"/>
      <c r="AX2479" s="32"/>
      <c r="AY2479" s="32"/>
      <c r="AZ2479" s="32"/>
      <c r="BA2479" s="32"/>
      <c r="BB2479" s="31"/>
      <c r="BC2479" s="31"/>
      <c r="BD2479" s="31"/>
      <c r="BE2479" s="31"/>
      <c r="BF2479" s="96"/>
    </row>
    <row r="2480" spans="42:58" x14ac:dyDescent="0.35">
      <c r="AP2480" s="92"/>
      <c r="AQ2480" s="67"/>
      <c r="AR2480" s="67"/>
      <c r="AS2480" s="73"/>
      <c r="AT2480" s="67"/>
      <c r="AU2480" s="67"/>
      <c r="AV2480" s="73"/>
      <c r="AW2480" s="68"/>
      <c r="AX2480" s="68"/>
      <c r="AY2480" s="68"/>
      <c r="AZ2480" s="68"/>
      <c r="BA2480" s="68"/>
      <c r="BB2480" s="67"/>
      <c r="BC2480" s="67"/>
      <c r="BD2480" s="67"/>
      <c r="BE2480" s="67"/>
      <c r="BF2480" s="95"/>
    </row>
    <row r="2481" spans="42:58" x14ac:dyDescent="0.35">
      <c r="AP2481" s="93"/>
      <c r="AQ2481" s="31"/>
      <c r="AR2481" s="31"/>
      <c r="AS2481" s="94"/>
      <c r="AT2481" s="31"/>
      <c r="AU2481" s="31"/>
      <c r="AV2481" s="94"/>
      <c r="AW2481" s="32"/>
      <c r="AX2481" s="32"/>
      <c r="AY2481" s="32"/>
      <c r="AZ2481" s="32"/>
      <c r="BA2481" s="32"/>
      <c r="BB2481" s="31"/>
      <c r="BC2481" s="31"/>
      <c r="BD2481" s="31"/>
      <c r="BE2481" s="31"/>
      <c r="BF2481" s="96"/>
    </row>
    <row r="2482" spans="42:58" x14ac:dyDescent="0.35">
      <c r="AP2482" s="92"/>
      <c r="AQ2482" s="67"/>
      <c r="AR2482" s="67"/>
      <c r="AS2482" s="73"/>
      <c r="AT2482" s="67"/>
      <c r="AU2482" s="67"/>
      <c r="AV2482" s="73"/>
      <c r="AW2482" s="68"/>
      <c r="AX2482" s="68"/>
      <c r="AY2482" s="68"/>
      <c r="AZ2482" s="68"/>
      <c r="BA2482" s="68"/>
      <c r="BB2482" s="67"/>
      <c r="BC2482" s="67"/>
      <c r="BD2482" s="67"/>
      <c r="BE2482" s="67"/>
      <c r="BF2482" s="95"/>
    </row>
    <row r="2483" spans="42:58" x14ac:dyDescent="0.35">
      <c r="AP2483" s="93"/>
      <c r="AQ2483" s="31"/>
      <c r="AR2483" s="31"/>
      <c r="AS2483" s="94"/>
      <c r="AT2483" s="31"/>
      <c r="AU2483" s="31"/>
      <c r="AV2483" s="94"/>
      <c r="AW2483" s="32"/>
      <c r="AX2483" s="32"/>
      <c r="AY2483" s="32"/>
      <c r="AZ2483" s="32"/>
      <c r="BA2483" s="32"/>
      <c r="BB2483" s="31"/>
      <c r="BC2483" s="31"/>
      <c r="BD2483" s="31"/>
      <c r="BE2483" s="31"/>
      <c r="BF2483" s="96"/>
    </row>
    <row r="2484" spans="42:58" x14ac:dyDescent="0.35">
      <c r="AP2484" s="92"/>
      <c r="AQ2484" s="67"/>
      <c r="AR2484" s="67"/>
      <c r="AS2484" s="73"/>
      <c r="AT2484" s="67"/>
      <c r="AU2484" s="67"/>
      <c r="AV2484" s="73"/>
      <c r="AW2484" s="68"/>
      <c r="AX2484" s="68"/>
      <c r="AY2484" s="68"/>
      <c r="AZ2484" s="68"/>
      <c r="BA2484" s="68"/>
      <c r="BB2484" s="67"/>
      <c r="BC2484" s="67"/>
      <c r="BD2484" s="67"/>
      <c r="BE2484" s="67"/>
      <c r="BF2484" s="95"/>
    </row>
    <row r="2485" spans="42:58" x14ac:dyDescent="0.35">
      <c r="AP2485" s="93"/>
      <c r="AQ2485" s="31"/>
      <c r="AR2485" s="31"/>
      <c r="AS2485" s="94"/>
      <c r="AT2485" s="31"/>
      <c r="AU2485" s="31"/>
      <c r="AV2485" s="94"/>
      <c r="AW2485" s="32"/>
      <c r="AX2485" s="32"/>
      <c r="AY2485" s="32"/>
      <c r="AZ2485" s="32"/>
      <c r="BA2485" s="32"/>
      <c r="BB2485" s="31"/>
      <c r="BC2485" s="31"/>
      <c r="BD2485" s="31"/>
      <c r="BE2485" s="31"/>
      <c r="BF2485" s="96"/>
    </row>
    <row r="2486" spans="42:58" x14ac:dyDescent="0.35">
      <c r="AP2486" s="92"/>
      <c r="AQ2486" s="67"/>
      <c r="AR2486" s="67"/>
      <c r="AS2486" s="73"/>
      <c r="AT2486" s="67"/>
      <c r="AU2486" s="67"/>
      <c r="AV2486" s="73"/>
      <c r="AW2486" s="68"/>
      <c r="AX2486" s="68"/>
      <c r="AY2486" s="68"/>
      <c r="AZ2486" s="68"/>
      <c r="BA2486" s="68"/>
      <c r="BB2486" s="67"/>
      <c r="BC2486" s="67"/>
      <c r="BD2486" s="67"/>
      <c r="BE2486" s="67"/>
      <c r="BF2486" s="95"/>
    </row>
    <row r="2487" spans="42:58" x14ac:dyDescent="0.35">
      <c r="AP2487" s="93"/>
      <c r="AQ2487" s="31"/>
      <c r="AR2487" s="31"/>
      <c r="AS2487" s="94"/>
      <c r="AT2487" s="31"/>
      <c r="AU2487" s="31"/>
      <c r="AV2487" s="94"/>
      <c r="AW2487" s="32"/>
      <c r="AX2487" s="32"/>
      <c r="AY2487" s="32"/>
      <c r="AZ2487" s="32"/>
      <c r="BA2487" s="32"/>
      <c r="BB2487" s="31"/>
      <c r="BC2487" s="31"/>
      <c r="BD2487" s="31"/>
      <c r="BE2487" s="31"/>
      <c r="BF2487" s="96"/>
    </row>
    <row r="2488" spans="42:58" x14ac:dyDescent="0.35">
      <c r="AP2488" s="92"/>
      <c r="AQ2488" s="67"/>
      <c r="AR2488" s="67"/>
      <c r="AS2488" s="73"/>
      <c r="AT2488" s="67"/>
      <c r="AU2488" s="67"/>
      <c r="AV2488" s="73"/>
      <c r="AW2488" s="68"/>
      <c r="AX2488" s="68"/>
      <c r="AY2488" s="68"/>
      <c r="AZ2488" s="68"/>
      <c r="BA2488" s="68"/>
      <c r="BB2488" s="67"/>
      <c r="BC2488" s="67"/>
      <c r="BD2488" s="67"/>
      <c r="BE2488" s="67"/>
      <c r="BF2488" s="95"/>
    </row>
    <row r="2489" spans="42:58" x14ac:dyDescent="0.35">
      <c r="AP2489" s="93"/>
      <c r="AQ2489" s="31"/>
      <c r="AR2489" s="31"/>
      <c r="AS2489" s="94"/>
      <c r="AT2489" s="31"/>
      <c r="AU2489" s="31"/>
      <c r="AV2489" s="94"/>
      <c r="AW2489" s="32"/>
      <c r="AX2489" s="32"/>
      <c r="AY2489" s="32"/>
      <c r="AZ2489" s="32"/>
      <c r="BA2489" s="32"/>
      <c r="BB2489" s="31"/>
      <c r="BC2489" s="31"/>
      <c r="BD2489" s="31"/>
      <c r="BE2489" s="31"/>
      <c r="BF2489" s="96"/>
    </row>
    <row r="2490" spans="42:58" x14ac:dyDescent="0.35">
      <c r="AP2490" s="92"/>
      <c r="AQ2490" s="67"/>
      <c r="AR2490" s="67"/>
      <c r="AS2490" s="73"/>
      <c r="AT2490" s="67"/>
      <c r="AU2490" s="67"/>
      <c r="AV2490" s="73"/>
      <c r="AW2490" s="68"/>
      <c r="AX2490" s="68"/>
      <c r="AY2490" s="68"/>
      <c r="AZ2490" s="68"/>
      <c r="BA2490" s="68"/>
      <c r="BB2490" s="67"/>
      <c r="BC2490" s="67"/>
      <c r="BD2490" s="67"/>
      <c r="BE2490" s="67"/>
      <c r="BF2490" s="95"/>
    </row>
    <row r="2491" spans="42:58" x14ac:dyDescent="0.35">
      <c r="AP2491" s="93"/>
      <c r="AQ2491" s="31"/>
      <c r="AR2491" s="31"/>
      <c r="AS2491" s="94"/>
      <c r="AT2491" s="31"/>
      <c r="AU2491" s="31"/>
      <c r="AV2491" s="94"/>
      <c r="AW2491" s="32"/>
      <c r="AX2491" s="32"/>
      <c r="AY2491" s="32"/>
      <c r="AZ2491" s="32"/>
      <c r="BA2491" s="32"/>
      <c r="BB2491" s="31"/>
      <c r="BC2491" s="31"/>
      <c r="BD2491" s="31"/>
      <c r="BE2491" s="31"/>
      <c r="BF2491" s="96"/>
    </row>
    <row r="2492" spans="42:58" x14ac:dyDescent="0.35">
      <c r="AP2492" s="92"/>
      <c r="AQ2492" s="67"/>
      <c r="AR2492" s="67"/>
      <c r="AS2492" s="73"/>
      <c r="AT2492" s="67"/>
      <c r="AU2492" s="67"/>
      <c r="AV2492" s="73"/>
      <c r="AW2492" s="68"/>
      <c r="AX2492" s="68"/>
      <c r="AY2492" s="68"/>
      <c r="AZ2492" s="68"/>
      <c r="BA2492" s="68"/>
      <c r="BB2492" s="67"/>
      <c r="BC2492" s="67"/>
      <c r="BD2492" s="67"/>
      <c r="BE2492" s="67"/>
      <c r="BF2492" s="95"/>
    </row>
    <row r="2493" spans="42:58" x14ac:dyDescent="0.35">
      <c r="AP2493" s="93"/>
      <c r="AQ2493" s="31"/>
      <c r="AR2493" s="31"/>
      <c r="AS2493" s="94"/>
      <c r="AT2493" s="31"/>
      <c r="AU2493" s="31"/>
      <c r="AV2493" s="94"/>
      <c r="AW2493" s="32"/>
      <c r="AX2493" s="32"/>
      <c r="AY2493" s="32"/>
      <c r="AZ2493" s="32"/>
      <c r="BA2493" s="32"/>
      <c r="BB2493" s="31"/>
      <c r="BC2493" s="31"/>
      <c r="BD2493" s="31"/>
      <c r="BE2493" s="31"/>
      <c r="BF2493" s="96"/>
    </row>
    <row r="2494" spans="42:58" x14ac:dyDescent="0.35">
      <c r="AP2494" s="92"/>
      <c r="AQ2494" s="67"/>
      <c r="AR2494" s="67"/>
      <c r="AS2494" s="73"/>
      <c r="AT2494" s="67"/>
      <c r="AU2494" s="67"/>
      <c r="AV2494" s="73"/>
      <c r="AW2494" s="68"/>
      <c r="AX2494" s="68"/>
      <c r="AY2494" s="68"/>
      <c r="AZ2494" s="68"/>
      <c r="BA2494" s="68"/>
      <c r="BB2494" s="67"/>
      <c r="BC2494" s="67"/>
      <c r="BD2494" s="67"/>
      <c r="BE2494" s="67"/>
      <c r="BF2494" s="95"/>
    </row>
    <row r="2495" spans="42:58" x14ac:dyDescent="0.35">
      <c r="AP2495" s="93"/>
      <c r="AQ2495" s="31"/>
      <c r="AR2495" s="31"/>
      <c r="AS2495" s="94"/>
      <c r="AT2495" s="31"/>
      <c r="AU2495" s="31"/>
      <c r="AV2495" s="94"/>
      <c r="AW2495" s="32"/>
      <c r="AX2495" s="32"/>
      <c r="AY2495" s="32"/>
      <c r="AZ2495" s="32"/>
      <c r="BA2495" s="32"/>
      <c r="BB2495" s="31"/>
      <c r="BC2495" s="31"/>
      <c r="BD2495" s="31"/>
      <c r="BE2495" s="31"/>
      <c r="BF2495" s="96"/>
    </row>
    <row r="2496" spans="42:58" x14ac:dyDescent="0.35">
      <c r="AP2496" s="92"/>
      <c r="AQ2496" s="67"/>
      <c r="AR2496" s="67"/>
      <c r="AS2496" s="73"/>
      <c r="AT2496" s="67"/>
      <c r="AU2496" s="67"/>
      <c r="AV2496" s="73"/>
      <c r="AW2496" s="68"/>
      <c r="AX2496" s="68"/>
      <c r="AY2496" s="68"/>
      <c r="AZ2496" s="68"/>
      <c r="BA2496" s="68"/>
      <c r="BB2496" s="67"/>
      <c r="BC2496" s="67"/>
      <c r="BD2496" s="67"/>
      <c r="BE2496" s="67"/>
      <c r="BF2496" s="95"/>
    </row>
    <row r="2497" spans="42:58" x14ac:dyDescent="0.35">
      <c r="AP2497" s="93"/>
      <c r="AQ2497" s="31"/>
      <c r="AR2497" s="31"/>
      <c r="AS2497" s="94"/>
      <c r="AT2497" s="31"/>
      <c r="AU2497" s="31"/>
      <c r="AV2497" s="94"/>
      <c r="AW2497" s="32"/>
      <c r="AX2497" s="32"/>
      <c r="AY2497" s="32"/>
      <c r="AZ2497" s="32"/>
      <c r="BA2497" s="32"/>
      <c r="BB2497" s="31"/>
      <c r="BC2497" s="31"/>
      <c r="BD2497" s="31"/>
      <c r="BE2497" s="31"/>
      <c r="BF2497" s="96"/>
    </row>
    <row r="2498" spans="42:58" x14ac:dyDescent="0.35">
      <c r="AP2498" s="92"/>
      <c r="AQ2498" s="67"/>
      <c r="AR2498" s="67"/>
      <c r="AS2498" s="73"/>
      <c r="AT2498" s="67"/>
      <c r="AU2498" s="67"/>
      <c r="AV2498" s="73"/>
      <c r="AW2498" s="68"/>
      <c r="AX2498" s="68"/>
      <c r="AY2498" s="68"/>
      <c r="AZ2498" s="68"/>
      <c r="BA2498" s="68"/>
      <c r="BB2498" s="67"/>
      <c r="BC2498" s="67"/>
      <c r="BD2498" s="67"/>
      <c r="BE2498" s="67"/>
      <c r="BF2498" s="95"/>
    </row>
    <row r="2499" spans="42:58" x14ac:dyDescent="0.35">
      <c r="AP2499" s="93"/>
      <c r="AQ2499" s="31"/>
      <c r="AR2499" s="31"/>
      <c r="AS2499" s="94"/>
      <c r="AT2499" s="31"/>
      <c r="AU2499" s="31"/>
      <c r="AV2499" s="94"/>
      <c r="AW2499" s="32"/>
      <c r="AX2499" s="32"/>
      <c r="AY2499" s="32"/>
      <c r="AZ2499" s="32"/>
      <c r="BA2499" s="32"/>
      <c r="BB2499" s="31"/>
      <c r="BC2499" s="31"/>
      <c r="BD2499" s="31"/>
      <c r="BE2499" s="31"/>
      <c r="BF2499" s="96"/>
    </row>
    <row r="2500" spans="42:58" x14ac:dyDescent="0.35">
      <c r="AP2500" s="92"/>
      <c r="AQ2500" s="67"/>
      <c r="AR2500" s="67"/>
      <c r="AS2500" s="73"/>
      <c r="AT2500" s="67"/>
      <c r="AU2500" s="67"/>
      <c r="AV2500" s="73"/>
      <c r="AW2500" s="68"/>
      <c r="AX2500" s="68"/>
      <c r="AY2500" s="68"/>
      <c r="AZ2500" s="68"/>
      <c r="BA2500" s="68"/>
      <c r="BB2500" s="67"/>
      <c r="BC2500" s="67"/>
      <c r="BD2500" s="67"/>
      <c r="BE2500" s="67"/>
      <c r="BF2500" s="95"/>
    </row>
    <row r="2501" spans="42:58" x14ac:dyDescent="0.35">
      <c r="AP2501" s="93"/>
      <c r="AQ2501" s="31"/>
      <c r="AR2501" s="31"/>
      <c r="AS2501" s="94"/>
      <c r="AT2501" s="31"/>
      <c r="AU2501" s="31"/>
      <c r="AV2501" s="94"/>
      <c r="AW2501" s="32"/>
      <c r="AX2501" s="32"/>
      <c r="AY2501" s="32"/>
      <c r="AZ2501" s="32"/>
      <c r="BA2501" s="32"/>
      <c r="BB2501" s="31"/>
      <c r="BC2501" s="31"/>
      <c r="BD2501" s="31"/>
      <c r="BE2501" s="31"/>
      <c r="BF2501" s="96"/>
    </row>
    <row r="2502" spans="42:58" x14ac:dyDescent="0.35">
      <c r="AP2502" s="92"/>
      <c r="AQ2502" s="67"/>
      <c r="AR2502" s="67"/>
      <c r="AS2502" s="73"/>
      <c r="AT2502" s="67"/>
      <c r="AU2502" s="67"/>
      <c r="AV2502" s="73"/>
      <c r="AW2502" s="68"/>
      <c r="AX2502" s="68"/>
      <c r="AY2502" s="68"/>
      <c r="AZ2502" s="68"/>
      <c r="BA2502" s="68"/>
      <c r="BB2502" s="67"/>
      <c r="BC2502" s="67"/>
      <c r="BD2502" s="67"/>
      <c r="BE2502" s="67"/>
      <c r="BF2502" s="95"/>
    </row>
    <row r="2503" spans="42:58" x14ac:dyDescent="0.35">
      <c r="AP2503" s="93"/>
      <c r="AQ2503" s="31"/>
      <c r="AR2503" s="31"/>
      <c r="AS2503" s="94"/>
      <c r="AT2503" s="31"/>
      <c r="AU2503" s="31"/>
      <c r="AV2503" s="94"/>
      <c r="AW2503" s="32"/>
      <c r="AX2503" s="32"/>
      <c r="AY2503" s="32"/>
      <c r="AZ2503" s="32"/>
      <c r="BA2503" s="32"/>
      <c r="BB2503" s="31"/>
      <c r="BC2503" s="31"/>
      <c r="BD2503" s="31"/>
      <c r="BE2503" s="31"/>
      <c r="BF2503" s="96"/>
    </row>
    <row r="2504" spans="42:58" x14ac:dyDescent="0.35">
      <c r="AP2504" s="92"/>
      <c r="AQ2504" s="67"/>
      <c r="AR2504" s="67"/>
      <c r="AS2504" s="73"/>
      <c r="AT2504" s="67"/>
      <c r="AU2504" s="67"/>
      <c r="AV2504" s="73"/>
      <c r="AW2504" s="68"/>
      <c r="AX2504" s="68"/>
      <c r="AY2504" s="68"/>
      <c r="AZ2504" s="68"/>
      <c r="BA2504" s="68"/>
      <c r="BB2504" s="67"/>
      <c r="BC2504" s="67"/>
      <c r="BD2504" s="67"/>
      <c r="BE2504" s="67"/>
      <c r="BF2504" s="95"/>
    </row>
    <row r="2505" spans="42:58" x14ac:dyDescent="0.35">
      <c r="AP2505" s="93"/>
      <c r="AQ2505" s="31"/>
      <c r="AR2505" s="31"/>
      <c r="AS2505" s="94"/>
      <c r="AT2505" s="31"/>
      <c r="AU2505" s="31"/>
      <c r="AV2505" s="94"/>
      <c r="AW2505" s="32"/>
      <c r="AX2505" s="32"/>
      <c r="AY2505" s="32"/>
      <c r="AZ2505" s="32"/>
      <c r="BA2505" s="32"/>
      <c r="BB2505" s="31"/>
      <c r="BC2505" s="31"/>
      <c r="BD2505" s="31"/>
      <c r="BE2505" s="31"/>
      <c r="BF2505" s="96"/>
    </row>
    <row r="2506" spans="42:58" x14ac:dyDescent="0.35">
      <c r="AP2506" s="92"/>
      <c r="AQ2506" s="67"/>
      <c r="AR2506" s="67"/>
      <c r="AS2506" s="73"/>
      <c r="AT2506" s="67"/>
      <c r="AU2506" s="67"/>
      <c r="AV2506" s="73"/>
      <c r="AW2506" s="68"/>
      <c r="AX2506" s="68"/>
      <c r="AY2506" s="68"/>
      <c r="AZ2506" s="68"/>
      <c r="BA2506" s="68"/>
      <c r="BB2506" s="67"/>
      <c r="BC2506" s="67"/>
      <c r="BD2506" s="67"/>
      <c r="BE2506" s="67"/>
      <c r="BF2506" s="95"/>
    </row>
    <row r="2507" spans="42:58" x14ac:dyDescent="0.35">
      <c r="AP2507" s="93"/>
      <c r="AQ2507" s="31"/>
      <c r="AR2507" s="31"/>
      <c r="AS2507" s="94"/>
      <c r="AT2507" s="31"/>
      <c r="AU2507" s="31"/>
      <c r="AV2507" s="94"/>
      <c r="AW2507" s="32"/>
      <c r="AX2507" s="32"/>
      <c r="AY2507" s="32"/>
      <c r="AZ2507" s="32"/>
      <c r="BA2507" s="32"/>
      <c r="BB2507" s="31"/>
      <c r="BC2507" s="31"/>
      <c r="BD2507" s="31"/>
      <c r="BE2507" s="31"/>
      <c r="BF2507" s="96"/>
    </row>
    <row r="2508" spans="42:58" x14ac:dyDescent="0.35">
      <c r="AP2508" s="92"/>
      <c r="AQ2508" s="67"/>
      <c r="AR2508" s="67"/>
      <c r="AS2508" s="73"/>
      <c r="AT2508" s="67"/>
      <c r="AU2508" s="67"/>
      <c r="AV2508" s="73"/>
      <c r="AW2508" s="68"/>
      <c r="AX2508" s="68"/>
      <c r="AY2508" s="68"/>
      <c r="AZ2508" s="68"/>
      <c r="BA2508" s="68"/>
      <c r="BB2508" s="67"/>
      <c r="BC2508" s="67"/>
      <c r="BD2508" s="67"/>
      <c r="BE2508" s="67"/>
      <c r="BF2508" s="95"/>
    </row>
    <row r="2509" spans="42:58" x14ac:dyDescent="0.35">
      <c r="AP2509" s="93"/>
      <c r="AQ2509" s="31"/>
      <c r="AR2509" s="31"/>
      <c r="AS2509" s="94"/>
      <c r="AT2509" s="31"/>
      <c r="AU2509" s="31"/>
      <c r="AV2509" s="94"/>
      <c r="AW2509" s="32"/>
      <c r="AX2509" s="32"/>
      <c r="AY2509" s="32"/>
      <c r="AZ2509" s="32"/>
      <c r="BA2509" s="32"/>
      <c r="BB2509" s="31"/>
      <c r="BC2509" s="31"/>
      <c r="BD2509" s="31"/>
      <c r="BE2509" s="31"/>
      <c r="BF2509" s="96"/>
    </row>
    <row r="2510" spans="42:58" x14ac:dyDescent="0.35">
      <c r="AP2510" s="92"/>
      <c r="AQ2510" s="67"/>
      <c r="AR2510" s="67"/>
      <c r="AS2510" s="73"/>
      <c r="AT2510" s="67"/>
      <c r="AU2510" s="67"/>
      <c r="AV2510" s="73"/>
      <c r="AW2510" s="68"/>
      <c r="AX2510" s="68"/>
      <c r="AY2510" s="68"/>
      <c r="AZ2510" s="68"/>
      <c r="BA2510" s="68"/>
      <c r="BB2510" s="67"/>
      <c r="BC2510" s="67"/>
      <c r="BD2510" s="67"/>
      <c r="BE2510" s="67"/>
      <c r="BF2510" s="95"/>
    </row>
    <row r="2511" spans="42:58" x14ac:dyDescent="0.35">
      <c r="AP2511" s="93"/>
      <c r="AQ2511" s="31"/>
      <c r="AR2511" s="31"/>
      <c r="AS2511" s="94"/>
      <c r="AT2511" s="31"/>
      <c r="AU2511" s="31"/>
      <c r="AV2511" s="94"/>
      <c r="AW2511" s="32"/>
      <c r="AX2511" s="32"/>
      <c r="AY2511" s="32"/>
      <c r="AZ2511" s="32"/>
      <c r="BA2511" s="32"/>
      <c r="BB2511" s="31"/>
      <c r="BC2511" s="31"/>
      <c r="BD2511" s="31"/>
      <c r="BE2511" s="31"/>
      <c r="BF2511" s="96"/>
    </row>
    <row r="2512" spans="42:58" x14ac:dyDescent="0.35">
      <c r="AP2512" s="92"/>
      <c r="AQ2512" s="67"/>
      <c r="AR2512" s="67"/>
      <c r="AS2512" s="73"/>
      <c r="AT2512" s="67"/>
      <c r="AU2512" s="67"/>
      <c r="AV2512" s="73"/>
      <c r="AW2512" s="68"/>
      <c r="AX2512" s="68"/>
      <c r="AY2512" s="68"/>
      <c r="AZ2512" s="68"/>
      <c r="BA2512" s="68"/>
      <c r="BB2512" s="67"/>
      <c r="BC2512" s="67"/>
      <c r="BD2512" s="67"/>
      <c r="BE2512" s="67"/>
      <c r="BF2512" s="95"/>
    </row>
    <row r="2513" spans="42:58" x14ac:dyDescent="0.35">
      <c r="AP2513" s="93"/>
      <c r="AQ2513" s="31"/>
      <c r="AR2513" s="31"/>
      <c r="AS2513" s="94"/>
      <c r="AT2513" s="31"/>
      <c r="AU2513" s="31"/>
      <c r="AV2513" s="94"/>
      <c r="AW2513" s="32"/>
      <c r="AX2513" s="32"/>
      <c r="AY2513" s="32"/>
      <c r="AZ2513" s="32"/>
      <c r="BA2513" s="32"/>
      <c r="BB2513" s="31"/>
      <c r="BC2513" s="31"/>
      <c r="BD2513" s="31"/>
      <c r="BE2513" s="31"/>
      <c r="BF2513" s="96"/>
    </row>
    <row r="2514" spans="42:58" x14ac:dyDescent="0.35">
      <c r="AP2514" s="92"/>
      <c r="AQ2514" s="67"/>
      <c r="AR2514" s="67"/>
      <c r="AS2514" s="73"/>
      <c r="AT2514" s="67"/>
      <c r="AU2514" s="67"/>
      <c r="AV2514" s="73"/>
      <c r="AW2514" s="68"/>
      <c r="AX2514" s="68"/>
      <c r="AY2514" s="68"/>
      <c r="AZ2514" s="68"/>
      <c r="BA2514" s="68"/>
      <c r="BB2514" s="67"/>
      <c r="BC2514" s="67"/>
      <c r="BD2514" s="67"/>
      <c r="BE2514" s="67"/>
      <c r="BF2514" s="95"/>
    </row>
    <row r="2515" spans="42:58" x14ac:dyDescent="0.35">
      <c r="AP2515" s="93"/>
      <c r="AQ2515" s="31"/>
      <c r="AR2515" s="31"/>
      <c r="AS2515" s="94"/>
      <c r="AT2515" s="31"/>
      <c r="AU2515" s="31"/>
      <c r="AV2515" s="94"/>
      <c r="AW2515" s="32"/>
      <c r="AX2515" s="32"/>
      <c r="AY2515" s="32"/>
      <c r="AZ2515" s="32"/>
      <c r="BA2515" s="32"/>
      <c r="BB2515" s="31"/>
      <c r="BC2515" s="31"/>
      <c r="BD2515" s="31"/>
      <c r="BE2515" s="31"/>
      <c r="BF2515" s="96"/>
    </row>
    <row r="2516" spans="42:58" x14ac:dyDescent="0.35">
      <c r="AP2516" s="92"/>
      <c r="AQ2516" s="67"/>
      <c r="AR2516" s="67"/>
      <c r="AS2516" s="73"/>
      <c r="AT2516" s="67"/>
      <c r="AU2516" s="67"/>
      <c r="AV2516" s="73"/>
      <c r="AW2516" s="68"/>
      <c r="AX2516" s="68"/>
      <c r="AY2516" s="68"/>
      <c r="AZ2516" s="68"/>
      <c r="BA2516" s="68"/>
      <c r="BB2516" s="67"/>
      <c r="BC2516" s="67"/>
      <c r="BD2516" s="67"/>
      <c r="BE2516" s="67"/>
      <c r="BF2516" s="95"/>
    </row>
    <row r="2517" spans="42:58" x14ac:dyDescent="0.35">
      <c r="AP2517" s="93"/>
      <c r="AQ2517" s="31"/>
      <c r="AR2517" s="31"/>
      <c r="AS2517" s="94"/>
      <c r="AT2517" s="31"/>
      <c r="AU2517" s="31"/>
      <c r="AV2517" s="94"/>
      <c r="AW2517" s="32"/>
      <c r="AX2517" s="32"/>
      <c r="AY2517" s="32"/>
      <c r="AZ2517" s="32"/>
      <c r="BA2517" s="32"/>
      <c r="BB2517" s="31"/>
      <c r="BC2517" s="31"/>
      <c r="BD2517" s="31"/>
      <c r="BE2517" s="31"/>
      <c r="BF2517" s="96"/>
    </row>
    <row r="2518" spans="42:58" x14ac:dyDescent="0.35">
      <c r="AP2518" s="92"/>
      <c r="AQ2518" s="67"/>
      <c r="AR2518" s="67"/>
      <c r="AS2518" s="73"/>
      <c r="AT2518" s="67"/>
      <c r="AU2518" s="67"/>
      <c r="AV2518" s="73"/>
      <c r="AW2518" s="68"/>
      <c r="AX2518" s="68"/>
      <c r="AY2518" s="68"/>
      <c r="AZ2518" s="68"/>
      <c r="BA2518" s="68"/>
      <c r="BB2518" s="67"/>
      <c r="BC2518" s="67"/>
      <c r="BD2518" s="67"/>
      <c r="BE2518" s="67"/>
      <c r="BF2518" s="95"/>
    </row>
    <row r="2519" spans="42:58" x14ac:dyDescent="0.35">
      <c r="AP2519" s="93"/>
      <c r="AQ2519" s="31"/>
      <c r="AR2519" s="31"/>
      <c r="AS2519" s="94"/>
      <c r="AT2519" s="31"/>
      <c r="AU2519" s="31"/>
      <c r="AV2519" s="94"/>
      <c r="AW2519" s="32"/>
      <c r="AX2519" s="32"/>
      <c r="AY2519" s="32"/>
      <c r="AZ2519" s="32"/>
      <c r="BA2519" s="32"/>
      <c r="BB2519" s="31"/>
      <c r="BC2519" s="31"/>
      <c r="BD2519" s="31"/>
      <c r="BE2519" s="31"/>
      <c r="BF2519" s="96"/>
    </row>
    <row r="2520" spans="42:58" x14ac:dyDescent="0.35">
      <c r="AP2520" s="92"/>
      <c r="AQ2520" s="67"/>
      <c r="AR2520" s="67"/>
      <c r="AS2520" s="73"/>
      <c r="AT2520" s="67"/>
      <c r="AU2520" s="67"/>
      <c r="AV2520" s="73"/>
      <c r="AW2520" s="68"/>
      <c r="AX2520" s="68"/>
      <c r="AY2520" s="68"/>
      <c r="AZ2520" s="68"/>
      <c r="BA2520" s="68"/>
      <c r="BB2520" s="67"/>
      <c r="BC2520" s="67"/>
      <c r="BD2520" s="67"/>
      <c r="BE2520" s="67"/>
      <c r="BF2520" s="95"/>
    </row>
    <row r="2521" spans="42:58" x14ac:dyDescent="0.35">
      <c r="AP2521" s="93"/>
      <c r="AQ2521" s="31"/>
      <c r="AR2521" s="31"/>
      <c r="AS2521" s="94"/>
      <c r="AT2521" s="31"/>
      <c r="AU2521" s="31"/>
      <c r="AV2521" s="94"/>
      <c r="AW2521" s="32"/>
      <c r="AX2521" s="32"/>
      <c r="AY2521" s="32"/>
      <c r="AZ2521" s="32"/>
      <c r="BA2521" s="32"/>
      <c r="BB2521" s="31"/>
      <c r="BC2521" s="31"/>
      <c r="BD2521" s="31"/>
      <c r="BE2521" s="31"/>
      <c r="BF2521" s="96"/>
    </row>
    <row r="2522" spans="42:58" x14ac:dyDescent="0.35">
      <c r="AP2522" s="92"/>
      <c r="AQ2522" s="67"/>
      <c r="AR2522" s="67"/>
      <c r="AS2522" s="73"/>
      <c r="AT2522" s="67"/>
      <c r="AU2522" s="67"/>
      <c r="AV2522" s="73"/>
      <c r="AW2522" s="68"/>
      <c r="AX2522" s="68"/>
      <c r="AY2522" s="68"/>
      <c r="AZ2522" s="68"/>
      <c r="BA2522" s="68"/>
      <c r="BB2522" s="67"/>
      <c r="BC2522" s="67"/>
      <c r="BD2522" s="67"/>
      <c r="BE2522" s="67"/>
      <c r="BF2522" s="95"/>
    </row>
    <row r="2523" spans="42:58" x14ac:dyDescent="0.35">
      <c r="AP2523" s="93"/>
      <c r="AQ2523" s="31"/>
      <c r="AR2523" s="31"/>
      <c r="AS2523" s="94"/>
      <c r="AT2523" s="31"/>
      <c r="AU2523" s="31"/>
      <c r="AV2523" s="94"/>
      <c r="AW2523" s="32"/>
      <c r="AX2523" s="32"/>
      <c r="AY2523" s="32"/>
      <c r="AZ2523" s="32"/>
      <c r="BA2523" s="32"/>
      <c r="BB2523" s="31"/>
      <c r="BC2523" s="31"/>
      <c r="BD2523" s="31"/>
      <c r="BE2523" s="31"/>
      <c r="BF2523" s="96"/>
    </row>
    <row r="2524" spans="42:58" x14ac:dyDescent="0.35">
      <c r="AP2524" s="92"/>
      <c r="AQ2524" s="67"/>
      <c r="AR2524" s="67"/>
      <c r="AS2524" s="73"/>
      <c r="AT2524" s="67"/>
      <c r="AU2524" s="67"/>
      <c r="AV2524" s="73"/>
      <c r="AW2524" s="68"/>
      <c r="AX2524" s="68"/>
      <c r="AY2524" s="68"/>
      <c r="AZ2524" s="68"/>
      <c r="BA2524" s="68"/>
      <c r="BB2524" s="67"/>
      <c r="BC2524" s="67"/>
      <c r="BD2524" s="67"/>
      <c r="BE2524" s="67"/>
      <c r="BF2524" s="95"/>
    </row>
    <row r="2525" spans="42:58" x14ac:dyDescent="0.35">
      <c r="AP2525" s="93"/>
      <c r="AQ2525" s="31"/>
      <c r="AR2525" s="31"/>
      <c r="AS2525" s="94"/>
      <c r="AT2525" s="31"/>
      <c r="AU2525" s="31"/>
      <c r="AV2525" s="94"/>
      <c r="AW2525" s="32"/>
      <c r="AX2525" s="32"/>
      <c r="AY2525" s="32"/>
      <c r="AZ2525" s="32"/>
      <c r="BA2525" s="32"/>
      <c r="BB2525" s="31"/>
      <c r="BC2525" s="31"/>
      <c r="BD2525" s="31"/>
      <c r="BE2525" s="31"/>
      <c r="BF2525" s="96"/>
    </row>
    <row r="2526" spans="42:58" x14ac:dyDescent="0.35">
      <c r="AP2526" s="92"/>
      <c r="AQ2526" s="67"/>
      <c r="AR2526" s="67"/>
      <c r="AS2526" s="73"/>
      <c r="AT2526" s="67"/>
      <c r="AU2526" s="67"/>
      <c r="AV2526" s="73"/>
      <c r="AW2526" s="68"/>
      <c r="AX2526" s="68"/>
      <c r="AY2526" s="68"/>
      <c r="AZ2526" s="68"/>
      <c r="BA2526" s="68"/>
      <c r="BB2526" s="67"/>
      <c r="BC2526" s="67"/>
      <c r="BD2526" s="67"/>
      <c r="BE2526" s="67"/>
      <c r="BF2526" s="95"/>
    </row>
    <row r="2527" spans="42:58" x14ac:dyDescent="0.35">
      <c r="AP2527" s="93"/>
      <c r="AQ2527" s="31"/>
      <c r="AR2527" s="31"/>
      <c r="AS2527" s="94"/>
      <c r="AT2527" s="31"/>
      <c r="AU2527" s="31"/>
      <c r="AV2527" s="94"/>
      <c r="AW2527" s="32"/>
      <c r="AX2527" s="32"/>
      <c r="AY2527" s="32"/>
      <c r="AZ2527" s="32"/>
      <c r="BA2527" s="32"/>
      <c r="BB2527" s="31"/>
      <c r="BC2527" s="31"/>
      <c r="BD2527" s="31"/>
      <c r="BE2527" s="31"/>
      <c r="BF2527" s="96"/>
    </row>
    <row r="2528" spans="42:58" x14ac:dyDescent="0.35">
      <c r="AP2528" s="92"/>
      <c r="AQ2528" s="67"/>
      <c r="AR2528" s="67"/>
      <c r="AS2528" s="73"/>
      <c r="AT2528" s="67"/>
      <c r="AU2528" s="67"/>
      <c r="AV2528" s="73"/>
      <c r="AW2528" s="68"/>
      <c r="AX2528" s="68"/>
      <c r="AY2528" s="68"/>
      <c r="AZ2528" s="68"/>
      <c r="BA2528" s="68"/>
      <c r="BB2528" s="67"/>
      <c r="BC2528" s="67"/>
      <c r="BD2528" s="67"/>
      <c r="BE2528" s="67"/>
      <c r="BF2528" s="95"/>
    </row>
    <row r="2529" spans="42:58" x14ac:dyDescent="0.35">
      <c r="AP2529" s="93"/>
      <c r="AQ2529" s="31"/>
      <c r="AR2529" s="31"/>
      <c r="AS2529" s="94"/>
      <c r="AT2529" s="31"/>
      <c r="AU2529" s="31"/>
      <c r="AV2529" s="94"/>
      <c r="AW2529" s="32"/>
      <c r="AX2529" s="32"/>
      <c r="AY2529" s="32"/>
      <c r="AZ2529" s="32"/>
      <c r="BA2529" s="32"/>
      <c r="BB2529" s="31"/>
      <c r="BC2529" s="31"/>
      <c r="BD2529" s="31"/>
      <c r="BE2529" s="31"/>
      <c r="BF2529" s="96"/>
    </row>
    <row r="2530" spans="42:58" x14ac:dyDescent="0.35">
      <c r="AP2530" s="92"/>
      <c r="AQ2530" s="67"/>
      <c r="AR2530" s="67"/>
      <c r="AS2530" s="73"/>
      <c r="AT2530" s="67"/>
      <c r="AU2530" s="67"/>
      <c r="AV2530" s="73"/>
      <c r="AW2530" s="68"/>
      <c r="AX2530" s="68"/>
      <c r="AY2530" s="68"/>
      <c r="AZ2530" s="68"/>
      <c r="BA2530" s="68"/>
      <c r="BB2530" s="67"/>
      <c r="BC2530" s="67"/>
      <c r="BD2530" s="67"/>
      <c r="BE2530" s="67"/>
      <c r="BF2530" s="95"/>
    </row>
    <row r="2531" spans="42:58" x14ac:dyDescent="0.35">
      <c r="AP2531" s="93"/>
      <c r="AQ2531" s="31"/>
      <c r="AR2531" s="31"/>
      <c r="AS2531" s="94"/>
      <c r="AT2531" s="31"/>
      <c r="AU2531" s="31"/>
      <c r="AV2531" s="94"/>
      <c r="AW2531" s="32"/>
      <c r="AX2531" s="32"/>
      <c r="AY2531" s="32"/>
      <c r="AZ2531" s="32"/>
      <c r="BA2531" s="32"/>
      <c r="BB2531" s="31"/>
      <c r="BC2531" s="31"/>
      <c r="BD2531" s="31"/>
      <c r="BE2531" s="31"/>
      <c r="BF2531" s="96"/>
    </row>
    <row r="2532" spans="42:58" x14ac:dyDescent="0.35">
      <c r="AP2532" s="92"/>
      <c r="AQ2532" s="67"/>
      <c r="AR2532" s="67"/>
      <c r="AS2532" s="73"/>
      <c r="AT2532" s="67"/>
      <c r="AU2532" s="67"/>
      <c r="AV2532" s="73"/>
      <c r="AW2532" s="68"/>
      <c r="AX2532" s="68"/>
      <c r="AY2532" s="68"/>
      <c r="AZ2532" s="68"/>
      <c r="BA2532" s="68"/>
      <c r="BB2532" s="67"/>
      <c r="BC2532" s="67"/>
      <c r="BD2532" s="67"/>
      <c r="BE2532" s="67"/>
      <c r="BF2532" s="95"/>
    </row>
    <row r="2533" spans="42:58" x14ac:dyDescent="0.35">
      <c r="AP2533" s="93"/>
      <c r="AQ2533" s="31"/>
      <c r="AR2533" s="31"/>
      <c r="AS2533" s="94"/>
      <c r="AT2533" s="31"/>
      <c r="AU2533" s="31"/>
      <c r="AV2533" s="94"/>
      <c r="AW2533" s="32"/>
      <c r="AX2533" s="32"/>
      <c r="AY2533" s="32"/>
      <c r="AZ2533" s="32"/>
      <c r="BA2533" s="32"/>
      <c r="BB2533" s="31"/>
      <c r="BC2533" s="31"/>
      <c r="BD2533" s="31"/>
      <c r="BE2533" s="31"/>
      <c r="BF2533" s="96"/>
    </row>
    <row r="2534" spans="42:58" x14ac:dyDescent="0.35">
      <c r="AP2534" s="92"/>
      <c r="AQ2534" s="67"/>
      <c r="AR2534" s="67"/>
      <c r="AS2534" s="73"/>
      <c r="AT2534" s="67"/>
      <c r="AU2534" s="67"/>
      <c r="AV2534" s="73"/>
      <c r="AW2534" s="68"/>
      <c r="AX2534" s="68"/>
      <c r="AY2534" s="68"/>
      <c r="AZ2534" s="68"/>
      <c r="BA2534" s="68"/>
      <c r="BB2534" s="67"/>
      <c r="BC2534" s="67"/>
      <c r="BD2534" s="67"/>
      <c r="BE2534" s="67"/>
      <c r="BF2534" s="95"/>
    </row>
    <row r="2535" spans="42:58" x14ac:dyDescent="0.35">
      <c r="AP2535" s="93"/>
      <c r="AQ2535" s="31"/>
      <c r="AR2535" s="31"/>
      <c r="AS2535" s="94"/>
      <c r="AT2535" s="31"/>
      <c r="AU2535" s="31"/>
      <c r="AV2535" s="94"/>
      <c r="AW2535" s="32"/>
      <c r="AX2535" s="32"/>
      <c r="AY2535" s="32"/>
      <c r="AZ2535" s="32"/>
      <c r="BA2535" s="32"/>
      <c r="BB2535" s="31"/>
      <c r="BC2535" s="31"/>
      <c r="BD2535" s="31"/>
      <c r="BE2535" s="31"/>
      <c r="BF2535" s="96"/>
    </row>
    <row r="2536" spans="42:58" x14ac:dyDescent="0.35">
      <c r="AP2536" s="92"/>
      <c r="AQ2536" s="67"/>
      <c r="AR2536" s="67"/>
      <c r="AS2536" s="73"/>
      <c r="AT2536" s="67"/>
      <c r="AU2536" s="67"/>
      <c r="AV2536" s="73"/>
      <c r="AW2536" s="68"/>
      <c r="AX2536" s="68"/>
      <c r="AY2536" s="68"/>
      <c r="AZ2536" s="68"/>
      <c r="BA2536" s="68"/>
      <c r="BB2536" s="67"/>
      <c r="BC2536" s="67"/>
      <c r="BD2536" s="67"/>
      <c r="BE2536" s="67"/>
      <c r="BF2536" s="95"/>
    </row>
    <row r="2537" spans="42:58" x14ac:dyDescent="0.35">
      <c r="AP2537" s="93"/>
      <c r="AQ2537" s="31"/>
      <c r="AR2537" s="31"/>
      <c r="AS2537" s="94"/>
      <c r="AT2537" s="31"/>
      <c r="AU2537" s="31"/>
      <c r="AV2537" s="94"/>
      <c r="AW2537" s="32"/>
      <c r="AX2537" s="32"/>
      <c r="AY2537" s="32"/>
      <c r="AZ2537" s="32"/>
      <c r="BA2537" s="32"/>
      <c r="BB2537" s="31"/>
      <c r="BC2537" s="31"/>
      <c r="BD2537" s="31"/>
      <c r="BE2537" s="31"/>
      <c r="BF2537" s="96"/>
    </row>
    <row r="2538" spans="42:58" x14ac:dyDescent="0.35">
      <c r="AP2538" s="92"/>
      <c r="AQ2538" s="67"/>
      <c r="AR2538" s="67"/>
      <c r="AS2538" s="73"/>
      <c r="AT2538" s="67"/>
      <c r="AU2538" s="67"/>
      <c r="AV2538" s="73"/>
      <c r="AW2538" s="68"/>
      <c r="AX2538" s="68"/>
      <c r="AY2538" s="68"/>
      <c r="AZ2538" s="68"/>
      <c r="BA2538" s="68"/>
      <c r="BB2538" s="67"/>
      <c r="BC2538" s="67"/>
      <c r="BD2538" s="67"/>
      <c r="BE2538" s="67"/>
      <c r="BF2538" s="95"/>
    </row>
    <row r="2539" spans="42:58" x14ac:dyDescent="0.35">
      <c r="AP2539" s="93"/>
      <c r="AQ2539" s="31"/>
      <c r="AR2539" s="31"/>
      <c r="AS2539" s="94"/>
      <c r="AT2539" s="31"/>
      <c r="AU2539" s="31"/>
      <c r="AV2539" s="94"/>
      <c r="AW2539" s="32"/>
      <c r="AX2539" s="32"/>
      <c r="AY2539" s="32"/>
      <c r="AZ2539" s="32"/>
      <c r="BA2539" s="32"/>
      <c r="BB2539" s="31"/>
      <c r="BC2539" s="31"/>
      <c r="BD2539" s="31"/>
      <c r="BE2539" s="31"/>
      <c r="BF2539" s="96"/>
    </row>
    <row r="2540" spans="42:58" x14ac:dyDescent="0.35">
      <c r="AP2540" s="92"/>
      <c r="AQ2540" s="67"/>
      <c r="AR2540" s="67"/>
      <c r="AS2540" s="73"/>
      <c r="AT2540" s="67"/>
      <c r="AU2540" s="67"/>
      <c r="AV2540" s="73"/>
      <c r="AW2540" s="68"/>
      <c r="AX2540" s="68"/>
      <c r="AY2540" s="68"/>
      <c r="AZ2540" s="68"/>
      <c r="BA2540" s="68"/>
      <c r="BB2540" s="67"/>
      <c r="BC2540" s="67"/>
      <c r="BD2540" s="67"/>
      <c r="BE2540" s="67"/>
      <c r="BF2540" s="95"/>
    </row>
    <row r="2541" spans="42:58" x14ac:dyDescent="0.35">
      <c r="AP2541" s="93"/>
      <c r="AQ2541" s="31"/>
      <c r="AR2541" s="31"/>
      <c r="AS2541" s="94"/>
      <c r="AT2541" s="31"/>
      <c r="AU2541" s="31"/>
      <c r="AV2541" s="94"/>
      <c r="AW2541" s="32"/>
      <c r="AX2541" s="32"/>
      <c r="AY2541" s="32"/>
      <c r="AZ2541" s="32"/>
      <c r="BA2541" s="32"/>
      <c r="BB2541" s="31"/>
      <c r="BC2541" s="31"/>
      <c r="BD2541" s="31"/>
      <c r="BE2541" s="31"/>
      <c r="BF2541" s="96"/>
    </row>
    <row r="2542" spans="42:58" x14ac:dyDescent="0.35">
      <c r="AP2542" s="92"/>
      <c r="AQ2542" s="67"/>
      <c r="AR2542" s="67"/>
      <c r="AS2542" s="73"/>
      <c r="AT2542" s="67"/>
      <c r="AU2542" s="67"/>
      <c r="AV2542" s="73"/>
      <c r="AW2542" s="68"/>
      <c r="AX2542" s="68"/>
      <c r="AY2542" s="68"/>
      <c r="AZ2542" s="68"/>
      <c r="BA2542" s="68"/>
      <c r="BB2542" s="67"/>
      <c r="BC2542" s="67"/>
      <c r="BD2542" s="67"/>
      <c r="BE2542" s="67"/>
      <c r="BF2542" s="95"/>
    </row>
    <row r="2543" spans="42:58" x14ac:dyDescent="0.35">
      <c r="AP2543" s="93"/>
      <c r="AQ2543" s="31"/>
      <c r="AR2543" s="31"/>
      <c r="AS2543" s="94"/>
      <c r="AT2543" s="31"/>
      <c r="AU2543" s="31"/>
      <c r="AV2543" s="94"/>
      <c r="AW2543" s="32"/>
      <c r="AX2543" s="32"/>
      <c r="AY2543" s="32"/>
      <c r="AZ2543" s="32"/>
      <c r="BA2543" s="32"/>
      <c r="BB2543" s="31"/>
      <c r="BC2543" s="31"/>
      <c r="BD2543" s="31"/>
      <c r="BE2543" s="31"/>
      <c r="BF2543" s="96"/>
    </row>
    <row r="2544" spans="42:58" x14ac:dyDescent="0.35">
      <c r="AP2544" s="92"/>
      <c r="AQ2544" s="67"/>
      <c r="AR2544" s="67"/>
      <c r="AS2544" s="73"/>
      <c r="AT2544" s="67"/>
      <c r="AU2544" s="67"/>
      <c r="AV2544" s="73"/>
      <c r="AW2544" s="68"/>
      <c r="AX2544" s="68"/>
      <c r="AY2544" s="68"/>
      <c r="AZ2544" s="68"/>
      <c r="BA2544" s="68"/>
      <c r="BB2544" s="67"/>
      <c r="BC2544" s="67"/>
      <c r="BD2544" s="67"/>
      <c r="BE2544" s="67"/>
      <c r="BF2544" s="95"/>
    </row>
    <row r="2545" spans="42:58" x14ac:dyDescent="0.35">
      <c r="AP2545" s="93"/>
      <c r="AQ2545" s="31"/>
      <c r="AR2545" s="31"/>
      <c r="AS2545" s="94"/>
      <c r="AT2545" s="31"/>
      <c r="AU2545" s="31"/>
      <c r="AV2545" s="94"/>
      <c r="AW2545" s="32"/>
      <c r="AX2545" s="32"/>
      <c r="AY2545" s="32"/>
      <c r="AZ2545" s="32"/>
      <c r="BA2545" s="32"/>
      <c r="BB2545" s="31"/>
      <c r="BC2545" s="31"/>
      <c r="BD2545" s="31"/>
      <c r="BE2545" s="31"/>
      <c r="BF2545" s="96"/>
    </row>
    <row r="2546" spans="42:58" x14ac:dyDescent="0.35">
      <c r="AP2546" s="92"/>
      <c r="AQ2546" s="67"/>
      <c r="AR2546" s="67"/>
      <c r="AS2546" s="73"/>
      <c r="AT2546" s="67"/>
      <c r="AU2546" s="67"/>
      <c r="AV2546" s="73"/>
      <c r="AW2546" s="68"/>
      <c r="AX2546" s="68"/>
      <c r="AY2546" s="68"/>
      <c r="AZ2546" s="68"/>
      <c r="BA2546" s="68"/>
      <c r="BB2546" s="67"/>
      <c r="BC2546" s="67"/>
      <c r="BD2546" s="67"/>
      <c r="BE2546" s="67"/>
      <c r="BF2546" s="95"/>
    </row>
    <row r="2547" spans="42:58" x14ac:dyDescent="0.35">
      <c r="AP2547" s="93"/>
      <c r="AQ2547" s="31"/>
      <c r="AR2547" s="31"/>
      <c r="AS2547" s="94"/>
      <c r="AT2547" s="31"/>
      <c r="AU2547" s="31"/>
      <c r="AV2547" s="94"/>
      <c r="AW2547" s="32"/>
      <c r="AX2547" s="32"/>
      <c r="AY2547" s="32"/>
      <c r="AZ2547" s="32"/>
      <c r="BA2547" s="32"/>
      <c r="BB2547" s="31"/>
      <c r="BC2547" s="31"/>
      <c r="BD2547" s="31"/>
      <c r="BE2547" s="31"/>
      <c r="BF2547" s="96"/>
    </row>
    <row r="2548" spans="42:58" x14ac:dyDescent="0.35">
      <c r="AP2548" s="92"/>
      <c r="AQ2548" s="67"/>
      <c r="AR2548" s="67"/>
      <c r="AS2548" s="73"/>
      <c r="AT2548" s="67"/>
      <c r="AU2548" s="67"/>
      <c r="AV2548" s="73"/>
      <c r="AW2548" s="68"/>
      <c r="AX2548" s="68"/>
      <c r="AY2548" s="68"/>
      <c r="AZ2548" s="68"/>
      <c r="BA2548" s="68"/>
      <c r="BB2548" s="67"/>
      <c r="BC2548" s="67"/>
      <c r="BD2548" s="67"/>
      <c r="BE2548" s="67"/>
      <c r="BF2548" s="95"/>
    </row>
    <row r="2549" spans="42:58" x14ac:dyDescent="0.35">
      <c r="AP2549" s="93"/>
      <c r="AQ2549" s="31"/>
      <c r="AR2549" s="31"/>
      <c r="AS2549" s="94"/>
      <c r="AT2549" s="31"/>
      <c r="AU2549" s="31"/>
      <c r="AV2549" s="94"/>
      <c r="AW2549" s="32"/>
      <c r="AX2549" s="32"/>
      <c r="AY2549" s="32"/>
      <c r="AZ2549" s="32"/>
      <c r="BA2549" s="32"/>
      <c r="BB2549" s="31"/>
      <c r="BC2549" s="31"/>
      <c r="BD2549" s="31"/>
      <c r="BE2549" s="31"/>
      <c r="BF2549" s="96"/>
    </row>
    <row r="2550" spans="42:58" x14ac:dyDescent="0.35">
      <c r="AP2550" s="92"/>
      <c r="AQ2550" s="67"/>
      <c r="AR2550" s="67"/>
      <c r="AS2550" s="73"/>
      <c r="AT2550" s="67"/>
      <c r="AU2550" s="67"/>
      <c r="AV2550" s="73"/>
      <c r="AW2550" s="68"/>
      <c r="AX2550" s="68"/>
      <c r="AY2550" s="68"/>
      <c r="AZ2550" s="68"/>
      <c r="BA2550" s="68"/>
      <c r="BB2550" s="67"/>
      <c r="BC2550" s="67"/>
      <c r="BD2550" s="67"/>
      <c r="BE2550" s="67"/>
      <c r="BF2550" s="95"/>
    </row>
    <row r="2551" spans="42:58" x14ac:dyDescent="0.35">
      <c r="AP2551" s="93"/>
      <c r="AQ2551" s="31"/>
      <c r="AR2551" s="31"/>
      <c r="AS2551" s="94"/>
      <c r="AT2551" s="31"/>
      <c r="AU2551" s="31"/>
      <c r="AV2551" s="94"/>
      <c r="AW2551" s="32"/>
      <c r="AX2551" s="32"/>
      <c r="AY2551" s="32"/>
      <c r="AZ2551" s="32"/>
      <c r="BA2551" s="32"/>
      <c r="BB2551" s="31"/>
      <c r="BC2551" s="31"/>
      <c r="BD2551" s="31"/>
      <c r="BE2551" s="31"/>
      <c r="BF2551" s="96"/>
    </row>
    <row r="2552" spans="42:58" x14ac:dyDescent="0.35">
      <c r="AP2552" s="92"/>
      <c r="AQ2552" s="67"/>
      <c r="AR2552" s="67"/>
      <c r="AS2552" s="73"/>
      <c r="AT2552" s="67"/>
      <c r="AU2552" s="67"/>
      <c r="AV2552" s="73"/>
      <c r="AW2552" s="68"/>
      <c r="AX2552" s="68"/>
      <c r="AY2552" s="68"/>
      <c r="AZ2552" s="68"/>
      <c r="BA2552" s="68"/>
      <c r="BB2552" s="67"/>
      <c r="BC2552" s="67"/>
      <c r="BD2552" s="67"/>
      <c r="BE2552" s="67"/>
      <c r="BF2552" s="95"/>
    </row>
    <row r="2553" spans="42:58" x14ac:dyDescent="0.35">
      <c r="AP2553" s="93"/>
      <c r="AQ2553" s="31"/>
      <c r="AR2553" s="31"/>
      <c r="AS2553" s="94"/>
      <c r="AT2553" s="31"/>
      <c r="AU2553" s="31"/>
      <c r="AV2553" s="94"/>
      <c r="AW2553" s="32"/>
      <c r="AX2553" s="32"/>
      <c r="AY2553" s="32"/>
      <c r="AZ2553" s="32"/>
      <c r="BA2553" s="32"/>
      <c r="BB2553" s="31"/>
      <c r="BC2553" s="31"/>
      <c r="BD2553" s="31"/>
      <c r="BE2553" s="31"/>
      <c r="BF2553" s="96"/>
    </row>
    <row r="2554" spans="42:58" x14ac:dyDescent="0.35">
      <c r="AP2554" s="92"/>
      <c r="AQ2554" s="67"/>
      <c r="AR2554" s="67"/>
      <c r="AS2554" s="73"/>
      <c r="AT2554" s="67"/>
      <c r="AU2554" s="67"/>
      <c r="AV2554" s="73"/>
      <c r="AW2554" s="68"/>
      <c r="AX2554" s="68"/>
      <c r="AY2554" s="68"/>
      <c r="AZ2554" s="68"/>
      <c r="BA2554" s="68"/>
      <c r="BB2554" s="67"/>
      <c r="BC2554" s="67"/>
      <c r="BD2554" s="67"/>
      <c r="BE2554" s="67"/>
      <c r="BF2554" s="95"/>
    </row>
    <row r="2555" spans="42:58" x14ac:dyDescent="0.35">
      <c r="AP2555" s="93"/>
      <c r="AQ2555" s="31"/>
      <c r="AR2555" s="31"/>
      <c r="AS2555" s="94"/>
      <c r="AT2555" s="31"/>
      <c r="AU2555" s="31"/>
      <c r="AV2555" s="94"/>
      <c r="AW2555" s="32"/>
      <c r="AX2555" s="32"/>
      <c r="AY2555" s="32"/>
      <c r="AZ2555" s="32"/>
      <c r="BA2555" s="32"/>
      <c r="BB2555" s="31"/>
      <c r="BC2555" s="31"/>
      <c r="BD2555" s="31"/>
      <c r="BE2555" s="31"/>
      <c r="BF2555" s="96"/>
    </row>
    <row r="2556" spans="42:58" x14ac:dyDescent="0.35">
      <c r="AP2556" s="92"/>
      <c r="AQ2556" s="67"/>
      <c r="AR2556" s="67"/>
      <c r="AS2556" s="73"/>
      <c r="AT2556" s="67"/>
      <c r="AU2556" s="67"/>
      <c r="AV2556" s="73"/>
      <c r="AW2556" s="68"/>
      <c r="AX2556" s="68"/>
      <c r="AY2556" s="68"/>
      <c r="AZ2556" s="68"/>
      <c r="BA2556" s="68"/>
      <c r="BB2556" s="67"/>
      <c r="BC2556" s="67"/>
      <c r="BD2556" s="67"/>
      <c r="BE2556" s="67"/>
      <c r="BF2556" s="95"/>
    </row>
    <row r="2557" spans="42:58" x14ac:dyDescent="0.35">
      <c r="AP2557" s="93"/>
      <c r="AQ2557" s="31"/>
      <c r="AR2557" s="31"/>
      <c r="AS2557" s="94"/>
      <c r="AT2557" s="31"/>
      <c r="AU2557" s="31"/>
      <c r="AV2557" s="94"/>
      <c r="AW2557" s="32"/>
      <c r="AX2557" s="32"/>
      <c r="AY2557" s="32"/>
      <c r="AZ2557" s="32"/>
      <c r="BA2557" s="32"/>
      <c r="BB2557" s="31"/>
      <c r="BC2557" s="31"/>
      <c r="BD2557" s="31"/>
      <c r="BE2557" s="31"/>
      <c r="BF2557" s="96"/>
    </row>
    <row r="2558" spans="42:58" x14ac:dyDescent="0.35">
      <c r="AP2558" s="92"/>
      <c r="AQ2558" s="67"/>
      <c r="AR2558" s="67"/>
      <c r="AS2558" s="73"/>
      <c r="AT2558" s="67"/>
      <c r="AU2558" s="67"/>
      <c r="AV2558" s="73"/>
      <c r="AW2558" s="68"/>
      <c r="AX2558" s="68"/>
      <c r="AY2558" s="68"/>
      <c r="AZ2558" s="68"/>
      <c r="BA2558" s="68"/>
      <c r="BB2558" s="67"/>
      <c r="BC2558" s="67"/>
      <c r="BD2558" s="67"/>
      <c r="BE2558" s="67"/>
      <c r="BF2558" s="95"/>
    </row>
    <row r="2559" spans="42:58" x14ac:dyDescent="0.35">
      <c r="AP2559" s="93"/>
      <c r="AQ2559" s="31"/>
      <c r="AR2559" s="31"/>
      <c r="AS2559" s="94"/>
      <c r="AT2559" s="31"/>
      <c r="AU2559" s="31"/>
      <c r="AV2559" s="94"/>
      <c r="AW2559" s="32"/>
      <c r="AX2559" s="32"/>
      <c r="AY2559" s="32"/>
      <c r="AZ2559" s="32"/>
      <c r="BA2559" s="32"/>
      <c r="BB2559" s="31"/>
      <c r="BC2559" s="31"/>
      <c r="BD2559" s="31"/>
      <c r="BE2559" s="31"/>
      <c r="BF2559" s="96"/>
    </row>
    <row r="2560" spans="42:58" x14ac:dyDescent="0.35">
      <c r="AP2560" s="92"/>
      <c r="AQ2560" s="67"/>
      <c r="AR2560" s="67"/>
      <c r="AS2560" s="73"/>
      <c r="AT2560" s="67"/>
      <c r="AU2560" s="67"/>
      <c r="AV2560" s="73"/>
      <c r="AW2560" s="68"/>
      <c r="AX2560" s="68"/>
      <c r="AY2560" s="68"/>
      <c r="AZ2560" s="68"/>
      <c r="BA2560" s="68"/>
      <c r="BB2560" s="67"/>
      <c r="BC2560" s="67"/>
      <c r="BD2560" s="67"/>
      <c r="BE2560" s="67"/>
      <c r="BF2560" s="95"/>
    </row>
    <row r="2561" spans="42:58" x14ac:dyDescent="0.35">
      <c r="AP2561" s="93"/>
      <c r="AQ2561" s="31"/>
      <c r="AR2561" s="31"/>
      <c r="AS2561" s="94"/>
      <c r="AT2561" s="31"/>
      <c r="AU2561" s="31"/>
      <c r="AV2561" s="94"/>
      <c r="AW2561" s="32"/>
      <c r="AX2561" s="32"/>
      <c r="AY2561" s="32"/>
      <c r="AZ2561" s="32"/>
      <c r="BA2561" s="32"/>
      <c r="BB2561" s="31"/>
      <c r="BC2561" s="31"/>
      <c r="BD2561" s="31"/>
      <c r="BE2561" s="31"/>
      <c r="BF2561" s="96"/>
    </row>
    <row r="2562" spans="42:58" x14ac:dyDescent="0.35">
      <c r="AP2562" s="92"/>
      <c r="AQ2562" s="67"/>
      <c r="AR2562" s="67"/>
      <c r="AS2562" s="73"/>
      <c r="AT2562" s="67"/>
      <c r="AU2562" s="67"/>
      <c r="AV2562" s="73"/>
      <c r="AW2562" s="68"/>
      <c r="AX2562" s="68"/>
      <c r="AY2562" s="68"/>
      <c r="AZ2562" s="68"/>
      <c r="BA2562" s="68"/>
      <c r="BB2562" s="67"/>
      <c r="BC2562" s="67"/>
      <c r="BD2562" s="67"/>
      <c r="BE2562" s="67"/>
      <c r="BF2562" s="95"/>
    </row>
    <row r="2563" spans="42:58" x14ac:dyDescent="0.35">
      <c r="AP2563" s="93"/>
      <c r="AQ2563" s="31"/>
      <c r="AR2563" s="31"/>
      <c r="AS2563" s="94"/>
      <c r="AT2563" s="31"/>
      <c r="AU2563" s="31"/>
      <c r="AV2563" s="94"/>
      <c r="AW2563" s="32"/>
      <c r="AX2563" s="32"/>
      <c r="AY2563" s="32"/>
      <c r="AZ2563" s="32"/>
      <c r="BA2563" s="32"/>
      <c r="BB2563" s="31"/>
      <c r="BC2563" s="31"/>
      <c r="BD2563" s="31"/>
      <c r="BE2563" s="31"/>
      <c r="BF2563" s="96"/>
    </row>
    <row r="2564" spans="42:58" x14ac:dyDescent="0.35">
      <c r="AP2564" s="92"/>
      <c r="AQ2564" s="67"/>
      <c r="AR2564" s="67"/>
      <c r="AS2564" s="73"/>
      <c r="AT2564" s="67"/>
      <c r="AU2564" s="67"/>
      <c r="AV2564" s="73"/>
      <c r="AW2564" s="68"/>
      <c r="AX2564" s="68"/>
      <c r="AY2564" s="68"/>
      <c r="AZ2564" s="68"/>
      <c r="BA2564" s="68"/>
      <c r="BB2564" s="67"/>
      <c r="BC2564" s="67"/>
      <c r="BD2564" s="67"/>
      <c r="BE2564" s="67"/>
      <c r="BF2564" s="95"/>
    </row>
    <row r="2565" spans="42:58" x14ac:dyDescent="0.35">
      <c r="AP2565" s="93"/>
      <c r="AQ2565" s="31"/>
      <c r="AR2565" s="31"/>
      <c r="AS2565" s="94"/>
      <c r="AT2565" s="31"/>
      <c r="AU2565" s="31"/>
      <c r="AV2565" s="94"/>
      <c r="AW2565" s="32"/>
      <c r="AX2565" s="32"/>
      <c r="AY2565" s="32"/>
      <c r="AZ2565" s="32"/>
      <c r="BA2565" s="32"/>
      <c r="BB2565" s="31"/>
      <c r="BC2565" s="31"/>
      <c r="BD2565" s="31"/>
      <c r="BE2565" s="31"/>
      <c r="BF2565" s="96"/>
    </row>
    <row r="2566" spans="42:58" x14ac:dyDescent="0.35">
      <c r="AP2566" s="92"/>
      <c r="AQ2566" s="67"/>
      <c r="AR2566" s="67"/>
      <c r="AS2566" s="73"/>
      <c r="AT2566" s="67"/>
      <c r="AU2566" s="67"/>
      <c r="AV2566" s="73"/>
      <c r="AW2566" s="68"/>
      <c r="AX2566" s="68"/>
      <c r="AY2566" s="68"/>
      <c r="AZ2566" s="68"/>
      <c r="BA2566" s="68"/>
      <c r="BB2566" s="67"/>
      <c r="BC2566" s="67"/>
      <c r="BD2566" s="67"/>
      <c r="BE2566" s="67"/>
      <c r="BF2566" s="95"/>
    </row>
    <row r="2567" spans="42:58" x14ac:dyDescent="0.35">
      <c r="AP2567" s="93"/>
      <c r="AQ2567" s="31"/>
      <c r="AR2567" s="31"/>
      <c r="AS2567" s="94"/>
      <c r="AT2567" s="31"/>
      <c r="AU2567" s="31"/>
      <c r="AV2567" s="94"/>
      <c r="AW2567" s="32"/>
      <c r="AX2567" s="32"/>
      <c r="AY2567" s="32"/>
      <c r="AZ2567" s="32"/>
      <c r="BA2567" s="32"/>
      <c r="BB2567" s="31"/>
      <c r="BC2567" s="31"/>
      <c r="BD2567" s="31"/>
      <c r="BE2567" s="31"/>
      <c r="BF2567" s="96"/>
    </row>
    <row r="2568" spans="42:58" x14ac:dyDescent="0.35">
      <c r="AP2568" s="92"/>
      <c r="AQ2568" s="67"/>
      <c r="AR2568" s="67"/>
      <c r="AS2568" s="73"/>
      <c r="AT2568" s="67"/>
      <c r="AU2568" s="67"/>
      <c r="AV2568" s="73"/>
      <c r="AW2568" s="68"/>
      <c r="AX2568" s="68"/>
      <c r="AY2568" s="68"/>
      <c r="AZ2568" s="68"/>
      <c r="BA2568" s="68"/>
      <c r="BB2568" s="67"/>
      <c r="BC2568" s="67"/>
      <c r="BD2568" s="67"/>
      <c r="BE2568" s="67"/>
      <c r="BF2568" s="95"/>
    </row>
    <row r="2569" spans="42:58" x14ac:dyDescent="0.35">
      <c r="AP2569" s="93"/>
      <c r="AQ2569" s="31"/>
      <c r="AR2569" s="31"/>
      <c r="AS2569" s="94"/>
      <c r="AT2569" s="31"/>
      <c r="AU2569" s="31"/>
      <c r="AV2569" s="94"/>
      <c r="AW2569" s="32"/>
      <c r="AX2569" s="32"/>
      <c r="AY2569" s="32"/>
      <c r="AZ2569" s="32"/>
      <c r="BA2569" s="32"/>
      <c r="BB2569" s="31"/>
      <c r="BC2569" s="31"/>
      <c r="BD2569" s="31"/>
      <c r="BE2569" s="31"/>
      <c r="BF2569" s="96"/>
    </row>
    <row r="2570" spans="42:58" x14ac:dyDescent="0.35">
      <c r="AP2570" s="92"/>
      <c r="AQ2570" s="67"/>
      <c r="AR2570" s="67"/>
      <c r="AS2570" s="73"/>
      <c r="AT2570" s="67"/>
      <c r="AU2570" s="67"/>
      <c r="AV2570" s="73"/>
      <c r="AW2570" s="68"/>
      <c r="AX2570" s="68"/>
      <c r="AY2570" s="68"/>
      <c r="AZ2570" s="68"/>
      <c r="BA2570" s="68"/>
      <c r="BB2570" s="67"/>
      <c r="BC2570" s="67"/>
      <c r="BD2570" s="67"/>
      <c r="BE2570" s="67"/>
      <c r="BF2570" s="95"/>
    </row>
    <row r="2571" spans="42:58" x14ac:dyDescent="0.35">
      <c r="AP2571" s="93"/>
      <c r="AQ2571" s="31"/>
      <c r="AR2571" s="31"/>
      <c r="AS2571" s="94"/>
      <c r="AT2571" s="31"/>
      <c r="AU2571" s="31"/>
      <c r="AV2571" s="94"/>
      <c r="AW2571" s="32"/>
      <c r="AX2571" s="32"/>
      <c r="AY2571" s="32"/>
      <c r="AZ2571" s="32"/>
      <c r="BA2571" s="32"/>
      <c r="BB2571" s="31"/>
      <c r="BC2571" s="31"/>
      <c r="BD2571" s="31"/>
      <c r="BE2571" s="31"/>
      <c r="BF2571" s="96"/>
    </row>
    <row r="2572" spans="42:58" x14ac:dyDescent="0.35">
      <c r="AP2572" s="92"/>
      <c r="AQ2572" s="67"/>
      <c r="AR2572" s="67"/>
      <c r="AS2572" s="73"/>
      <c r="AT2572" s="67"/>
      <c r="AU2572" s="67"/>
      <c r="AV2572" s="73"/>
      <c r="AW2572" s="68"/>
      <c r="AX2572" s="68"/>
      <c r="AY2572" s="68"/>
      <c r="AZ2572" s="68"/>
      <c r="BA2572" s="68"/>
      <c r="BB2572" s="67"/>
      <c r="BC2572" s="67"/>
      <c r="BD2572" s="67"/>
      <c r="BE2572" s="67"/>
      <c r="BF2572" s="95"/>
    </row>
    <row r="2573" spans="42:58" x14ac:dyDescent="0.35">
      <c r="AP2573" s="93"/>
      <c r="AQ2573" s="31"/>
      <c r="AR2573" s="31"/>
      <c r="AS2573" s="94"/>
      <c r="AT2573" s="31"/>
      <c r="AU2573" s="31"/>
      <c r="AV2573" s="94"/>
      <c r="AW2573" s="32"/>
      <c r="AX2573" s="32"/>
      <c r="AY2573" s="32"/>
      <c r="AZ2573" s="32"/>
      <c r="BA2573" s="32"/>
      <c r="BB2573" s="31"/>
      <c r="BC2573" s="31"/>
      <c r="BD2573" s="31"/>
      <c r="BE2573" s="31"/>
      <c r="BF2573" s="96"/>
    </row>
    <row r="2574" spans="42:58" x14ac:dyDescent="0.35">
      <c r="AP2574" s="92"/>
      <c r="AQ2574" s="67"/>
      <c r="AR2574" s="67"/>
      <c r="AS2574" s="73"/>
      <c r="AT2574" s="67"/>
      <c r="AU2574" s="67"/>
      <c r="AV2574" s="73"/>
      <c r="AW2574" s="68"/>
      <c r="AX2574" s="68"/>
      <c r="AY2574" s="68"/>
      <c r="AZ2574" s="68"/>
      <c r="BA2574" s="68"/>
      <c r="BB2574" s="67"/>
      <c r="BC2574" s="67"/>
      <c r="BD2574" s="67"/>
      <c r="BE2574" s="67"/>
      <c r="BF2574" s="95"/>
    </row>
    <row r="2575" spans="42:58" x14ac:dyDescent="0.35">
      <c r="AP2575" s="93"/>
      <c r="AQ2575" s="31"/>
      <c r="AR2575" s="31"/>
      <c r="AS2575" s="94"/>
      <c r="AT2575" s="31"/>
      <c r="AU2575" s="31"/>
      <c r="AV2575" s="94"/>
      <c r="AW2575" s="32"/>
      <c r="AX2575" s="32"/>
      <c r="AY2575" s="32"/>
      <c r="AZ2575" s="32"/>
      <c r="BA2575" s="32"/>
      <c r="BB2575" s="31"/>
      <c r="BC2575" s="31"/>
      <c r="BD2575" s="31"/>
      <c r="BE2575" s="31"/>
      <c r="BF2575" s="96"/>
    </row>
    <row r="2576" spans="42:58" x14ac:dyDescent="0.35">
      <c r="AP2576" s="92"/>
      <c r="AQ2576" s="67"/>
      <c r="AR2576" s="67"/>
      <c r="AS2576" s="73"/>
      <c r="AT2576" s="67"/>
      <c r="AU2576" s="67"/>
      <c r="AV2576" s="73"/>
      <c r="AW2576" s="68"/>
      <c r="AX2576" s="68"/>
      <c r="AY2576" s="68"/>
      <c r="AZ2576" s="68"/>
      <c r="BA2576" s="68"/>
      <c r="BB2576" s="67"/>
      <c r="BC2576" s="67"/>
      <c r="BD2576" s="67"/>
      <c r="BE2576" s="67"/>
      <c r="BF2576" s="95"/>
    </row>
    <row r="2577" spans="42:58" x14ac:dyDescent="0.35">
      <c r="AP2577" s="93"/>
      <c r="AQ2577" s="31"/>
      <c r="AR2577" s="31"/>
      <c r="AS2577" s="94"/>
      <c r="AT2577" s="31"/>
      <c r="AU2577" s="31"/>
      <c r="AV2577" s="94"/>
      <c r="AW2577" s="32"/>
      <c r="AX2577" s="32"/>
      <c r="AY2577" s="32"/>
      <c r="AZ2577" s="32"/>
      <c r="BA2577" s="32"/>
      <c r="BB2577" s="31"/>
      <c r="BC2577" s="31"/>
      <c r="BD2577" s="31"/>
      <c r="BE2577" s="31"/>
      <c r="BF2577" s="96"/>
    </row>
    <row r="2578" spans="42:58" x14ac:dyDescent="0.35">
      <c r="AP2578" s="92"/>
      <c r="AQ2578" s="67"/>
      <c r="AR2578" s="67"/>
      <c r="AS2578" s="73"/>
      <c r="AT2578" s="67"/>
      <c r="AU2578" s="67"/>
      <c r="AV2578" s="73"/>
      <c r="AW2578" s="68"/>
      <c r="AX2578" s="68"/>
      <c r="AY2578" s="68"/>
      <c r="AZ2578" s="68"/>
      <c r="BA2578" s="68"/>
      <c r="BB2578" s="67"/>
      <c r="BC2578" s="67"/>
      <c r="BD2578" s="67"/>
      <c r="BE2578" s="67"/>
      <c r="BF2578" s="95"/>
    </row>
    <row r="2579" spans="42:58" x14ac:dyDescent="0.35">
      <c r="AP2579" s="93"/>
      <c r="AQ2579" s="31"/>
      <c r="AR2579" s="31"/>
      <c r="AS2579" s="94"/>
      <c r="AT2579" s="31"/>
      <c r="AU2579" s="31"/>
      <c r="AV2579" s="94"/>
      <c r="AW2579" s="32"/>
      <c r="AX2579" s="32"/>
      <c r="AY2579" s="32"/>
      <c r="AZ2579" s="32"/>
      <c r="BA2579" s="32"/>
      <c r="BB2579" s="31"/>
      <c r="BC2579" s="31"/>
      <c r="BD2579" s="31"/>
      <c r="BE2579" s="31"/>
      <c r="BF2579" s="96"/>
    </row>
    <row r="2580" spans="42:58" x14ac:dyDescent="0.35">
      <c r="AP2580" s="92"/>
      <c r="AQ2580" s="67"/>
      <c r="AR2580" s="67"/>
      <c r="AS2580" s="73"/>
      <c r="AT2580" s="67"/>
      <c r="AU2580" s="67"/>
      <c r="AV2580" s="73"/>
      <c r="AW2580" s="68"/>
      <c r="AX2580" s="68"/>
      <c r="AY2580" s="68"/>
      <c r="AZ2580" s="68"/>
      <c r="BA2580" s="68"/>
      <c r="BB2580" s="67"/>
      <c r="BC2580" s="67"/>
      <c r="BD2580" s="67"/>
      <c r="BE2580" s="67"/>
      <c r="BF2580" s="95"/>
    </row>
    <row r="2581" spans="42:58" x14ac:dyDescent="0.35">
      <c r="AP2581" s="93"/>
      <c r="AQ2581" s="31"/>
      <c r="AR2581" s="31"/>
      <c r="AS2581" s="94"/>
      <c r="AT2581" s="31"/>
      <c r="AU2581" s="31"/>
      <c r="AV2581" s="94"/>
      <c r="AW2581" s="32"/>
      <c r="AX2581" s="32"/>
      <c r="AY2581" s="32"/>
      <c r="AZ2581" s="32"/>
      <c r="BA2581" s="32"/>
      <c r="BB2581" s="31"/>
      <c r="BC2581" s="31"/>
      <c r="BD2581" s="31"/>
      <c r="BE2581" s="31"/>
      <c r="BF2581" s="96"/>
    </row>
    <row r="2582" spans="42:58" x14ac:dyDescent="0.35">
      <c r="AP2582" s="92"/>
      <c r="AQ2582" s="67"/>
      <c r="AR2582" s="67"/>
      <c r="AS2582" s="73"/>
      <c r="AT2582" s="67"/>
      <c r="AU2582" s="67"/>
      <c r="AV2582" s="73"/>
      <c r="AW2582" s="68"/>
      <c r="AX2582" s="68"/>
      <c r="AY2582" s="68"/>
      <c r="AZ2582" s="68"/>
      <c r="BA2582" s="68"/>
      <c r="BB2582" s="67"/>
      <c r="BC2582" s="67"/>
      <c r="BD2582" s="67"/>
      <c r="BE2582" s="67"/>
      <c r="BF2582" s="95"/>
    </row>
    <row r="2583" spans="42:58" x14ac:dyDescent="0.35">
      <c r="AP2583" s="93"/>
      <c r="AQ2583" s="31"/>
      <c r="AR2583" s="31"/>
      <c r="AS2583" s="94"/>
      <c r="AT2583" s="31"/>
      <c r="AU2583" s="31"/>
      <c r="AV2583" s="94"/>
      <c r="AW2583" s="32"/>
      <c r="AX2583" s="32"/>
      <c r="AY2583" s="32"/>
      <c r="AZ2583" s="32"/>
      <c r="BA2583" s="32"/>
      <c r="BB2583" s="31"/>
      <c r="BC2583" s="31"/>
      <c r="BD2583" s="31"/>
      <c r="BE2583" s="31"/>
      <c r="BF2583" s="96"/>
    </row>
    <row r="2584" spans="42:58" x14ac:dyDescent="0.35">
      <c r="AP2584" s="92"/>
      <c r="AQ2584" s="67"/>
      <c r="AR2584" s="67"/>
      <c r="AS2584" s="73"/>
      <c r="AT2584" s="67"/>
      <c r="AU2584" s="67"/>
      <c r="AV2584" s="73"/>
      <c r="AW2584" s="68"/>
      <c r="AX2584" s="68"/>
      <c r="AY2584" s="68"/>
      <c r="AZ2584" s="68"/>
      <c r="BA2584" s="68"/>
      <c r="BB2584" s="67"/>
      <c r="BC2584" s="67"/>
      <c r="BD2584" s="67"/>
      <c r="BE2584" s="67"/>
      <c r="BF2584" s="95"/>
    </row>
    <row r="2585" spans="42:58" x14ac:dyDescent="0.35">
      <c r="AP2585" s="93"/>
      <c r="AQ2585" s="31"/>
      <c r="AR2585" s="31"/>
      <c r="AS2585" s="94"/>
      <c r="AT2585" s="31"/>
      <c r="AU2585" s="31"/>
      <c r="AV2585" s="94"/>
      <c r="AW2585" s="32"/>
      <c r="AX2585" s="32"/>
      <c r="AY2585" s="32"/>
      <c r="AZ2585" s="32"/>
      <c r="BA2585" s="32"/>
      <c r="BB2585" s="31"/>
      <c r="BC2585" s="31"/>
      <c r="BD2585" s="31"/>
      <c r="BE2585" s="31"/>
      <c r="BF2585" s="96"/>
    </row>
    <row r="2586" spans="42:58" x14ac:dyDescent="0.35">
      <c r="AP2586" s="92"/>
      <c r="AQ2586" s="67"/>
      <c r="AR2586" s="67"/>
      <c r="AS2586" s="73"/>
      <c r="AT2586" s="67"/>
      <c r="AU2586" s="67"/>
      <c r="AV2586" s="73"/>
      <c r="AW2586" s="68"/>
      <c r="AX2586" s="68"/>
      <c r="AY2586" s="68"/>
      <c r="AZ2586" s="68"/>
      <c r="BA2586" s="68"/>
      <c r="BB2586" s="67"/>
      <c r="BC2586" s="67"/>
      <c r="BD2586" s="67"/>
      <c r="BE2586" s="67"/>
      <c r="BF2586" s="95"/>
    </row>
    <row r="2587" spans="42:58" x14ac:dyDescent="0.35">
      <c r="AP2587" s="93"/>
      <c r="AQ2587" s="31"/>
      <c r="AR2587" s="31"/>
      <c r="AS2587" s="94"/>
      <c r="AT2587" s="31"/>
      <c r="AU2587" s="31"/>
      <c r="AV2587" s="94"/>
      <c r="AW2587" s="32"/>
      <c r="AX2587" s="32"/>
      <c r="AY2587" s="32"/>
      <c r="AZ2587" s="32"/>
      <c r="BA2587" s="32"/>
      <c r="BB2587" s="31"/>
      <c r="BC2587" s="31"/>
      <c r="BD2587" s="31"/>
      <c r="BE2587" s="31"/>
      <c r="BF2587" s="96"/>
    </row>
    <row r="2588" spans="42:58" x14ac:dyDescent="0.35">
      <c r="AP2588" s="92"/>
      <c r="AQ2588" s="67"/>
      <c r="AR2588" s="67"/>
      <c r="AS2588" s="73"/>
      <c r="AT2588" s="67"/>
      <c r="AU2588" s="67"/>
      <c r="AV2588" s="73"/>
      <c r="AW2588" s="68"/>
      <c r="AX2588" s="68"/>
      <c r="AY2588" s="68"/>
      <c r="AZ2588" s="68"/>
      <c r="BA2588" s="68"/>
      <c r="BB2588" s="67"/>
      <c r="BC2588" s="67"/>
      <c r="BD2588" s="67"/>
      <c r="BE2588" s="67"/>
      <c r="BF2588" s="95"/>
    </row>
    <row r="2589" spans="42:58" x14ac:dyDescent="0.35">
      <c r="AP2589" s="93"/>
      <c r="AQ2589" s="31"/>
      <c r="AR2589" s="31"/>
      <c r="AS2589" s="94"/>
      <c r="AT2589" s="31"/>
      <c r="AU2589" s="31"/>
      <c r="AV2589" s="94"/>
      <c r="AW2589" s="32"/>
      <c r="AX2589" s="32"/>
      <c r="AY2589" s="32"/>
      <c r="AZ2589" s="32"/>
      <c r="BA2589" s="32"/>
      <c r="BB2589" s="31"/>
      <c r="BC2589" s="31"/>
      <c r="BD2589" s="31"/>
      <c r="BE2589" s="31"/>
      <c r="BF2589" s="96"/>
    </row>
    <row r="2590" spans="42:58" x14ac:dyDescent="0.35">
      <c r="AP2590" s="92"/>
      <c r="AQ2590" s="67"/>
      <c r="AR2590" s="67"/>
      <c r="AS2590" s="73"/>
      <c r="AT2590" s="67"/>
      <c r="AU2590" s="67"/>
      <c r="AV2590" s="73"/>
      <c r="AW2590" s="68"/>
      <c r="AX2590" s="68"/>
      <c r="AY2590" s="68"/>
      <c r="AZ2590" s="68"/>
      <c r="BA2590" s="68"/>
      <c r="BB2590" s="67"/>
      <c r="BC2590" s="67"/>
      <c r="BD2590" s="67"/>
      <c r="BE2590" s="67"/>
      <c r="BF2590" s="95"/>
    </row>
    <row r="2591" spans="42:58" x14ac:dyDescent="0.35">
      <c r="AP2591" s="93"/>
      <c r="AQ2591" s="31"/>
      <c r="AR2591" s="31"/>
      <c r="AS2591" s="94"/>
      <c r="AT2591" s="31"/>
      <c r="AU2591" s="31"/>
      <c r="AV2591" s="94"/>
      <c r="AW2591" s="32"/>
      <c r="AX2591" s="32"/>
      <c r="AY2591" s="32"/>
      <c r="AZ2591" s="32"/>
      <c r="BA2591" s="32"/>
      <c r="BB2591" s="31"/>
      <c r="BC2591" s="31"/>
      <c r="BD2591" s="31"/>
      <c r="BE2591" s="31"/>
      <c r="BF2591" s="96"/>
    </row>
    <row r="2592" spans="42:58" x14ac:dyDescent="0.35">
      <c r="AP2592" s="92"/>
      <c r="AQ2592" s="67"/>
      <c r="AR2592" s="67"/>
      <c r="AS2592" s="73"/>
      <c r="AT2592" s="67"/>
      <c r="AU2592" s="67"/>
      <c r="AV2592" s="73"/>
      <c r="AW2592" s="68"/>
      <c r="AX2592" s="68"/>
      <c r="AY2592" s="68"/>
      <c r="AZ2592" s="68"/>
      <c r="BA2592" s="68"/>
      <c r="BB2592" s="67"/>
      <c r="BC2592" s="67"/>
      <c r="BD2592" s="67"/>
      <c r="BE2592" s="67"/>
      <c r="BF2592" s="95"/>
    </row>
    <row r="2593" spans="42:58" x14ac:dyDescent="0.35">
      <c r="AP2593" s="93"/>
      <c r="AQ2593" s="31"/>
      <c r="AR2593" s="31"/>
      <c r="AS2593" s="94"/>
      <c r="AT2593" s="31"/>
      <c r="AU2593" s="31"/>
      <c r="AV2593" s="94"/>
      <c r="AW2593" s="32"/>
      <c r="AX2593" s="32"/>
      <c r="AY2593" s="32"/>
      <c r="AZ2593" s="32"/>
      <c r="BA2593" s="32"/>
      <c r="BB2593" s="31"/>
      <c r="BC2593" s="31"/>
      <c r="BD2593" s="31"/>
      <c r="BE2593" s="31"/>
      <c r="BF2593" s="96"/>
    </row>
    <row r="2594" spans="42:58" x14ac:dyDescent="0.35">
      <c r="AP2594" s="92"/>
      <c r="AQ2594" s="67"/>
      <c r="AR2594" s="67"/>
      <c r="AS2594" s="73"/>
      <c r="AT2594" s="67"/>
      <c r="AU2594" s="67"/>
      <c r="AV2594" s="73"/>
      <c r="AW2594" s="68"/>
      <c r="AX2594" s="68"/>
      <c r="AY2594" s="68"/>
      <c r="AZ2594" s="68"/>
      <c r="BA2594" s="68"/>
      <c r="BB2594" s="67"/>
      <c r="BC2594" s="67"/>
      <c r="BD2594" s="67"/>
      <c r="BE2594" s="67"/>
      <c r="BF2594" s="95"/>
    </row>
    <row r="2595" spans="42:58" x14ac:dyDescent="0.35">
      <c r="AP2595" s="93"/>
      <c r="AQ2595" s="31"/>
      <c r="AR2595" s="31"/>
      <c r="AS2595" s="94"/>
      <c r="AT2595" s="31"/>
      <c r="AU2595" s="31"/>
      <c r="AV2595" s="94"/>
      <c r="AW2595" s="32"/>
      <c r="AX2595" s="32"/>
      <c r="AY2595" s="32"/>
      <c r="AZ2595" s="32"/>
      <c r="BA2595" s="32"/>
      <c r="BB2595" s="31"/>
      <c r="BC2595" s="31"/>
      <c r="BD2595" s="31"/>
      <c r="BE2595" s="31"/>
      <c r="BF2595" s="96"/>
    </row>
    <row r="2596" spans="42:58" x14ac:dyDescent="0.35">
      <c r="AP2596" s="92"/>
      <c r="AQ2596" s="67"/>
      <c r="AR2596" s="67"/>
      <c r="AS2596" s="73"/>
      <c r="AT2596" s="67"/>
      <c r="AU2596" s="67"/>
      <c r="AV2596" s="73"/>
      <c r="AW2596" s="68"/>
      <c r="AX2596" s="68"/>
      <c r="AY2596" s="68"/>
      <c r="AZ2596" s="68"/>
      <c r="BA2596" s="68"/>
      <c r="BB2596" s="67"/>
      <c r="BC2596" s="67"/>
      <c r="BD2596" s="67"/>
      <c r="BE2596" s="67"/>
      <c r="BF2596" s="95"/>
    </row>
    <row r="2597" spans="42:58" x14ac:dyDescent="0.35">
      <c r="AP2597" s="93"/>
      <c r="AQ2597" s="31"/>
      <c r="AR2597" s="31"/>
      <c r="AS2597" s="94"/>
      <c r="AT2597" s="31"/>
      <c r="AU2597" s="31"/>
      <c r="AV2597" s="94"/>
      <c r="AW2597" s="32"/>
      <c r="AX2597" s="32"/>
      <c r="AY2597" s="32"/>
      <c r="AZ2597" s="32"/>
      <c r="BA2597" s="32"/>
      <c r="BB2597" s="31"/>
      <c r="BC2597" s="31"/>
      <c r="BD2597" s="31"/>
      <c r="BE2597" s="31"/>
      <c r="BF2597" s="96"/>
    </row>
    <row r="2598" spans="42:58" x14ac:dyDescent="0.35">
      <c r="AP2598" s="92"/>
      <c r="AQ2598" s="67"/>
      <c r="AR2598" s="67"/>
      <c r="AS2598" s="73"/>
      <c r="AT2598" s="67"/>
      <c r="AU2598" s="67"/>
      <c r="AV2598" s="73"/>
      <c r="AW2598" s="68"/>
      <c r="AX2598" s="68"/>
      <c r="AY2598" s="68"/>
      <c r="AZ2598" s="68"/>
      <c r="BA2598" s="68"/>
      <c r="BB2598" s="67"/>
      <c r="BC2598" s="67"/>
      <c r="BD2598" s="67"/>
      <c r="BE2598" s="67"/>
      <c r="BF2598" s="95"/>
    </row>
    <row r="2599" spans="42:58" x14ac:dyDescent="0.35">
      <c r="AP2599" s="93"/>
      <c r="AQ2599" s="31"/>
      <c r="AR2599" s="31"/>
      <c r="AS2599" s="94"/>
      <c r="AT2599" s="31"/>
      <c r="AU2599" s="31"/>
      <c r="AV2599" s="94"/>
      <c r="AW2599" s="32"/>
      <c r="AX2599" s="32"/>
      <c r="AY2599" s="32"/>
      <c r="AZ2599" s="32"/>
      <c r="BA2599" s="32"/>
      <c r="BB2599" s="31"/>
      <c r="BC2599" s="31"/>
      <c r="BD2599" s="31"/>
      <c r="BE2599" s="31"/>
      <c r="BF2599" s="96"/>
    </row>
    <row r="2600" spans="42:58" x14ac:dyDescent="0.35">
      <c r="AP2600" s="92"/>
      <c r="AQ2600" s="67"/>
      <c r="AR2600" s="67"/>
      <c r="AS2600" s="73"/>
      <c r="AT2600" s="67"/>
      <c r="AU2600" s="67"/>
      <c r="AV2600" s="73"/>
      <c r="AW2600" s="68"/>
      <c r="AX2600" s="68"/>
      <c r="AY2600" s="68"/>
      <c r="AZ2600" s="68"/>
      <c r="BA2600" s="68"/>
      <c r="BB2600" s="67"/>
      <c r="BC2600" s="67"/>
      <c r="BD2600" s="67"/>
      <c r="BE2600" s="67"/>
      <c r="BF2600" s="95"/>
    </row>
    <row r="2601" spans="42:58" x14ac:dyDescent="0.35">
      <c r="AP2601" s="93"/>
      <c r="AQ2601" s="31"/>
      <c r="AR2601" s="31"/>
      <c r="AS2601" s="94"/>
      <c r="AT2601" s="31"/>
      <c r="AU2601" s="31"/>
      <c r="AV2601" s="94"/>
      <c r="AW2601" s="32"/>
      <c r="AX2601" s="32"/>
      <c r="AY2601" s="32"/>
      <c r="AZ2601" s="32"/>
      <c r="BA2601" s="32"/>
      <c r="BB2601" s="31"/>
      <c r="BC2601" s="31"/>
      <c r="BD2601" s="31"/>
      <c r="BE2601" s="31"/>
      <c r="BF2601" s="96"/>
    </row>
    <row r="2602" spans="42:58" x14ac:dyDescent="0.35">
      <c r="AP2602" s="92"/>
      <c r="AQ2602" s="67"/>
      <c r="AR2602" s="67"/>
      <c r="AS2602" s="73"/>
      <c r="AT2602" s="67"/>
      <c r="AU2602" s="67"/>
      <c r="AV2602" s="73"/>
      <c r="AW2602" s="68"/>
      <c r="AX2602" s="68"/>
      <c r="AY2602" s="68"/>
      <c r="AZ2602" s="68"/>
      <c r="BA2602" s="68"/>
      <c r="BB2602" s="67"/>
      <c r="BC2602" s="67"/>
      <c r="BD2602" s="67"/>
      <c r="BE2602" s="67"/>
      <c r="BF2602" s="95"/>
    </row>
    <row r="2603" spans="42:58" x14ac:dyDescent="0.35">
      <c r="AP2603" s="93"/>
      <c r="AQ2603" s="31"/>
      <c r="AR2603" s="31"/>
      <c r="AS2603" s="94"/>
      <c r="AT2603" s="31"/>
      <c r="AU2603" s="31"/>
      <c r="AV2603" s="94"/>
      <c r="AW2603" s="32"/>
      <c r="AX2603" s="32"/>
      <c r="AY2603" s="32"/>
      <c r="AZ2603" s="32"/>
      <c r="BA2603" s="32"/>
      <c r="BB2603" s="31"/>
      <c r="BC2603" s="31"/>
      <c r="BD2603" s="31"/>
      <c r="BE2603" s="31"/>
      <c r="BF2603" s="96"/>
    </row>
    <row r="2604" spans="42:58" x14ac:dyDescent="0.35">
      <c r="AP2604" s="92"/>
      <c r="AQ2604" s="67"/>
      <c r="AR2604" s="67"/>
      <c r="AS2604" s="73"/>
      <c r="AT2604" s="67"/>
      <c r="AU2604" s="67"/>
      <c r="AV2604" s="73"/>
      <c r="AW2604" s="68"/>
      <c r="AX2604" s="68"/>
      <c r="AY2604" s="68"/>
      <c r="AZ2604" s="68"/>
      <c r="BA2604" s="68"/>
      <c r="BB2604" s="67"/>
      <c r="BC2604" s="67"/>
      <c r="BD2604" s="67"/>
      <c r="BE2604" s="67"/>
      <c r="BF2604" s="95"/>
    </row>
    <row r="2605" spans="42:58" x14ac:dyDescent="0.35">
      <c r="AP2605" s="93"/>
      <c r="AQ2605" s="31"/>
      <c r="AR2605" s="31"/>
      <c r="AS2605" s="94"/>
      <c r="AT2605" s="31"/>
      <c r="AU2605" s="31"/>
      <c r="AV2605" s="94"/>
      <c r="AW2605" s="32"/>
      <c r="AX2605" s="32"/>
      <c r="AY2605" s="32"/>
      <c r="AZ2605" s="32"/>
      <c r="BA2605" s="32"/>
      <c r="BB2605" s="31"/>
      <c r="BC2605" s="31"/>
      <c r="BD2605" s="31"/>
      <c r="BE2605" s="31"/>
      <c r="BF2605" s="96"/>
    </row>
    <row r="2606" spans="42:58" x14ac:dyDescent="0.35">
      <c r="AP2606" s="92"/>
      <c r="AQ2606" s="67"/>
      <c r="AR2606" s="67"/>
      <c r="AS2606" s="73"/>
      <c r="AT2606" s="67"/>
      <c r="AU2606" s="67"/>
      <c r="AV2606" s="73"/>
      <c r="AW2606" s="68"/>
      <c r="AX2606" s="68"/>
      <c r="AY2606" s="68"/>
      <c r="AZ2606" s="68"/>
      <c r="BA2606" s="68"/>
      <c r="BB2606" s="67"/>
      <c r="BC2606" s="67"/>
      <c r="BD2606" s="67"/>
      <c r="BE2606" s="67"/>
      <c r="BF2606" s="95"/>
    </row>
    <row r="2607" spans="42:58" x14ac:dyDescent="0.35">
      <c r="AP2607" s="93"/>
      <c r="AQ2607" s="31"/>
      <c r="AR2607" s="31"/>
      <c r="AS2607" s="94"/>
      <c r="AT2607" s="31"/>
      <c r="AU2607" s="31"/>
      <c r="AV2607" s="94"/>
      <c r="AW2607" s="32"/>
      <c r="AX2607" s="32"/>
      <c r="AY2607" s="32"/>
      <c r="AZ2607" s="32"/>
      <c r="BA2607" s="32"/>
      <c r="BB2607" s="31"/>
      <c r="BC2607" s="31"/>
      <c r="BD2607" s="31"/>
      <c r="BE2607" s="31"/>
      <c r="BF2607" s="96"/>
    </row>
    <row r="2608" spans="42:58" x14ac:dyDescent="0.35">
      <c r="AP2608" s="92"/>
      <c r="AQ2608" s="67"/>
      <c r="AR2608" s="67"/>
      <c r="AS2608" s="73"/>
      <c r="AT2608" s="67"/>
      <c r="AU2608" s="67"/>
      <c r="AV2608" s="73"/>
      <c r="AW2608" s="68"/>
      <c r="AX2608" s="68"/>
      <c r="AY2608" s="68"/>
      <c r="AZ2608" s="68"/>
      <c r="BA2608" s="68"/>
      <c r="BB2608" s="67"/>
      <c r="BC2608" s="67"/>
      <c r="BD2608" s="67"/>
      <c r="BE2608" s="67"/>
      <c r="BF2608" s="95"/>
    </row>
    <row r="2609" spans="42:58" x14ac:dyDescent="0.35">
      <c r="AP2609" s="93"/>
      <c r="AQ2609" s="31"/>
      <c r="AR2609" s="31"/>
      <c r="AS2609" s="94"/>
      <c r="AT2609" s="31"/>
      <c r="AU2609" s="31"/>
      <c r="AV2609" s="94"/>
      <c r="AW2609" s="32"/>
      <c r="AX2609" s="32"/>
      <c r="AY2609" s="32"/>
      <c r="AZ2609" s="32"/>
      <c r="BA2609" s="32"/>
      <c r="BB2609" s="31"/>
      <c r="BC2609" s="31"/>
      <c r="BD2609" s="31"/>
      <c r="BE2609" s="31"/>
      <c r="BF2609" s="96"/>
    </row>
    <row r="2610" spans="42:58" x14ac:dyDescent="0.35">
      <c r="AP2610" s="92"/>
      <c r="AQ2610" s="67"/>
      <c r="AR2610" s="67"/>
      <c r="AS2610" s="73"/>
      <c r="AT2610" s="67"/>
      <c r="AU2610" s="67"/>
      <c r="AV2610" s="73"/>
      <c r="AW2610" s="68"/>
      <c r="AX2610" s="68"/>
      <c r="AY2610" s="68"/>
      <c r="AZ2610" s="68"/>
      <c r="BA2610" s="68"/>
      <c r="BB2610" s="67"/>
      <c r="BC2610" s="67"/>
      <c r="BD2610" s="67"/>
      <c r="BE2610" s="67"/>
      <c r="BF2610" s="95"/>
    </row>
    <row r="2611" spans="42:58" x14ac:dyDescent="0.35">
      <c r="AP2611" s="93"/>
      <c r="AQ2611" s="31"/>
      <c r="AR2611" s="31"/>
      <c r="AS2611" s="94"/>
      <c r="AT2611" s="31"/>
      <c r="AU2611" s="31"/>
      <c r="AV2611" s="94"/>
      <c r="AW2611" s="32"/>
      <c r="AX2611" s="32"/>
      <c r="AY2611" s="32"/>
      <c r="AZ2611" s="32"/>
      <c r="BA2611" s="32"/>
      <c r="BB2611" s="31"/>
      <c r="BC2611" s="31"/>
      <c r="BD2611" s="31"/>
      <c r="BE2611" s="31"/>
      <c r="BF2611" s="96"/>
    </row>
    <row r="2612" spans="42:58" x14ac:dyDescent="0.35">
      <c r="AP2612" s="92"/>
      <c r="AQ2612" s="67"/>
      <c r="AR2612" s="67"/>
      <c r="AS2612" s="73"/>
      <c r="AT2612" s="67"/>
      <c r="AU2612" s="67"/>
      <c r="AV2612" s="73"/>
      <c r="AW2612" s="68"/>
      <c r="AX2612" s="68"/>
      <c r="AY2612" s="68"/>
      <c r="AZ2612" s="68"/>
      <c r="BA2612" s="68"/>
      <c r="BB2612" s="67"/>
      <c r="BC2612" s="67"/>
      <c r="BD2612" s="67"/>
      <c r="BE2612" s="67"/>
      <c r="BF2612" s="95"/>
    </row>
    <row r="2613" spans="42:58" x14ac:dyDescent="0.35">
      <c r="AP2613" s="93"/>
      <c r="AQ2613" s="31"/>
      <c r="AR2613" s="31"/>
      <c r="AS2613" s="94"/>
      <c r="AT2613" s="31"/>
      <c r="AU2613" s="31"/>
      <c r="AV2613" s="94"/>
      <c r="AW2613" s="32"/>
      <c r="AX2613" s="32"/>
      <c r="AY2613" s="32"/>
      <c r="AZ2613" s="32"/>
      <c r="BA2613" s="32"/>
      <c r="BB2613" s="31"/>
      <c r="BC2613" s="31"/>
      <c r="BD2613" s="31"/>
      <c r="BE2613" s="31"/>
      <c r="BF2613" s="96"/>
    </row>
    <row r="2614" spans="42:58" x14ac:dyDescent="0.35">
      <c r="AP2614" s="92"/>
      <c r="AQ2614" s="67"/>
      <c r="AR2614" s="67"/>
      <c r="AS2614" s="73"/>
      <c r="AT2614" s="67"/>
      <c r="AU2614" s="67"/>
      <c r="AV2614" s="73"/>
      <c r="AW2614" s="68"/>
      <c r="AX2614" s="68"/>
      <c r="AY2614" s="68"/>
      <c r="AZ2614" s="68"/>
      <c r="BA2614" s="68"/>
      <c r="BB2614" s="67"/>
      <c r="BC2614" s="67"/>
      <c r="BD2614" s="67"/>
      <c r="BE2614" s="67"/>
      <c r="BF2614" s="95"/>
    </row>
    <row r="2615" spans="42:58" x14ac:dyDescent="0.35">
      <c r="AP2615" s="93"/>
      <c r="AQ2615" s="31"/>
      <c r="AR2615" s="31"/>
      <c r="AS2615" s="94"/>
      <c r="AT2615" s="31"/>
      <c r="AU2615" s="31"/>
      <c r="AV2615" s="94"/>
      <c r="AW2615" s="32"/>
      <c r="AX2615" s="32"/>
      <c r="AY2615" s="32"/>
      <c r="AZ2615" s="32"/>
      <c r="BA2615" s="32"/>
      <c r="BB2615" s="31"/>
      <c r="BC2615" s="31"/>
      <c r="BD2615" s="31"/>
      <c r="BE2615" s="31"/>
      <c r="BF2615" s="96"/>
    </row>
    <row r="2616" spans="42:58" x14ac:dyDescent="0.35">
      <c r="AP2616" s="92"/>
      <c r="AQ2616" s="67"/>
      <c r="AR2616" s="67"/>
      <c r="AS2616" s="73"/>
      <c r="AT2616" s="67"/>
      <c r="AU2616" s="67"/>
      <c r="AV2616" s="73"/>
      <c r="AW2616" s="68"/>
      <c r="AX2616" s="68"/>
      <c r="AY2616" s="68"/>
      <c r="AZ2616" s="68"/>
      <c r="BA2616" s="68"/>
      <c r="BB2616" s="67"/>
      <c r="BC2616" s="67"/>
      <c r="BD2616" s="67"/>
      <c r="BE2616" s="67"/>
      <c r="BF2616" s="95"/>
    </row>
    <row r="2617" spans="42:58" x14ac:dyDescent="0.35">
      <c r="AP2617" s="93"/>
      <c r="AQ2617" s="31"/>
      <c r="AR2617" s="31"/>
      <c r="AS2617" s="94"/>
      <c r="AT2617" s="31"/>
      <c r="AU2617" s="31"/>
      <c r="AV2617" s="94"/>
      <c r="AW2617" s="32"/>
      <c r="AX2617" s="32"/>
      <c r="AY2617" s="32"/>
      <c r="AZ2617" s="32"/>
      <c r="BA2617" s="32"/>
      <c r="BB2617" s="31"/>
      <c r="BC2617" s="31"/>
      <c r="BD2617" s="31"/>
      <c r="BE2617" s="31"/>
      <c r="BF2617" s="96"/>
    </row>
    <row r="2618" spans="42:58" x14ac:dyDescent="0.35">
      <c r="AP2618" s="92"/>
      <c r="AQ2618" s="67"/>
      <c r="AR2618" s="67"/>
      <c r="AS2618" s="73"/>
      <c r="AT2618" s="67"/>
      <c r="AU2618" s="67"/>
      <c r="AV2618" s="73"/>
      <c r="AW2618" s="68"/>
      <c r="AX2618" s="68"/>
      <c r="AY2618" s="68"/>
      <c r="AZ2618" s="68"/>
      <c r="BA2618" s="68"/>
      <c r="BB2618" s="67"/>
      <c r="BC2618" s="67"/>
      <c r="BD2618" s="67"/>
      <c r="BE2618" s="67"/>
      <c r="BF2618" s="95"/>
    </row>
    <row r="2619" spans="42:58" x14ac:dyDescent="0.35">
      <c r="AP2619" s="93"/>
      <c r="AQ2619" s="31"/>
      <c r="AR2619" s="31"/>
      <c r="AS2619" s="94"/>
      <c r="AT2619" s="31"/>
      <c r="AU2619" s="31"/>
      <c r="AV2619" s="94"/>
      <c r="AW2619" s="32"/>
      <c r="AX2619" s="32"/>
      <c r="AY2619" s="32"/>
      <c r="AZ2619" s="32"/>
      <c r="BA2619" s="32"/>
      <c r="BB2619" s="31"/>
      <c r="BC2619" s="31"/>
      <c r="BD2619" s="31"/>
      <c r="BE2619" s="31"/>
      <c r="BF2619" s="96"/>
    </row>
    <row r="2620" spans="42:58" x14ac:dyDescent="0.35">
      <c r="AP2620" s="92"/>
      <c r="AQ2620" s="67"/>
      <c r="AR2620" s="67"/>
      <c r="AS2620" s="73"/>
      <c r="AT2620" s="67"/>
      <c r="AU2620" s="67"/>
      <c r="AV2620" s="73"/>
      <c r="AW2620" s="68"/>
      <c r="AX2620" s="68"/>
      <c r="AY2620" s="68"/>
      <c r="AZ2620" s="68"/>
      <c r="BA2620" s="68"/>
      <c r="BB2620" s="67"/>
      <c r="BC2620" s="67"/>
      <c r="BD2620" s="67"/>
      <c r="BE2620" s="67"/>
      <c r="BF2620" s="95"/>
    </row>
    <row r="2621" spans="42:58" x14ac:dyDescent="0.35">
      <c r="AP2621" s="93"/>
      <c r="AQ2621" s="31"/>
      <c r="AR2621" s="31"/>
      <c r="AS2621" s="94"/>
      <c r="AT2621" s="31"/>
      <c r="AU2621" s="31"/>
      <c r="AV2621" s="94"/>
      <c r="AW2621" s="32"/>
      <c r="AX2621" s="32"/>
      <c r="AY2621" s="32"/>
      <c r="AZ2621" s="32"/>
      <c r="BA2621" s="32"/>
      <c r="BB2621" s="31"/>
      <c r="BC2621" s="31"/>
      <c r="BD2621" s="31"/>
      <c r="BE2621" s="31"/>
      <c r="BF2621" s="96"/>
    </row>
    <row r="2622" spans="42:58" x14ac:dyDescent="0.35">
      <c r="AP2622" s="92"/>
      <c r="AQ2622" s="67"/>
      <c r="AR2622" s="67"/>
      <c r="AS2622" s="73"/>
      <c r="AT2622" s="67"/>
      <c r="AU2622" s="67"/>
      <c r="AV2622" s="73"/>
      <c r="AW2622" s="68"/>
      <c r="AX2622" s="68"/>
      <c r="AY2622" s="68"/>
      <c r="AZ2622" s="68"/>
      <c r="BA2622" s="68"/>
      <c r="BB2622" s="67"/>
      <c r="BC2622" s="67"/>
      <c r="BD2622" s="67"/>
      <c r="BE2622" s="67"/>
      <c r="BF2622" s="95"/>
    </row>
    <row r="2623" spans="42:58" x14ac:dyDescent="0.35">
      <c r="AP2623" s="93"/>
      <c r="AQ2623" s="31"/>
      <c r="AR2623" s="31"/>
      <c r="AS2623" s="94"/>
      <c r="AT2623" s="31"/>
      <c r="AU2623" s="31"/>
      <c r="AV2623" s="94"/>
      <c r="AW2623" s="32"/>
      <c r="AX2623" s="32"/>
      <c r="AY2623" s="32"/>
      <c r="AZ2623" s="32"/>
      <c r="BA2623" s="32"/>
      <c r="BB2623" s="31"/>
      <c r="BC2623" s="31"/>
      <c r="BD2623" s="31"/>
      <c r="BE2623" s="31"/>
      <c r="BF2623" s="96"/>
    </row>
    <row r="2624" spans="42:58" x14ac:dyDescent="0.35">
      <c r="AP2624" s="92"/>
      <c r="AQ2624" s="67"/>
      <c r="AR2624" s="67"/>
      <c r="AS2624" s="73"/>
      <c r="AT2624" s="67"/>
      <c r="AU2624" s="67"/>
      <c r="AV2624" s="73"/>
      <c r="AW2624" s="68"/>
      <c r="AX2624" s="68"/>
      <c r="AY2624" s="68"/>
      <c r="AZ2624" s="68"/>
      <c r="BA2624" s="68"/>
      <c r="BB2624" s="67"/>
      <c r="BC2624" s="67"/>
      <c r="BD2624" s="67"/>
      <c r="BE2624" s="67"/>
      <c r="BF2624" s="95"/>
    </row>
    <row r="2625" spans="42:58" x14ac:dyDescent="0.35">
      <c r="AP2625" s="93"/>
      <c r="AQ2625" s="31"/>
      <c r="AR2625" s="31"/>
      <c r="AS2625" s="94"/>
      <c r="AT2625" s="31"/>
      <c r="AU2625" s="31"/>
      <c r="AV2625" s="94"/>
      <c r="AW2625" s="32"/>
      <c r="AX2625" s="32"/>
      <c r="AY2625" s="32"/>
      <c r="AZ2625" s="32"/>
      <c r="BA2625" s="32"/>
      <c r="BB2625" s="31"/>
      <c r="BC2625" s="31"/>
      <c r="BD2625" s="31"/>
      <c r="BE2625" s="31"/>
      <c r="BF2625" s="96"/>
    </row>
    <row r="2626" spans="42:58" x14ac:dyDescent="0.35">
      <c r="AP2626" s="92"/>
      <c r="AQ2626" s="67"/>
      <c r="AR2626" s="67"/>
      <c r="AS2626" s="73"/>
      <c r="AT2626" s="67"/>
      <c r="AU2626" s="67"/>
      <c r="AV2626" s="73"/>
      <c r="AW2626" s="68"/>
      <c r="AX2626" s="68"/>
      <c r="AY2626" s="68"/>
      <c r="AZ2626" s="68"/>
      <c r="BA2626" s="68"/>
      <c r="BB2626" s="67"/>
      <c r="BC2626" s="67"/>
      <c r="BD2626" s="67"/>
      <c r="BE2626" s="67"/>
      <c r="BF2626" s="95"/>
    </row>
    <row r="2627" spans="42:58" x14ac:dyDescent="0.35">
      <c r="AP2627" s="93"/>
      <c r="AQ2627" s="31"/>
      <c r="AR2627" s="31"/>
      <c r="AS2627" s="94"/>
      <c r="AT2627" s="31"/>
      <c r="AU2627" s="31"/>
      <c r="AV2627" s="94"/>
      <c r="AW2627" s="32"/>
      <c r="AX2627" s="32"/>
      <c r="AY2627" s="32"/>
      <c r="AZ2627" s="32"/>
      <c r="BA2627" s="32"/>
      <c r="BB2627" s="31"/>
      <c r="BC2627" s="31"/>
      <c r="BD2627" s="31"/>
      <c r="BE2627" s="31"/>
      <c r="BF2627" s="96"/>
    </row>
    <row r="2628" spans="42:58" x14ac:dyDescent="0.35">
      <c r="AP2628" s="92"/>
      <c r="AQ2628" s="67"/>
      <c r="AR2628" s="67"/>
      <c r="AS2628" s="73"/>
      <c r="AT2628" s="67"/>
      <c r="AU2628" s="67"/>
      <c r="AV2628" s="73"/>
      <c r="AW2628" s="68"/>
      <c r="AX2628" s="68"/>
      <c r="AY2628" s="68"/>
      <c r="AZ2628" s="68"/>
      <c r="BA2628" s="68"/>
      <c r="BB2628" s="67"/>
      <c r="BC2628" s="67"/>
      <c r="BD2628" s="67"/>
      <c r="BE2628" s="67"/>
      <c r="BF2628" s="95"/>
    </row>
    <row r="2629" spans="42:58" x14ac:dyDescent="0.35">
      <c r="AP2629" s="93"/>
      <c r="AQ2629" s="31"/>
      <c r="AR2629" s="31"/>
      <c r="AS2629" s="94"/>
      <c r="AT2629" s="31"/>
      <c r="AU2629" s="31"/>
      <c r="AV2629" s="94"/>
      <c r="AW2629" s="32"/>
      <c r="AX2629" s="32"/>
      <c r="AY2629" s="32"/>
      <c r="AZ2629" s="32"/>
      <c r="BA2629" s="32"/>
      <c r="BB2629" s="31"/>
      <c r="BC2629" s="31"/>
      <c r="BD2629" s="31"/>
      <c r="BE2629" s="31"/>
      <c r="BF2629" s="96"/>
    </row>
    <row r="2630" spans="42:58" x14ac:dyDescent="0.35">
      <c r="AP2630" s="92"/>
      <c r="AQ2630" s="67"/>
      <c r="AR2630" s="67"/>
      <c r="AS2630" s="73"/>
      <c r="AT2630" s="67"/>
      <c r="AU2630" s="67"/>
      <c r="AV2630" s="73"/>
      <c r="AW2630" s="68"/>
      <c r="AX2630" s="68"/>
      <c r="AY2630" s="68"/>
      <c r="AZ2630" s="68"/>
      <c r="BA2630" s="68"/>
      <c r="BB2630" s="67"/>
      <c r="BC2630" s="67"/>
      <c r="BD2630" s="67"/>
      <c r="BE2630" s="67"/>
      <c r="BF2630" s="95"/>
    </row>
    <row r="2631" spans="42:58" x14ac:dyDescent="0.35">
      <c r="AP2631" s="93"/>
      <c r="AQ2631" s="31"/>
      <c r="AR2631" s="31"/>
      <c r="AS2631" s="94"/>
      <c r="AT2631" s="31"/>
      <c r="AU2631" s="31"/>
      <c r="AV2631" s="94"/>
      <c r="AW2631" s="32"/>
      <c r="AX2631" s="32"/>
      <c r="AY2631" s="32"/>
      <c r="AZ2631" s="32"/>
      <c r="BA2631" s="32"/>
      <c r="BB2631" s="31"/>
      <c r="BC2631" s="31"/>
      <c r="BD2631" s="31"/>
      <c r="BE2631" s="31"/>
      <c r="BF2631" s="96"/>
    </row>
    <row r="2632" spans="42:58" x14ac:dyDescent="0.35">
      <c r="AP2632" s="92"/>
      <c r="AQ2632" s="67"/>
      <c r="AR2632" s="67"/>
      <c r="AS2632" s="73"/>
      <c r="AT2632" s="67"/>
      <c r="AU2632" s="67"/>
      <c r="AV2632" s="73"/>
      <c r="AW2632" s="68"/>
      <c r="AX2632" s="68"/>
      <c r="AY2632" s="68"/>
      <c r="AZ2632" s="68"/>
      <c r="BA2632" s="68"/>
      <c r="BB2632" s="67"/>
      <c r="BC2632" s="67"/>
      <c r="BD2632" s="67"/>
      <c r="BE2632" s="67"/>
      <c r="BF2632" s="95"/>
    </row>
    <row r="2633" spans="42:58" x14ac:dyDescent="0.35">
      <c r="AP2633" s="93"/>
      <c r="AQ2633" s="31"/>
      <c r="AR2633" s="31"/>
      <c r="AS2633" s="94"/>
      <c r="AT2633" s="31"/>
      <c r="AU2633" s="31"/>
      <c r="AV2633" s="94"/>
      <c r="AW2633" s="32"/>
      <c r="AX2633" s="32"/>
      <c r="AY2633" s="32"/>
      <c r="AZ2633" s="32"/>
      <c r="BA2633" s="32"/>
      <c r="BB2633" s="31"/>
      <c r="BC2633" s="31"/>
      <c r="BD2633" s="31"/>
      <c r="BE2633" s="31"/>
      <c r="BF2633" s="96"/>
    </row>
    <row r="2634" spans="42:58" x14ac:dyDescent="0.35">
      <c r="AP2634" s="92"/>
      <c r="AQ2634" s="67"/>
      <c r="AR2634" s="67"/>
      <c r="AS2634" s="73"/>
      <c r="AT2634" s="67"/>
      <c r="AU2634" s="67"/>
      <c r="AV2634" s="73"/>
      <c r="AW2634" s="68"/>
      <c r="AX2634" s="68"/>
      <c r="AY2634" s="68"/>
      <c r="AZ2634" s="68"/>
      <c r="BA2634" s="68"/>
      <c r="BB2634" s="67"/>
      <c r="BC2634" s="67"/>
      <c r="BD2634" s="67"/>
      <c r="BE2634" s="67"/>
      <c r="BF2634" s="95"/>
    </row>
    <row r="2635" spans="42:58" x14ac:dyDescent="0.35">
      <c r="AP2635" s="93"/>
      <c r="AQ2635" s="31"/>
      <c r="AR2635" s="31"/>
      <c r="AS2635" s="94"/>
      <c r="AT2635" s="31"/>
      <c r="AU2635" s="31"/>
      <c r="AV2635" s="94"/>
      <c r="AW2635" s="32"/>
      <c r="AX2635" s="32"/>
      <c r="AY2635" s="32"/>
      <c r="AZ2635" s="32"/>
      <c r="BA2635" s="32"/>
      <c r="BB2635" s="31"/>
      <c r="BC2635" s="31"/>
      <c r="BD2635" s="31"/>
      <c r="BE2635" s="31"/>
      <c r="BF2635" s="96"/>
    </row>
    <row r="2636" spans="42:58" x14ac:dyDescent="0.35">
      <c r="AP2636" s="92"/>
      <c r="AQ2636" s="67"/>
      <c r="AR2636" s="67"/>
      <c r="AS2636" s="73"/>
      <c r="AT2636" s="67"/>
      <c r="AU2636" s="67"/>
      <c r="AV2636" s="73"/>
      <c r="AW2636" s="68"/>
      <c r="AX2636" s="68"/>
      <c r="AY2636" s="68"/>
      <c r="AZ2636" s="68"/>
      <c r="BA2636" s="68"/>
      <c r="BB2636" s="67"/>
      <c r="BC2636" s="67"/>
      <c r="BD2636" s="67"/>
      <c r="BE2636" s="67"/>
      <c r="BF2636" s="95"/>
    </row>
    <row r="2637" spans="42:58" x14ac:dyDescent="0.35">
      <c r="AP2637" s="93"/>
      <c r="AQ2637" s="31"/>
      <c r="AR2637" s="31"/>
      <c r="AS2637" s="94"/>
      <c r="AT2637" s="31"/>
      <c r="AU2637" s="31"/>
      <c r="AV2637" s="94"/>
      <c r="AW2637" s="32"/>
      <c r="AX2637" s="32"/>
      <c r="AY2637" s="32"/>
      <c r="AZ2637" s="32"/>
      <c r="BA2637" s="32"/>
      <c r="BB2637" s="31"/>
      <c r="BC2637" s="31"/>
      <c r="BD2637" s="31"/>
      <c r="BE2637" s="31"/>
      <c r="BF2637" s="96"/>
    </row>
    <row r="2638" spans="42:58" x14ac:dyDescent="0.35">
      <c r="AP2638" s="92"/>
      <c r="AQ2638" s="67"/>
      <c r="AR2638" s="67"/>
      <c r="AS2638" s="73"/>
      <c r="AT2638" s="67"/>
      <c r="AU2638" s="67"/>
      <c r="AV2638" s="73"/>
      <c r="AW2638" s="68"/>
      <c r="AX2638" s="68"/>
      <c r="AY2638" s="68"/>
      <c r="AZ2638" s="68"/>
      <c r="BA2638" s="68"/>
      <c r="BB2638" s="67"/>
      <c r="BC2638" s="67"/>
      <c r="BD2638" s="67"/>
      <c r="BE2638" s="67"/>
      <c r="BF2638" s="95"/>
    </row>
    <row r="2639" spans="42:58" x14ac:dyDescent="0.35">
      <c r="AP2639" s="93"/>
      <c r="AQ2639" s="31"/>
      <c r="AR2639" s="31"/>
      <c r="AS2639" s="94"/>
      <c r="AT2639" s="31"/>
      <c r="AU2639" s="31"/>
      <c r="AV2639" s="94"/>
      <c r="AW2639" s="32"/>
      <c r="AX2639" s="32"/>
      <c r="AY2639" s="32"/>
      <c r="AZ2639" s="32"/>
      <c r="BA2639" s="32"/>
      <c r="BB2639" s="31"/>
      <c r="BC2639" s="31"/>
      <c r="BD2639" s="31"/>
      <c r="BE2639" s="31"/>
      <c r="BF2639" s="96"/>
    </row>
    <row r="2640" spans="42:58" x14ac:dyDescent="0.35">
      <c r="AP2640" s="92"/>
      <c r="AQ2640" s="67"/>
      <c r="AR2640" s="67"/>
      <c r="AS2640" s="73"/>
      <c r="AT2640" s="67"/>
      <c r="AU2640" s="67"/>
      <c r="AV2640" s="73"/>
      <c r="AW2640" s="68"/>
      <c r="AX2640" s="68"/>
      <c r="AY2640" s="68"/>
      <c r="AZ2640" s="68"/>
      <c r="BA2640" s="68"/>
      <c r="BB2640" s="67"/>
      <c r="BC2640" s="67"/>
      <c r="BD2640" s="67"/>
      <c r="BE2640" s="67"/>
      <c r="BF2640" s="95"/>
    </row>
    <row r="2641" spans="42:58" x14ac:dyDescent="0.35">
      <c r="AP2641" s="93"/>
      <c r="AQ2641" s="31"/>
      <c r="AR2641" s="31"/>
      <c r="AS2641" s="94"/>
      <c r="AT2641" s="31"/>
      <c r="AU2641" s="31"/>
      <c r="AV2641" s="94"/>
      <c r="AW2641" s="32"/>
      <c r="AX2641" s="32"/>
      <c r="AY2641" s="32"/>
      <c r="AZ2641" s="32"/>
      <c r="BA2641" s="32"/>
      <c r="BB2641" s="31"/>
      <c r="BC2641" s="31"/>
      <c r="BD2641" s="31"/>
      <c r="BE2641" s="31"/>
      <c r="BF2641" s="96"/>
    </row>
    <row r="2642" spans="42:58" x14ac:dyDescent="0.35">
      <c r="AP2642" s="92"/>
      <c r="AQ2642" s="67"/>
      <c r="AR2642" s="67"/>
      <c r="AS2642" s="73"/>
      <c r="AT2642" s="67"/>
      <c r="AU2642" s="67"/>
      <c r="AV2642" s="73"/>
      <c r="AW2642" s="68"/>
      <c r="AX2642" s="68"/>
      <c r="AY2642" s="68"/>
      <c r="AZ2642" s="68"/>
      <c r="BA2642" s="68"/>
      <c r="BB2642" s="67"/>
      <c r="BC2642" s="67"/>
      <c r="BD2642" s="67"/>
      <c r="BE2642" s="67"/>
      <c r="BF2642" s="95"/>
    </row>
    <row r="2643" spans="42:58" x14ac:dyDescent="0.35">
      <c r="AP2643" s="93"/>
      <c r="AQ2643" s="31"/>
      <c r="AR2643" s="31"/>
      <c r="AS2643" s="94"/>
      <c r="AT2643" s="31"/>
      <c r="AU2643" s="31"/>
      <c r="AV2643" s="94"/>
      <c r="AW2643" s="32"/>
      <c r="AX2643" s="32"/>
      <c r="AY2643" s="32"/>
      <c r="AZ2643" s="32"/>
      <c r="BA2643" s="32"/>
      <c r="BB2643" s="31"/>
      <c r="BC2643" s="31"/>
      <c r="BD2643" s="31"/>
      <c r="BE2643" s="31"/>
      <c r="BF2643" s="96"/>
    </row>
    <row r="2644" spans="42:58" x14ac:dyDescent="0.35">
      <c r="AP2644" s="92"/>
      <c r="AQ2644" s="67"/>
      <c r="AR2644" s="67"/>
      <c r="AS2644" s="73"/>
      <c r="AT2644" s="67"/>
      <c r="AU2644" s="67"/>
      <c r="AV2644" s="73"/>
      <c r="AW2644" s="68"/>
      <c r="AX2644" s="68"/>
      <c r="AY2644" s="68"/>
      <c r="AZ2644" s="68"/>
      <c r="BA2644" s="68"/>
      <c r="BB2644" s="67"/>
      <c r="BC2644" s="67"/>
      <c r="BD2644" s="67"/>
      <c r="BE2644" s="67"/>
      <c r="BF2644" s="95"/>
    </row>
    <row r="2645" spans="42:58" x14ac:dyDescent="0.35">
      <c r="AP2645" s="93"/>
      <c r="AQ2645" s="31"/>
      <c r="AR2645" s="31"/>
      <c r="AS2645" s="94"/>
      <c r="AT2645" s="31"/>
      <c r="AU2645" s="31"/>
      <c r="AV2645" s="94"/>
      <c r="AW2645" s="32"/>
      <c r="AX2645" s="32"/>
      <c r="AY2645" s="32"/>
      <c r="AZ2645" s="32"/>
      <c r="BA2645" s="32"/>
      <c r="BB2645" s="31"/>
      <c r="BC2645" s="31"/>
      <c r="BD2645" s="31"/>
      <c r="BE2645" s="31"/>
      <c r="BF2645" s="96"/>
    </row>
    <row r="2646" spans="42:58" x14ac:dyDescent="0.35">
      <c r="AP2646" s="92"/>
      <c r="AQ2646" s="67"/>
      <c r="AR2646" s="67"/>
      <c r="AS2646" s="73"/>
      <c r="AT2646" s="67"/>
      <c r="AU2646" s="67"/>
      <c r="AV2646" s="73"/>
      <c r="AW2646" s="68"/>
      <c r="AX2646" s="68"/>
      <c r="AY2646" s="68"/>
      <c r="AZ2646" s="68"/>
      <c r="BA2646" s="68"/>
      <c r="BB2646" s="67"/>
      <c r="BC2646" s="67"/>
      <c r="BD2646" s="67"/>
      <c r="BE2646" s="67"/>
      <c r="BF2646" s="95"/>
    </row>
    <row r="2647" spans="42:58" x14ac:dyDescent="0.35">
      <c r="AP2647" s="93"/>
      <c r="AQ2647" s="31"/>
      <c r="AR2647" s="31"/>
      <c r="AS2647" s="94"/>
      <c r="AT2647" s="31"/>
      <c r="AU2647" s="31"/>
      <c r="AV2647" s="94"/>
      <c r="AW2647" s="32"/>
      <c r="AX2647" s="32"/>
      <c r="AY2647" s="32"/>
      <c r="AZ2647" s="32"/>
      <c r="BA2647" s="32"/>
      <c r="BB2647" s="31"/>
      <c r="BC2647" s="31"/>
      <c r="BD2647" s="31"/>
      <c r="BE2647" s="31"/>
      <c r="BF2647" s="96"/>
    </row>
    <row r="2648" spans="42:58" x14ac:dyDescent="0.35">
      <c r="AP2648" s="92"/>
      <c r="AQ2648" s="67"/>
      <c r="AR2648" s="67"/>
      <c r="AS2648" s="73"/>
      <c r="AT2648" s="67"/>
      <c r="AU2648" s="67"/>
      <c r="AV2648" s="73"/>
      <c r="AW2648" s="68"/>
      <c r="AX2648" s="68"/>
      <c r="AY2648" s="68"/>
      <c r="AZ2648" s="68"/>
      <c r="BA2648" s="68"/>
      <c r="BB2648" s="67"/>
      <c r="BC2648" s="67"/>
      <c r="BD2648" s="67"/>
      <c r="BE2648" s="67"/>
      <c r="BF2648" s="95"/>
    </row>
    <row r="2649" spans="42:58" x14ac:dyDescent="0.35">
      <c r="AP2649" s="93"/>
      <c r="AQ2649" s="31"/>
      <c r="AR2649" s="31"/>
      <c r="AS2649" s="94"/>
      <c r="AT2649" s="31"/>
      <c r="AU2649" s="31"/>
      <c r="AV2649" s="94"/>
      <c r="AW2649" s="32"/>
      <c r="AX2649" s="32"/>
      <c r="AY2649" s="32"/>
      <c r="AZ2649" s="32"/>
      <c r="BA2649" s="32"/>
      <c r="BB2649" s="31"/>
      <c r="BC2649" s="31"/>
      <c r="BD2649" s="31"/>
      <c r="BE2649" s="31"/>
      <c r="BF2649" s="96"/>
    </row>
    <row r="2650" spans="42:58" x14ac:dyDescent="0.35">
      <c r="AP2650" s="92"/>
      <c r="AQ2650" s="67"/>
      <c r="AR2650" s="67"/>
      <c r="AS2650" s="73"/>
      <c r="AT2650" s="67"/>
      <c r="AU2650" s="67"/>
      <c r="AV2650" s="73"/>
      <c r="AW2650" s="68"/>
      <c r="AX2650" s="68"/>
      <c r="AY2650" s="68"/>
      <c r="AZ2650" s="68"/>
      <c r="BA2650" s="68"/>
      <c r="BB2650" s="67"/>
      <c r="BC2650" s="67"/>
      <c r="BD2650" s="67"/>
      <c r="BE2650" s="67"/>
      <c r="BF2650" s="95"/>
    </row>
    <row r="2651" spans="42:58" x14ac:dyDescent="0.35">
      <c r="AP2651" s="93"/>
      <c r="AQ2651" s="31"/>
      <c r="AR2651" s="31"/>
      <c r="AS2651" s="94"/>
      <c r="AT2651" s="31"/>
      <c r="AU2651" s="31"/>
      <c r="AV2651" s="94"/>
      <c r="AW2651" s="32"/>
      <c r="AX2651" s="32"/>
      <c r="AY2651" s="32"/>
      <c r="AZ2651" s="32"/>
      <c r="BA2651" s="32"/>
      <c r="BB2651" s="31"/>
      <c r="BC2651" s="31"/>
      <c r="BD2651" s="31"/>
      <c r="BE2651" s="31"/>
      <c r="BF2651" s="96"/>
    </row>
    <row r="2652" spans="42:58" x14ac:dyDescent="0.35">
      <c r="AP2652" s="92"/>
      <c r="AQ2652" s="67"/>
      <c r="AR2652" s="67"/>
      <c r="AS2652" s="73"/>
      <c r="AT2652" s="67"/>
      <c r="AU2652" s="67"/>
      <c r="AV2652" s="73"/>
      <c r="AW2652" s="68"/>
      <c r="AX2652" s="68"/>
      <c r="AY2652" s="68"/>
      <c r="AZ2652" s="68"/>
      <c r="BA2652" s="68"/>
      <c r="BB2652" s="67"/>
      <c r="BC2652" s="67"/>
      <c r="BD2652" s="67"/>
      <c r="BE2652" s="67"/>
      <c r="BF2652" s="95"/>
    </row>
    <row r="2653" spans="42:58" x14ac:dyDescent="0.35">
      <c r="AP2653" s="93"/>
      <c r="AQ2653" s="31"/>
      <c r="AR2653" s="31"/>
      <c r="AS2653" s="94"/>
      <c r="AT2653" s="31"/>
      <c r="AU2653" s="31"/>
      <c r="AV2653" s="94"/>
      <c r="AW2653" s="32"/>
      <c r="AX2653" s="32"/>
      <c r="AY2653" s="32"/>
      <c r="AZ2653" s="32"/>
      <c r="BA2653" s="32"/>
      <c r="BB2653" s="31"/>
      <c r="BC2653" s="31"/>
      <c r="BD2653" s="31"/>
      <c r="BE2653" s="31"/>
      <c r="BF2653" s="96"/>
    </row>
    <row r="2654" spans="42:58" x14ac:dyDescent="0.35">
      <c r="AP2654" s="92"/>
      <c r="AQ2654" s="67"/>
      <c r="AR2654" s="67"/>
      <c r="AS2654" s="73"/>
      <c r="AT2654" s="67"/>
      <c r="AU2654" s="67"/>
      <c r="AV2654" s="73"/>
      <c r="AW2654" s="68"/>
      <c r="AX2654" s="68"/>
      <c r="AY2654" s="68"/>
      <c r="AZ2654" s="68"/>
      <c r="BA2654" s="68"/>
      <c r="BB2654" s="67"/>
      <c r="BC2654" s="67"/>
      <c r="BD2654" s="67"/>
      <c r="BE2654" s="67"/>
      <c r="BF2654" s="95"/>
    </row>
    <row r="2655" spans="42:58" x14ac:dyDescent="0.35">
      <c r="AP2655" s="93"/>
      <c r="AQ2655" s="31"/>
      <c r="AR2655" s="31"/>
      <c r="AS2655" s="94"/>
      <c r="AT2655" s="31"/>
      <c r="AU2655" s="31"/>
      <c r="AV2655" s="94"/>
      <c r="AW2655" s="32"/>
      <c r="AX2655" s="32"/>
      <c r="AY2655" s="32"/>
      <c r="AZ2655" s="32"/>
      <c r="BA2655" s="32"/>
      <c r="BB2655" s="31"/>
      <c r="BC2655" s="31"/>
      <c r="BD2655" s="31"/>
      <c r="BE2655" s="31"/>
      <c r="BF2655" s="96"/>
    </row>
    <row r="2656" spans="42:58" x14ac:dyDescent="0.35">
      <c r="AP2656" s="92"/>
      <c r="AQ2656" s="67"/>
      <c r="AR2656" s="67"/>
      <c r="AS2656" s="73"/>
      <c r="AT2656" s="67"/>
      <c r="AU2656" s="67"/>
      <c r="AV2656" s="73"/>
      <c r="AW2656" s="68"/>
      <c r="AX2656" s="68"/>
      <c r="AY2656" s="68"/>
      <c r="AZ2656" s="68"/>
      <c r="BA2656" s="68"/>
      <c r="BB2656" s="67"/>
      <c r="BC2656" s="67"/>
      <c r="BD2656" s="67"/>
      <c r="BE2656" s="67"/>
      <c r="BF2656" s="95"/>
    </row>
    <row r="2657" spans="42:58" x14ac:dyDescent="0.35">
      <c r="AP2657" s="93"/>
      <c r="AQ2657" s="31"/>
      <c r="AR2657" s="31"/>
      <c r="AS2657" s="94"/>
      <c r="AT2657" s="31"/>
      <c r="AU2657" s="31"/>
      <c r="AV2657" s="94"/>
      <c r="AW2657" s="32"/>
      <c r="AX2657" s="32"/>
      <c r="AY2657" s="32"/>
      <c r="AZ2657" s="32"/>
      <c r="BA2657" s="32"/>
      <c r="BB2657" s="31"/>
      <c r="BC2657" s="31"/>
      <c r="BD2657" s="31"/>
      <c r="BE2657" s="31"/>
      <c r="BF2657" s="96"/>
    </row>
    <row r="2658" spans="42:58" x14ac:dyDescent="0.35">
      <c r="AP2658" s="92"/>
      <c r="AQ2658" s="67"/>
      <c r="AR2658" s="67"/>
      <c r="AS2658" s="73"/>
      <c r="AT2658" s="67"/>
      <c r="AU2658" s="67"/>
      <c r="AV2658" s="73"/>
      <c r="AW2658" s="68"/>
      <c r="AX2658" s="68"/>
      <c r="AY2658" s="68"/>
      <c r="AZ2658" s="68"/>
      <c r="BA2658" s="68"/>
      <c r="BB2658" s="67"/>
      <c r="BC2658" s="67"/>
      <c r="BD2658" s="67"/>
      <c r="BE2658" s="67"/>
      <c r="BF2658" s="95"/>
    </row>
    <row r="2659" spans="42:58" x14ac:dyDescent="0.35">
      <c r="AP2659" s="93"/>
      <c r="AQ2659" s="31"/>
      <c r="AR2659" s="31"/>
      <c r="AS2659" s="94"/>
      <c r="AT2659" s="31"/>
      <c r="AU2659" s="31"/>
      <c r="AV2659" s="94"/>
      <c r="AW2659" s="32"/>
      <c r="AX2659" s="32"/>
      <c r="AY2659" s="32"/>
      <c r="AZ2659" s="32"/>
      <c r="BA2659" s="32"/>
      <c r="BB2659" s="31"/>
      <c r="BC2659" s="31"/>
      <c r="BD2659" s="31"/>
      <c r="BE2659" s="31"/>
      <c r="BF2659" s="96"/>
    </row>
    <row r="2660" spans="42:58" x14ac:dyDescent="0.35">
      <c r="AP2660" s="92"/>
      <c r="AQ2660" s="67"/>
      <c r="AR2660" s="67"/>
      <c r="AS2660" s="73"/>
      <c r="AT2660" s="67"/>
      <c r="AU2660" s="67"/>
      <c r="AV2660" s="73"/>
      <c r="AW2660" s="68"/>
      <c r="AX2660" s="68"/>
      <c r="AY2660" s="68"/>
      <c r="AZ2660" s="68"/>
      <c r="BA2660" s="68"/>
      <c r="BB2660" s="67"/>
      <c r="BC2660" s="67"/>
      <c r="BD2660" s="67"/>
      <c r="BE2660" s="67"/>
      <c r="BF2660" s="95"/>
    </row>
    <row r="2661" spans="42:58" x14ac:dyDescent="0.35">
      <c r="AP2661" s="93"/>
      <c r="AQ2661" s="31"/>
      <c r="AR2661" s="31"/>
      <c r="AS2661" s="94"/>
      <c r="AT2661" s="31"/>
      <c r="AU2661" s="31"/>
      <c r="AV2661" s="94"/>
      <c r="AW2661" s="32"/>
      <c r="AX2661" s="32"/>
      <c r="AY2661" s="32"/>
      <c r="AZ2661" s="32"/>
      <c r="BA2661" s="32"/>
      <c r="BB2661" s="31"/>
      <c r="BC2661" s="31"/>
      <c r="BD2661" s="31"/>
      <c r="BE2661" s="31"/>
      <c r="BF2661" s="96"/>
    </row>
    <row r="2662" spans="42:58" x14ac:dyDescent="0.35">
      <c r="AP2662" s="92"/>
      <c r="AQ2662" s="67"/>
      <c r="AR2662" s="67"/>
      <c r="AS2662" s="73"/>
      <c r="AT2662" s="67"/>
      <c r="AU2662" s="67"/>
      <c r="AV2662" s="73"/>
      <c r="AW2662" s="68"/>
      <c r="AX2662" s="68"/>
      <c r="AY2662" s="68"/>
      <c r="AZ2662" s="68"/>
      <c r="BA2662" s="68"/>
      <c r="BB2662" s="67"/>
      <c r="BC2662" s="67"/>
      <c r="BD2662" s="67"/>
      <c r="BE2662" s="67"/>
      <c r="BF2662" s="95"/>
    </row>
    <row r="2663" spans="42:58" x14ac:dyDescent="0.35">
      <c r="AP2663" s="93"/>
      <c r="AQ2663" s="31"/>
      <c r="AR2663" s="31"/>
      <c r="AS2663" s="94"/>
      <c r="AT2663" s="31"/>
      <c r="AU2663" s="31"/>
      <c r="AV2663" s="94"/>
      <c r="AW2663" s="32"/>
      <c r="AX2663" s="32"/>
      <c r="AY2663" s="32"/>
      <c r="AZ2663" s="32"/>
      <c r="BA2663" s="32"/>
      <c r="BB2663" s="31"/>
      <c r="BC2663" s="31"/>
      <c r="BD2663" s="31"/>
      <c r="BE2663" s="31"/>
      <c r="BF2663" s="96"/>
    </row>
    <row r="2664" spans="42:58" x14ac:dyDescent="0.35">
      <c r="AP2664" s="92"/>
      <c r="AQ2664" s="67"/>
      <c r="AR2664" s="67"/>
      <c r="AS2664" s="73"/>
      <c r="AT2664" s="67"/>
      <c r="AU2664" s="67"/>
      <c r="AV2664" s="73"/>
      <c r="AW2664" s="68"/>
      <c r="AX2664" s="68"/>
      <c r="AY2664" s="68"/>
      <c r="AZ2664" s="68"/>
      <c r="BA2664" s="68"/>
      <c r="BB2664" s="67"/>
      <c r="BC2664" s="67"/>
      <c r="BD2664" s="67"/>
      <c r="BE2664" s="67"/>
      <c r="BF2664" s="95"/>
    </row>
    <row r="2665" spans="42:58" x14ac:dyDescent="0.35">
      <c r="AP2665" s="93"/>
      <c r="AQ2665" s="31"/>
      <c r="AR2665" s="31"/>
      <c r="AS2665" s="94"/>
      <c r="AT2665" s="31"/>
      <c r="AU2665" s="31"/>
      <c r="AV2665" s="94"/>
      <c r="AW2665" s="32"/>
      <c r="AX2665" s="32"/>
      <c r="AY2665" s="32"/>
      <c r="AZ2665" s="32"/>
      <c r="BA2665" s="32"/>
      <c r="BB2665" s="31"/>
      <c r="BC2665" s="31"/>
      <c r="BD2665" s="31"/>
      <c r="BE2665" s="31"/>
      <c r="BF2665" s="96"/>
    </row>
    <row r="2666" spans="42:58" x14ac:dyDescent="0.35">
      <c r="AP2666" s="92"/>
      <c r="AQ2666" s="67"/>
      <c r="AR2666" s="67"/>
      <c r="AS2666" s="73"/>
      <c r="AT2666" s="67"/>
      <c r="AU2666" s="67"/>
      <c r="AV2666" s="73"/>
      <c r="AW2666" s="68"/>
      <c r="AX2666" s="68"/>
      <c r="AY2666" s="68"/>
      <c r="AZ2666" s="68"/>
      <c r="BA2666" s="68"/>
      <c r="BB2666" s="67"/>
      <c r="BC2666" s="67"/>
      <c r="BD2666" s="67"/>
      <c r="BE2666" s="67"/>
      <c r="BF2666" s="95"/>
    </row>
    <row r="2667" spans="42:58" x14ac:dyDescent="0.35">
      <c r="AP2667" s="93"/>
      <c r="AQ2667" s="31"/>
      <c r="AR2667" s="31"/>
      <c r="AS2667" s="94"/>
      <c r="AT2667" s="31"/>
      <c r="AU2667" s="31"/>
      <c r="AV2667" s="94"/>
      <c r="AW2667" s="32"/>
      <c r="AX2667" s="32"/>
      <c r="AY2667" s="32"/>
      <c r="AZ2667" s="32"/>
      <c r="BA2667" s="32"/>
      <c r="BB2667" s="31"/>
      <c r="BC2667" s="31"/>
      <c r="BD2667" s="31"/>
      <c r="BE2667" s="31"/>
      <c r="BF2667" s="96"/>
    </row>
    <row r="2668" spans="42:58" x14ac:dyDescent="0.35">
      <c r="AP2668" s="92"/>
      <c r="AQ2668" s="67"/>
      <c r="AR2668" s="67"/>
      <c r="AS2668" s="73"/>
      <c r="AT2668" s="67"/>
      <c r="AU2668" s="67"/>
      <c r="AV2668" s="73"/>
      <c r="AW2668" s="68"/>
      <c r="AX2668" s="68"/>
      <c r="AY2668" s="68"/>
      <c r="AZ2668" s="68"/>
      <c r="BA2668" s="68"/>
      <c r="BB2668" s="67"/>
      <c r="BC2668" s="67"/>
      <c r="BD2668" s="67"/>
      <c r="BE2668" s="67"/>
      <c r="BF2668" s="95"/>
    </row>
    <row r="2669" spans="42:58" x14ac:dyDescent="0.35">
      <c r="AP2669" s="93"/>
      <c r="AQ2669" s="31"/>
      <c r="AR2669" s="31"/>
      <c r="AS2669" s="94"/>
      <c r="AT2669" s="31"/>
      <c r="AU2669" s="31"/>
      <c r="AV2669" s="94"/>
      <c r="AW2669" s="32"/>
      <c r="AX2669" s="32"/>
      <c r="AY2669" s="32"/>
      <c r="AZ2669" s="32"/>
      <c r="BA2669" s="32"/>
      <c r="BB2669" s="31"/>
      <c r="BC2669" s="31"/>
      <c r="BD2669" s="31"/>
      <c r="BE2669" s="31"/>
      <c r="BF2669" s="96"/>
    </row>
    <row r="2670" spans="42:58" x14ac:dyDescent="0.35">
      <c r="AP2670" s="92"/>
      <c r="AQ2670" s="67"/>
      <c r="AR2670" s="67"/>
      <c r="AS2670" s="73"/>
      <c r="AT2670" s="67"/>
      <c r="AU2670" s="67"/>
      <c r="AV2670" s="73"/>
      <c r="AW2670" s="68"/>
      <c r="AX2670" s="68"/>
      <c r="AY2670" s="68"/>
      <c r="AZ2670" s="68"/>
      <c r="BA2670" s="68"/>
      <c r="BB2670" s="67"/>
      <c r="BC2670" s="67"/>
      <c r="BD2670" s="67"/>
      <c r="BE2670" s="67"/>
      <c r="BF2670" s="95"/>
    </row>
    <row r="2671" spans="42:58" x14ac:dyDescent="0.35">
      <c r="AP2671" s="93"/>
      <c r="AQ2671" s="31"/>
      <c r="AR2671" s="31"/>
      <c r="AS2671" s="94"/>
      <c r="AT2671" s="31"/>
      <c r="AU2671" s="31"/>
      <c r="AV2671" s="94"/>
      <c r="AW2671" s="32"/>
      <c r="AX2671" s="32"/>
      <c r="AY2671" s="32"/>
      <c r="AZ2671" s="32"/>
      <c r="BA2671" s="32"/>
      <c r="BB2671" s="31"/>
      <c r="BC2671" s="31"/>
      <c r="BD2671" s="31"/>
      <c r="BE2671" s="31"/>
      <c r="BF2671" s="96"/>
    </row>
    <row r="2672" spans="42:58" x14ac:dyDescent="0.35">
      <c r="AP2672" s="92"/>
      <c r="AQ2672" s="67"/>
      <c r="AR2672" s="67"/>
      <c r="AS2672" s="73"/>
      <c r="AT2672" s="67"/>
      <c r="AU2672" s="67"/>
      <c r="AV2672" s="73"/>
      <c r="AW2672" s="68"/>
      <c r="AX2672" s="68"/>
      <c r="AY2672" s="68"/>
      <c r="AZ2672" s="68"/>
      <c r="BA2672" s="68"/>
      <c r="BB2672" s="67"/>
      <c r="BC2672" s="67"/>
      <c r="BD2672" s="67"/>
      <c r="BE2672" s="67"/>
      <c r="BF2672" s="95"/>
    </row>
    <row r="2673" spans="42:58" x14ac:dyDescent="0.35">
      <c r="AP2673" s="93"/>
      <c r="AQ2673" s="31"/>
      <c r="AR2673" s="31"/>
      <c r="AS2673" s="94"/>
      <c r="AT2673" s="31"/>
      <c r="AU2673" s="31"/>
      <c r="AV2673" s="94"/>
      <c r="AW2673" s="32"/>
      <c r="AX2673" s="32"/>
      <c r="AY2673" s="32"/>
      <c r="AZ2673" s="32"/>
      <c r="BA2673" s="32"/>
      <c r="BB2673" s="31"/>
      <c r="BC2673" s="31"/>
      <c r="BD2673" s="31"/>
      <c r="BE2673" s="31"/>
      <c r="BF2673" s="96"/>
    </row>
    <row r="2674" spans="42:58" x14ac:dyDescent="0.35">
      <c r="AP2674" s="92"/>
      <c r="AQ2674" s="67"/>
      <c r="AR2674" s="67"/>
      <c r="AS2674" s="73"/>
      <c r="AT2674" s="67"/>
      <c r="AU2674" s="67"/>
      <c r="AV2674" s="73"/>
      <c r="AW2674" s="68"/>
      <c r="AX2674" s="68"/>
      <c r="AY2674" s="68"/>
      <c r="AZ2674" s="68"/>
      <c r="BA2674" s="68"/>
      <c r="BB2674" s="67"/>
      <c r="BC2674" s="67"/>
      <c r="BD2674" s="67"/>
      <c r="BE2674" s="67"/>
      <c r="BF2674" s="95"/>
    </row>
    <row r="2675" spans="42:58" x14ac:dyDescent="0.35">
      <c r="AP2675" s="93"/>
      <c r="AQ2675" s="31"/>
      <c r="AR2675" s="31"/>
      <c r="AS2675" s="94"/>
      <c r="AT2675" s="31"/>
      <c r="AU2675" s="31"/>
      <c r="AV2675" s="94"/>
      <c r="AW2675" s="32"/>
      <c r="AX2675" s="32"/>
      <c r="AY2675" s="32"/>
      <c r="AZ2675" s="32"/>
      <c r="BA2675" s="32"/>
      <c r="BB2675" s="31"/>
      <c r="BC2675" s="31"/>
      <c r="BD2675" s="31"/>
      <c r="BE2675" s="31"/>
      <c r="BF2675" s="96"/>
    </row>
    <row r="2676" spans="42:58" x14ac:dyDescent="0.35">
      <c r="AP2676" s="92"/>
      <c r="AQ2676" s="67"/>
      <c r="AR2676" s="67"/>
      <c r="AS2676" s="73"/>
      <c r="AT2676" s="67"/>
      <c r="AU2676" s="67"/>
      <c r="AV2676" s="73"/>
      <c r="AW2676" s="68"/>
      <c r="AX2676" s="68"/>
      <c r="AY2676" s="68"/>
      <c r="AZ2676" s="68"/>
      <c r="BA2676" s="68"/>
      <c r="BB2676" s="67"/>
      <c r="BC2676" s="67"/>
      <c r="BD2676" s="67"/>
      <c r="BE2676" s="67"/>
      <c r="BF2676" s="95"/>
    </row>
    <row r="2677" spans="42:58" x14ac:dyDescent="0.35">
      <c r="AP2677" s="93"/>
      <c r="AQ2677" s="31"/>
      <c r="AR2677" s="31"/>
      <c r="AS2677" s="94"/>
      <c r="AT2677" s="31"/>
      <c r="AU2677" s="31"/>
      <c r="AV2677" s="94"/>
      <c r="AW2677" s="32"/>
      <c r="AX2677" s="32"/>
      <c r="AY2677" s="32"/>
      <c r="AZ2677" s="32"/>
      <c r="BA2677" s="32"/>
      <c r="BB2677" s="31"/>
      <c r="BC2677" s="31"/>
      <c r="BD2677" s="31"/>
      <c r="BE2677" s="31"/>
      <c r="BF2677" s="96"/>
    </row>
    <row r="2678" spans="42:58" x14ac:dyDescent="0.35">
      <c r="AP2678" s="92"/>
      <c r="AQ2678" s="67"/>
      <c r="AR2678" s="67"/>
      <c r="AS2678" s="73"/>
      <c r="AT2678" s="67"/>
      <c r="AU2678" s="67"/>
      <c r="AV2678" s="73"/>
      <c r="AW2678" s="68"/>
      <c r="AX2678" s="68"/>
      <c r="AY2678" s="68"/>
      <c r="AZ2678" s="68"/>
      <c r="BA2678" s="68"/>
      <c r="BB2678" s="67"/>
      <c r="BC2678" s="67"/>
      <c r="BD2678" s="67"/>
      <c r="BE2678" s="67"/>
      <c r="BF2678" s="95"/>
    </row>
    <row r="2679" spans="42:58" x14ac:dyDescent="0.35">
      <c r="AP2679" s="93"/>
      <c r="AQ2679" s="31"/>
      <c r="AR2679" s="31"/>
      <c r="AS2679" s="94"/>
      <c r="AT2679" s="31"/>
      <c r="AU2679" s="31"/>
      <c r="AV2679" s="94"/>
      <c r="AW2679" s="32"/>
      <c r="AX2679" s="32"/>
      <c r="AY2679" s="32"/>
      <c r="AZ2679" s="32"/>
      <c r="BA2679" s="32"/>
      <c r="BB2679" s="31"/>
      <c r="BC2679" s="31"/>
      <c r="BD2679" s="31"/>
      <c r="BE2679" s="31"/>
      <c r="BF2679" s="96"/>
    </row>
    <row r="2680" spans="42:58" x14ac:dyDescent="0.35">
      <c r="AP2680" s="92"/>
      <c r="AQ2680" s="67"/>
      <c r="AR2680" s="67"/>
      <c r="AS2680" s="73"/>
      <c r="AT2680" s="67"/>
      <c r="AU2680" s="67"/>
      <c r="AV2680" s="73"/>
      <c r="AW2680" s="68"/>
      <c r="AX2680" s="68"/>
      <c r="AY2680" s="68"/>
      <c r="AZ2680" s="68"/>
      <c r="BA2680" s="68"/>
      <c r="BB2680" s="67"/>
      <c r="BC2680" s="67"/>
      <c r="BD2680" s="67"/>
      <c r="BE2680" s="67"/>
      <c r="BF2680" s="95"/>
    </row>
    <row r="2681" spans="42:58" x14ac:dyDescent="0.35">
      <c r="AP2681" s="93"/>
      <c r="AQ2681" s="31"/>
      <c r="AR2681" s="31"/>
      <c r="AS2681" s="94"/>
      <c r="AT2681" s="31"/>
      <c r="AU2681" s="31"/>
      <c r="AV2681" s="94"/>
      <c r="AW2681" s="32"/>
      <c r="AX2681" s="32"/>
      <c r="AY2681" s="32"/>
      <c r="AZ2681" s="32"/>
      <c r="BA2681" s="32"/>
      <c r="BB2681" s="31"/>
      <c r="BC2681" s="31"/>
      <c r="BD2681" s="31"/>
      <c r="BE2681" s="31"/>
      <c r="BF2681" s="96"/>
    </row>
    <row r="2682" spans="42:58" x14ac:dyDescent="0.35">
      <c r="AP2682" s="92"/>
      <c r="AQ2682" s="67"/>
      <c r="AR2682" s="67"/>
      <c r="AS2682" s="73"/>
      <c r="AT2682" s="67"/>
      <c r="AU2682" s="67"/>
      <c r="AV2682" s="73"/>
      <c r="AW2682" s="68"/>
      <c r="AX2682" s="68"/>
      <c r="AY2682" s="68"/>
      <c r="AZ2682" s="68"/>
      <c r="BA2682" s="68"/>
      <c r="BB2682" s="67"/>
      <c r="BC2682" s="67"/>
      <c r="BD2682" s="67"/>
      <c r="BE2682" s="67"/>
      <c r="BF2682" s="95"/>
    </row>
    <row r="2683" spans="42:58" x14ac:dyDescent="0.35">
      <c r="AP2683" s="93"/>
      <c r="AQ2683" s="31"/>
      <c r="AR2683" s="31"/>
      <c r="AS2683" s="94"/>
      <c r="AT2683" s="31"/>
      <c r="AU2683" s="31"/>
      <c r="AV2683" s="94"/>
      <c r="AW2683" s="32"/>
      <c r="AX2683" s="32"/>
      <c r="AY2683" s="32"/>
      <c r="AZ2683" s="32"/>
      <c r="BA2683" s="32"/>
      <c r="BB2683" s="31"/>
      <c r="BC2683" s="31"/>
      <c r="BD2683" s="31"/>
      <c r="BE2683" s="31"/>
      <c r="BF2683" s="96"/>
    </row>
    <row r="2684" spans="42:58" x14ac:dyDescent="0.35">
      <c r="AP2684" s="92"/>
      <c r="AQ2684" s="67"/>
      <c r="AR2684" s="67"/>
      <c r="AS2684" s="73"/>
      <c r="AT2684" s="67"/>
      <c r="AU2684" s="67"/>
      <c r="AV2684" s="73"/>
      <c r="AW2684" s="68"/>
      <c r="AX2684" s="68"/>
      <c r="AY2684" s="68"/>
      <c r="AZ2684" s="68"/>
      <c r="BA2684" s="68"/>
      <c r="BB2684" s="67"/>
      <c r="BC2684" s="67"/>
      <c r="BD2684" s="67"/>
      <c r="BE2684" s="67"/>
      <c r="BF2684" s="95"/>
    </row>
    <row r="2685" spans="42:58" x14ac:dyDescent="0.35">
      <c r="AP2685" s="93"/>
      <c r="AQ2685" s="31"/>
      <c r="AR2685" s="31"/>
      <c r="AS2685" s="94"/>
      <c r="AT2685" s="31"/>
      <c r="AU2685" s="31"/>
      <c r="AV2685" s="94"/>
      <c r="AW2685" s="32"/>
      <c r="AX2685" s="32"/>
      <c r="AY2685" s="32"/>
      <c r="AZ2685" s="32"/>
      <c r="BA2685" s="32"/>
      <c r="BB2685" s="31"/>
      <c r="BC2685" s="31"/>
      <c r="BD2685" s="31"/>
      <c r="BE2685" s="31"/>
      <c r="BF2685" s="96"/>
    </row>
    <row r="2686" spans="42:58" x14ac:dyDescent="0.35">
      <c r="AP2686" s="92"/>
      <c r="AQ2686" s="67"/>
      <c r="AR2686" s="67"/>
      <c r="AS2686" s="73"/>
      <c r="AT2686" s="67"/>
      <c r="AU2686" s="67"/>
      <c r="AV2686" s="73"/>
      <c r="AW2686" s="68"/>
      <c r="AX2686" s="68"/>
      <c r="AY2686" s="68"/>
      <c r="AZ2686" s="68"/>
      <c r="BA2686" s="68"/>
      <c r="BB2686" s="67"/>
      <c r="BC2686" s="67"/>
      <c r="BD2686" s="67"/>
      <c r="BE2686" s="67"/>
      <c r="BF2686" s="95"/>
    </row>
    <row r="2687" spans="42:58" x14ac:dyDescent="0.35">
      <c r="AP2687" s="93"/>
      <c r="AQ2687" s="31"/>
      <c r="AR2687" s="31"/>
      <c r="AS2687" s="94"/>
      <c r="AT2687" s="31"/>
      <c r="AU2687" s="31"/>
      <c r="AV2687" s="94"/>
      <c r="AW2687" s="32"/>
      <c r="AX2687" s="32"/>
      <c r="AY2687" s="32"/>
      <c r="AZ2687" s="32"/>
      <c r="BA2687" s="32"/>
      <c r="BB2687" s="31"/>
      <c r="BC2687" s="31"/>
      <c r="BD2687" s="31"/>
      <c r="BE2687" s="31"/>
      <c r="BF2687" s="96"/>
    </row>
    <row r="2688" spans="42:58" x14ac:dyDescent="0.35">
      <c r="AP2688" s="92"/>
      <c r="AQ2688" s="67"/>
      <c r="AR2688" s="67"/>
      <c r="AS2688" s="73"/>
      <c r="AT2688" s="67"/>
      <c r="AU2688" s="67"/>
      <c r="AV2688" s="73"/>
      <c r="AW2688" s="68"/>
      <c r="AX2688" s="68"/>
      <c r="AY2688" s="68"/>
      <c r="AZ2688" s="68"/>
      <c r="BA2688" s="68"/>
      <c r="BB2688" s="67"/>
      <c r="BC2688" s="67"/>
      <c r="BD2688" s="67"/>
      <c r="BE2688" s="67"/>
      <c r="BF2688" s="95"/>
    </row>
    <row r="2689" spans="42:58" x14ac:dyDescent="0.35">
      <c r="AP2689" s="93"/>
      <c r="AQ2689" s="31"/>
      <c r="AR2689" s="31"/>
      <c r="AS2689" s="94"/>
      <c r="AT2689" s="31"/>
      <c r="AU2689" s="31"/>
      <c r="AV2689" s="94"/>
      <c r="AW2689" s="32"/>
      <c r="AX2689" s="32"/>
      <c r="AY2689" s="32"/>
      <c r="AZ2689" s="32"/>
      <c r="BA2689" s="32"/>
      <c r="BB2689" s="31"/>
      <c r="BC2689" s="31"/>
      <c r="BD2689" s="31"/>
      <c r="BE2689" s="31"/>
      <c r="BF2689" s="96"/>
    </row>
    <row r="2690" spans="42:58" x14ac:dyDescent="0.35">
      <c r="AP2690" s="92"/>
      <c r="AQ2690" s="67"/>
      <c r="AR2690" s="67"/>
      <c r="AS2690" s="73"/>
      <c r="AT2690" s="67"/>
      <c r="AU2690" s="67"/>
      <c r="AV2690" s="73"/>
      <c r="AW2690" s="68"/>
      <c r="AX2690" s="68"/>
      <c r="AY2690" s="68"/>
      <c r="AZ2690" s="68"/>
      <c r="BA2690" s="68"/>
      <c r="BB2690" s="67"/>
      <c r="BC2690" s="67"/>
      <c r="BD2690" s="67"/>
      <c r="BE2690" s="67"/>
      <c r="BF2690" s="95"/>
    </row>
    <row r="2691" spans="42:58" x14ac:dyDescent="0.35">
      <c r="AP2691" s="93"/>
      <c r="AQ2691" s="31"/>
      <c r="AR2691" s="31"/>
      <c r="AS2691" s="94"/>
      <c r="AT2691" s="31"/>
      <c r="AU2691" s="31"/>
      <c r="AV2691" s="94"/>
      <c r="AW2691" s="32"/>
      <c r="AX2691" s="32"/>
      <c r="AY2691" s="32"/>
      <c r="AZ2691" s="32"/>
      <c r="BA2691" s="32"/>
      <c r="BB2691" s="31"/>
      <c r="BC2691" s="31"/>
      <c r="BD2691" s="31"/>
      <c r="BE2691" s="31"/>
      <c r="BF2691" s="96"/>
    </row>
    <row r="2692" spans="42:58" x14ac:dyDescent="0.35">
      <c r="AP2692" s="92"/>
      <c r="AQ2692" s="67"/>
      <c r="AR2692" s="67"/>
      <c r="AS2692" s="73"/>
      <c r="AT2692" s="67"/>
      <c r="AU2692" s="67"/>
      <c r="AV2692" s="73"/>
      <c r="AW2692" s="68"/>
      <c r="AX2692" s="68"/>
      <c r="AY2692" s="68"/>
      <c r="AZ2692" s="68"/>
      <c r="BA2692" s="68"/>
      <c r="BB2692" s="67"/>
      <c r="BC2692" s="67"/>
      <c r="BD2692" s="67"/>
      <c r="BE2692" s="67"/>
      <c r="BF2692" s="95"/>
    </row>
    <row r="2693" spans="42:58" x14ac:dyDescent="0.35">
      <c r="AP2693" s="93"/>
      <c r="AQ2693" s="31"/>
      <c r="AR2693" s="31"/>
      <c r="AS2693" s="94"/>
      <c r="AT2693" s="31"/>
      <c r="AU2693" s="31"/>
      <c r="AV2693" s="94"/>
      <c r="AW2693" s="32"/>
      <c r="AX2693" s="32"/>
      <c r="AY2693" s="32"/>
      <c r="AZ2693" s="32"/>
      <c r="BA2693" s="32"/>
      <c r="BB2693" s="31"/>
      <c r="BC2693" s="31"/>
      <c r="BD2693" s="31"/>
      <c r="BE2693" s="31"/>
      <c r="BF2693" s="96"/>
    </row>
    <row r="2694" spans="42:58" x14ac:dyDescent="0.35">
      <c r="AP2694" s="92"/>
      <c r="AQ2694" s="67"/>
      <c r="AR2694" s="67"/>
      <c r="AS2694" s="73"/>
      <c r="AT2694" s="67"/>
      <c r="AU2694" s="67"/>
      <c r="AV2694" s="73"/>
      <c r="AW2694" s="68"/>
      <c r="AX2694" s="68"/>
      <c r="AY2694" s="68"/>
      <c r="AZ2694" s="68"/>
      <c r="BA2694" s="68"/>
      <c r="BB2694" s="67"/>
      <c r="BC2694" s="67"/>
      <c r="BD2694" s="67"/>
      <c r="BE2694" s="67"/>
      <c r="BF2694" s="95"/>
    </row>
    <row r="2695" spans="42:58" x14ac:dyDescent="0.35">
      <c r="AP2695" s="93"/>
      <c r="AQ2695" s="31"/>
      <c r="AR2695" s="31"/>
      <c r="AS2695" s="94"/>
      <c r="AT2695" s="31"/>
      <c r="AU2695" s="31"/>
      <c r="AV2695" s="94"/>
      <c r="AW2695" s="32"/>
      <c r="AX2695" s="32"/>
      <c r="AY2695" s="32"/>
      <c r="AZ2695" s="32"/>
      <c r="BA2695" s="32"/>
      <c r="BB2695" s="31"/>
      <c r="BC2695" s="31"/>
      <c r="BD2695" s="31"/>
      <c r="BE2695" s="31"/>
      <c r="BF2695" s="96"/>
    </row>
    <row r="2696" spans="42:58" x14ac:dyDescent="0.35">
      <c r="AP2696" s="92"/>
      <c r="AQ2696" s="67"/>
      <c r="AR2696" s="67"/>
      <c r="AS2696" s="73"/>
      <c r="AT2696" s="67"/>
      <c r="AU2696" s="67"/>
      <c r="AV2696" s="73"/>
      <c r="AW2696" s="68"/>
      <c r="AX2696" s="68"/>
      <c r="AY2696" s="68"/>
      <c r="AZ2696" s="68"/>
      <c r="BA2696" s="68"/>
      <c r="BB2696" s="67"/>
      <c r="BC2696" s="67"/>
      <c r="BD2696" s="67"/>
      <c r="BE2696" s="67"/>
      <c r="BF2696" s="95"/>
    </row>
    <row r="2697" spans="42:58" x14ac:dyDescent="0.35">
      <c r="AP2697" s="93"/>
      <c r="AQ2697" s="31"/>
      <c r="AR2697" s="31"/>
      <c r="AS2697" s="94"/>
      <c r="AT2697" s="31"/>
      <c r="AU2697" s="31"/>
      <c r="AV2697" s="94"/>
      <c r="AW2697" s="32"/>
      <c r="AX2697" s="32"/>
      <c r="AY2697" s="32"/>
      <c r="AZ2697" s="32"/>
      <c r="BA2697" s="32"/>
      <c r="BB2697" s="31"/>
      <c r="BC2697" s="31"/>
      <c r="BD2697" s="31"/>
      <c r="BE2697" s="31"/>
      <c r="BF2697" s="96"/>
    </row>
    <row r="2698" spans="42:58" x14ac:dyDescent="0.35">
      <c r="AP2698" s="92"/>
      <c r="AQ2698" s="67"/>
      <c r="AR2698" s="67"/>
      <c r="AS2698" s="73"/>
      <c r="AT2698" s="67"/>
      <c r="AU2698" s="67"/>
      <c r="AV2698" s="73"/>
      <c r="AW2698" s="68"/>
      <c r="AX2698" s="68"/>
      <c r="AY2698" s="68"/>
      <c r="AZ2698" s="68"/>
      <c r="BA2698" s="68"/>
      <c r="BB2698" s="67"/>
      <c r="BC2698" s="67"/>
      <c r="BD2698" s="67"/>
      <c r="BE2698" s="67"/>
      <c r="BF2698" s="95"/>
    </row>
    <row r="2699" spans="42:58" x14ac:dyDescent="0.35">
      <c r="AP2699" s="93"/>
      <c r="AQ2699" s="31"/>
      <c r="AR2699" s="31"/>
      <c r="AS2699" s="94"/>
      <c r="AT2699" s="31"/>
      <c r="AU2699" s="31"/>
      <c r="AV2699" s="94"/>
      <c r="AW2699" s="32"/>
      <c r="AX2699" s="32"/>
      <c r="AY2699" s="32"/>
      <c r="AZ2699" s="32"/>
      <c r="BA2699" s="32"/>
      <c r="BB2699" s="31"/>
      <c r="BC2699" s="31"/>
      <c r="BD2699" s="31"/>
      <c r="BE2699" s="31"/>
      <c r="BF2699" s="96"/>
    </row>
    <row r="2700" spans="42:58" x14ac:dyDescent="0.35">
      <c r="AP2700" s="92"/>
      <c r="AQ2700" s="67"/>
      <c r="AR2700" s="67"/>
      <c r="AS2700" s="73"/>
      <c r="AT2700" s="67"/>
      <c r="AU2700" s="67"/>
      <c r="AV2700" s="73"/>
      <c r="AW2700" s="68"/>
      <c r="AX2700" s="68"/>
      <c r="AY2700" s="68"/>
      <c r="AZ2700" s="68"/>
      <c r="BA2700" s="68"/>
      <c r="BB2700" s="67"/>
      <c r="BC2700" s="67"/>
      <c r="BD2700" s="67"/>
      <c r="BE2700" s="67"/>
      <c r="BF2700" s="95"/>
    </row>
    <row r="2701" spans="42:58" x14ac:dyDescent="0.35">
      <c r="AP2701" s="93"/>
      <c r="AQ2701" s="31"/>
      <c r="AR2701" s="31"/>
      <c r="AS2701" s="94"/>
      <c r="AT2701" s="31"/>
      <c r="AU2701" s="31"/>
      <c r="AV2701" s="94"/>
      <c r="AW2701" s="32"/>
      <c r="AX2701" s="32"/>
      <c r="AY2701" s="32"/>
      <c r="AZ2701" s="32"/>
      <c r="BA2701" s="32"/>
      <c r="BB2701" s="31"/>
      <c r="BC2701" s="31"/>
      <c r="BD2701" s="31"/>
      <c r="BE2701" s="31"/>
      <c r="BF2701" s="96"/>
    </row>
    <row r="2702" spans="42:58" x14ac:dyDescent="0.35">
      <c r="AP2702" s="92"/>
      <c r="AQ2702" s="67"/>
      <c r="AR2702" s="67"/>
      <c r="AS2702" s="73"/>
      <c r="AT2702" s="67"/>
      <c r="AU2702" s="67"/>
      <c r="AV2702" s="73"/>
      <c r="AW2702" s="68"/>
      <c r="AX2702" s="68"/>
      <c r="AY2702" s="68"/>
      <c r="AZ2702" s="68"/>
      <c r="BA2702" s="68"/>
      <c r="BB2702" s="67"/>
      <c r="BC2702" s="67"/>
      <c r="BD2702" s="67"/>
      <c r="BE2702" s="67"/>
      <c r="BF2702" s="95"/>
    </row>
    <row r="2703" spans="42:58" x14ac:dyDescent="0.35">
      <c r="AP2703" s="93"/>
      <c r="AQ2703" s="31"/>
      <c r="AR2703" s="31"/>
      <c r="AS2703" s="94"/>
      <c r="AT2703" s="31"/>
      <c r="AU2703" s="31"/>
      <c r="AV2703" s="94"/>
      <c r="AW2703" s="32"/>
      <c r="AX2703" s="32"/>
      <c r="AY2703" s="32"/>
      <c r="AZ2703" s="32"/>
      <c r="BA2703" s="32"/>
      <c r="BB2703" s="31"/>
      <c r="BC2703" s="31"/>
      <c r="BD2703" s="31"/>
      <c r="BE2703" s="31"/>
      <c r="BF2703" s="96"/>
    </row>
    <row r="2704" spans="42:58" x14ac:dyDescent="0.35">
      <c r="AP2704" s="92"/>
      <c r="AQ2704" s="67"/>
      <c r="AR2704" s="67"/>
      <c r="AS2704" s="73"/>
      <c r="AT2704" s="67"/>
      <c r="AU2704" s="67"/>
      <c r="AV2704" s="73"/>
      <c r="AW2704" s="68"/>
      <c r="AX2704" s="68"/>
      <c r="AY2704" s="68"/>
      <c r="AZ2704" s="68"/>
      <c r="BA2704" s="68"/>
      <c r="BB2704" s="67"/>
      <c r="BC2704" s="67"/>
      <c r="BD2704" s="67"/>
      <c r="BE2704" s="67"/>
      <c r="BF2704" s="95"/>
    </row>
    <row r="2705" spans="42:58" x14ac:dyDescent="0.35">
      <c r="AP2705" s="93"/>
      <c r="AQ2705" s="31"/>
      <c r="AR2705" s="31"/>
      <c r="AS2705" s="94"/>
      <c r="AT2705" s="31"/>
      <c r="AU2705" s="31"/>
      <c r="AV2705" s="94"/>
      <c r="AW2705" s="32"/>
      <c r="AX2705" s="32"/>
      <c r="AY2705" s="32"/>
      <c r="AZ2705" s="32"/>
      <c r="BA2705" s="32"/>
      <c r="BB2705" s="31"/>
      <c r="BC2705" s="31"/>
      <c r="BD2705" s="31"/>
      <c r="BE2705" s="31"/>
      <c r="BF2705" s="96"/>
    </row>
    <row r="2706" spans="42:58" x14ac:dyDescent="0.35">
      <c r="AP2706" s="92"/>
      <c r="AQ2706" s="67"/>
      <c r="AR2706" s="67"/>
      <c r="AS2706" s="73"/>
      <c r="AT2706" s="67"/>
      <c r="AU2706" s="67"/>
      <c r="AV2706" s="73"/>
      <c r="AW2706" s="68"/>
      <c r="AX2706" s="68"/>
      <c r="AY2706" s="68"/>
      <c r="AZ2706" s="68"/>
      <c r="BA2706" s="68"/>
      <c r="BB2706" s="67"/>
      <c r="BC2706" s="67"/>
      <c r="BD2706" s="67"/>
      <c r="BE2706" s="67"/>
      <c r="BF2706" s="95"/>
    </row>
    <row r="2707" spans="42:58" x14ac:dyDescent="0.35">
      <c r="AP2707" s="93"/>
      <c r="AQ2707" s="31"/>
      <c r="AR2707" s="31"/>
      <c r="AS2707" s="94"/>
      <c r="AT2707" s="31"/>
      <c r="AU2707" s="31"/>
      <c r="AV2707" s="94"/>
      <c r="AW2707" s="32"/>
      <c r="AX2707" s="32"/>
      <c r="AY2707" s="32"/>
      <c r="AZ2707" s="32"/>
      <c r="BA2707" s="32"/>
      <c r="BB2707" s="31"/>
      <c r="BC2707" s="31"/>
      <c r="BD2707" s="31"/>
      <c r="BE2707" s="31"/>
      <c r="BF2707" s="96"/>
    </row>
    <row r="2708" spans="42:58" x14ac:dyDescent="0.35">
      <c r="AP2708" s="92"/>
      <c r="AQ2708" s="67"/>
      <c r="AR2708" s="67"/>
      <c r="AS2708" s="73"/>
      <c r="AT2708" s="67"/>
      <c r="AU2708" s="67"/>
      <c r="AV2708" s="73"/>
      <c r="AW2708" s="68"/>
      <c r="AX2708" s="68"/>
      <c r="AY2708" s="68"/>
      <c r="AZ2708" s="68"/>
      <c r="BA2708" s="68"/>
      <c r="BB2708" s="67"/>
      <c r="BC2708" s="67"/>
      <c r="BD2708" s="67"/>
      <c r="BE2708" s="67"/>
      <c r="BF2708" s="95"/>
    </row>
    <row r="2709" spans="42:58" x14ac:dyDescent="0.35">
      <c r="AP2709" s="93"/>
      <c r="AQ2709" s="31"/>
      <c r="AR2709" s="31"/>
      <c r="AS2709" s="94"/>
      <c r="AT2709" s="31"/>
      <c r="AU2709" s="31"/>
      <c r="AV2709" s="94"/>
      <c r="AW2709" s="32"/>
      <c r="AX2709" s="32"/>
      <c r="AY2709" s="32"/>
      <c r="AZ2709" s="32"/>
      <c r="BA2709" s="32"/>
      <c r="BB2709" s="31"/>
      <c r="BC2709" s="31"/>
      <c r="BD2709" s="31"/>
      <c r="BE2709" s="31"/>
      <c r="BF2709" s="96"/>
    </row>
    <row r="2710" spans="42:58" x14ac:dyDescent="0.35">
      <c r="AP2710" s="92"/>
      <c r="AQ2710" s="67"/>
      <c r="AR2710" s="67"/>
      <c r="AS2710" s="73"/>
      <c r="AT2710" s="67"/>
      <c r="AU2710" s="67"/>
      <c r="AV2710" s="73"/>
      <c r="AW2710" s="68"/>
      <c r="AX2710" s="68"/>
      <c r="AY2710" s="68"/>
      <c r="AZ2710" s="68"/>
      <c r="BA2710" s="68"/>
      <c r="BB2710" s="67"/>
      <c r="BC2710" s="67"/>
      <c r="BD2710" s="67"/>
      <c r="BE2710" s="67"/>
      <c r="BF2710" s="95"/>
    </row>
    <row r="2711" spans="42:58" x14ac:dyDescent="0.35">
      <c r="AP2711" s="93"/>
      <c r="AQ2711" s="31"/>
      <c r="AR2711" s="31"/>
      <c r="AS2711" s="94"/>
      <c r="AT2711" s="31"/>
      <c r="AU2711" s="31"/>
      <c r="AV2711" s="94"/>
      <c r="AW2711" s="32"/>
      <c r="AX2711" s="32"/>
      <c r="AY2711" s="32"/>
      <c r="AZ2711" s="32"/>
      <c r="BA2711" s="32"/>
      <c r="BB2711" s="31"/>
      <c r="BC2711" s="31"/>
      <c r="BD2711" s="31"/>
      <c r="BE2711" s="31"/>
      <c r="BF2711" s="96"/>
    </row>
    <row r="2712" spans="42:58" x14ac:dyDescent="0.35">
      <c r="AP2712" s="92"/>
      <c r="AQ2712" s="67"/>
      <c r="AR2712" s="67"/>
      <c r="AS2712" s="73"/>
      <c r="AT2712" s="67"/>
      <c r="AU2712" s="67"/>
      <c r="AV2712" s="73"/>
      <c r="AW2712" s="68"/>
      <c r="AX2712" s="68"/>
      <c r="AY2712" s="68"/>
      <c r="AZ2712" s="68"/>
      <c r="BA2712" s="68"/>
      <c r="BB2712" s="67"/>
      <c r="BC2712" s="67"/>
      <c r="BD2712" s="67"/>
      <c r="BE2712" s="67"/>
      <c r="BF2712" s="95"/>
    </row>
    <row r="2713" spans="42:58" x14ac:dyDescent="0.35">
      <c r="AP2713" s="93"/>
      <c r="AQ2713" s="31"/>
      <c r="AR2713" s="31"/>
      <c r="AS2713" s="94"/>
      <c r="AT2713" s="31"/>
      <c r="AU2713" s="31"/>
      <c r="AV2713" s="94"/>
      <c r="AW2713" s="32"/>
      <c r="AX2713" s="32"/>
      <c r="AY2713" s="32"/>
      <c r="AZ2713" s="32"/>
      <c r="BA2713" s="32"/>
      <c r="BB2713" s="31"/>
      <c r="BC2713" s="31"/>
      <c r="BD2713" s="31"/>
      <c r="BE2713" s="31"/>
      <c r="BF2713" s="96"/>
    </row>
    <row r="2714" spans="42:58" x14ac:dyDescent="0.35">
      <c r="AP2714" s="92"/>
      <c r="AQ2714" s="67"/>
      <c r="AR2714" s="67"/>
      <c r="AS2714" s="73"/>
      <c r="AT2714" s="67"/>
      <c r="AU2714" s="67"/>
      <c r="AV2714" s="73"/>
      <c r="AW2714" s="68"/>
      <c r="AX2714" s="68"/>
      <c r="AY2714" s="68"/>
      <c r="AZ2714" s="68"/>
      <c r="BA2714" s="68"/>
      <c r="BB2714" s="67"/>
      <c r="BC2714" s="67"/>
      <c r="BD2714" s="67"/>
      <c r="BE2714" s="67"/>
      <c r="BF2714" s="95"/>
    </row>
    <row r="2715" spans="42:58" x14ac:dyDescent="0.35">
      <c r="AP2715" s="93"/>
      <c r="AQ2715" s="31"/>
      <c r="AR2715" s="31"/>
      <c r="AS2715" s="94"/>
      <c r="AT2715" s="31"/>
      <c r="AU2715" s="31"/>
      <c r="AV2715" s="94"/>
      <c r="AW2715" s="32"/>
      <c r="AX2715" s="32"/>
      <c r="AY2715" s="32"/>
      <c r="AZ2715" s="32"/>
      <c r="BA2715" s="32"/>
      <c r="BB2715" s="31"/>
      <c r="BC2715" s="31"/>
      <c r="BD2715" s="31"/>
      <c r="BE2715" s="31"/>
      <c r="BF2715" s="96"/>
    </row>
    <row r="2716" spans="42:58" x14ac:dyDescent="0.35">
      <c r="AP2716" s="92"/>
      <c r="AQ2716" s="67"/>
      <c r="AR2716" s="67"/>
      <c r="AS2716" s="73"/>
      <c r="AT2716" s="67"/>
      <c r="AU2716" s="67"/>
      <c r="AV2716" s="73"/>
      <c r="AW2716" s="68"/>
      <c r="AX2716" s="68"/>
      <c r="AY2716" s="68"/>
      <c r="AZ2716" s="68"/>
      <c r="BA2716" s="68"/>
      <c r="BB2716" s="67"/>
      <c r="BC2716" s="67"/>
      <c r="BD2716" s="67"/>
      <c r="BE2716" s="67"/>
      <c r="BF2716" s="95"/>
    </row>
    <row r="2717" spans="42:58" x14ac:dyDescent="0.35">
      <c r="AP2717" s="93"/>
      <c r="AQ2717" s="31"/>
      <c r="AR2717" s="31"/>
      <c r="AS2717" s="94"/>
      <c r="AT2717" s="31"/>
      <c r="AU2717" s="31"/>
      <c r="AV2717" s="94"/>
      <c r="AW2717" s="32"/>
      <c r="AX2717" s="32"/>
      <c r="AY2717" s="32"/>
      <c r="AZ2717" s="32"/>
      <c r="BA2717" s="32"/>
      <c r="BB2717" s="31"/>
      <c r="BC2717" s="31"/>
      <c r="BD2717" s="31"/>
      <c r="BE2717" s="31"/>
      <c r="BF2717" s="96"/>
    </row>
    <row r="2718" spans="42:58" x14ac:dyDescent="0.35">
      <c r="AP2718" s="92"/>
      <c r="AQ2718" s="67"/>
      <c r="AR2718" s="67"/>
      <c r="AS2718" s="73"/>
      <c r="AT2718" s="67"/>
      <c r="AU2718" s="67"/>
      <c r="AV2718" s="73"/>
      <c r="AW2718" s="68"/>
      <c r="AX2718" s="68"/>
      <c r="AY2718" s="68"/>
      <c r="AZ2718" s="68"/>
      <c r="BA2718" s="68"/>
      <c r="BB2718" s="67"/>
      <c r="BC2718" s="67"/>
      <c r="BD2718" s="67"/>
      <c r="BE2718" s="67"/>
      <c r="BF2718" s="95"/>
    </row>
    <row r="2719" spans="42:58" x14ac:dyDescent="0.35">
      <c r="AP2719" s="93"/>
      <c r="AQ2719" s="31"/>
      <c r="AR2719" s="31"/>
      <c r="AS2719" s="94"/>
      <c r="AT2719" s="31"/>
      <c r="AU2719" s="31"/>
      <c r="AV2719" s="94"/>
      <c r="AW2719" s="32"/>
      <c r="AX2719" s="32"/>
      <c r="AY2719" s="32"/>
      <c r="AZ2719" s="32"/>
      <c r="BA2719" s="32"/>
      <c r="BB2719" s="31"/>
      <c r="BC2719" s="31"/>
      <c r="BD2719" s="31"/>
      <c r="BE2719" s="31"/>
      <c r="BF2719" s="96"/>
    </row>
    <row r="2720" spans="42:58" x14ac:dyDescent="0.35">
      <c r="AP2720" s="92"/>
      <c r="AQ2720" s="67"/>
      <c r="AR2720" s="67"/>
      <c r="AS2720" s="73"/>
      <c r="AT2720" s="67"/>
      <c r="AU2720" s="67"/>
      <c r="AV2720" s="73"/>
      <c r="AW2720" s="68"/>
      <c r="AX2720" s="68"/>
      <c r="AY2720" s="68"/>
      <c r="AZ2720" s="68"/>
      <c r="BA2720" s="68"/>
      <c r="BB2720" s="67"/>
      <c r="BC2720" s="67"/>
      <c r="BD2720" s="67"/>
      <c r="BE2720" s="67"/>
      <c r="BF2720" s="95"/>
    </row>
    <row r="2721" spans="42:58" x14ac:dyDescent="0.35">
      <c r="AP2721" s="92"/>
      <c r="AQ2721" s="67"/>
      <c r="AR2721" s="67"/>
      <c r="AS2721" s="73"/>
      <c r="AT2721" s="67"/>
      <c r="AU2721" s="67"/>
      <c r="AV2721" s="73"/>
      <c r="AW2721" s="68"/>
      <c r="AX2721" s="68"/>
      <c r="AY2721" s="68"/>
      <c r="AZ2721" s="68"/>
      <c r="BA2721" s="68"/>
      <c r="BB2721" s="67"/>
      <c r="BC2721" s="67"/>
      <c r="BD2721" s="67"/>
      <c r="BE2721" s="67"/>
      <c r="BF2721" s="95"/>
    </row>
    <row r="2722" spans="42:58" x14ac:dyDescent="0.35">
      <c r="AP2722" s="93"/>
      <c r="AQ2722" s="31"/>
      <c r="AR2722" s="31"/>
      <c r="AS2722" s="94"/>
      <c r="AT2722" s="31"/>
      <c r="AU2722" s="31"/>
      <c r="AV2722" s="94"/>
      <c r="AW2722" s="32"/>
      <c r="AX2722" s="32"/>
      <c r="AY2722" s="32"/>
      <c r="AZ2722" s="32"/>
      <c r="BA2722" s="32"/>
      <c r="BB2722" s="31"/>
      <c r="BC2722" s="31"/>
      <c r="BD2722" s="31"/>
      <c r="BE2722" s="31"/>
      <c r="BF2722" s="96"/>
    </row>
    <row r="2723" spans="42:58" x14ac:dyDescent="0.35">
      <c r="AP2723" s="92"/>
      <c r="AQ2723" s="67"/>
      <c r="AR2723" s="67"/>
      <c r="AS2723" s="73"/>
      <c r="AT2723" s="67"/>
      <c r="AU2723" s="67"/>
      <c r="AV2723" s="73"/>
      <c r="AW2723" s="68"/>
      <c r="AX2723" s="68"/>
      <c r="AY2723" s="68"/>
      <c r="AZ2723" s="68"/>
      <c r="BA2723" s="68"/>
      <c r="BB2723" s="67"/>
      <c r="BC2723" s="67"/>
      <c r="BD2723" s="67"/>
      <c r="BE2723" s="67"/>
      <c r="BF2723" s="95"/>
    </row>
    <row r="2724" spans="42:58" x14ac:dyDescent="0.35">
      <c r="AP2724" s="93"/>
      <c r="AQ2724" s="31"/>
      <c r="AR2724" s="31"/>
      <c r="AS2724" s="94"/>
      <c r="AT2724" s="31"/>
      <c r="AU2724" s="31"/>
      <c r="AV2724" s="94"/>
      <c r="AW2724" s="32"/>
      <c r="AX2724" s="32"/>
      <c r="AY2724" s="32"/>
      <c r="AZ2724" s="32"/>
      <c r="BA2724" s="32"/>
      <c r="BB2724" s="31"/>
      <c r="BC2724" s="31"/>
      <c r="BD2724" s="31"/>
      <c r="BE2724" s="31"/>
      <c r="BF2724" s="96"/>
    </row>
    <row r="2725" spans="42:58" x14ac:dyDescent="0.35">
      <c r="AP2725" s="92"/>
      <c r="AQ2725" s="67"/>
      <c r="AR2725" s="67"/>
      <c r="AS2725" s="73"/>
      <c r="AT2725" s="67"/>
      <c r="AU2725" s="67"/>
      <c r="AV2725" s="73"/>
      <c r="AW2725" s="68"/>
      <c r="AX2725" s="68"/>
      <c r="AY2725" s="68"/>
      <c r="AZ2725" s="68"/>
      <c r="BA2725" s="68"/>
      <c r="BB2725" s="67"/>
      <c r="BC2725" s="67"/>
      <c r="BD2725" s="67"/>
      <c r="BE2725" s="67"/>
      <c r="BF2725" s="95"/>
    </row>
    <row r="2726" spans="42:58" x14ac:dyDescent="0.35">
      <c r="AP2726" s="93"/>
      <c r="AQ2726" s="31"/>
      <c r="AR2726" s="31"/>
      <c r="AS2726" s="94"/>
      <c r="AT2726" s="31"/>
      <c r="AU2726" s="31"/>
      <c r="AV2726" s="94"/>
      <c r="AW2726" s="32"/>
      <c r="AX2726" s="32"/>
      <c r="AY2726" s="32"/>
      <c r="AZ2726" s="32"/>
      <c r="BA2726" s="32"/>
      <c r="BB2726" s="31"/>
      <c r="BC2726" s="31"/>
      <c r="BD2726" s="31"/>
      <c r="BE2726" s="31"/>
      <c r="BF2726" s="96"/>
    </row>
    <row r="2727" spans="42:58" x14ac:dyDescent="0.35">
      <c r="AP2727" s="92"/>
      <c r="AQ2727" s="67"/>
      <c r="AR2727" s="67"/>
      <c r="AS2727" s="73"/>
      <c r="AT2727" s="67"/>
      <c r="AU2727" s="67"/>
      <c r="AV2727" s="73"/>
      <c r="AW2727" s="68"/>
      <c r="AX2727" s="68"/>
      <c r="AY2727" s="68"/>
      <c r="AZ2727" s="68"/>
      <c r="BA2727" s="68"/>
      <c r="BB2727" s="67"/>
      <c r="BC2727" s="67"/>
      <c r="BD2727" s="67"/>
      <c r="BE2727" s="67"/>
      <c r="BF2727" s="95"/>
    </row>
    <row r="2728" spans="42:58" x14ac:dyDescent="0.35">
      <c r="AP2728" s="93"/>
      <c r="AQ2728" s="31"/>
      <c r="AR2728" s="31"/>
      <c r="AS2728" s="94"/>
      <c r="AT2728" s="31"/>
      <c r="AU2728" s="31"/>
      <c r="AV2728" s="94"/>
      <c r="AW2728" s="32"/>
      <c r="AX2728" s="32"/>
      <c r="AY2728" s="32"/>
      <c r="AZ2728" s="32"/>
      <c r="BA2728" s="32"/>
      <c r="BB2728" s="31"/>
      <c r="BC2728" s="31"/>
      <c r="BD2728" s="31"/>
      <c r="BE2728" s="31"/>
      <c r="BF2728" s="96"/>
    </row>
    <row r="2729" spans="42:58" x14ac:dyDescent="0.35">
      <c r="AP2729" s="92"/>
      <c r="AQ2729" s="67"/>
      <c r="AR2729" s="67"/>
      <c r="AS2729" s="73"/>
      <c r="AT2729" s="67"/>
      <c r="AU2729" s="67"/>
      <c r="AV2729" s="73"/>
      <c r="AW2729" s="68"/>
      <c r="AX2729" s="68"/>
      <c r="AY2729" s="68"/>
      <c r="AZ2729" s="68"/>
      <c r="BA2729" s="68"/>
      <c r="BB2729" s="67"/>
      <c r="BC2729" s="67"/>
      <c r="BD2729" s="67"/>
      <c r="BE2729" s="67"/>
      <c r="BF2729" s="95"/>
    </row>
    <row r="2730" spans="42:58" x14ac:dyDescent="0.35">
      <c r="AP2730" s="93"/>
      <c r="AQ2730" s="31"/>
      <c r="AR2730" s="31"/>
      <c r="AS2730" s="94"/>
      <c r="AT2730" s="31"/>
      <c r="AU2730" s="31"/>
      <c r="AV2730" s="94"/>
      <c r="AW2730" s="32"/>
      <c r="AX2730" s="32"/>
      <c r="AY2730" s="32"/>
      <c r="AZ2730" s="32"/>
      <c r="BA2730" s="32"/>
      <c r="BB2730" s="31"/>
      <c r="BC2730" s="31"/>
      <c r="BD2730" s="31"/>
      <c r="BE2730" s="31"/>
      <c r="BF2730" s="96"/>
    </row>
    <row r="2731" spans="42:58" x14ac:dyDescent="0.35">
      <c r="AP2731" s="92"/>
      <c r="AQ2731" s="67"/>
      <c r="AR2731" s="67"/>
      <c r="AS2731" s="73"/>
      <c r="AT2731" s="67"/>
      <c r="AU2731" s="67"/>
      <c r="AV2731" s="73"/>
      <c r="AW2731" s="68"/>
      <c r="AX2731" s="68"/>
      <c r="AY2731" s="68"/>
      <c r="AZ2731" s="68"/>
      <c r="BA2731" s="68"/>
      <c r="BB2731" s="67"/>
      <c r="BC2731" s="67"/>
      <c r="BD2731" s="67"/>
      <c r="BE2731" s="67"/>
      <c r="BF2731" s="95"/>
    </row>
    <row r="2732" spans="42:58" x14ac:dyDescent="0.35">
      <c r="AP2732" s="93"/>
      <c r="AQ2732" s="31"/>
      <c r="AR2732" s="31"/>
      <c r="AS2732" s="94"/>
      <c r="AT2732" s="31"/>
      <c r="AU2732" s="31"/>
      <c r="AV2732" s="94"/>
      <c r="AW2732" s="32"/>
      <c r="AX2732" s="32"/>
      <c r="AY2732" s="32"/>
      <c r="AZ2732" s="32"/>
      <c r="BA2732" s="32"/>
      <c r="BB2732" s="31"/>
      <c r="BC2732" s="31"/>
      <c r="BD2732" s="31"/>
      <c r="BE2732" s="31"/>
      <c r="BF2732" s="96"/>
    </row>
    <row r="2733" spans="42:58" x14ac:dyDescent="0.35">
      <c r="AP2733" s="92"/>
      <c r="AQ2733" s="67"/>
      <c r="AR2733" s="67"/>
      <c r="AS2733" s="73"/>
      <c r="AT2733" s="67"/>
      <c r="AU2733" s="67"/>
      <c r="AV2733" s="73"/>
      <c r="AW2733" s="68"/>
      <c r="AX2733" s="68"/>
      <c r="AY2733" s="68"/>
      <c r="AZ2733" s="68"/>
      <c r="BA2733" s="68"/>
      <c r="BB2733" s="67"/>
      <c r="BC2733" s="67"/>
      <c r="BD2733" s="67"/>
      <c r="BE2733" s="67"/>
      <c r="BF2733" s="95"/>
    </row>
    <row r="2734" spans="42:58" x14ac:dyDescent="0.35">
      <c r="AP2734" s="93"/>
      <c r="AQ2734" s="31"/>
      <c r="AR2734" s="31"/>
      <c r="AS2734" s="94"/>
      <c r="AT2734" s="31"/>
      <c r="AU2734" s="31"/>
      <c r="AV2734" s="94"/>
      <c r="AW2734" s="32"/>
      <c r="AX2734" s="32"/>
      <c r="AY2734" s="32"/>
      <c r="AZ2734" s="32"/>
      <c r="BA2734" s="32"/>
      <c r="BB2734" s="31"/>
      <c r="BC2734" s="31"/>
      <c r="BD2734" s="31"/>
      <c r="BE2734" s="31"/>
      <c r="BF2734" s="96"/>
    </row>
    <row r="2735" spans="42:58" x14ac:dyDescent="0.35">
      <c r="AP2735" s="92"/>
      <c r="AQ2735" s="67"/>
      <c r="AR2735" s="67"/>
      <c r="AS2735" s="73"/>
      <c r="AT2735" s="67"/>
      <c r="AU2735" s="67"/>
      <c r="AV2735" s="73"/>
      <c r="AW2735" s="68"/>
      <c r="AX2735" s="68"/>
      <c r="AY2735" s="68"/>
      <c r="AZ2735" s="68"/>
      <c r="BA2735" s="68"/>
      <c r="BB2735" s="67"/>
      <c r="BC2735" s="67"/>
      <c r="BD2735" s="67"/>
      <c r="BE2735" s="67"/>
      <c r="BF2735" s="95"/>
    </row>
    <row r="2736" spans="42:58" x14ac:dyDescent="0.35">
      <c r="AP2736" s="93"/>
      <c r="AQ2736" s="31"/>
      <c r="AR2736" s="31"/>
      <c r="AS2736" s="94"/>
      <c r="AT2736" s="31"/>
      <c r="AU2736" s="31"/>
      <c r="AV2736" s="94"/>
      <c r="AW2736" s="32"/>
      <c r="AX2736" s="32"/>
      <c r="AY2736" s="32"/>
      <c r="AZ2736" s="32"/>
      <c r="BA2736" s="32"/>
      <c r="BB2736" s="31"/>
      <c r="BC2736" s="31"/>
      <c r="BD2736" s="31"/>
      <c r="BE2736" s="31"/>
      <c r="BF2736" s="96"/>
    </row>
    <row r="2737" spans="42:58" x14ac:dyDescent="0.35">
      <c r="AP2737" s="92"/>
      <c r="AQ2737" s="67"/>
      <c r="AR2737" s="67"/>
      <c r="AS2737" s="73"/>
      <c r="AT2737" s="67"/>
      <c r="AU2737" s="67"/>
      <c r="AV2737" s="73"/>
      <c r="AW2737" s="68"/>
      <c r="AX2737" s="68"/>
      <c r="AY2737" s="68"/>
      <c r="AZ2737" s="68"/>
      <c r="BA2737" s="68"/>
      <c r="BB2737" s="67"/>
      <c r="BC2737" s="67"/>
      <c r="BD2737" s="67"/>
      <c r="BE2737" s="67"/>
      <c r="BF2737" s="95"/>
    </row>
    <row r="2738" spans="42:58" x14ac:dyDescent="0.35">
      <c r="AP2738" s="93"/>
      <c r="AQ2738" s="31"/>
      <c r="AR2738" s="31"/>
      <c r="AS2738" s="94"/>
      <c r="AT2738" s="31"/>
      <c r="AU2738" s="31"/>
      <c r="AV2738" s="94"/>
      <c r="AW2738" s="32"/>
      <c r="AX2738" s="32"/>
      <c r="AY2738" s="32"/>
      <c r="AZ2738" s="32"/>
      <c r="BA2738" s="32"/>
      <c r="BB2738" s="31"/>
      <c r="BC2738" s="31"/>
      <c r="BD2738" s="31"/>
      <c r="BE2738" s="31"/>
      <c r="BF2738" s="96"/>
    </row>
    <row r="2739" spans="42:58" x14ac:dyDescent="0.35">
      <c r="AP2739" s="92"/>
      <c r="AQ2739" s="67"/>
      <c r="AR2739" s="67"/>
      <c r="AS2739" s="73"/>
      <c r="AT2739" s="67"/>
      <c r="AU2739" s="67"/>
      <c r="AV2739" s="73"/>
      <c r="AW2739" s="68"/>
      <c r="AX2739" s="68"/>
      <c r="AY2739" s="68"/>
      <c r="AZ2739" s="68"/>
      <c r="BA2739" s="68"/>
      <c r="BB2739" s="67"/>
      <c r="BC2739" s="67"/>
      <c r="BD2739" s="67"/>
      <c r="BE2739" s="67"/>
      <c r="BF2739" s="95"/>
    </row>
    <row r="2740" spans="42:58" x14ac:dyDescent="0.35">
      <c r="AP2740" s="93"/>
      <c r="AQ2740" s="31"/>
      <c r="AR2740" s="31"/>
      <c r="AS2740" s="94"/>
      <c r="AT2740" s="31"/>
      <c r="AU2740" s="31"/>
      <c r="AV2740" s="94"/>
      <c r="AW2740" s="32"/>
      <c r="AX2740" s="32"/>
      <c r="AY2740" s="32"/>
      <c r="AZ2740" s="32"/>
      <c r="BA2740" s="32"/>
      <c r="BB2740" s="31"/>
      <c r="BC2740" s="31"/>
      <c r="BD2740" s="31"/>
      <c r="BE2740" s="31"/>
      <c r="BF2740" s="96"/>
    </row>
    <row r="2741" spans="42:58" x14ac:dyDescent="0.35">
      <c r="AP2741" s="92"/>
      <c r="AQ2741" s="67"/>
      <c r="AR2741" s="67"/>
      <c r="AS2741" s="73"/>
      <c r="AT2741" s="67"/>
      <c r="AU2741" s="67"/>
      <c r="AV2741" s="73"/>
      <c r="AW2741" s="68"/>
      <c r="AX2741" s="68"/>
      <c r="AY2741" s="68"/>
      <c r="AZ2741" s="68"/>
      <c r="BA2741" s="68"/>
      <c r="BB2741" s="67"/>
      <c r="BC2741" s="67"/>
      <c r="BD2741" s="67"/>
      <c r="BE2741" s="67"/>
      <c r="BF2741" s="95"/>
    </row>
    <row r="2742" spans="42:58" x14ac:dyDescent="0.35">
      <c r="AP2742" s="93"/>
      <c r="AQ2742" s="31"/>
      <c r="AR2742" s="31"/>
      <c r="AS2742" s="94"/>
      <c r="AT2742" s="31"/>
      <c r="AU2742" s="31"/>
      <c r="AV2742" s="94"/>
      <c r="AW2742" s="32"/>
      <c r="AX2742" s="32"/>
      <c r="AY2742" s="32"/>
      <c r="AZ2742" s="32"/>
      <c r="BA2742" s="32"/>
      <c r="BB2742" s="31"/>
      <c r="BC2742" s="31"/>
      <c r="BD2742" s="31"/>
      <c r="BE2742" s="31"/>
      <c r="BF2742" s="96"/>
    </row>
    <row r="2743" spans="42:58" x14ac:dyDescent="0.35">
      <c r="AP2743" s="92"/>
      <c r="AQ2743" s="67"/>
      <c r="AR2743" s="67"/>
      <c r="AS2743" s="73"/>
      <c r="AT2743" s="67"/>
      <c r="AU2743" s="67"/>
      <c r="AV2743" s="73"/>
      <c r="AW2743" s="68"/>
      <c r="AX2743" s="68"/>
      <c r="AY2743" s="68"/>
      <c r="AZ2743" s="68"/>
      <c r="BA2743" s="68"/>
      <c r="BB2743" s="67"/>
      <c r="BC2743" s="67"/>
      <c r="BD2743" s="67"/>
      <c r="BE2743" s="67"/>
      <c r="BF2743" s="95"/>
    </row>
    <row r="2744" spans="42:58" x14ac:dyDescent="0.35">
      <c r="AP2744" s="93"/>
      <c r="AQ2744" s="31"/>
      <c r="AR2744" s="31"/>
      <c r="AS2744" s="94"/>
      <c r="AT2744" s="31"/>
      <c r="AU2744" s="31"/>
      <c r="AV2744" s="94"/>
      <c r="AW2744" s="32"/>
      <c r="AX2744" s="32"/>
      <c r="AY2744" s="32"/>
      <c r="AZ2744" s="32"/>
      <c r="BA2744" s="32"/>
      <c r="BB2744" s="31"/>
      <c r="BC2744" s="31"/>
      <c r="BD2744" s="31"/>
      <c r="BE2744" s="31"/>
      <c r="BF2744" s="96"/>
    </row>
    <row r="2745" spans="42:58" x14ac:dyDescent="0.35">
      <c r="AP2745" s="92"/>
      <c r="AQ2745" s="67"/>
      <c r="AR2745" s="67"/>
      <c r="AS2745" s="73"/>
      <c r="AT2745" s="67"/>
      <c r="AU2745" s="67"/>
      <c r="AV2745" s="73"/>
      <c r="AW2745" s="68"/>
      <c r="AX2745" s="68"/>
      <c r="AY2745" s="68"/>
      <c r="AZ2745" s="68"/>
      <c r="BA2745" s="68"/>
      <c r="BB2745" s="67"/>
      <c r="BC2745" s="67"/>
      <c r="BD2745" s="67"/>
      <c r="BE2745" s="67"/>
      <c r="BF2745" s="95"/>
    </row>
    <row r="2746" spans="42:58" x14ac:dyDescent="0.35">
      <c r="AP2746" s="93"/>
      <c r="AQ2746" s="31"/>
      <c r="AR2746" s="31"/>
      <c r="AS2746" s="94"/>
      <c r="AT2746" s="31"/>
      <c r="AU2746" s="31"/>
      <c r="AV2746" s="94"/>
      <c r="AW2746" s="32"/>
      <c r="AX2746" s="32"/>
      <c r="AY2746" s="32"/>
      <c r="AZ2746" s="32"/>
      <c r="BA2746" s="32"/>
      <c r="BB2746" s="31"/>
      <c r="BC2746" s="31"/>
      <c r="BD2746" s="31"/>
      <c r="BE2746" s="31"/>
      <c r="BF2746" s="96"/>
    </row>
    <row r="2747" spans="42:58" x14ac:dyDescent="0.35">
      <c r="AP2747" s="92"/>
      <c r="AQ2747" s="67"/>
      <c r="AR2747" s="67"/>
      <c r="AS2747" s="73"/>
      <c r="AT2747" s="67"/>
      <c r="AU2747" s="67"/>
      <c r="AV2747" s="73"/>
      <c r="AW2747" s="68"/>
      <c r="AX2747" s="68"/>
      <c r="AY2747" s="68"/>
      <c r="AZ2747" s="68"/>
      <c r="BA2747" s="68"/>
      <c r="BB2747" s="67"/>
      <c r="BC2747" s="67"/>
      <c r="BD2747" s="67"/>
      <c r="BE2747" s="67"/>
      <c r="BF2747" s="95"/>
    </row>
    <row r="2748" spans="42:58" x14ac:dyDescent="0.35">
      <c r="AP2748" s="93"/>
      <c r="AQ2748" s="31"/>
      <c r="AR2748" s="31"/>
      <c r="AS2748" s="94"/>
      <c r="AT2748" s="31"/>
      <c r="AU2748" s="31"/>
      <c r="AV2748" s="94"/>
      <c r="AW2748" s="32"/>
      <c r="AX2748" s="32"/>
      <c r="AY2748" s="32"/>
      <c r="AZ2748" s="32"/>
      <c r="BA2748" s="32"/>
      <c r="BB2748" s="31"/>
      <c r="BC2748" s="31"/>
      <c r="BD2748" s="31"/>
      <c r="BE2748" s="31"/>
      <c r="BF2748" s="96"/>
    </row>
    <row r="2749" spans="42:58" x14ac:dyDescent="0.35">
      <c r="AP2749" s="92"/>
      <c r="AQ2749" s="67"/>
      <c r="AR2749" s="67"/>
      <c r="AS2749" s="73"/>
      <c r="AT2749" s="67"/>
      <c r="AU2749" s="67"/>
      <c r="AV2749" s="73"/>
      <c r="AW2749" s="68"/>
      <c r="AX2749" s="68"/>
      <c r="AY2749" s="68"/>
      <c r="AZ2749" s="68"/>
      <c r="BA2749" s="68"/>
      <c r="BB2749" s="67"/>
      <c r="BC2749" s="67"/>
      <c r="BD2749" s="67"/>
      <c r="BE2749" s="67"/>
      <c r="BF2749" s="95"/>
    </row>
    <row r="2750" spans="42:58" x14ac:dyDescent="0.35">
      <c r="AP2750" s="93"/>
      <c r="AQ2750" s="31"/>
      <c r="AR2750" s="31"/>
      <c r="AS2750" s="94"/>
      <c r="AT2750" s="31"/>
      <c r="AU2750" s="31"/>
      <c r="AV2750" s="94"/>
      <c r="AW2750" s="32"/>
      <c r="AX2750" s="32"/>
      <c r="AY2750" s="32"/>
      <c r="AZ2750" s="32"/>
      <c r="BA2750" s="32"/>
      <c r="BB2750" s="31"/>
      <c r="BC2750" s="31"/>
      <c r="BD2750" s="31"/>
      <c r="BE2750" s="31"/>
      <c r="BF2750" s="96"/>
    </row>
    <row r="2751" spans="42:58" x14ac:dyDescent="0.35">
      <c r="AP2751" s="92"/>
      <c r="AQ2751" s="67"/>
      <c r="AR2751" s="67"/>
      <c r="AS2751" s="73"/>
      <c r="AT2751" s="67"/>
      <c r="AU2751" s="67"/>
      <c r="AV2751" s="73"/>
      <c r="AW2751" s="68"/>
      <c r="AX2751" s="68"/>
      <c r="AY2751" s="68"/>
      <c r="AZ2751" s="68"/>
      <c r="BA2751" s="68"/>
      <c r="BB2751" s="67"/>
      <c r="BC2751" s="67"/>
      <c r="BD2751" s="67"/>
      <c r="BE2751" s="67"/>
      <c r="BF2751" s="95"/>
    </row>
    <row r="2752" spans="42:58" x14ac:dyDescent="0.35">
      <c r="AP2752" s="93"/>
      <c r="AQ2752" s="31"/>
      <c r="AR2752" s="31"/>
      <c r="AS2752" s="94"/>
      <c r="AT2752" s="31"/>
      <c r="AU2752" s="31"/>
      <c r="AV2752" s="94"/>
      <c r="AW2752" s="32"/>
      <c r="AX2752" s="32"/>
      <c r="AY2752" s="32"/>
      <c r="AZ2752" s="32"/>
      <c r="BA2752" s="32"/>
      <c r="BB2752" s="31"/>
      <c r="BC2752" s="31"/>
      <c r="BD2752" s="31"/>
      <c r="BE2752" s="31"/>
      <c r="BF2752" s="96"/>
    </row>
    <row r="2753" spans="42:58" x14ac:dyDescent="0.35">
      <c r="AP2753" s="92"/>
      <c r="AQ2753" s="67"/>
      <c r="AR2753" s="67"/>
      <c r="AS2753" s="73"/>
      <c r="AT2753" s="67"/>
      <c r="AU2753" s="67"/>
      <c r="AV2753" s="73"/>
      <c r="AW2753" s="68"/>
      <c r="AX2753" s="68"/>
      <c r="AY2753" s="68"/>
      <c r="AZ2753" s="68"/>
      <c r="BA2753" s="68"/>
      <c r="BB2753" s="67"/>
      <c r="BC2753" s="67"/>
      <c r="BD2753" s="67"/>
      <c r="BE2753" s="67"/>
      <c r="BF2753" s="95"/>
    </row>
    <row r="2754" spans="42:58" x14ac:dyDescent="0.35">
      <c r="AP2754" s="93"/>
      <c r="AQ2754" s="31"/>
      <c r="AR2754" s="31"/>
      <c r="AS2754" s="94"/>
      <c r="AT2754" s="31"/>
      <c r="AU2754" s="31"/>
      <c r="AV2754" s="94"/>
      <c r="AW2754" s="32"/>
      <c r="AX2754" s="32"/>
      <c r="AY2754" s="32"/>
      <c r="AZ2754" s="32"/>
      <c r="BA2754" s="32"/>
      <c r="BB2754" s="31"/>
      <c r="BC2754" s="31"/>
      <c r="BD2754" s="31"/>
      <c r="BE2754" s="31"/>
      <c r="BF2754" s="96"/>
    </row>
    <row r="2755" spans="42:58" x14ac:dyDescent="0.35">
      <c r="AP2755" s="92"/>
      <c r="AQ2755" s="67"/>
      <c r="AR2755" s="67"/>
      <c r="AS2755" s="73"/>
      <c r="AT2755" s="67"/>
      <c r="AU2755" s="67"/>
      <c r="AV2755" s="73"/>
      <c r="AW2755" s="68"/>
      <c r="AX2755" s="68"/>
      <c r="AY2755" s="68"/>
      <c r="AZ2755" s="68"/>
      <c r="BA2755" s="68"/>
      <c r="BB2755" s="67"/>
      <c r="BC2755" s="67"/>
      <c r="BD2755" s="67"/>
      <c r="BE2755" s="67"/>
      <c r="BF2755" s="95"/>
    </row>
    <row r="2756" spans="42:58" x14ac:dyDescent="0.35">
      <c r="AP2756" s="93"/>
      <c r="AQ2756" s="31"/>
      <c r="AR2756" s="31"/>
      <c r="AS2756" s="94"/>
      <c r="AT2756" s="31"/>
      <c r="AU2756" s="31"/>
      <c r="AV2756" s="94"/>
      <c r="AW2756" s="32"/>
      <c r="AX2756" s="32"/>
      <c r="AY2756" s="32"/>
      <c r="AZ2756" s="32"/>
      <c r="BA2756" s="32"/>
      <c r="BB2756" s="31"/>
      <c r="BC2756" s="31"/>
      <c r="BD2756" s="31"/>
      <c r="BE2756" s="31"/>
      <c r="BF2756" s="96"/>
    </row>
    <row r="2757" spans="42:58" x14ac:dyDescent="0.35">
      <c r="AP2757" s="92"/>
      <c r="AQ2757" s="67"/>
      <c r="AR2757" s="67"/>
      <c r="AS2757" s="73"/>
      <c r="AT2757" s="67"/>
      <c r="AU2757" s="67"/>
      <c r="AV2757" s="73"/>
      <c r="AW2757" s="68"/>
      <c r="AX2757" s="68"/>
      <c r="AY2757" s="68"/>
      <c r="AZ2757" s="68"/>
      <c r="BA2757" s="68"/>
      <c r="BB2757" s="67"/>
      <c r="BC2757" s="67"/>
      <c r="BD2757" s="67"/>
      <c r="BE2757" s="67"/>
      <c r="BF2757" s="95"/>
    </row>
    <row r="2758" spans="42:58" x14ac:dyDescent="0.35">
      <c r="AP2758" s="93"/>
      <c r="AQ2758" s="31"/>
      <c r="AR2758" s="31"/>
      <c r="AS2758" s="94"/>
      <c r="AT2758" s="31"/>
      <c r="AU2758" s="31"/>
      <c r="AV2758" s="94"/>
      <c r="AW2758" s="32"/>
      <c r="AX2758" s="32"/>
      <c r="AY2758" s="32"/>
      <c r="AZ2758" s="32"/>
      <c r="BA2758" s="32"/>
      <c r="BB2758" s="31"/>
      <c r="BC2758" s="31"/>
      <c r="BD2758" s="31"/>
      <c r="BE2758" s="31"/>
      <c r="BF2758" s="96"/>
    </row>
    <row r="2759" spans="42:58" x14ac:dyDescent="0.35">
      <c r="AP2759" s="92"/>
      <c r="AQ2759" s="67"/>
      <c r="AR2759" s="67"/>
      <c r="AS2759" s="73"/>
      <c r="AT2759" s="67"/>
      <c r="AU2759" s="67"/>
      <c r="AV2759" s="73"/>
      <c r="AW2759" s="68"/>
      <c r="AX2759" s="68"/>
      <c r="AY2759" s="68"/>
      <c r="AZ2759" s="68"/>
      <c r="BA2759" s="68"/>
      <c r="BB2759" s="67"/>
      <c r="BC2759" s="67"/>
      <c r="BD2759" s="67"/>
      <c r="BE2759" s="67"/>
      <c r="BF2759" s="95"/>
    </row>
    <row r="2760" spans="42:58" x14ac:dyDescent="0.35">
      <c r="AP2760" s="93"/>
      <c r="AQ2760" s="31"/>
      <c r="AR2760" s="31"/>
      <c r="AS2760" s="94"/>
      <c r="AT2760" s="31"/>
      <c r="AU2760" s="31"/>
      <c r="AV2760" s="94"/>
      <c r="AW2760" s="32"/>
      <c r="AX2760" s="32"/>
      <c r="AY2760" s="32"/>
      <c r="AZ2760" s="32"/>
      <c r="BA2760" s="32"/>
      <c r="BB2760" s="31"/>
      <c r="BC2760" s="31"/>
      <c r="BD2760" s="31"/>
      <c r="BE2760" s="31"/>
      <c r="BF2760" s="96"/>
    </row>
    <row r="2761" spans="42:58" x14ac:dyDescent="0.35">
      <c r="AP2761" s="92"/>
      <c r="AQ2761" s="67"/>
      <c r="AR2761" s="67"/>
      <c r="AS2761" s="73"/>
      <c r="AT2761" s="67"/>
      <c r="AU2761" s="67"/>
      <c r="AV2761" s="73"/>
      <c r="AW2761" s="68"/>
      <c r="AX2761" s="68"/>
      <c r="AY2761" s="68"/>
      <c r="AZ2761" s="68"/>
      <c r="BA2761" s="68"/>
      <c r="BB2761" s="67"/>
      <c r="BC2761" s="67"/>
      <c r="BD2761" s="67"/>
      <c r="BE2761" s="67"/>
      <c r="BF2761" s="95"/>
    </row>
    <row r="2762" spans="42:58" x14ac:dyDescent="0.35">
      <c r="AP2762" s="93"/>
      <c r="AQ2762" s="31"/>
      <c r="AR2762" s="31"/>
      <c r="AS2762" s="94"/>
      <c r="AT2762" s="31"/>
      <c r="AU2762" s="31"/>
      <c r="AV2762" s="94"/>
      <c r="AW2762" s="32"/>
      <c r="AX2762" s="32"/>
      <c r="AY2762" s="32"/>
      <c r="AZ2762" s="32"/>
      <c r="BA2762" s="32"/>
      <c r="BB2762" s="31"/>
      <c r="BC2762" s="31"/>
      <c r="BD2762" s="31"/>
      <c r="BE2762" s="31"/>
      <c r="BF2762" s="96"/>
    </row>
    <row r="2763" spans="42:58" x14ac:dyDescent="0.35">
      <c r="AP2763" s="92"/>
      <c r="AQ2763" s="67"/>
      <c r="AR2763" s="67"/>
      <c r="AS2763" s="73"/>
      <c r="AT2763" s="67"/>
      <c r="AU2763" s="67"/>
      <c r="AV2763" s="73"/>
      <c r="AW2763" s="68"/>
      <c r="AX2763" s="68"/>
      <c r="AY2763" s="68"/>
      <c r="AZ2763" s="68"/>
      <c r="BA2763" s="68"/>
      <c r="BB2763" s="67"/>
      <c r="BC2763" s="67"/>
      <c r="BD2763" s="67"/>
      <c r="BE2763" s="67"/>
      <c r="BF2763" s="95"/>
    </row>
    <row r="2764" spans="42:58" x14ac:dyDescent="0.35">
      <c r="AP2764" s="93"/>
      <c r="AQ2764" s="31"/>
      <c r="AR2764" s="31"/>
      <c r="AS2764" s="94"/>
      <c r="AT2764" s="31"/>
      <c r="AU2764" s="31"/>
      <c r="AV2764" s="94"/>
      <c r="AW2764" s="32"/>
      <c r="AX2764" s="32"/>
      <c r="AY2764" s="32"/>
      <c r="AZ2764" s="32"/>
      <c r="BA2764" s="32"/>
      <c r="BB2764" s="31"/>
      <c r="BC2764" s="31"/>
      <c r="BD2764" s="31"/>
      <c r="BE2764" s="31"/>
      <c r="BF2764" s="96"/>
    </row>
    <row r="2765" spans="42:58" x14ac:dyDescent="0.35">
      <c r="AP2765" s="92"/>
      <c r="AQ2765" s="67"/>
      <c r="AR2765" s="67"/>
      <c r="AS2765" s="73"/>
      <c r="AT2765" s="67"/>
      <c r="AU2765" s="67"/>
      <c r="AV2765" s="73"/>
      <c r="AW2765" s="68"/>
      <c r="AX2765" s="68"/>
      <c r="AY2765" s="68"/>
      <c r="AZ2765" s="68"/>
      <c r="BA2765" s="68"/>
      <c r="BB2765" s="67"/>
      <c r="BC2765" s="67"/>
      <c r="BD2765" s="67"/>
      <c r="BE2765" s="67"/>
      <c r="BF2765" s="95"/>
    </row>
    <row r="2766" spans="42:58" x14ac:dyDescent="0.35">
      <c r="AP2766" s="93"/>
      <c r="AQ2766" s="31"/>
      <c r="AR2766" s="31"/>
      <c r="AS2766" s="94"/>
      <c r="AT2766" s="31"/>
      <c r="AU2766" s="31"/>
      <c r="AV2766" s="94"/>
      <c r="AW2766" s="32"/>
      <c r="AX2766" s="32"/>
      <c r="AY2766" s="32"/>
      <c r="AZ2766" s="32"/>
      <c r="BA2766" s="32"/>
      <c r="BB2766" s="31"/>
      <c r="BC2766" s="31"/>
      <c r="BD2766" s="31"/>
      <c r="BE2766" s="31"/>
      <c r="BF2766" s="96"/>
    </row>
    <row r="2767" spans="42:58" x14ac:dyDescent="0.35">
      <c r="AP2767" s="92"/>
      <c r="AQ2767" s="67"/>
      <c r="AR2767" s="67"/>
      <c r="AS2767" s="73"/>
      <c r="AT2767" s="67"/>
      <c r="AU2767" s="67"/>
      <c r="AV2767" s="73"/>
      <c r="AW2767" s="68"/>
      <c r="AX2767" s="68"/>
      <c r="AY2767" s="68"/>
      <c r="AZ2767" s="68"/>
      <c r="BA2767" s="68"/>
      <c r="BB2767" s="67"/>
      <c r="BC2767" s="67"/>
      <c r="BD2767" s="67"/>
      <c r="BE2767" s="67"/>
      <c r="BF2767" s="95"/>
    </row>
    <row r="2768" spans="42:58" x14ac:dyDescent="0.35">
      <c r="AP2768" s="93"/>
      <c r="AQ2768" s="31"/>
      <c r="AR2768" s="31"/>
      <c r="AS2768" s="94"/>
      <c r="AT2768" s="31"/>
      <c r="AU2768" s="31"/>
      <c r="AV2768" s="94"/>
      <c r="AW2768" s="32"/>
      <c r="AX2768" s="32"/>
      <c r="AY2768" s="32"/>
      <c r="AZ2768" s="32"/>
      <c r="BA2768" s="32"/>
      <c r="BB2768" s="31"/>
      <c r="BC2768" s="31"/>
      <c r="BD2768" s="31"/>
      <c r="BE2768" s="31"/>
      <c r="BF2768" s="96"/>
    </row>
    <row r="2769" spans="42:58" x14ac:dyDescent="0.35">
      <c r="AP2769" s="92"/>
      <c r="AQ2769" s="67"/>
      <c r="AR2769" s="67"/>
      <c r="AS2769" s="73"/>
      <c r="AT2769" s="67"/>
      <c r="AU2769" s="67"/>
      <c r="AV2769" s="73"/>
      <c r="AW2769" s="68"/>
      <c r="AX2769" s="68"/>
      <c r="AY2769" s="68"/>
      <c r="AZ2769" s="68"/>
      <c r="BA2769" s="68"/>
      <c r="BB2769" s="67"/>
      <c r="BC2769" s="67"/>
      <c r="BD2769" s="67"/>
      <c r="BE2769" s="67"/>
      <c r="BF2769" s="95"/>
    </row>
    <row r="2770" spans="42:58" x14ac:dyDescent="0.35">
      <c r="AP2770" s="93"/>
      <c r="AQ2770" s="31"/>
      <c r="AR2770" s="31"/>
      <c r="AS2770" s="94"/>
      <c r="AT2770" s="31"/>
      <c r="AU2770" s="31"/>
      <c r="AV2770" s="94"/>
      <c r="AW2770" s="32"/>
      <c r="AX2770" s="32"/>
      <c r="AY2770" s="32"/>
      <c r="AZ2770" s="32"/>
      <c r="BA2770" s="32"/>
      <c r="BB2770" s="31"/>
      <c r="BC2770" s="31"/>
      <c r="BD2770" s="31"/>
      <c r="BE2770" s="31"/>
      <c r="BF2770" s="96"/>
    </row>
    <row r="2771" spans="42:58" x14ac:dyDescent="0.35">
      <c r="AP2771" s="92"/>
      <c r="AQ2771" s="67"/>
      <c r="AR2771" s="67"/>
      <c r="AS2771" s="73"/>
      <c r="AT2771" s="67"/>
      <c r="AU2771" s="67"/>
      <c r="AV2771" s="73"/>
      <c r="AW2771" s="68"/>
      <c r="AX2771" s="68"/>
      <c r="AY2771" s="68"/>
      <c r="AZ2771" s="68"/>
      <c r="BA2771" s="68"/>
      <c r="BB2771" s="67"/>
      <c r="BC2771" s="67"/>
      <c r="BD2771" s="67"/>
      <c r="BE2771" s="67"/>
      <c r="BF2771" s="95"/>
    </row>
    <row r="2772" spans="42:58" x14ac:dyDescent="0.35">
      <c r="AP2772" s="93"/>
      <c r="AQ2772" s="31"/>
      <c r="AR2772" s="31"/>
      <c r="AS2772" s="94"/>
      <c r="AT2772" s="31"/>
      <c r="AU2772" s="31"/>
      <c r="AV2772" s="94"/>
      <c r="AW2772" s="32"/>
      <c r="AX2772" s="32"/>
      <c r="AY2772" s="32"/>
      <c r="AZ2772" s="32"/>
      <c r="BA2772" s="32"/>
      <c r="BB2772" s="31"/>
      <c r="BC2772" s="31"/>
      <c r="BD2772" s="31"/>
      <c r="BE2772" s="31"/>
      <c r="BF2772" s="96"/>
    </row>
    <row r="2773" spans="42:58" x14ac:dyDescent="0.35">
      <c r="AP2773" s="92"/>
      <c r="AQ2773" s="67"/>
      <c r="AR2773" s="67"/>
      <c r="AS2773" s="73"/>
      <c r="AT2773" s="67"/>
      <c r="AU2773" s="67"/>
      <c r="AV2773" s="73"/>
      <c r="AW2773" s="68"/>
      <c r="AX2773" s="68"/>
      <c r="AY2773" s="68"/>
      <c r="AZ2773" s="68"/>
      <c r="BA2773" s="68"/>
      <c r="BB2773" s="67"/>
      <c r="BC2773" s="67"/>
      <c r="BD2773" s="67"/>
      <c r="BE2773" s="67"/>
      <c r="BF2773" s="95"/>
    </row>
    <row r="2774" spans="42:58" x14ac:dyDescent="0.35">
      <c r="AP2774" s="93"/>
      <c r="AQ2774" s="31"/>
      <c r="AR2774" s="31"/>
      <c r="AS2774" s="94"/>
      <c r="AT2774" s="31"/>
      <c r="AU2774" s="31"/>
      <c r="AV2774" s="94"/>
      <c r="AW2774" s="32"/>
      <c r="AX2774" s="32"/>
      <c r="AY2774" s="32"/>
      <c r="AZ2774" s="32"/>
      <c r="BA2774" s="32"/>
      <c r="BB2774" s="31"/>
      <c r="BC2774" s="31"/>
      <c r="BD2774" s="31"/>
      <c r="BE2774" s="31"/>
      <c r="BF2774" s="96"/>
    </row>
    <row r="2775" spans="42:58" x14ac:dyDescent="0.35">
      <c r="AP2775" s="92"/>
      <c r="AQ2775" s="67"/>
      <c r="AR2775" s="67"/>
      <c r="AS2775" s="73"/>
      <c r="AT2775" s="67"/>
      <c r="AU2775" s="67"/>
      <c r="AV2775" s="73"/>
      <c r="AW2775" s="68"/>
      <c r="AX2775" s="68"/>
      <c r="AY2775" s="68"/>
      <c r="AZ2775" s="68"/>
      <c r="BA2775" s="68"/>
      <c r="BB2775" s="67"/>
      <c r="BC2775" s="67"/>
      <c r="BD2775" s="67"/>
      <c r="BE2775" s="67"/>
      <c r="BF2775" s="95"/>
    </row>
    <row r="2776" spans="42:58" x14ac:dyDescent="0.35">
      <c r="AP2776" s="93"/>
      <c r="AQ2776" s="31"/>
      <c r="AR2776" s="31"/>
      <c r="AS2776" s="94"/>
      <c r="AT2776" s="31"/>
      <c r="AU2776" s="31"/>
      <c r="AV2776" s="94"/>
      <c r="AW2776" s="32"/>
      <c r="AX2776" s="32"/>
      <c r="AY2776" s="32"/>
      <c r="AZ2776" s="32"/>
      <c r="BA2776" s="32"/>
      <c r="BB2776" s="31"/>
      <c r="BC2776" s="31"/>
      <c r="BD2776" s="31"/>
      <c r="BE2776" s="31"/>
      <c r="BF2776" s="96"/>
    </row>
    <row r="2777" spans="42:58" x14ac:dyDescent="0.35">
      <c r="AP2777" s="92"/>
      <c r="AQ2777" s="67"/>
      <c r="AR2777" s="67"/>
      <c r="AS2777" s="73"/>
      <c r="AT2777" s="67"/>
      <c r="AU2777" s="67"/>
      <c r="AV2777" s="73"/>
      <c r="AW2777" s="68"/>
      <c r="AX2777" s="68"/>
      <c r="AY2777" s="68"/>
      <c r="AZ2777" s="68"/>
      <c r="BA2777" s="68"/>
      <c r="BB2777" s="67"/>
      <c r="BC2777" s="67"/>
      <c r="BD2777" s="67"/>
      <c r="BE2777" s="67"/>
      <c r="BF2777" s="95"/>
    </row>
    <row r="2778" spans="42:58" x14ac:dyDescent="0.35">
      <c r="AP2778" s="93"/>
      <c r="AQ2778" s="31"/>
      <c r="AR2778" s="31"/>
      <c r="AS2778" s="94"/>
      <c r="AT2778" s="31"/>
      <c r="AU2778" s="31"/>
      <c r="AV2778" s="94"/>
      <c r="AW2778" s="32"/>
      <c r="AX2778" s="32"/>
      <c r="AY2778" s="32"/>
      <c r="AZ2778" s="32"/>
      <c r="BA2778" s="32"/>
      <c r="BB2778" s="31"/>
      <c r="BC2778" s="31"/>
      <c r="BD2778" s="31"/>
      <c r="BE2778" s="31"/>
      <c r="BF2778" s="96"/>
    </row>
    <row r="2779" spans="42:58" x14ac:dyDescent="0.35">
      <c r="AP2779" s="92"/>
      <c r="AQ2779" s="67"/>
      <c r="AR2779" s="67"/>
      <c r="AS2779" s="73"/>
      <c r="AT2779" s="67"/>
      <c r="AU2779" s="67"/>
      <c r="AV2779" s="73"/>
      <c r="AW2779" s="68"/>
      <c r="AX2779" s="68"/>
      <c r="AY2779" s="68"/>
      <c r="AZ2779" s="68"/>
      <c r="BA2779" s="68"/>
      <c r="BB2779" s="67"/>
      <c r="BC2779" s="67"/>
      <c r="BD2779" s="67"/>
      <c r="BE2779" s="67"/>
      <c r="BF2779" s="95"/>
    </row>
    <row r="2780" spans="42:58" x14ac:dyDescent="0.35">
      <c r="AP2780" s="93"/>
      <c r="AQ2780" s="31"/>
      <c r="AR2780" s="31"/>
      <c r="AS2780" s="94"/>
      <c r="AT2780" s="31"/>
      <c r="AU2780" s="31"/>
      <c r="AV2780" s="94"/>
      <c r="AW2780" s="32"/>
      <c r="AX2780" s="32"/>
      <c r="AY2780" s="32"/>
      <c r="AZ2780" s="32"/>
      <c r="BA2780" s="32"/>
      <c r="BB2780" s="31"/>
      <c r="BC2780" s="31"/>
      <c r="BD2780" s="31"/>
      <c r="BE2780" s="31"/>
      <c r="BF2780" s="96"/>
    </row>
    <row r="2781" spans="42:58" x14ac:dyDescent="0.35">
      <c r="AP2781" s="92"/>
      <c r="AQ2781" s="67"/>
      <c r="AR2781" s="67"/>
      <c r="AS2781" s="73"/>
      <c r="AT2781" s="67"/>
      <c r="AU2781" s="67"/>
      <c r="AV2781" s="73"/>
      <c r="AW2781" s="68"/>
      <c r="AX2781" s="68"/>
      <c r="AY2781" s="68"/>
      <c r="AZ2781" s="68"/>
      <c r="BA2781" s="68"/>
      <c r="BB2781" s="67"/>
      <c r="BC2781" s="67"/>
      <c r="BD2781" s="67"/>
      <c r="BE2781" s="67"/>
      <c r="BF2781" s="95"/>
    </row>
    <row r="2782" spans="42:58" x14ac:dyDescent="0.35">
      <c r="AP2782" s="93"/>
      <c r="AQ2782" s="31"/>
      <c r="AR2782" s="31"/>
      <c r="AS2782" s="94"/>
      <c r="AT2782" s="31"/>
      <c r="AU2782" s="31"/>
      <c r="AV2782" s="94"/>
      <c r="AW2782" s="32"/>
      <c r="AX2782" s="32"/>
      <c r="AY2782" s="32"/>
      <c r="AZ2782" s="32"/>
      <c r="BA2782" s="32"/>
      <c r="BB2782" s="31"/>
      <c r="BC2782" s="31"/>
      <c r="BD2782" s="31"/>
      <c r="BE2782" s="31"/>
      <c r="BF2782" s="96"/>
    </row>
    <row r="2783" spans="42:58" x14ac:dyDescent="0.35">
      <c r="AP2783" s="92"/>
      <c r="AQ2783" s="67"/>
      <c r="AR2783" s="67"/>
      <c r="AS2783" s="73"/>
      <c r="AT2783" s="67"/>
      <c r="AU2783" s="67"/>
      <c r="AV2783" s="73"/>
      <c r="AW2783" s="68"/>
      <c r="AX2783" s="68"/>
      <c r="AY2783" s="68"/>
      <c r="AZ2783" s="68"/>
      <c r="BA2783" s="68"/>
      <c r="BB2783" s="67"/>
      <c r="BC2783" s="67"/>
      <c r="BD2783" s="67"/>
      <c r="BE2783" s="67"/>
      <c r="BF2783" s="95"/>
    </row>
    <row r="2784" spans="42:58" x14ac:dyDescent="0.35">
      <c r="AP2784" s="93"/>
      <c r="AQ2784" s="31"/>
      <c r="AR2784" s="31"/>
      <c r="AS2784" s="94"/>
      <c r="AT2784" s="31"/>
      <c r="AU2784" s="31"/>
      <c r="AV2784" s="94"/>
      <c r="AW2784" s="32"/>
      <c r="AX2784" s="32"/>
      <c r="AY2784" s="32"/>
      <c r="AZ2784" s="32"/>
      <c r="BA2784" s="32"/>
      <c r="BB2784" s="31"/>
      <c r="BC2784" s="31"/>
      <c r="BD2784" s="31"/>
      <c r="BE2784" s="31"/>
      <c r="BF2784" s="96"/>
    </row>
    <row r="2785" spans="42:58" x14ac:dyDescent="0.35">
      <c r="AP2785" s="92"/>
      <c r="AQ2785" s="67"/>
      <c r="AR2785" s="67"/>
      <c r="AS2785" s="73"/>
      <c r="AT2785" s="67"/>
      <c r="AU2785" s="67"/>
      <c r="AV2785" s="73"/>
      <c r="AW2785" s="68"/>
      <c r="AX2785" s="68"/>
      <c r="AY2785" s="68"/>
      <c r="AZ2785" s="68"/>
      <c r="BA2785" s="68"/>
      <c r="BB2785" s="67"/>
      <c r="BC2785" s="67"/>
      <c r="BD2785" s="67"/>
      <c r="BE2785" s="67"/>
      <c r="BF2785" s="95"/>
    </row>
    <row r="2786" spans="42:58" x14ac:dyDescent="0.35">
      <c r="AP2786" s="93"/>
      <c r="AQ2786" s="31"/>
      <c r="AR2786" s="31"/>
      <c r="AS2786" s="94"/>
      <c r="AT2786" s="31"/>
      <c r="AU2786" s="31"/>
      <c r="AV2786" s="94"/>
      <c r="AW2786" s="32"/>
      <c r="AX2786" s="32"/>
      <c r="AY2786" s="32"/>
      <c r="AZ2786" s="32"/>
      <c r="BA2786" s="32"/>
      <c r="BB2786" s="31"/>
      <c r="BC2786" s="31"/>
      <c r="BD2786" s="31"/>
      <c r="BE2786" s="31"/>
      <c r="BF2786" s="96"/>
    </row>
    <row r="2787" spans="42:58" x14ac:dyDescent="0.35">
      <c r="AP2787" s="92"/>
      <c r="AQ2787" s="67"/>
      <c r="AR2787" s="67"/>
      <c r="AS2787" s="73"/>
      <c r="AT2787" s="67"/>
      <c r="AU2787" s="67"/>
      <c r="AV2787" s="73"/>
      <c r="AW2787" s="68"/>
      <c r="AX2787" s="68"/>
      <c r="AY2787" s="68"/>
      <c r="AZ2787" s="68"/>
      <c r="BA2787" s="68"/>
      <c r="BB2787" s="67"/>
      <c r="BC2787" s="67"/>
      <c r="BD2787" s="67"/>
      <c r="BE2787" s="67"/>
      <c r="BF2787" s="95"/>
    </row>
    <row r="2788" spans="42:58" x14ac:dyDescent="0.35">
      <c r="AP2788" s="93"/>
      <c r="AQ2788" s="31"/>
      <c r="AR2788" s="31"/>
      <c r="AS2788" s="94"/>
      <c r="AT2788" s="31"/>
      <c r="AU2788" s="31"/>
      <c r="AV2788" s="94"/>
      <c r="AW2788" s="32"/>
      <c r="AX2788" s="32"/>
      <c r="AY2788" s="32"/>
      <c r="AZ2788" s="32"/>
      <c r="BA2788" s="32"/>
      <c r="BB2788" s="31"/>
      <c r="BC2788" s="31"/>
      <c r="BD2788" s="31"/>
      <c r="BE2788" s="31"/>
      <c r="BF2788" s="96"/>
    </row>
    <row r="2789" spans="42:58" x14ac:dyDescent="0.35">
      <c r="AP2789" s="92"/>
      <c r="AQ2789" s="67"/>
      <c r="AR2789" s="67"/>
      <c r="AS2789" s="73"/>
      <c r="AT2789" s="67"/>
      <c r="AU2789" s="67"/>
      <c r="AV2789" s="73"/>
      <c r="AW2789" s="68"/>
      <c r="AX2789" s="68"/>
      <c r="AY2789" s="68"/>
      <c r="AZ2789" s="68"/>
      <c r="BA2789" s="68"/>
      <c r="BB2789" s="67"/>
      <c r="BC2789" s="67"/>
      <c r="BD2789" s="67"/>
      <c r="BE2789" s="67"/>
      <c r="BF2789" s="95"/>
    </row>
    <row r="2790" spans="42:58" x14ac:dyDescent="0.35">
      <c r="AP2790" s="93"/>
      <c r="AQ2790" s="31"/>
      <c r="AR2790" s="31"/>
      <c r="AS2790" s="94"/>
      <c r="AT2790" s="31"/>
      <c r="AU2790" s="31"/>
      <c r="AV2790" s="94"/>
      <c r="AW2790" s="32"/>
      <c r="AX2790" s="32"/>
      <c r="AY2790" s="32"/>
      <c r="AZ2790" s="32"/>
      <c r="BA2790" s="32"/>
      <c r="BB2790" s="31"/>
      <c r="BC2790" s="31"/>
      <c r="BD2790" s="31"/>
      <c r="BE2790" s="31"/>
      <c r="BF2790" s="96"/>
    </row>
    <row r="2791" spans="42:58" x14ac:dyDescent="0.35">
      <c r="AP2791" s="92"/>
      <c r="AQ2791" s="67"/>
      <c r="AR2791" s="67"/>
      <c r="AS2791" s="73"/>
      <c r="AT2791" s="67"/>
      <c r="AU2791" s="67"/>
      <c r="AV2791" s="73"/>
      <c r="AW2791" s="68"/>
      <c r="AX2791" s="68"/>
      <c r="AY2791" s="68"/>
      <c r="AZ2791" s="68"/>
      <c r="BA2791" s="68"/>
      <c r="BB2791" s="67"/>
      <c r="BC2791" s="67"/>
      <c r="BD2791" s="67"/>
      <c r="BE2791" s="67"/>
      <c r="BF2791" s="95"/>
    </row>
    <row r="2792" spans="42:58" x14ac:dyDescent="0.35">
      <c r="AP2792" s="93"/>
      <c r="AQ2792" s="31"/>
      <c r="AR2792" s="31"/>
      <c r="AS2792" s="94"/>
      <c r="AT2792" s="31"/>
      <c r="AU2792" s="31"/>
      <c r="AV2792" s="94"/>
      <c r="AW2792" s="32"/>
      <c r="AX2792" s="32"/>
      <c r="AY2792" s="32"/>
      <c r="AZ2792" s="32"/>
      <c r="BA2792" s="32"/>
      <c r="BB2792" s="31"/>
      <c r="BC2792" s="31"/>
      <c r="BD2792" s="31"/>
      <c r="BE2792" s="31"/>
      <c r="BF2792" s="96"/>
    </row>
    <row r="2793" spans="42:58" x14ac:dyDescent="0.35">
      <c r="AP2793" s="92"/>
      <c r="AQ2793" s="67"/>
      <c r="AR2793" s="67"/>
      <c r="AS2793" s="73"/>
      <c r="AT2793" s="67"/>
      <c r="AU2793" s="67"/>
      <c r="AV2793" s="73"/>
      <c r="AW2793" s="68"/>
      <c r="AX2793" s="68"/>
      <c r="AY2793" s="68"/>
      <c r="AZ2793" s="68"/>
      <c r="BA2793" s="68"/>
      <c r="BB2793" s="67"/>
      <c r="BC2793" s="67"/>
      <c r="BD2793" s="67"/>
      <c r="BE2793" s="67"/>
      <c r="BF2793" s="95"/>
    </row>
    <row r="2794" spans="42:58" x14ac:dyDescent="0.35">
      <c r="AP2794" s="93"/>
      <c r="AQ2794" s="31"/>
      <c r="AR2794" s="31"/>
      <c r="AS2794" s="94"/>
      <c r="AT2794" s="31"/>
      <c r="AU2794" s="31"/>
      <c r="AV2794" s="94"/>
      <c r="AW2794" s="32"/>
      <c r="AX2794" s="32"/>
      <c r="AY2794" s="32"/>
      <c r="AZ2794" s="32"/>
      <c r="BA2794" s="32"/>
      <c r="BB2794" s="31"/>
      <c r="BC2794" s="31"/>
      <c r="BD2794" s="31"/>
      <c r="BE2794" s="31"/>
      <c r="BF2794" s="96"/>
    </row>
    <row r="2795" spans="42:58" x14ac:dyDescent="0.35">
      <c r="AP2795" s="92"/>
      <c r="AQ2795" s="67"/>
      <c r="AR2795" s="67"/>
      <c r="AS2795" s="73"/>
      <c r="AT2795" s="67"/>
      <c r="AU2795" s="67"/>
      <c r="AV2795" s="73"/>
      <c r="AW2795" s="68"/>
      <c r="AX2795" s="68"/>
      <c r="AY2795" s="68"/>
      <c r="AZ2795" s="68"/>
      <c r="BA2795" s="68"/>
      <c r="BB2795" s="67"/>
      <c r="BC2795" s="67"/>
      <c r="BD2795" s="67"/>
      <c r="BE2795" s="67"/>
      <c r="BF2795" s="95"/>
    </row>
    <row r="2796" spans="42:58" x14ac:dyDescent="0.35">
      <c r="AP2796" s="93"/>
      <c r="AQ2796" s="31"/>
      <c r="AR2796" s="31"/>
      <c r="AS2796" s="94"/>
      <c r="AT2796" s="31"/>
      <c r="AU2796" s="31"/>
      <c r="AV2796" s="94"/>
      <c r="AW2796" s="32"/>
      <c r="AX2796" s="32"/>
      <c r="AY2796" s="32"/>
      <c r="AZ2796" s="32"/>
      <c r="BA2796" s="32"/>
      <c r="BB2796" s="31"/>
      <c r="BC2796" s="31"/>
      <c r="BD2796" s="31"/>
      <c r="BE2796" s="31"/>
      <c r="BF2796" s="96"/>
    </row>
    <row r="2797" spans="42:58" x14ac:dyDescent="0.35">
      <c r="AP2797" s="92"/>
      <c r="AQ2797" s="67"/>
      <c r="AR2797" s="67"/>
      <c r="AS2797" s="73"/>
      <c r="AT2797" s="67"/>
      <c r="AU2797" s="67"/>
      <c r="AV2797" s="73"/>
      <c r="AW2797" s="68"/>
      <c r="AX2797" s="68"/>
      <c r="AY2797" s="68"/>
      <c r="AZ2797" s="68"/>
      <c r="BA2797" s="68"/>
      <c r="BB2797" s="67"/>
      <c r="BC2797" s="67"/>
      <c r="BD2797" s="67"/>
      <c r="BE2797" s="67"/>
      <c r="BF2797" s="95"/>
    </row>
    <row r="2798" spans="42:58" x14ac:dyDescent="0.35">
      <c r="AP2798" s="93"/>
      <c r="AQ2798" s="31"/>
      <c r="AR2798" s="31"/>
      <c r="AS2798" s="94"/>
      <c r="AT2798" s="31"/>
      <c r="AU2798" s="31"/>
      <c r="AV2798" s="94"/>
      <c r="AW2798" s="32"/>
      <c r="AX2798" s="32"/>
      <c r="AY2798" s="32"/>
      <c r="AZ2798" s="32"/>
      <c r="BA2798" s="32"/>
      <c r="BB2798" s="31"/>
      <c r="BC2798" s="31"/>
      <c r="BD2798" s="31"/>
      <c r="BE2798" s="31"/>
      <c r="BF2798" s="96"/>
    </row>
    <row r="2799" spans="42:58" x14ac:dyDescent="0.35">
      <c r="AP2799" s="92"/>
      <c r="AQ2799" s="67"/>
      <c r="AR2799" s="67"/>
      <c r="AS2799" s="73"/>
      <c r="AT2799" s="67"/>
      <c r="AU2799" s="67"/>
      <c r="AV2799" s="73"/>
      <c r="AW2799" s="68"/>
      <c r="AX2799" s="68"/>
      <c r="AY2799" s="68"/>
      <c r="AZ2799" s="68"/>
      <c r="BA2799" s="68"/>
      <c r="BB2799" s="67"/>
      <c r="BC2799" s="67"/>
      <c r="BD2799" s="67"/>
      <c r="BE2799" s="67"/>
      <c r="BF2799" s="95"/>
    </row>
    <row r="2800" spans="42:58" x14ac:dyDescent="0.35">
      <c r="AP2800" s="93"/>
      <c r="AQ2800" s="31"/>
      <c r="AR2800" s="31"/>
      <c r="AS2800" s="94"/>
      <c r="AT2800" s="31"/>
      <c r="AU2800" s="31"/>
      <c r="AV2800" s="94"/>
      <c r="AW2800" s="32"/>
      <c r="AX2800" s="32"/>
      <c r="AY2800" s="32"/>
      <c r="AZ2800" s="32"/>
      <c r="BA2800" s="32"/>
      <c r="BB2800" s="31"/>
      <c r="BC2800" s="31"/>
      <c r="BD2800" s="31"/>
      <c r="BE2800" s="31"/>
      <c r="BF2800" s="96"/>
    </row>
    <row r="2801" spans="42:58" x14ac:dyDescent="0.35">
      <c r="AP2801" s="92"/>
      <c r="AQ2801" s="67"/>
      <c r="AR2801" s="67"/>
      <c r="AS2801" s="73"/>
      <c r="AT2801" s="67"/>
      <c r="AU2801" s="67"/>
      <c r="AV2801" s="73"/>
      <c r="AW2801" s="68"/>
      <c r="AX2801" s="68"/>
      <c r="AY2801" s="68"/>
      <c r="AZ2801" s="68"/>
      <c r="BA2801" s="68"/>
      <c r="BB2801" s="67"/>
      <c r="BC2801" s="67"/>
      <c r="BD2801" s="67"/>
      <c r="BE2801" s="67"/>
      <c r="BF2801" s="95"/>
    </row>
    <row r="2802" spans="42:58" x14ac:dyDescent="0.35">
      <c r="AP2802" s="93"/>
      <c r="AQ2802" s="31"/>
      <c r="AR2802" s="31"/>
      <c r="AS2802" s="94"/>
      <c r="AT2802" s="31"/>
      <c r="AU2802" s="31"/>
      <c r="AV2802" s="94"/>
      <c r="AW2802" s="32"/>
      <c r="AX2802" s="32"/>
      <c r="AY2802" s="32"/>
      <c r="AZ2802" s="32"/>
      <c r="BA2802" s="32"/>
      <c r="BB2802" s="31"/>
      <c r="BC2802" s="31"/>
      <c r="BD2802" s="31"/>
      <c r="BE2802" s="31"/>
      <c r="BF2802" s="96"/>
    </row>
    <row r="2803" spans="42:58" x14ac:dyDescent="0.35">
      <c r="AP2803" s="92"/>
      <c r="AQ2803" s="67"/>
      <c r="AR2803" s="67"/>
      <c r="AS2803" s="73"/>
      <c r="AT2803" s="67"/>
      <c r="AU2803" s="67"/>
      <c r="AV2803" s="73"/>
      <c r="AW2803" s="68"/>
      <c r="AX2803" s="68"/>
      <c r="AY2803" s="68"/>
      <c r="AZ2803" s="68"/>
      <c r="BA2803" s="68"/>
      <c r="BB2803" s="67"/>
      <c r="BC2803" s="67"/>
      <c r="BD2803" s="67"/>
      <c r="BE2803" s="67"/>
      <c r="BF2803" s="95"/>
    </row>
    <row r="2804" spans="42:58" x14ac:dyDescent="0.35">
      <c r="AP2804" s="93"/>
      <c r="AQ2804" s="31"/>
      <c r="AR2804" s="31"/>
      <c r="AS2804" s="94"/>
      <c r="AT2804" s="31"/>
      <c r="AU2804" s="31"/>
      <c r="AV2804" s="94"/>
      <c r="AW2804" s="32"/>
      <c r="AX2804" s="32"/>
      <c r="AY2804" s="32"/>
      <c r="AZ2804" s="32"/>
      <c r="BA2804" s="32"/>
      <c r="BB2804" s="31"/>
      <c r="BC2804" s="31"/>
      <c r="BD2804" s="31"/>
      <c r="BE2804" s="31"/>
      <c r="BF2804" s="96"/>
    </row>
    <row r="2805" spans="42:58" x14ac:dyDescent="0.35">
      <c r="AP2805" s="92"/>
      <c r="AQ2805" s="67"/>
      <c r="AR2805" s="67"/>
      <c r="AS2805" s="73"/>
      <c r="AT2805" s="67"/>
      <c r="AU2805" s="67"/>
      <c r="AV2805" s="73"/>
      <c r="AW2805" s="68"/>
      <c r="AX2805" s="68"/>
      <c r="AY2805" s="68"/>
      <c r="AZ2805" s="68"/>
      <c r="BA2805" s="68"/>
      <c r="BB2805" s="67"/>
      <c r="BC2805" s="67"/>
      <c r="BD2805" s="67"/>
      <c r="BE2805" s="67"/>
      <c r="BF2805" s="95"/>
    </row>
    <row r="2806" spans="42:58" x14ac:dyDescent="0.35">
      <c r="AP2806" s="93"/>
      <c r="AQ2806" s="31"/>
      <c r="AR2806" s="31"/>
      <c r="AS2806" s="94"/>
      <c r="AT2806" s="31"/>
      <c r="AU2806" s="31"/>
      <c r="AV2806" s="94"/>
      <c r="AW2806" s="32"/>
      <c r="AX2806" s="32"/>
      <c r="AY2806" s="32"/>
      <c r="AZ2806" s="32"/>
      <c r="BA2806" s="32"/>
      <c r="BB2806" s="31"/>
      <c r="BC2806" s="31"/>
      <c r="BD2806" s="31"/>
      <c r="BE2806" s="31"/>
      <c r="BF2806" s="96"/>
    </row>
    <row r="2807" spans="42:58" x14ac:dyDescent="0.35">
      <c r="AP2807" s="92"/>
      <c r="AQ2807" s="67"/>
      <c r="AR2807" s="67"/>
      <c r="AS2807" s="73"/>
      <c r="AT2807" s="67"/>
      <c r="AU2807" s="67"/>
      <c r="AV2807" s="73"/>
      <c r="AW2807" s="68"/>
      <c r="AX2807" s="68"/>
      <c r="AY2807" s="68"/>
      <c r="AZ2807" s="68"/>
      <c r="BA2807" s="68"/>
      <c r="BB2807" s="67"/>
      <c r="BC2807" s="67"/>
      <c r="BD2807" s="67"/>
      <c r="BE2807" s="67"/>
      <c r="BF2807" s="95"/>
    </row>
    <row r="2808" spans="42:58" x14ac:dyDescent="0.35">
      <c r="AP2808" s="93"/>
      <c r="AQ2808" s="31"/>
      <c r="AR2808" s="31"/>
      <c r="AS2808" s="94"/>
      <c r="AT2808" s="31"/>
      <c r="AU2808" s="31"/>
      <c r="AV2808" s="94"/>
      <c r="AW2808" s="32"/>
      <c r="AX2808" s="32"/>
      <c r="AY2808" s="32"/>
      <c r="AZ2808" s="32"/>
      <c r="BA2808" s="32"/>
      <c r="BB2808" s="31"/>
      <c r="BC2808" s="31"/>
      <c r="BD2808" s="31"/>
      <c r="BE2808" s="31"/>
      <c r="BF2808" s="96"/>
    </row>
    <row r="2809" spans="42:58" x14ac:dyDescent="0.35">
      <c r="AP2809" s="92"/>
      <c r="AQ2809" s="67"/>
      <c r="AR2809" s="67"/>
      <c r="AS2809" s="73"/>
      <c r="AT2809" s="67"/>
      <c r="AU2809" s="67"/>
      <c r="AV2809" s="73"/>
      <c r="AW2809" s="68"/>
      <c r="AX2809" s="68"/>
      <c r="AY2809" s="68"/>
      <c r="AZ2809" s="68"/>
      <c r="BA2809" s="68"/>
      <c r="BB2809" s="67"/>
      <c r="BC2809" s="67"/>
      <c r="BD2809" s="67"/>
      <c r="BE2809" s="67"/>
      <c r="BF2809" s="95"/>
    </row>
    <row r="2810" spans="42:58" x14ac:dyDescent="0.35">
      <c r="AP2810" s="93"/>
      <c r="AQ2810" s="31"/>
      <c r="AR2810" s="31"/>
      <c r="AS2810" s="94"/>
      <c r="AT2810" s="31"/>
      <c r="AU2810" s="31"/>
      <c r="AV2810" s="94"/>
      <c r="AW2810" s="32"/>
      <c r="AX2810" s="32"/>
      <c r="AY2810" s="32"/>
      <c r="AZ2810" s="32"/>
      <c r="BA2810" s="32"/>
      <c r="BB2810" s="31"/>
      <c r="BC2810" s="31"/>
      <c r="BD2810" s="31"/>
      <c r="BE2810" s="31"/>
      <c r="BF2810" s="96"/>
    </row>
    <row r="2811" spans="42:58" x14ac:dyDescent="0.35">
      <c r="AP2811" s="92"/>
      <c r="AQ2811" s="67"/>
      <c r="AR2811" s="67"/>
      <c r="AS2811" s="73"/>
      <c r="AT2811" s="67"/>
      <c r="AU2811" s="67"/>
      <c r="AV2811" s="73"/>
      <c r="AW2811" s="68"/>
      <c r="AX2811" s="68"/>
      <c r="AY2811" s="68"/>
      <c r="AZ2811" s="68"/>
      <c r="BA2811" s="68"/>
      <c r="BB2811" s="67"/>
      <c r="BC2811" s="67"/>
      <c r="BD2811" s="67"/>
      <c r="BE2811" s="67"/>
      <c r="BF2811" s="95"/>
    </row>
    <row r="2812" spans="42:58" x14ac:dyDescent="0.35">
      <c r="AP2812" s="93"/>
      <c r="AQ2812" s="31"/>
      <c r="AR2812" s="31"/>
      <c r="AS2812" s="94"/>
      <c r="AT2812" s="31"/>
      <c r="AU2812" s="31"/>
      <c r="AV2812" s="94"/>
      <c r="AW2812" s="32"/>
      <c r="AX2812" s="32"/>
      <c r="AY2812" s="32"/>
      <c r="AZ2812" s="32"/>
      <c r="BA2812" s="32"/>
      <c r="BB2812" s="31"/>
      <c r="BC2812" s="31"/>
      <c r="BD2812" s="31"/>
      <c r="BE2812" s="31"/>
      <c r="BF2812" s="96"/>
    </row>
    <row r="2813" spans="42:58" x14ac:dyDescent="0.35">
      <c r="AP2813" s="92"/>
      <c r="AQ2813" s="67"/>
      <c r="AR2813" s="67"/>
      <c r="AS2813" s="73"/>
      <c r="AT2813" s="67"/>
      <c r="AU2813" s="67"/>
      <c r="AV2813" s="73"/>
      <c r="AW2813" s="68"/>
      <c r="AX2813" s="68"/>
      <c r="AY2813" s="68"/>
      <c r="AZ2813" s="68"/>
      <c r="BA2813" s="68"/>
      <c r="BB2813" s="67"/>
      <c r="BC2813" s="67"/>
      <c r="BD2813" s="67"/>
      <c r="BE2813" s="67"/>
      <c r="BF2813" s="95"/>
    </row>
    <row r="2814" spans="42:58" x14ac:dyDescent="0.35">
      <c r="AP2814" s="93"/>
      <c r="AQ2814" s="31"/>
      <c r="AR2814" s="31"/>
      <c r="AS2814" s="94"/>
      <c r="AT2814" s="31"/>
      <c r="AU2814" s="31"/>
      <c r="AV2814" s="94"/>
      <c r="AW2814" s="32"/>
      <c r="AX2814" s="32"/>
      <c r="AY2814" s="32"/>
      <c r="AZ2814" s="32"/>
      <c r="BA2814" s="32"/>
      <c r="BB2814" s="31"/>
      <c r="BC2814" s="31"/>
      <c r="BD2814" s="31"/>
      <c r="BE2814" s="31"/>
      <c r="BF2814" s="96"/>
    </row>
    <row r="2815" spans="42:58" x14ac:dyDescent="0.35">
      <c r="AP2815" s="92"/>
      <c r="AQ2815" s="67"/>
      <c r="AR2815" s="67"/>
      <c r="AS2815" s="73"/>
      <c r="AT2815" s="67"/>
      <c r="AU2815" s="67"/>
      <c r="AV2815" s="73"/>
      <c r="AW2815" s="68"/>
      <c r="AX2815" s="68"/>
      <c r="AY2815" s="68"/>
      <c r="AZ2815" s="68"/>
      <c r="BA2815" s="68"/>
      <c r="BB2815" s="67"/>
      <c r="BC2815" s="67"/>
      <c r="BD2815" s="67"/>
      <c r="BE2815" s="67"/>
      <c r="BF2815" s="95"/>
    </row>
    <row r="2816" spans="42:58" x14ac:dyDescent="0.35">
      <c r="AP2816" s="93"/>
      <c r="AQ2816" s="31"/>
      <c r="AR2816" s="31"/>
      <c r="AS2816" s="94"/>
      <c r="AT2816" s="31"/>
      <c r="AU2816" s="31"/>
      <c r="AV2816" s="94"/>
      <c r="AW2816" s="32"/>
      <c r="AX2816" s="32"/>
      <c r="AY2816" s="32"/>
      <c r="AZ2816" s="32"/>
      <c r="BA2816" s="32"/>
      <c r="BB2816" s="31"/>
      <c r="BC2816" s="31"/>
      <c r="BD2816" s="31"/>
      <c r="BE2816" s="31"/>
      <c r="BF2816" s="96"/>
    </row>
    <row r="2817" spans="42:58" x14ac:dyDescent="0.35">
      <c r="AP2817" s="92"/>
      <c r="AQ2817" s="67"/>
      <c r="AR2817" s="67"/>
      <c r="AS2817" s="73"/>
      <c r="AT2817" s="67"/>
      <c r="AU2817" s="67"/>
      <c r="AV2817" s="73"/>
      <c r="AW2817" s="68"/>
      <c r="AX2817" s="68"/>
      <c r="AY2817" s="68"/>
      <c r="AZ2817" s="68"/>
      <c r="BA2817" s="68"/>
      <c r="BB2817" s="67"/>
      <c r="BC2817" s="67"/>
      <c r="BD2817" s="67"/>
      <c r="BE2817" s="67"/>
      <c r="BF2817" s="95"/>
    </row>
    <row r="2818" spans="42:58" x14ac:dyDescent="0.35">
      <c r="AP2818" s="93"/>
      <c r="AQ2818" s="31"/>
      <c r="AR2818" s="31"/>
      <c r="AS2818" s="94"/>
      <c r="AT2818" s="31"/>
      <c r="AU2818" s="31"/>
      <c r="AV2818" s="94"/>
      <c r="AW2818" s="32"/>
      <c r="AX2818" s="32"/>
      <c r="AY2818" s="32"/>
      <c r="AZ2818" s="32"/>
      <c r="BA2818" s="32"/>
      <c r="BB2818" s="31"/>
      <c r="BC2818" s="31"/>
      <c r="BD2818" s="31"/>
      <c r="BE2818" s="31"/>
      <c r="BF2818" s="96"/>
    </row>
    <row r="2819" spans="42:58" x14ac:dyDescent="0.35">
      <c r="AP2819" s="92"/>
      <c r="AQ2819" s="67"/>
      <c r="AR2819" s="67"/>
      <c r="AS2819" s="73"/>
      <c r="AT2819" s="67"/>
      <c r="AU2819" s="67"/>
      <c r="AV2819" s="73"/>
      <c r="AW2819" s="68"/>
      <c r="AX2819" s="68"/>
      <c r="AY2819" s="68"/>
      <c r="AZ2819" s="68"/>
      <c r="BA2819" s="68"/>
      <c r="BB2819" s="67"/>
      <c r="BC2819" s="67"/>
      <c r="BD2819" s="67"/>
      <c r="BE2819" s="67"/>
      <c r="BF2819" s="95"/>
    </row>
    <row r="2820" spans="42:58" x14ac:dyDescent="0.35">
      <c r="AP2820" s="93"/>
      <c r="AQ2820" s="31"/>
      <c r="AR2820" s="31"/>
      <c r="AS2820" s="94"/>
      <c r="AT2820" s="31"/>
      <c r="AU2820" s="31"/>
      <c r="AV2820" s="94"/>
      <c r="AW2820" s="32"/>
      <c r="AX2820" s="32"/>
      <c r="AY2820" s="32"/>
      <c r="AZ2820" s="32"/>
      <c r="BA2820" s="32"/>
      <c r="BB2820" s="31"/>
      <c r="BC2820" s="31"/>
      <c r="BD2820" s="31"/>
      <c r="BE2820" s="31"/>
      <c r="BF2820" s="96"/>
    </row>
    <row r="2821" spans="42:58" x14ac:dyDescent="0.35">
      <c r="AP2821" s="92"/>
      <c r="AQ2821" s="67"/>
      <c r="AR2821" s="67"/>
      <c r="AS2821" s="73"/>
      <c r="AT2821" s="67"/>
      <c r="AU2821" s="67"/>
      <c r="AV2821" s="73"/>
      <c r="AW2821" s="68"/>
      <c r="AX2821" s="68"/>
      <c r="AY2821" s="68"/>
      <c r="AZ2821" s="68"/>
      <c r="BA2821" s="68"/>
      <c r="BB2821" s="67"/>
      <c r="BC2821" s="67"/>
      <c r="BD2821" s="67"/>
      <c r="BE2821" s="67"/>
      <c r="BF2821" s="95"/>
    </row>
    <row r="2822" spans="42:58" x14ac:dyDescent="0.35">
      <c r="AP2822" s="93"/>
      <c r="AQ2822" s="31"/>
      <c r="AR2822" s="31"/>
      <c r="AS2822" s="94"/>
      <c r="AT2822" s="31"/>
      <c r="AU2822" s="31"/>
      <c r="AV2822" s="94"/>
      <c r="AW2822" s="32"/>
      <c r="AX2822" s="32"/>
      <c r="AY2822" s="32"/>
      <c r="AZ2822" s="32"/>
      <c r="BA2822" s="32"/>
      <c r="BB2822" s="31"/>
      <c r="BC2822" s="31"/>
      <c r="BD2822" s="31"/>
      <c r="BE2822" s="31"/>
      <c r="BF2822" s="96"/>
    </row>
    <row r="2823" spans="42:58" x14ac:dyDescent="0.35">
      <c r="AP2823" s="92"/>
      <c r="AQ2823" s="67"/>
      <c r="AR2823" s="67"/>
      <c r="AS2823" s="73"/>
      <c r="AT2823" s="67"/>
      <c r="AU2823" s="67"/>
      <c r="AV2823" s="73"/>
      <c r="AW2823" s="68"/>
      <c r="AX2823" s="68"/>
      <c r="AY2823" s="68"/>
      <c r="AZ2823" s="68"/>
      <c r="BA2823" s="68"/>
      <c r="BB2823" s="67"/>
      <c r="BC2823" s="67"/>
      <c r="BD2823" s="67"/>
      <c r="BE2823" s="67"/>
      <c r="BF2823" s="95"/>
    </row>
    <row r="2824" spans="42:58" x14ac:dyDescent="0.35">
      <c r="AP2824" s="93"/>
      <c r="AQ2824" s="31"/>
      <c r="AR2824" s="31"/>
      <c r="AS2824" s="94"/>
      <c r="AT2824" s="31"/>
      <c r="AU2824" s="31"/>
      <c r="AV2824" s="94"/>
      <c r="AW2824" s="32"/>
      <c r="AX2824" s="32"/>
      <c r="AY2824" s="32"/>
      <c r="AZ2824" s="32"/>
      <c r="BA2824" s="32"/>
      <c r="BB2824" s="31"/>
      <c r="BC2824" s="31"/>
      <c r="BD2824" s="31"/>
      <c r="BE2824" s="31"/>
      <c r="BF2824" s="96"/>
    </row>
    <row r="2825" spans="42:58" x14ac:dyDescent="0.35">
      <c r="AP2825" s="92"/>
      <c r="AQ2825" s="67"/>
      <c r="AR2825" s="67"/>
      <c r="AS2825" s="73"/>
      <c r="AT2825" s="67"/>
      <c r="AU2825" s="67"/>
      <c r="AV2825" s="73"/>
      <c r="AW2825" s="68"/>
      <c r="AX2825" s="68"/>
      <c r="AY2825" s="68"/>
      <c r="AZ2825" s="68"/>
      <c r="BA2825" s="68"/>
      <c r="BB2825" s="67"/>
      <c r="BC2825" s="67"/>
      <c r="BD2825" s="67"/>
      <c r="BE2825" s="67"/>
      <c r="BF2825" s="95"/>
    </row>
    <row r="2826" spans="42:58" x14ac:dyDescent="0.35">
      <c r="AP2826" s="93"/>
      <c r="AQ2826" s="31"/>
      <c r="AR2826" s="31"/>
      <c r="AS2826" s="94"/>
      <c r="AT2826" s="31"/>
      <c r="AU2826" s="31"/>
      <c r="AV2826" s="94"/>
      <c r="AW2826" s="32"/>
      <c r="AX2826" s="32"/>
      <c r="AY2826" s="32"/>
      <c r="AZ2826" s="32"/>
      <c r="BA2826" s="32"/>
      <c r="BB2826" s="31"/>
      <c r="BC2826" s="31"/>
      <c r="BD2826" s="31"/>
      <c r="BE2826" s="31"/>
      <c r="BF2826" s="96"/>
    </row>
    <row r="2827" spans="42:58" x14ac:dyDescent="0.35">
      <c r="AP2827" s="92"/>
      <c r="AQ2827" s="67"/>
      <c r="AR2827" s="67"/>
      <c r="AS2827" s="73"/>
      <c r="AT2827" s="67"/>
      <c r="AU2827" s="67"/>
      <c r="AV2827" s="73"/>
      <c r="AW2827" s="68"/>
      <c r="AX2827" s="68"/>
      <c r="AY2827" s="68"/>
      <c r="AZ2827" s="68"/>
      <c r="BA2827" s="68"/>
      <c r="BB2827" s="67"/>
      <c r="BC2827" s="67"/>
      <c r="BD2827" s="67"/>
      <c r="BE2827" s="67"/>
      <c r="BF2827" s="95"/>
    </row>
    <row r="2828" spans="42:58" x14ac:dyDescent="0.35">
      <c r="AP2828" s="93"/>
      <c r="AQ2828" s="31"/>
      <c r="AR2828" s="31"/>
      <c r="AS2828" s="94"/>
      <c r="AT2828" s="31"/>
      <c r="AU2828" s="31"/>
      <c r="AV2828" s="94"/>
      <c r="AW2828" s="32"/>
      <c r="AX2828" s="32"/>
      <c r="AY2828" s="32"/>
      <c r="AZ2828" s="32"/>
      <c r="BA2828" s="32"/>
      <c r="BB2828" s="31"/>
      <c r="BC2828" s="31"/>
      <c r="BD2828" s="31"/>
      <c r="BE2828" s="31"/>
      <c r="BF2828" s="96"/>
    </row>
    <row r="2829" spans="42:58" x14ac:dyDescent="0.35">
      <c r="AP2829" s="92"/>
      <c r="AQ2829" s="67"/>
      <c r="AR2829" s="67"/>
      <c r="AS2829" s="73"/>
      <c r="AT2829" s="67"/>
      <c r="AU2829" s="67"/>
      <c r="AV2829" s="73"/>
      <c r="AW2829" s="68"/>
      <c r="AX2829" s="68"/>
      <c r="AY2829" s="68"/>
      <c r="AZ2829" s="68"/>
      <c r="BA2829" s="68"/>
      <c r="BB2829" s="67"/>
      <c r="BC2829" s="67"/>
      <c r="BD2829" s="67"/>
      <c r="BE2829" s="67"/>
      <c r="BF2829" s="95"/>
    </row>
    <row r="2830" spans="42:58" x14ac:dyDescent="0.35">
      <c r="AP2830" s="93"/>
      <c r="AQ2830" s="31"/>
      <c r="AR2830" s="31"/>
      <c r="AS2830" s="94"/>
      <c r="AT2830" s="31"/>
      <c r="AU2830" s="31"/>
      <c r="AV2830" s="94"/>
      <c r="AW2830" s="32"/>
      <c r="AX2830" s="32"/>
      <c r="AY2830" s="32"/>
      <c r="AZ2830" s="32"/>
      <c r="BA2830" s="32"/>
      <c r="BB2830" s="31"/>
      <c r="BC2830" s="31"/>
      <c r="BD2830" s="31"/>
      <c r="BE2830" s="31"/>
      <c r="BF2830" s="96"/>
    </row>
    <row r="2831" spans="42:58" x14ac:dyDescent="0.35">
      <c r="AP2831" s="92"/>
      <c r="AQ2831" s="67"/>
      <c r="AR2831" s="67"/>
      <c r="AS2831" s="73"/>
      <c r="AT2831" s="67"/>
      <c r="AU2831" s="67"/>
      <c r="AV2831" s="73"/>
      <c r="AW2831" s="68"/>
      <c r="AX2831" s="68"/>
      <c r="AY2831" s="68"/>
      <c r="AZ2831" s="68"/>
      <c r="BA2831" s="68"/>
      <c r="BB2831" s="67"/>
      <c r="BC2831" s="67"/>
      <c r="BD2831" s="67"/>
      <c r="BE2831" s="67"/>
      <c r="BF2831" s="95"/>
    </row>
    <row r="2832" spans="42:58" x14ac:dyDescent="0.35">
      <c r="AP2832" s="93"/>
      <c r="AQ2832" s="31"/>
      <c r="AR2832" s="31"/>
      <c r="AS2832" s="94"/>
      <c r="AT2832" s="31"/>
      <c r="AU2832" s="31"/>
      <c r="AV2832" s="94"/>
      <c r="AW2832" s="32"/>
      <c r="AX2832" s="32"/>
      <c r="AY2832" s="32"/>
      <c r="AZ2832" s="32"/>
      <c r="BA2832" s="32"/>
      <c r="BB2832" s="31"/>
      <c r="BC2832" s="31"/>
      <c r="BD2832" s="31"/>
      <c r="BE2832" s="31"/>
      <c r="BF2832" s="96"/>
    </row>
    <row r="2833" spans="42:58" x14ac:dyDescent="0.35">
      <c r="AP2833" s="92"/>
      <c r="AQ2833" s="67"/>
      <c r="AR2833" s="67"/>
      <c r="AS2833" s="73"/>
      <c r="AT2833" s="67"/>
      <c r="AU2833" s="67"/>
      <c r="AV2833" s="73"/>
      <c r="AW2833" s="68"/>
      <c r="AX2833" s="68"/>
      <c r="AY2833" s="68"/>
      <c r="AZ2833" s="68"/>
      <c r="BA2833" s="68"/>
      <c r="BB2833" s="67"/>
      <c r="BC2833" s="67"/>
      <c r="BD2833" s="67"/>
      <c r="BE2833" s="67"/>
      <c r="BF2833" s="95"/>
    </row>
    <row r="2834" spans="42:58" x14ac:dyDescent="0.35">
      <c r="AP2834" s="93"/>
      <c r="AQ2834" s="31"/>
      <c r="AR2834" s="31"/>
      <c r="AS2834" s="94"/>
      <c r="AT2834" s="31"/>
      <c r="AU2834" s="31"/>
      <c r="AV2834" s="94"/>
      <c r="AW2834" s="32"/>
      <c r="AX2834" s="32"/>
      <c r="AY2834" s="32"/>
      <c r="AZ2834" s="32"/>
      <c r="BA2834" s="32"/>
      <c r="BB2834" s="31"/>
      <c r="BC2834" s="31"/>
      <c r="BD2834" s="31"/>
      <c r="BE2834" s="31"/>
      <c r="BF2834" s="96"/>
    </row>
    <row r="2835" spans="42:58" x14ac:dyDescent="0.35">
      <c r="AP2835" s="92"/>
      <c r="AQ2835" s="67"/>
      <c r="AR2835" s="67"/>
      <c r="AS2835" s="73"/>
      <c r="AT2835" s="67"/>
      <c r="AU2835" s="67"/>
      <c r="AV2835" s="73"/>
      <c r="AW2835" s="68"/>
      <c r="AX2835" s="68"/>
      <c r="AY2835" s="68"/>
      <c r="AZ2835" s="68"/>
      <c r="BA2835" s="68"/>
      <c r="BB2835" s="67"/>
      <c r="BC2835" s="67"/>
      <c r="BD2835" s="67"/>
      <c r="BE2835" s="67"/>
      <c r="BF2835" s="95"/>
    </row>
    <row r="2836" spans="42:58" x14ac:dyDescent="0.35">
      <c r="AP2836" s="93"/>
      <c r="AQ2836" s="31"/>
      <c r="AR2836" s="31"/>
      <c r="AS2836" s="94"/>
      <c r="AT2836" s="31"/>
      <c r="AU2836" s="31"/>
      <c r="AV2836" s="94"/>
      <c r="AW2836" s="32"/>
      <c r="AX2836" s="32"/>
      <c r="AY2836" s="32"/>
      <c r="AZ2836" s="32"/>
      <c r="BA2836" s="32"/>
      <c r="BB2836" s="31"/>
      <c r="BC2836" s="31"/>
      <c r="BD2836" s="31"/>
      <c r="BE2836" s="31"/>
      <c r="BF2836" s="96"/>
    </row>
    <row r="2837" spans="42:58" x14ac:dyDescent="0.35">
      <c r="AP2837" s="92"/>
      <c r="AQ2837" s="67"/>
      <c r="AR2837" s="67"/>
      <c r="AS2837" s="73"/>
      <c r="AT2837" s="67"/>
      <c r="AU2837" s="67"/>
      <c r="AV2837" s="73"/>
      <c r="AW2837" s="68"/>
      <c r="AX2837" s="68"/>
      <c r="AY2837" s="68"/>
      <c r="AZ2837" s="68"/>
      <c r="BA2837" s="68"/>
      <c r="BB2837" s="67"/>
      <c r="BC2837" s="67"/>
      <c r="BD2837" s="67"/>
      <c r="BE2837" s="67"/>
      <c r="BF2837" s="95"/>
    </row>
    <row r="2838" spans="42:58" x14ac:dyDescent="0.35">
      <c r="AP2838" s="93"/>
      <c r="AQ2838" s="31"/>
      <c r="AR2838" s="31"/>
      <c r="AS2838" s="94"/>
      <c r="AT2838" s="31"/>
      <c r="AU2838" s="31"/>
      <c r="AV2838" s="94"/>
      <c r="AW2838" s="32"/>
      <c r="AX2838" s="32"/>
      <c r="AY2838" s="32"/>
      <c r="AZ2838" s="32"/>
      <c r="BA2838" s="32"/>
      <c r="BB2838" s="31"/>
      <c r="BC2838" s="31"/>
      <c r="BD2838" s="31"/>
      <c r="BE2838" s="31"/>
      <c r="BF2838" s="96"/>
    </row>
    <row r="2839" spans="42:58" x14ac:dyDescent="0.35">
      <c r="AP2839" s="92"/>
      <c r="AQ2839" s="67"/>
      <c r="AR2839" s="67"/>
      <c r="AS2839" s="73"/>
      <c r="AT2839" s="67"/>
      <c r="AU2839" s="67"/>
      <c r="AV2839" s="73"/>
      <c r="AW2839" s="68"/>
      <c r="AX2839" s="68"/>
      <c r="AY2839" s="68"/>
      <c r="AZ2839" s="68"/>
      <c r="BA2839" s="68"/>
      <c r="BB2839" s="67"/>
      <c r="BC2839" s="67"/>
      <c r="BD2839" s="67"/>
      <c r="BE2839" s="67"/>
      <c r="BF2839" s="95"/>
    </row>
    <row r="2840" spans="42:58" x14ac:dyDescent="0.35">
      <c r="AP2840" s="93"/>
      <c r="AQ2840" s="31"/>
      <c r="AR2840" s="31"/>
      <c r="AS2840" s="94"/>
      <c r="AT2840" s="31"/>
      <c r="AU2840" s="31"/>
      <c r="AV2840" s="94"/>
      <c r="AW2840" s="32"/>
      <c r="AX2840" s="32"/>
      <c r="AY2840" s="32"/>
      <c r="AZ2840" s="32"/>
      <c r="BA2840" s="32"/>
      <c r="BB2840" s="31"/>
      <c r="BC2840" s="31"/>
      <c r="BD2840" s="31"/>
      <c r="BE2840" s="31"/>
      <c r="BF2840" s="96"/>
    </row>
    <row r="2841" spans="42:58" x14ac:dyDescent="0.35">
      <c r="AP2841" s="92"/>
      <c r="AQ2841" s="67"/>
      <c r="AR2841" s="67"/>
      <c r="AS2841" s="73"/>
      <c r="AT2841" s="67"/>
      <c r="AU2841" s="67"/>
      <c r="AV2841" s="73"/>
      <c r="AW2841" s="68"/>
      <c r="AX2841" s="68"/>
      <c r="AY2841" s="68"/>
      <c r="AZ2841" s="68"/>
      <c r="BA2841" s="68"/>
      <c r="BB2841" s="67"/>
      <c r="BC2841" s="67"/>
      <c r="BD2841" s="67"/>
      <c r="BE2841" s="67"/>
      <c r="BF2841" s="95"/>
    </row>
    <row r="2842" spans="42:58" x14ac:dyDescent="0.35">
      <c r="AP2842" s="93"/>
      <c r="AQ2842" s="31"/>
      <c r="AR2842" s="31"/>
      <c r="AS2842" s="94"/>
      <c r="AT2842" s="31"/>
      <c r="AU2842" s="31"/>
      <c r="AV2842" s="94"/>
      <c r="AW2842" s="32"/>
      <c r="AX2842" s="32"/>
      <c r="AY2842" s="32"/>
      <c r="AZ2842" s="32"/>
      <c r="BA2842" s="32"/>
      <c r="BB2842" s="31"/>
      <c r="BC2842" s="31"/>
      <c r="BD2842" s="31"/>
      <c r="BE2842" s="31"/>
      <c r="BF2842" s="96"/>
    </row>
    <row r="2843" spans="42:58" x14ac:dyDescent="0.35">
      <c r="AP2843" s="92"/>
      <c r="AQ2843" s="67"/>
      <c r="AR2843" s="67"/>
      <c r="AS2843" s="73"/>
      <c r="AT2843" s="67"/>
      <c r="AU2843" s="67"/>
      <c r="AV2843" s="73"/>
      <c r="AW2843" s="68"/>
      <c r="AX2843" s="68"/>
      <c r="AY2843" s="68"/>
      <c r="AZ2843" s="68"/>
      <c r="BA2843" s="68"/>
      <c r="BB2843" s="67"/>
      <c r="BC2843" s="67"/>
      <c r="BD2843" s="67"/>
      <c r="BE2843" s="67"/>
      <c r="BF2843" s="95"/>
    </row>
    <row r="2844" spans="42:58" x14ac:dyDescent="0.35">
      <c r="AP2844" s="93"/>
      <c r="AQ2844" s="31"/>
      <c r="AR2844" s="31"/>
      <c r="AS2844" s="94"/>
      <c r="AT2844" s="31"/>
      <c r="AU2844" s="31"/>
      <c r="AV2844" s="94"/>
      <c r="AW2844" s="32"/>
      <c r="AX2844" s="32"/>
      <c r="AY2844" s="32"/>
      <c r="AZ2844" s="32"/>
      <c r="BA2844" s="32"/>
      <c r="BB2844" s="31"/>
      <c r="BC2844" s="31"/>
      <c r="BD2844" s="31"/>
      <c r="BE2844" s="31"/>
      <c r="BF2844" s="96"/>
    </row>
    <row r="2845" spans="42:58" x14ac:dyDescent="0.35">
      <c r="AP2845" s="92"/>
      <c r="AQ2845" s="67"/>
      <c r="AR2845" s="67"/>
      <c r="AS2845" s="73"/>
      <c r="AT2845" s="67"/>
      <c r="AU2845" s="67"/>
      <c r="AV2845" s="73"/>
      <c r="AW2845" s="68"/>
      <c r="AX2845" s="68"/>
      <c r="AY2845" s="68"/>
      <c r="AZ2845" s="68"/>
      <c r="BA2845" s="68"/>
      <c r="BB2845" s="67"/>
      <c r="BC2845" s="67"/>
      <c r="BD2845" s="67"/>
      <c r="BE2845" s="67"/>
      <c r="BF2845" s="95"/>
    </row>
    <row r="2846" spans="42:58" x14ac:dyDescent="0.35">
      <c r="AP2846" s="93"/>
      <c r="AQ2846" s="31"/>
      <c r="AR2846" s="31"/>
      <c r="AS2846" s="94"/>
      <c r="AT2846" s="31"/>
      <c r="AU2846" s="31"/>
      <c r="AV2846" s="94"/>
      <c r="AW2846" s="32"/>
      <c r="AX2846" s="32"/>
      <c r="AY2846" s="32"/>
      <c r="AZ2846" s="32"/>
      <c r="BA2846" s="32"/>
      <c r="BB2846" s="31"/>
      <c r="BC2846" s="31"/>
      <c r="BD2846" s="31"/>
      <c r="BE2846" s="31"/>
      <c r="BF2846" s="96"/>
    </row>
    <row r="2847" spans="42:58" x14ac:dyDescent="0.35">
      <c r="AP2847" s="92"/>
      <c r="AQ2847" s="67"/>
      <c r="AR2847" s="67"/>
      <c r="AS2847" s="73"/>
      <c r="AT2847" s="67"/>
      <c r="AU2847" s="67"/>
      <c r="AV2847" s="73"/>
      <c r="AW2847" s="68"/>
      <c r="AX2847" s="68"/>
      <c r="AY2847" s="68"/>
      <c r="AZ2847" s="68"/>
      <c r="BA2847" s="68"/>
      <c r="BB2847" s="67"/>
      <c r="BC2847" s="67"/>
      <c r="BD2847" s="67"/>
      <c r="BE2847" s="67"/>
      <c r="BF2847" s="95"/>
    </row>
    <row r="2848" spans="42:58" x14ac:dyDescent="0.35">
      <c r="AP2848" s="93"/>
      <c r="AQ2848" s="31"/>
      <c r="AR2848" s="31"/>
      <c r="AS2848" s="94"/>
      <c r="AT2848" s="31"/>
      <c r="AU2848" s="31"/>
      <c r="AV2848" s="94"/>
      <c r="AW2848" s="32"/>
      <c r="AX2848" s="32"/>
      <c r="AY2848" s="32"/>
      <c r="AZ2848" s="32"/>
      <c r="BA2848" s="32"/>
      <c r="BB2848" s="31"/>
      <c r="BC2848" s="31"/>
      <c r="BD2848" s="31"/>
      <c r="BE2848" s="31"/>
      <c r="BF2848" s="96"/>
    </row>
    <row r="2849" spans="42:58" x14ac:dyDescent="0.35">
      <c r="AP2849" s="92"/>
      <c r="AQ2849" s="67"/>
      <c r="AR2849" s="67"/>
      <c r="AS2849" s="73"/>
      <c r="AT2849" s="67"/>
      <c r="AU2849" s="67"/>
      <c r="AV2849" s="73"/>
      <c r="AW2849" s="68"/>
      <c r="AX2849" s="68"/>
      <c r="AY2849" s="68"/>
      <c r="AZ2849" s="68"/>
      <c r="BA2849" s="68"/>
      <c r="BB2849" s="67"/>
      <c r="BC2849" s="67"/>
      <c r="BD2849" s="67"/>
      <c r="BE2849" s="67"/>
      <c r="BF2849" s="95"/>
    </row>
    <row r="2850" spans="42:58" x14ac:dyDescent="0.35">
      <c r="AP2850" s="93"/>
      <c r="AQ2850" s="31"/>
      <c r="AR2850" s="31"/>
      <c r="AS2850" s="94"/>
      <c r="AT2850" s="31"/>
      <c r="AU2850" s="31"/>
      <c r="AV2850" s="94"/>
      <c r="AW2850" s="32"/>
      <c r="AX2850" s="32"/>
      <c r="AY2850" s="32"/>
      <c r="AZ2850" s="32"/>
      <c r="BA2850" s="32"/>
      <c r="BB2850" s="31"/>
      <c r="BC2850" s="31"/>
      <c r="BD2850" s="31"/>
      <c r="BE2850" s="31"/>
      <c r="BF2850" s="96"/>
    </row>
    <row r="2851" spans="42:58" x14ac:dyDescent="0.35">
      <c r="AP2851" s="92"/>
      <c r="AQ2851" s="67"/>
      <c r="AR2851" s="67"/>
      <c r="AS2851" s="73"/>
      <c r="AT2851" s="67"/>
      <c r="AU2851" s="67"/>
      <c r="AV2851" s="73"/>
      <c r="AW2851" s="68"/>
      <c r="AX2851" s="68"/>
      <c r="AY2851" s="68"/>
      <c r="AZ2851" s="68"/>
      <c r="BA2851" s="68"/>
      <c r="BB2851" s="67"/>
      <c r="BC2851" s="67"/>
      <c r="BD2851" s="67"/>
      <c r="BE2851" s="67"/>
      <c r="BF2851" s="95"/>
    </row>
    <row r="2852" spans="42:58" x14ac:dyDescent="0.35">
      <c r="AP2852" s="93"/>
      <c r="AQ2852" s="31"/>
      <c r="AR2852" s="31"/>
      <c r="AS2852" s="94"/>
      <c r="AT2852" s="31"/>
      <c r="AU2852" s="31"/>
      <c r="AV2852" s="94"/>
      <c r="AW2852" s="32"/>
      <c r="AX2852" s="32"/>
      <c r="AY2852" s="32"/>
      <c r="AZ2852" s="32"/>
      <c r="BA2852" s="32"/>
      <c r="BB2852" s="31"/>
      <c r="BC2852" s="31"/>
      <c r="BD2852" s="31"/>
      <c r="BE2852" s="31"/>
      <c r="BF2852" s="96"/>
    </row>
    <row r="2853" spans="42:58" x14ac:dyDescent="0.35">
      <c r="AP2853" s="92"/>
      <c r="AQ2853" s="67"/>
      <c r="AR2853" s="67"/>
      <c r="AS2853" s="73"/>
      <c r="AT2853" s="67"/>
      <c r="AU2853" s="67"/>
      <c r="AV2853" s="73"/>
      <c r="AW2853" s="68"/>
      <c r="AX2853" s="68"/>
      <c r="AY2853" s="68"/>
      <c r="AZ2853" s="68"/>
      <c r="BA2853" s="68"/>
      <c r="BB2853" s="67"/>
      <c r="BC2853" s="67"/>
      <c r="BD2853" s="67"/>
      <c r="BE2853" s="67"/>
      <c r="BF2853" s="95"/>
    </row>
    <row r="2854" spans="42:58" x14ac:dyDescent="0.35">
      <c r="AP2854" s="93"/>
      <c r="AQ2854" s="31"/>
      <c r="AR2854" s="31"/>
      <c r="AS2854" s="94"/>
      <c r="AT2854" s="31"/>
      <c r="AU2854" s="31"/>
      <c r="AV2854" s="94"/>
      <c r="AW2854" s="32"/>
      <c r="AX2854" s="32"/>
      <c r="AY2854" s="32"/>
      <c r="AZ2854" s="32"/>
      <c r="BA2854" s="32"/>
      <c r="BB2854" s="31"/>
      <c r="BC2854" s="31"/>
      <c r="BD2854" s="31"/>
      <c r="BE2854" s="31"/>
      <c r="BF2854" s="96"/>
    </row>
    <row r="2855" spans="42:58" x14ac:dyDescent="0.35">
      <c r="AP2855" s="92"/>
      <c r="AQ2855" s="67"/>
      <c r="AR2855" s="67"/>
      <c r="AS2855" s="73"/>
      <c r="AT2855" s="67"/>
      <c r="AU2855" s="67"/>
      <c r="AV2855" s="73"/>
      <c r="AW2855" s="68"/>
      <c r="AX2855" s="68"/>
      <c r="AY2855" s="68"/>
      <c r="AZ2855" s="68"/>
      <c r="BA2855" s="68"/>
      <c r="BB2855" s="67"/>
      <c r="BC2855" s="67"/>
      <c r="BD2855" s="67"/>
      <c r="BE2855" s="67"/>
      <c r="BF2855" s="95"/>
    </row>
    <row r="2856" spans="42:58" x14ac:dyDescent="0.35">
      <c r="AP2856" s="93"/>
      <c r="AQ2856" s="31"/>
      <c r="AR2856" s="31"/>
      <c r="AS2856" s="94"/>
      <c r="AT2856" s="31"/>
      <c r="AU2856" s="31"/>
      <c r="AV2856" s="94"/>
      <c r="AW2856" s="32"/>
      <c r="AX2856" s="32"/>
      <c r="AY2856" s="32"/>
      <c r="AZ2856" s="32"/>
      <c r="BA2856" s="32"/>
      <c r="BB2856" s="31"/>
      <c r="BC2856" s="31"/>
      <c r="BD2856" s="31"/>
      <c r="BE2856" s="31"/>
      <c r="BF2856" s="96"/>
    </row>
    <row r="2857" spans="42:58" x14ac:dyDescent="0.35">
      <c r="AP2857" s="92"/>
      <c r="AQ2857" s="67"/>
      <c r="AR2857" s="67"/>
      <c r="AS2857" s="73"/>
      <c r="AT2857" s="67"/>
      <c r="AU2857" s="67"/>
      <c r="AV2857" s="73"/>
      <c r="AW2857" s="68"/>
      <c r="AX2857" s="68"/>
      <c r="AY2857" s="68"/>
      <c r="AZ2857" s="68"/>
      <c r="BA2857" s="68"/>
      <c r="BB2857" s="67"/>
      <c r="BC2857" s="67"/>
      <c r="BD2857" s="67"/>
      <c r="BE2857" s="67"/>
      <c r="BF2857" s="95"/>
    </row>
    <row r="2858" spans="42:58" x14ac:dyDescent="0.35">
      <c r="AP2858" s="93"/>
      <c r="AQ2858" s="31"/>
      <c r="AR2858" s="31"/>
      <c r="AS2858" s="94"/>
      <c r="AT2858" s="31"/>
      <c r="AU2858" s="31"/>
      <c r="AV2858" s="94"/>
      <c r="AW2858" s="32"/>
      <c r="AX2858" s="32"/>
      <c r="AY2858" s="32"/>
      <c r="AZ2858" s="32"/>
      <c r="BA2858" s="32"/>
      <c r="BB2858" s="31"/>
      <c r="BC2858" s="31"/>
      <c r="BD2858" s="31"/>
      <c r="BE2858" s="31"/>
      <c r="BF2858" s="96"/>
    </row>
    <row r="2859" spans="42:58" x14ac:dyDescent="0.35">
      <c r="AP2859" s="92"/>
      <c r="AQ2859" s="67"/>
      <c r="AR2859" s="67"/>
      <c r="AS2859" s="73"/>
      <c r="AT2859" s="67"/>
      <c r="AU2859" s="67"/>
      <c r="AV2859" s="73"/>
      <c r="AW2859" s="68"/>
      <c r="AX2859" s="68"/>
      <c r="AY2859" s="68"/>
      <c r="AZ2859" s="68"/>
      <c r="BA2859" s="68"/>
      <c r="BB2859" s="67"/>
      <c r="BC2859" s="67"/>
      <c r="BD2859" s="67"/>
      <c r="BE2859" s="67"/>
      <c r="BF2859" s="95"/>
    </row>
    <row r="2860" spans="42:58" x14ac:dyDescent="0.35">
      <c r="AP2860" s="93"/>
      <c r="AQ2860" s="31"/>
      <c r="AR2860" s="31"/>
      <c r="AS2860" s="94"/>
      <c r="AT2860" s="31"/>
      <c r="AU2860" s="31"/>
      <c r="AV2860" s="94"/>
      <c r="AW2860" s="32"/>
      <c r="AX2860" s="32"/>
      <c r="AY2860" s="32"/>
      <c r="AZ2860" s="32"/>
      <c r="BA2860" s="32"/>
      <c r="BB2860" s="31"/>
      <c r="BC2860" s="31"/>
      <c r="BD2860" s="31"/>
      <c r="BE2860" s="31"/>
      <c r="BF2860" s="96"/>
    </row>
    <row r="2861" spans="42:58" x14ac:dyDescent="0.35">
      <c r="AP2861" s="92"/>
      <c r="AQ2861" s="67"/>
      <c r="AR2861" s="67"/>
      <c r="AS2861" s="73"/>
      <c r="AT2861" s="67"/>
      <c r="AU2861" s="67"/>
      <c r="AV2861" s="73"/>
      <c r="AW2861" s="68"/>
      <c r="AX2861" s="68"/>
      <c r="AY2861" s="68"/>
      <c r="AZ2861" s="68"/>
      <c r="BA2861" s="68"/>
      <c r="BB2861" s="67"/>
      <c r="BC2861" s="67"/>
      <c r="BD2861" s="67"/>
      <c r="BE2861" s="67"/>
      <c r="BF2861" s="95"/>
    </row>
    <row r="2862" spans="42:58" x14ac:dyDescent="0.35">
      <c r="AP2862" s="93"/>
      <c r="AQ2862" s="31"/>
      <c r="AR2862" s="31"/>
      <c r="AS2862" s="94"/>
      <c r="AT2862" s="31"/>
      <c r="AU2862" s="31"/>
      <c r="AV2862" s="94"/>
      <c r="AW2862" s="32"/>
      <c r="AX2862" s="32"/>
      <c r="AY2862" s="32"/>
      <c r="AZ2862" s="32"/>
      <c r="BA2862" s="32"/>
      <c r="BB2862" s="31"/>
      <c r="BC2862" s="31"/>
      <c r="BD2862" s="31"/>
      <c r="BE2862" s="31"/>
      <c r="BF2862" s="96"/>
    </row>
    <row r="2863" spans="42:58" x14ac:dyDescent="0.35">
      <c r="AP2863" s="92"/>
      <c r="AQ2863" s="67"/>
      <c r="AR2863" s="67"/>
      <c r="AS2863" s="73"/>
      <c r="AT2863" s="67"/>
      <c r="AU2863" s="67"/>
      <c r="AV2863" s="73"/>
      <c r="AW2863" s="68"/>
      <c r="AX2863" s="68"/>
      <c r="AY2863" s="68"/>
      <c r="AZ2863" s="68"/>
      <c r="BA2863" s="68"/>
      <c r="BB2863" s="67"/>
      <c r="BC2863" s="67"/>
      <c r="BD2863" s="67"/>
      <c r="BE2863" s="67"/>
      <c r="BF2863" s="95"/>
    </row>
    <row r="2864" spans="42:58" x14ac:dyDescent="0.35">
      <c r="AP2864" s="93"/>
      <c r="AQ2864" s="31"/>
      <c r="AR2864" s="31"/>
      <c r="AS2864" s="94"/>
      <c r="AT2864" s="31"/>
      <c r="AU2864" s="31"/>
      <c r="AV2864" s="94"/>
      <c r="AW2864" s="32"/>
      <c r="AX2864" s="32"/>
      <c r="AY2864" s="32"/>
      <c r="AZ2864" s="32"/>
      <c r="BA2864" s="32"/>
      <c r="BB2864" s="31"/>
      <c r="BC2864" s="31"/>
      <c r="BD2864" s="31"/>
      <c r="BE2864" s="31"/>
      <c r="BF2864" s="96"/>
    </row>
    <row r="2865" spans="42:58" x14ac:dyDescent="0.35">
      <c r="AP2865" s="92"/>
      <c r="AQ2865" s="67"/>
      <c r="AR2865" s="67"/>
      <c r="AS2865" s="73"/>
      <c r="AT2865" s="67"/>
      <c r="AU2865" s="67"/>
      <c r="AV2865" s="73"/>
      <c r="AW2865" s="68"/>
      <c r="AX2865" s="68"/>
      <c r="AY2865" s="68"/>
      <c r="AZ2865" s="68"/>
      <c r="BA2865" s="68"/>
      <c r="BB2865" s="67"/>
      <c r="BC2865" s="67"/>
      <c r="BD2865" s="67"/>
      <c r="BE2865" s="67"/>
      <c r="BF2865" s="95"/>
    </row>
    <row r="2866" spans="42:58" x14ac:dyDescent="0.35">
      <c r="AP2866" s="93"/>
      <c r="AQ2866" s="31"/>
      <c r="AR2866" s="31"/>
      <c r="AS2866" s="94"/>
      <c r="AT2866" s="31"/>
      <c r="AU2866" s="31"/>
      <c r="AV2866" s="94"/>
      <c r="AW2866" s="32"/>
      <c r="AX2866" s="32"/>
      <c r="AY2866" s="32"/>
      <c r="AZ2866" s="32"/>
      <c r="BA2866" s="32"/>
      <c r="BB2866" s="31"/>
      <c r="BC2866" s="31"/>
      <c r="BD2866" s="31"/>
      <c r="BE2866" s="31"/>
      <c r="BF2866" s="96"/>
    </row>
    <row r="2867" spans="42:58" x14ac:dyDescent="0.35">
      <c r="AP2867" s="92"/>
      <c r="AQ2867" s="67"/>
      <c r="AR2867" s="67"/>
      <c r="AS2867" s="73"/>
      <c r="AT2867" s="67"/>
      <c r="AU2867" s="67"/>
      <c r="AV2867" s="73"/>
      <c r="AW2867" s="68"/>
      <c r="AX2867" s="68"/>
      <c r="AY2867" s="68"/>
      <c r="AZ2867" s="68"/>
      <c r="BA2867" s="68"/>
      <c r="BB2867" s="67"/>
      <c r="BC2867" s="67"/>
      <c r="BD2867" s="67"/>
      <c r="BE2867" s="67"/>
      <c r="BF2867" s="95"/>
    </row>
    <row r="2868" spans="42:58" x14ac:dyDescent="0.35">
      <c r="AP2868" s="93"/>
      <c r="AQ2868" s="31"/>
      <c r="AR2868" s="31"/>
      <c r="AS2868" s="94"/>
      <c r="AT2868" s="31"/>
      <c r="AU2868" s="31"/>
      <c r="AV2868" s="94"/>
      <c r="AW2868" s="32"/>
      <c r="AX2868" s="32"/>
      <c r="AY2868" s="32"/>
      <c r="AZ2868" s="32"/>
      <c r="BA2868" s="32"/>
      <c r="BB2868" s="31"/>
      <c r="BC2868" s="31"/>
      <c r="BD2868" s="31"/>
      <c r="BE2868" s="31"/>
      <c r="BF2868" s="96"/>
    </row>
    <row r="2869" spans="42:58" x14ac:dyDescent="0.35">
      <c r="AP2869" s="92"/>
      <c r="AQ2869" s="67"/>
      <c r="AR2869" s="67"/>
      <c r="AS2869" s="73"/>
      <c r="AT2869" s="67"/>
      <c r="AU2869" s="67"/>
      <c r="AV2869" s="73"/>
      <c r="AW2869" s="68"/>
      <c r="AX2869" s="68"/>
      <c r="AY2869" s="68"/>
      <c r="AZ2869" s="68"/>
      <c r="BA2869" s="68"/>
      <c r="BB2869" s="67"/>
      <c r="BC2869" s="67"/>
      <c r="BD2869" s="67"/>
      <c r="BE2869" s="67"/>
      <c r="BF2869" s="95"/>
    </row>
    <row r="2870" spans="42:58" x14ac:dyDescent="0.35">
      <c r="AP2870" s="93"/>
      <c r="AQ2870" s="31"/>
      <c r="AR2870" s="31"/>
      <c r="AS2870" s="94"/>
      <c r="AT2870" s="31"/>
      <c r="AU2870" s="31"/>
      <c r="AV2870" s="94"/>
      <c r="AW2870" s="32"/>
      <c r="AX2870" s="32"/>
      <c r="AY2870" s="32"/>
      <c r="AZ2870" s="32"/>
      <c r="BA2870" s="32"/>
      <c r="BB2870" s="31"/>
      <c r="BC2870" s="31"/>
      <c r="BD2870" s="31"/>
      <c r="BE2870" s="31"/>
      <c r="BF2870" s="96"/>
    </row>
    <row r="2871" spans="42:58" x14ac:dyDescent="0.35">
      <c r="AP2871" s="92"/>
      <c r="AQ2871" s="67"/>
      <c r="AR2871" s="67"/>
      <c r="AS2871" s="73"/>
      <c r="AT2871" s="67"/>
      <c r="AU2871" s="67"/>
      <c r="AV2871" s="73"/>
      <c r="AW2871" s="68"/>
      <c r="AX2871" s="68"/>
      <c r="AY2871" s="68"/>
      <c r="AZ2871" s="68"/>
      <c r="BA2871" s="68"/>
      <c r="BB2871" s="67"/>
      <c r="BC2871" s="67"/>
      <c r="BD2871" s="67"/>
      <c r="BE2871" s="67"/>
      <c r="BF2871" s="95"/>
    </row>
    <row r="2872" spans="42:58" x14ac:dyDescent="0.35">
      <c r="AP2872" s="93"/>
      <c r="AQ2872" s="31"/>
      <c r="AR2872" s="31"/>
      <c r="AS2872" s="94"/>
      <c r="AT2872" s="31"/>
      <c r="AU2872" s="31"/>
      <c r="AV2872" s="94"/>
      <c r="AW2872" s="32"/>
      <c r="AX2872" s="32"/>
      <c r="AY2872" s="32"/>
      <c r="AZ2872" s="32"/>
      <c r="BA2872" s="32"/>
      <c r="BB2872" s="31"/>
      <c r="BC2872" s="31"/>
      <c r="BD2872" s="31"/>
      <c r="BE2872" s="31"/>
      <c r="BF2872" s="96"/>
    </row>
    <row r="2873" spans="42:58" x14ac:dyDescent="0.35">
      <c r="AP2873" s="92"/>
      <c r="AQ2873" s="67"/>
      <c r="AR2873" s="67"/>
      <c r="AS2873" s="73"/>
      <c r="AT2873" s="67"/>
      <c r="AU2873" s="67"/>
      <c r="AV2873" s="73"/>
      <c r="AW2873" s="68"/>
      <c r="AX2873" s="68"/>
      <c r="AY2873" s="68"/>
      <c r="AZ2873" s="68"/>
      <c r="BA2873" s="68"/>
      <c r="BB2873" s="67"/>
      <c r="BC2873" s="67"/>
      <c r="BD2873" s="67"/>
      <c r="BE2873" s="67"/>
      <c r="BF2873" s="95"/>
    </row>
    <row r="2874" spans="42:58" x14ac:dyDescent="0.35">
      <c r="AP2874" s="93"/>
      <c r="AQ2874" s="31"/>
      <c r="AR2874" s="31"/>
      <c r="AS2874" s="94"/>
      <c r="AT2874" s="31"/>
      <c r="AU2874" s="31"/>
      <c r="AV2874" s="94"/>
      <c r="AW2874" s="32"/>
      <c r="AX2874" s="32"/>
      <c r="AY2874" s="32"/>
      <c r="AZ2874" s="32"/>
      <c r="BA2874" s="32"/>
      <c r="BB2874" s="31"/>
      <c r="BC2874" s="31"/>
      <c r="BD2874" s="31"/>
      <c r="BE2874" s="31"/>
      <c r="BF2874" s="96"/>
    </row>
    <row r="2875" spans="42:58" x14ac:dyDescent="0.35">
      <c r="AP2875" s="92"/>
      <c r="AQ2875" s="67"/>
      <c r="AR2875" s="67"/>
      <c r="AS2875" s="73"/>
      <c r="AT2875" s="67"/>
      <c r="AU2875" s="67"/>
      <c r="AV2875" s="73"/>
      <c r="AW2875" s="68"/>
      <c r="AX2875" s="68"/>
      <c r="AY2875" s="68"/>
      <c r="AZ2875" s="68"/>
      <c r="BA2875" s="68"/>
      <c r="BB2875" s="67"/>
      <c r="BC2875" s="67"/>
      <c r="BD2875" s="67"/>
      <c r="BE2875" s="67"/>
      <c r="BF2875" s="95"/>
    </row>
    <row r="2876" spans="42:58" x14ac:dyDescent="0.35">
      <c r="AP2876" s="93"/>
      <c r="AQ2876" s="31"/>
      <c r="AR2876" s="31"/>
      <c r="AS2876" s="94"/>
      <c r="AT2876" s="31"/>
      <c r="AU2876" s="31"/>
      <c r="AV2876" s="94"/>
      <c r="AW2876" s="32"/>
      <c r="AX2876" s="32"/>
      <c r="AY2876" s="32"/>
      <c r="AZ2876" s="32"/>
      <c r="BA2876" s="32"/>
      <c r="BB2876" s="31"/>
      <c r="BC2876" s="31"/>
      <c r="BD2876" s="31"/>
      <c r="BE2876" s="31"/>
      <c r="BF2876" s="96"/>
    </row>
    <row r="2877" spans="42:58" x14ac:dyDescent="0.35">
      <c r="AP2877" s="92"/>
      <c r="AQ2877" s="67"/>
      <c r="AR2877" s="67"/>
      <c r="AS2877" s="73"/>
      <c r="AT2877" s="67"/>
      <c r="AU2877" s="67"/>
      <c r="AV2877" s="73"/>
      <c r="AW2877" s="68"/>
      <c r="AX2877" s="68"/>
      <c r="AY2877" s="68"/>
      <c r="AZ2877" s="68"/>
      <c r="BA2877" s="68"/>
      <c r="BB2877" s="67"/>
      <c r="BC2877" s="67"/>
      <c r="BD2877" s="67"/>
      <c r="BE2877" s="67"/>
      <c r="BF2877" s="95"/>
    </row>
    <row r="2878" spans="42:58" x14ac:dyDescent="0.35">
      <c r="AP2878" s="93"/>
      <c r="AQ2878" s="31"/>
      <c r="AR2878" s="31"/>
      <c r="AS2878" s="94"/>
      <c r="AT2878" s="31"/>
      <c r="AU2878" s="31"/>
      <c r="AV2878" s="94"/>
      <c r="AW2878" s="32"/>
      <c r="AX2878" s="32"/>
      <c r="AY2878" s="32"/>
      <c r="AZ2878" s="32"/>
      <c r="BA2878" s="32"/>
      <c r="BB2878" s="31"/>
      <c r="BC2878" s="31"/>
      <c r="BD2878" s="31"/>
      <c r="BE2878" s="31"/>
      <c r="BF2878" s="96"/>
    </row>
    <row r="2879" spans="42:58" x14ac:dyDescent="0.35">
      <c r="AP2879" s="92"/>
      <c r="AQ2879" s="67"/>
      <c r="AR2879" s="67"/>
      <c r="AS2879" s="73"/>
      <c r="AT2879" s="67"/>
      <c r="AU2879" s="67"/>
      <c r="AV2879" s="73"/>
      <c r="AW2879" s="68"/>
      <c r="AX2879" s="68"/>
      <c r="AY2879" s="68"/>
      <c r="AZ2879" s="68"/>
      <c r="BA2879" s="68"/>
      <c r="BB2879" s="67"/>
      <c r="BC2879" s="67"/>
      <c r="BD2879" s="67"/>
      <c r="BE2879" s="67"/>
      <c r="BF2879" s="95"/>
    </row>
    <row r="2880" spans="42:58" x14ac:dyDescent="0.35">
      <c r="AP2880" s="93"/>
      <c r="AQ2880" s="31"/>
      <c r="AR2880" s="31"/>
      <c r="AS2880" s="94"/>
      <c r="AT2880" s="31"/>
      <c r="AU2880" s="31"/>
      <c r="AV2880" s="94"/>
      <c r="AW2880" s="32"/>
      <c r="AX2880" s="32"/>
      <c r="AY2880" s="32"/>
      <c r="AZ2880" s="32"/>
      <c r="BA2880" s="32"/>
      <c r="BB2880" s="31"/>
      <c r="BC2880" s="31"/>
      <c r="BD2880" s="31"/>
      <c r="BE2880" s="31"/>
      <c r="BF2880" s="96"/>
    </row>
    <row r="2881" spans="42:58" x14ac:dyDescent="0.35">
      <c r="AP2881" s="92"/>
      <c r="AQ2881" s="67"/>
      <c r="AR2881" s="67"/>
      <c r="AS2881" s="73"/>
      <c r="AT2881" s="67"/>
      <c r="AU2881" s="67"/>
      <c r="AV2881" s="73"/>
      <c r="AW2881" s="68"/>
      <c r="AX2881" s="68"/>
      <c r="AY2881" s="68"/>
      <c r="AZ2881" s="68"/>
      <c r="BA2881" s="68"/>
      <c r="BB2881" s="67"/>
      <c r="BC2881" s="67"/>
      <c r="BD2881" s="67"/>
      <c r="BE2881" s="67"/>
      <c r="BF2881" s="95"/>
    </row>
    <row r="2882" spans="42:58" x14ac:dyDescent="0.35">
      <c r="AP2882" s="93"/>
      <c r="AQ2882" s="31"/>
      <c r="AR2882" s="31"/>
      <c r="AS2882" s="94"/>
      <c r="AT2882" s="31"/>
      <c r="AU2882" s="31"/>
      <c r="AV2882" s="94"/>
      <c r="AW2882" s="32"/>
      <c r="AX2882" s="32"/>
      <c r="AY2882" s="32"/>
      <c r="AZ2882" s="32"/>
      <c r="BA2882" s="32"/>
      <c r="BB2882" s="31"/>
      <c r="BC2882" s="31"/>
      <c r="BD2882" s="31"/>
      <c r="BE2882" s="31"/>
      <c r="BF2882" s="96"/>
    </row>
    <row r="2883" spans="42:58" x14ac:dyDescent="0.35">
      <c r="AP2883" s="92"/>
      <c r="AQ2883" s="67"/>
      <c r="AR2883" s="67"/>
      <c r="AS2883" s="73"/>
      <c r="AT2883" s="67"/>
      <c r="AU2883" s="67"/>
      <c r="AV2883" s="73"/>
      <c r="AW2883" s="68"/>
      <c r="AX2883" s="68"/>
      <c r="AY2883" s="68"/>
      <c r="AZ2883" s="68"/>
      <c r="BA2883" s="68"/>
      <c r="BB2883" s="67"/>
      <c r="BC2883" s="67"/>
      <c r="BD2883" s="67"/>
      <c r="BE2883" s="67"/>
      <c r="BF2883" s="95"/>
    </row>
    <row r="2884" spans="42:58" x14ac:dyDescent="0.35">
      <c r="AP2884" s="93"/>
      <c r="AQ2884" s="31"/>
      <c r="AR2884" s="31"/>
      <c r="AS2884" s="94"/>
      <c r="AT2884" s="31"/>
      <c r="AU2884" s="31"/>
      <c r="AV2884" s="94"/>
      <c r="AW2884" s="32"/>
      <c r="AX2884" s="32"/>
      <c r="AY2884" s="32"/>
      <c r="AZ2884" s="32"/>
      <c r="BA2884" s="32"/>
      <c r="BB2884" s="31"/>
      <c r="BC2884" s="31"/>
      <c r="BD2884" s="31"/>
      <c r="BE2884" s="31"/>
      <c r="BF2884" s="96"/>
    </row>
    <row r="2885" spans="42:58" x14ac:dyDescent="0.35">
      <c r="AP2885" s="92"/>
      <c r="AQ2885" s="67"/>
      <c r="AR2885" s="67"/>
      <c r="AS2885" s="73"/>
      <c r="AT2885" s="67"/>
      <c r="AU2885" s="67"/>
      <c r="AV2885" s="73"/>
      <c r="AW2885" s="68"/>
      <c r="AX2885" s="68"/>
      <c r="AY2885" s="68"/>
      <c r="AZ2885" s="68"/>
      <c r="BA2885" s="68"/>
      <c r="BB2885" s="67"/>
      <c r="BC2885" s="67"/>
      <c r="BD2885" s="67"/>
      <c r="BE2885" s="67"/>
      <c r="BF2885" s="95"/>
    </row>
    <row r="2886" spans="42:58" x14ac:dyDescent="0.35">
      <c r="AP2886" s="93"/>
      <c r="AQ2886" s="31"/>
      <c r="AR2886" s="31"/>
      <c r="AS2886" s="94"/>
      <c r="AT2886" s="31"/>
      <c r="AU2886" s="31"/>
      <c r="AV2886" s="94"/>
      <c r="AW2886" s="32"/>
      <c r="AX2886" s="32"/>
      <c r="AY2886" s="32"/>
      <c r="AZ2886" s="32"/>
      <c r="BA2886" s="32"/>
      <c r="BB2886" s="31"/>
      <c r="BC2886" s="31"/>
      <c r="BD2886" s="31"/>
      <c r="BE2886" s="31"/>
      <c r="BF2886" s="96"/>
    </row>
    <row r="2887" spans="42:58" x14ac:dyDescent="0.35">
      <c r="AP2887" s="92"/>
      <c r="AQ2887" s="67"/>
      <c r="AR2887" s="67"/>
      <c r="AS2887" s="73"/>
      <c r="AT2887" s="67"/>
      <c r="AU2887" s="67"/>
      <c r="AV2887" s="73"/>
      <c r="AW2887" s="68"/>
      <c r="AX2887" s="68"/>
      <c r="AY2887" s="68"/>
      <c r="AZ2887" s="68"/>
      <c r="BA2887" s="68"/>
      <c r="BB2887" s="67"/>
      <c r="BC2887" s="67"/>
      <c r="BD2887" s="67"/>
      <c r="BE2887" s="67"/>
      <c r="BF2887" s="95"/>
    </row>
    <row r="2888" spans="42:58" x14ac:dyDescent="0.35">
      <c r="AP2888" s="93"/>
      <c r="AQ2888" s="31"/>
      <c r="AR2888" s="31"/>
      <c r="AS2888" s="94"/>
      <c r="AT2888" s="31"/>
      <c r="AU2888" s="31"/>
      <c r="AV2888" s="94"/>
      <c r="AW2888" s="32"/>
      <c r="AX2888" s="32"/>
      <c r="AY2888" s="32"/>
      <c r="AZ2888" s="32"/>
      <c r="BA2888" s="32"/>
      <c r="BB2888" s="31"/>
      <c r="BC2888" s="31"/>
      <c r="BD2888" s="31"/>
      <c r="BE2888" s="31"/>
      <c r="BF2888" s="96"/>
    </row>
    <row r="2889" spans="42:58" x14ac:dyDescent="0.35">
      <c r="AP2889" s="92"/>
      <c r="AQ2889" s="67"/>
      <c r="AR2889" s="67"/>
      <c r="AS2889" s="73"/>
      <c r="AT2889" s="67"/>
      <c r="AU2889" s="67"/>
      <c r="AV2889" s="73"/>
      <c r="AW2889" s="68"/>
      <c r="AX2889" s="68"/>
      <c r="AY2889" s="68"/>
      <c r="AZ2889" s="68"/>
      <c r="BA2889" s="68"/>
      <c r="BB2889" s="67"/>
      <c r="BC2889" s="67"/>
      <c r="BD2889" s="67"/>
      <c r="BE2889" s="67"/>
      <c r="BF2889" s="95"/>
    </row>
    <row r="2890" spans="42:58" x14ac:dyDescent="0.35">
      <c r="AP2890" s="93"/>
      <c r="AQ2890" s="31"/>
      <c r="AR2890" s="31"/>
      <c r="AS2890" s="94"/>
      <c r="AT2890" s="31"/>
      <c r="AU2890" s="31"/>
      <c r="AV2890" s="94"/>
      <c r="AW2890" s="32"/>
      <c r="AX2890" s="32"/>
      <c r="AY2890" s="32"/>
      <c r="AZ2890" s="32"/>
      <c r="BA2890" s="32"/>
      <c r="BB2890" s="31"/>
      <c r="BC2890" s="31"/>
      <c r="BD2890" s="31"/>
      <c r="BE2890" s="31"/>
      <c r="BF2890" s="96"/>
    </row>
    <row r="2891" spans="42:58" x14ac:dyDescent="0.35">
      <c r="AP2891" s="92"/>
      <c r="AQ2891" s="67"/>
      <c r="AR2891" s="67"/>
      <c r="AS2891" s="73"/>
      <c r="AT2891" s="67"/>
      <c r="AU2891" s="67"/>
      <c r="AV2891" s="73"/>
      <c r="AW2891" s="68"/>
      <c r="AX2891" s="68"/>
      <c r="AY2891" s="68"/>
      <c r="AZ2891" s="68"/>
      <c r="BA2891" s="68"/>
      <c r="BB2891" s="67"/>
      <c r="BC2891" s="67"/>
      <c r="BD2891" s="67"/>
      <c r="BE2891" s="67"/>
      <c r="BF2891" s="95"/>
    </row>
    <row r="2892" spans="42:58" x14ac:dyDescent="0.35">
      <c r="AP2892" s="93"/>
      <c r="AQ2892" s="31"/>
      <c r="AR2892" s="31"/>
      <c r="AS2892" s="94"/>
      <c r="AT2892" s="31"/>
      <c r="AU2892" s="31"/>
      <c r="AV2892" s="94"/>
      <c r="AW2892" s="32"/>
      <c r="AX2892" s="32"/>
      <c r="AY2892" s="32"/>
      <c r="AZ2892" s="32"/>
      <c r="BA2892" s="32"/>
      <c r="BB2892" s="31"/>
      <c r="BC2892" s="31"/>
      <c r="BD2892" s="31"/>
      <c r="BE2892" s="31"/>
      <c r="BF2892" s="96"/>
    </row>
    <row r="2893" spans="42:58" x14ac:dyDescent="0.35">
      <c r="AP2893" s="92"/>
      <c r="AQ2893" s="67"/>
      <c r="AR2893" s="67"/>
      <c r="AS2893" s="73"/>
      <c r="AT2893" s="67"/>
      <c r="AU2893" s="67"/>
      <c r="AV2893" s="73"/>
      <c r="AW2893" s="68"/>
      <c r="AX2893" s="68"/>
      <c r="AY2893" s="68"/>
      <c r="AZ2893" s="68"/>
      <c r="BA2893" s="68"/>
      <c r="BB2893" s="67"/>
      <c r="BC2893" s="67"/>
      <c r="BD2893" s="67"/>
      <c r="BE2893" s="67"/>
      <c r="BF2893" s="95"/>
    </row>
    <row r="2894" spans="42:58" x14ac:dyDescent="0.35">
      <c r="AP2894" s="93"/>
      <c r="AQ2894" s="31"/>
      <c r="AR2894" s="31"/>
      <c r="AS2894" s="94"/>
      <c r="AT2894" s="31"/>
      <c r="AU2894" s="31"/>
      <c r="AV2894" s="94"/>
      <c r="AW2894" s="32"/>
      <c r="AX2894" s="32"/>
      <c r="AY2894" s="32"/>
      <c r="AZ2894" s="32"/>
      <c r="BA2894" s="32"/>
      <c r="BB2894" s="31"/>
      <c r="BC2894" s="31"/>
      <c r="BD2894" s="31"/>
      <c r="BE2894" s="31"/>
      <c r="BF2894" s="96"/>
    </row>
    <row r="2895" spans="42:58" x14ac:dyDescent="0.35">
      <c r="AP2895" s="92"/>
      <c r="AQ2895" s="67"/>
      <c r="AR2895" s="67"/>
      <c r="AS2895" s="73"/>
      <c r="AT2895" s="67"/>
      <c r="AU2895" s="67"/>
      <c r="AV2895" s="73"/>
      <c r="AW2895" s="68"/>
      <c r="AX2895" s="68"/>
      <c r="AY2895" s="68"/>
      <c r="AZ2895" s="68"/>
      <c r="BA2895" s="68"/>
      <c r="BB2895" s="67"/>
      <c r="BC2895" s="67"/>
      <c r="BD2895" s="67"/>
      <c r="BE2895" s="67"/>
      <c r="BF2895" s="95"/>
    </row>
    <row r="2896" spans="42:58" x14ac:dyDescent="0.35">
      <c r="AP2896" s="93"/>
      <c r="AQ2896" s="31"/>
      <c r="AR2896" s="31"/>
      <c r="AS2896" s="94"/>
      <c r="AT2896" s="31"/>
      <c r="AU2896" s="31"/>
      <c r="AV2896" s="94"/>
      <c r="AW2896" s="32"/>
      <c r="AX2896" s="32"/>
      <c r="AY2896" s="32"/>
      <c r="AZ2896" s="32"/>
      <c r="BA2896" s="32"/>
      <c r="BB2896" s="31"/>
      <c r="BC2896" s="31"/>
      <c r="BD2896" s="31"/>
      <c r="BE2896" s="31"/>
      <c r="BF2896" s="96"/>
    </row>
    <row r="2897" spans="42:58" x14ac:dyDescent="0.35">
      <c r="AP2897" s="92"/>
      <c r="AQ2897" s="67"/>
      <c r="AR2897" s="67"/>
      <c r="AS2897" s="73"/>
      <c r="AT2897" s="67"/>
      <c r="AU2897" s="67"/>
      <c r="AV2897" s="73"/>
      <c r="AW2897" s="68"/>
      <c r="AX2897" s="68"/>
      <c r="AY2897" s="68"/>
      <c r="AZ2897" s="68"/>
      <c r="BA2897" s="68"/>
      <c r="BB2897" s="67"/>
      <c r="BC2897" s="67"/>
      <c r="BD2897" s="67"/>
      <c r="BE2897" s="67"/>
      <c r="BF2897" s="95"/>
    </row>
    <row r="2898" spans="42:58" x14ac:dyDescent="0.35">
      <c r="AP2898" s="93"/>
      <c r="AQ2898" s="31"/>
      <c r="AR2898" s="31"/>
      <c r="AS2898" s="94"/>
      <c r="AT2898" s="31"/>
      <c r="AU2898" s="31"/>
      <c r="AV2898" s="94"/>
      <c r="AW2898" s="32"/>
      <c r="AX2898" s="32"/>
      <c r="AY2898" s="32"/>
      <c r="AZ2898" s="32"/>
      <c r="BA2898" s="32"/>
      <c r="BB2898" s="31"/>
      <c r="BC2898" s="31"/>
      <c r="BD2898" s="31"/>
      <c r="BE2898" s="31"/>
      <c r="BF2898" s="96"/>
    </row>
    <row r="2899" spans="42:58" x14ac:dyDescent="0.35">
      <c r="AP2899" s="92"/>
      <c r="AQ2899" s="67"/>
      <c r="AR2899" s="67"/>
      <c r="AS2899" s="73"/>
      <c r="AT2899" s="67"/>
      <c r="AU2899" s="67"/>
      <c r="AV2899" s="73"/>
      <c r="AW2899" s="68"/>
      <c r="AX2899" s="68"/>
      <c r="AY2899" s="68"/>
      <c r="AZ2899" s="68"/>
      <c r="BA2899" s="68"/>
      <c r="BB2899" s="67"/>
      <c r="BC2899" s="67"/>
      <c r="BD2899" s="67"/>
      <c r="BE2899" s="67"/>
      <c r="BF2899" s="95"/>
    </row>
    <row r="2900" spans="42:58" x14ac:dyDescent="0.35">
      <c r="AP2900" s="93"/>
      <c r="AQ2900" s="31"/>
      <c r="AR2900" s="31"/>
      <c r="AS2900" s="94"/>
      <c r="AT2900" s="31"/>
      <c r="AU2900" s="31"/>
      <c r="AV2900" s="94"/>
      <c r="AW2900" s="32"/>
      <c r="AX2900" s="32"/>
      <c r="AY2900" s="32"/>
      <c r="AZ2900" s="32"/>
      <c r="BA2900" s="32"/>
      <c r="BB2900" s="31"/>
      <c r="BC2900" s="31"/>
      <c r="BD2900" s="31"/>
      <c r="BE2900" s="31"/>
      <c r="BF2900" s="96"/>
    </row>
    <row r="2901" spans="42:58" x14ac:dyDescent="0.35">
      <c r="AP2901" s="92"/>
      <c r="AQ2901" s="67"/>
      <c r="AR2901" s="67"/>
      <c r="AS2901" s="73"/>
      <c r="AT2901" s="67"/>
      <c r="AU2901" s="67"/>
      <c r="AV2901" s="73"/>
      <c r="AW2901" s="68"/>
      <c r="AX2901" s="68"/>
      <c r="AY2901" s="68"/>
      <c r="AZ2901" s="68"/>
      <c r="BA2901" s="68"/>
      <c r="BB2901" s="67"/>
      <c r="BC2901" s="67"/>
      <c r="BD2901" s="67"/>
      <c r="BE2901" s="67"/>
      <c r="BF2901" s="95"/>
    </row>
    <row r="2902" spans="42:58" x14ac:dyDescent="0.35">
      <c r="AP2902" s="93"/>
      <c r="AQ2902" s="31"/>
      <c r="AR2902" s="31"/>
      <c r="AS2902" s="94"/>
      <c r="AT2902" s="31"/>
      <c r="AU2902" s="31"/>
      <c r="AV2902" s="94"/>
      <c r="AW2902" s="32"/>
      <c r="AX2902" s="32"/>
      <c r="AY2902" s="32"/>
      <c r="AZ2902" s="32"/>
      <c r="BA2902" s="32"/>
      <c r="BB2902" s="31"/>
      <c r="BC2902" s="31"/>
      <c r="BD2902" s="31"/>
      <c r="BE2902" s="31"/>
      <c r="BF2902" s="96"/>
    </row>
    <row r="2903" spans="42:58" x14ac:dyDescent="0.35">
      <c r="AP2903" s="92"/>
      <c r="AQ2903" s="67"/>
      <c r="AR2903" s="67"/>
      <c r="AS2903" s="73"/>
      <c r="AT2903" s="67"/>
      <c r="AU2903" s="67"/>
      <c r="AV2903" s="73"/>
      <c r="AW2903" s="68"/>
      <c r="AX2903" s="68"/>
      <c r="AY2903" s="68"/>
      <c r="AZ2903" s="68"/>
      <c r="BA2903" s="68"/>
      <c r="BB2903" s="67"/>
      <c r="BC2903" s="67"/>
      <c r="BD2903" s="67"/>
      <c r="BE2903" s="67"/>
      <c r="BF2903" s="95"/>
    </row>
    <row r="2904" spans="42:58" x14ac:dyDescent="0.35">
      <c r="AP2904" s="93"/>
      <c r="AQ2904" s="31"/>
      <c r="AR2904" s="31"/>
      <c r="AS2904" s="94"/>
      <c r="AT2904" s="31"/>
      <c r="AU2904" s="31"/>
      <c r="AV2904" s="94"/>
      <c r="AW2904" s="32"/>
      <c r="AX2904" s="32"/>
      <c r="AY2904" s="32"/>
      <c r="AZ2904" s="32"/>
      <c r="BA2904" s="32"/>
      <c r="BB2904" s="31"/>
      <c r="BC2904" s="31"/>
      <c r="BD2904" s="31"/>
      <c r="BE2904" s="31"/>
      <c r="BF2904" s="96"/>
    </row>
    <row r="2905" spans="42:58" x14ac:dyDescent="0.35">
      <c r="AP2905" s="92"/>
      <c r="AQ2905" s="67"/>
      <c r="AR2905" s="67"/>
      <c r="AS2905" s="73"/>
      <c r="AT2905" s="67"/>
      <c r="AU2905" s="67"/>
      <c r="AV2905" s="73"/>
      <c r="AW2905" s="68"/>
      <c r="AX2905" s="68"/>
      <c r="AY2905" s="68"/>
      <c r="AZ2905" s="68"/>
      <c r="BA2905" s="68"/>
      <c r="BB2905" s="67"/>
      <c r="BC2905" s="67"/>
      <c r="BD2905" s="67"/>
      <c r="BE2905" s="67"/>
      <c r="BF2905" s="95"/>
    </row>
    <row r="2906" spans="42:58" x14ac:dyDescent="0.35">
      <c r="AP2906" s="93"/>
      <c r="AQ2906" s="31"/>
      <c r="AR2906" s="31"/>
      <c r="AS2906" s="94"/>
      <c r="AT2906" s="31"/>
      <c r="AU2906" s="31"/>
      <c r="AV2906" s="94"/>
      <c r="AW2906" s="32"/>
      <c r="AX2906" s="32"/>
      <c r="AY2906" s="32"/>
      <c r="AZ2906" s="32"/>
      <c r="BA2906" s="32"/>
      <c r="BB2906" s="31"/>
      <c r="BC2906" s="31"/>
      <c r="BD2906" s="31"/>
      <c r="BE2906" s="31"/>
      <c r="BF2906" s="96"/>
    </row>
    <row r="2907" spans="42:58" x14ac:dyDescent="0.35">
      <c r="AP2907" s="92"/>
      <c r="AQ2907" s="67"/>
      <c r="AR2907" s="67"/>
      <c r="AS2907" s="73"/>
      <c r="AT2907" s="67"/>
      <c r="AU2907" s="67"/>
      <c r="AV2907" s="73"/>
      <c r="AW2907" s="68"/>
      <c r="AX2907" s="68"/>
      <c r="AY2907" s="68"/>
      <c r="AZ2907" s="68"/>
      <c r="BA2907" s="68"/>
      <c r="BB2907" s="67"/>
      <c r="BC2907" s="67"/>
      <c r="BD2907" s="67"/>
      <c r="BE2907" s="67"/>
      <c r="BF2907" s="95"/>
    </row>
    <row r="2908" spans="42:58" x14ac:dyDescent="0.35">
      <c r="AP2908" s="93"/>
      <c r="AQ2908" s="31"/>
      <c r="AR2908" s="31"/>
      <c r="AS2908" s="94"/>
      <c r="AT2908" s="31"/>
      <c r="AU2908" s="31"/>
      <c r="AV2908" s="94"/>
      <c r="AW2908" s="32"/>
      <c r="AX2908" s="32"/>
      <c r="AY2908" s="32"/>
      <c r="AZ2908" s="32"/>
      <c r="BA2908" s="32"/>
      <c r="BB2908" s="31"/>
      <c r="BC2908" s="31"/>
      <c r="BD2908" s="31"/>
      <c r="BE2908" s="31"/>
      <c r="BF2908" s="96"/>
    </row>
    <row r="2909" spans="42:58" x14ac:dyDescent="0.35">
      <c r="AP2909" s="92"/>
      <c r="AQ2909" s="67"/>
      <c r="AR2909" s="67"/>
      <c r="AS2909" s="73"/>
      <c r="AT2909" s="67"/>
      <c r="AU2909" s="67"/>
      <c r="AV2909" s="73"/>
      <c r="AW2909" s="68"/>
      <c r="AX2909" s="68"/>
      <c r="AY2909" s="68"/>
      <c r="AZ2909" s="68"/>
      <c r="BA2909" s="68"/>
      <c r="BB2909" s="67"/>
      <c r="BC2909" s="67"/>
      <c r="BD2909" s="67"/>
      <c r="BE2909" s="67"/>
      <c r="BF2909" s="95"/>
    </row>
    <row r="2910" spans="42:58" x14ac:dyDescent="0.35">
      <c r="AP2910" s="93"/>
      <c r="AQ2910" s="31"/>
      <c r="AR2910" s="31"/>
      <c r="AS2910" s="94"/>
      <c r="AT2910" s="31"/>
      <c r="AU2910" s="31"/>
      <c r="AV2910" s="94"/>
      <c r="AW2910" s="32"/>
      <c r="AX2910" s="32"/>
      <c r="AY2910" s="32"/>
      <c r="AZ2910" s="32"/>
      <c r="BA2910" s="32"/>
      <c r="BB2910" s="31"/>
      <c r="BC2910" s="31"/>
      <c r="BD2910" s="31"/>
      <c r="BE2910" s="31"/>
      <c r="BF2910" s="96"/>
    </row>
    <row r="2911" spans="42:58" x14ac:dyDescent="0.35">
      <c r="AP2911" s="92"/>
      <c r="AQ2911" s="67"/>
      <c r="AR2911" s="67"/>
      <c r="AS2911" s="73"/>
      <c r="AT2911" s="67"/>
      <c r="AU2911" s="67"/>
      <c r="AV2911" s="73"/>
      <c r="AW2911" s="68"/>
      <c r="AX2911" s="68"/>
      <c r="AY2911" s="68"/>
      <c r="AZ2911" s="68"/>
      <c r="BA2911" s="68"/>
      <c r="BB2911" s="67"/>
      <c r="BC2911" s="67"/>
      <c r="BD2911" s="67"/>
      <c r="BE2911" s="67"/>
      <c r="BF2911" s="95"/>
    </row>
    <row r="2912" spans="42:58" x14ac:dyDescent="0.35">
      <c r="AP2912" s="93"/>
      <c r="AQ2912" s="31"/>
      <c r="AR2912" s="31"/>
      <c r="AS2912" s="94"/>
      <c r="AT2912" s="31"/>
      <c r="AU2912" s="31"/>
      <c r="AV2912" s="94"/>
      <c r="AW2912" s="32"/>
      <c r="AX2912" s="32"/>
      <c r="AY2912" s="32"/>
      <c r="AZ2912" s="32"/>
      <c r="BA2912" s="32"/>
      <c r="BB2912" s="31"/>
      <c r="BC2912" s="31"/>
      <c r="BD2912" s="31"/>
      <c r="BE2912" s="31"/>
      <c r="BF2912" s="96"/>
    </row>
    <row r="2913" spans="42:58" x14ac:dyDescent="0.35">
      <c r="AP2913" s="92"/>
      <c r="AQ2913" s="67"/>
      <c r="AR2913" s="67"/>
      <c r="AS2913" s="73"/>
      <c r="AT2913" s="67"/>
      <c r="AU2913" s="67"/>
      <c r="AV2913" s="73"/>
      <c r="AW2913" s="68"/>
      <c r="AX2913" s="68"/>
      <c r="AY2913" s="68"/>
      <c r="AZ2913" s="68"/>
      <c r="BA2913" s="68"/>
      <c r="BB2913" s="67"/>
      <c r="BC2913" s="67"/>
      <c r="BD2913" s="67"/>
      <c r="BE2913" s="67"/>
      <c r="BF2913" s="95"/>
    </row>
    <row r="2914" spans="42:58" x14ac:dyDescent="0.35">
      <c r="AP2914" s="93"/>
      <c r="AQ2914" s="31"/>
      <c r="AR2914" s="31"/>
      <c r="AS2914" s="94"/>
      <c r="AT2914" s="31"/>
      <c r="AU2914" s="31"/>
      <c r="AV2914" s="94"/>
      <c r="AW2914" s="32"/>
      <c r="AX2914" s="32"/>
      <c r="AY2914" s="32"/>
      <c r="AZ2914" s="32"/>
      <c r="BA2914" s="32"/>
      <c r="BB2914" s="31"/>
      <c r="BC2914" s="31"/>
      <c r="BD2914" s="31"/>
      <c r="BE2914" s="31"/>
      <c r="BF2914" s="96"/>
    </row>
    <row r="2915" spans="42:58" x14ac:dyDescent="0.35">
      <c r="AP2915" s="92"/>
      <c r="AQ2915" s="67"/>
      <c r="AR2915" s="67"/>
      <c r="AS2915" s="73"/>
      <c r="AT2915" s="67"/>
      <c r="AU2915" s="67"/>
      <c r="AV2915" s="73"/>
      <c r="AW2915" s="68"/>
      <c r="AX2915" s="68"/>
      <c r="AY2915" s="68"/>
      <c r="AZ2915" s="68"/>
      <c r="BA2915" s="68"/>
      <c r="BB2915" s="67"/>
      <c r="BC2915" s="67"/>
      <c r="BD2915" s="67"/>
      <c r="BE2915" s="67"/>
      <c r="BF2915" s="95"/>
    </row>
    <row r="2916" spans="42:58" x14ac:dyDescent="0.35">
      <c r="AP2916" s="93"/>
      <c r="AQ2916" s="31"/>
      <c r="AR2916" s="31"/>
      <c r="AS2916" s="94"/>
      <c r="AT2916" s="31"/>
      <c r="AU2916" s="31"/>
      <c r="AV2916" s="94"/>
      <c r="AW2916" s="32"/>
      <c r="AX2916" s="32"/>
      <c r="AY2916" s="32"/>
      <c r="AZ2916" s="32"/>
      <c r="BA2916" s="32"/>
      <c r="BB2916" s="31"/>
      <c r="BC2916" s="31"/>
      <c r="BD2916" s="31"/>
      <c r="BE2916" s="31"/>
      <c r="BF2916" s="96"/>
    </row>
    <row r="2917" spans="42:58" x14ac:dyDescent="0.35">
      <c r="AP2917" s="92"/>
      <c r="AQ2917" s="67"/>
      <c r="AR2917" s="67"/>
      <c r="AS2917" s="73"/>
      <c r="AT2917" s="67"/>
      <c r="AU2917" s="67"/>
      <c r="AV2917" s="73"/>
      <c r="AW2917" s="68"/>
      <c r="AX2917" s="68"/>
      <c r="AY2917" s="68"/>
      <c r="AZ2917" s="68"/>
      <c r="BA2917" s="68"/>
      <c r="BB2917" s="67"/>
      <c r="BC2917" s="67"/>
      <c r="BD2917" s="67"/>
      <c r="BE2917" s="67"/>
      <c r="BF2917" s="95"/>
    </row>
    <row r="2918" spans="42:58" x14ac:dyDescent="0.35">
      <c r="AP2918" s="93"/>
      <c r="AQ2918" s="31"/>
      <c r="AR2918" s="31"/>
      <c r="AS2918" s="94"/>
      <c r="AT2918" s="31"/>
      <c r="AU2918" s="31"/>
      <c r="AV2918" s="94"/>
      <c r="AW2918" s="32"/>
      <c r="AX2918" s="32"/>
      <c r="AY2918" s="32"/>
      <c r="AZ2918" s="32"/>
      <c r="BA2918" s="32"/>
      <c r="BB2918" s="31"/>
      <c r="BC2918" s="31"/>
      <c r="BD2918" s="31"/>
      <c r="BE2918" s="31"/>
      <c r="BF2918" s="96"/>
    </row>
    <row r="2919" spans="42:58" x14ac:dyDescent="0.35">
      <c r="AP2919" s="92"/>
      <c r="AQ2919" s="67"/>
      <c r="AR2919" s="67"/>
      <c r="AS2919" s="73"/>
      <c r="AT2919" s="67"/>
      <c r="AU2919" s="67"/>
      <c r="AV2919" s="73"/>
      <c r="AW2919" s="68"/>
      <c r="AX2919" s="68"/>
      <c r="AY2919" s="68"/>
      <c r="AZ2919" s="68"/>
      <c r="BA2919" s="68"/>
      <c r="BB2919" s="67"/>
      <c r="BC2919" s="67"/>
      <c r="BD2919" s="67"/>
      <c r="BE2919" s="67"/>
      <c r="BF2919" s="95"/>
    </row>
    <row r="2920" spans="42:58" x14ac:dyDescent="0.35">
      <c r="AP2920" s="93"/>
      <c r="AQ2920" s="31"/>
      <c r="AR2920" s="31"/>
      <c r="AS2920" s="94"/>
      <c r="AT2920" s="31"/>
      <c r="AU2920" s="31"/>
      <c r="AV2920" s="94"/>
      <c r="AW2920" s="32"/>
      <c r="AX2920" s="32"/>
      <c r="AY2920" s="32"/>
      <c r="AZ2920" s="32"/>
      <c r="BA2920" s="32"/>
      <c r="BB2920" s="31"/>
      <c r="BC2920" s="31"/>
      <c r="BD2920" s="31"/>
      <c r="BE2920" s="31"/>
      <c r="BF2920" s="96"/>
    </row>
    <row r="2921" spans="42:58" x14ac:dyDescent="0.35">
      <c r="AP2921" s="92"/>
      <c r="AQ2921" s="67"/>
      <c r="AR2921" s="67"/>
      <c r="AS2921" s="73"/>
      <c r="AT2921" s="67"/>
      <c r="AU2921" s="67"/>
      <c r="AV2921" s="73"/>
      <c r="AW2921" s="68"/>
      <c r="AX2921" s="68"/>
      <c r="AY2921" s="68"/>
      <c r="AZ2921" s="68"/>
      <c r="BA2921" s="68"/>
      <c r="BB2921" s="67"/>
      <c r="BC2921" s="67"/>
      <c r="BD2921" s="67"/>
      <c r="BE2921" s="67"/>
      <c r="BF2921" s="95"/>
    </row>
    <row r="2922" spans="42:58" x14ac:dyDescent="0.35">
      <c r="AP2922" s="93"/>
      <c r="AQ2922" s="31"/>
      <c r="AR2922" s="31"/>
      <c r="AS2922" s="94"/>
      <c r="AT2922" s="31"/>
      <c r="AU2922" s="31"/>
      <c r="AV2922" s="94"/>
      <c r="AW2922" s="32"/>
      <c r="AX2922" s="32"/>
      <c r="AY2922" s="32"/>
      <c r="AZ2922" s="32"/>
      <c r="BA2922" s="32"/>
      <c r="BB2922" s="31"/>
      <c r="BC2922" s="31"/>
      <c r="BD2922" s="31"/>
      <c r="BE2922" s="31"/>
      <c r="BF2922" s="96"/>
    </row>
    <row r="2923" spans="42:58" x14ac:dyDescent="0.35">
      <c r="AP2923" s="92"/>
      <c r="AQ2923" s="67"/>
      <c r="AR2923" s="67"/>
      <c r="AS2923" s="73"/>
      <c r="AT2923" s="67"/>
      <c r="AU2923" s="67"/>
      <c r="AV2923" s="73"/>
      <c r="AW2923" s="68"/>
      <c r="AX2923" s="68"/>
      <c r="AY2923" s="68"/>
      <c r="AZ2923" s="68"/>
      <c r="BA2923" s="68"/>
      <c r="BB2923" s="67"/>
      <c r="BC2923" s="67"/>
      <c r="BD2923" s="67"/>
      <c r="BE2923" s="67"/>
      <c r="BF2923" s="95"/>
    </row>
    <row r="2924" spans="42:58" x14ac:dyDescent="0.35">
      <c r="AP2924" s="93"/>
      <c r="AQ2924" s="31"/>
      <c r="AR2924" s="31"/>
      <c r="AS2924" s="94"/>
      <c r="AT2924" s="31"/>
      <c r="AU2924" s="31"/>
      <c r="AV2924" s="94"/>
      <c r="AW2924" s="32"/>
      <c r="AX2924" s="32"/>
      <c r="AY2924" s="32"/>
      <c r="AZ2924" s="32"/>
      <c r="BA2924" s="32"/>
      <c r="BB2924" s="31"/>
      <c r="BC2924" s="31"/>
      <c r="BD2924" s="31"/>
      <c r="BE2924" s="31"/>
      <c r="BF2924" s="96"/>
    </row>
    <row r="2925" spans="42:58" x14ac:dyDescent="0.35">
      <c r="AP2925" s="92"/>
      <c r="AQ2925" s="67"/>
      <c r="AR2925" s="67"/>
      <c r="AS2925" s="73"/>
      <c r="AT2925" s="67"/>
      <c r="AU2925" s="67"/>
      <c r="AV2925" s="73"/>
      <c r="AW2925" s="68"/>
      <c r="AX2925" s="68"/>
      <c r="AY2925" s="68"/>
      <c r="AZ2925" s="68"/>
      <c r="BA2925" s="68"/>
      <c r="BB2925" s="67"/>
      <c r="BC2925" s="67"/>
      <c r="BD2925" s="67"/>
      <c r="BE2925" s="67"/>
      <c r="BF2925" s="95"/>
    </row>
    <row r="2926" spans="42:58" x14ac:dyDescent="0.35">
      <c r="AP2926" s="93"/>
      <c r="AQ2926" s="31"/>
      <c r="AR2926" s="31"/>
      <c r="AS2926" s="94"/>
      <c r="AT2926" s="31"/>
      <c r="AU2926" s="31"/>
      <c r="AV2926" s="94"/>
      <c r="AW2926" s="32"/>
      <c r="AX2926" s="32"/>
      <c r="AY2926" s="32"/>
      <c r="AZ2926" s="32"/>
      <c r="BA2926" s="32"/>
      <c r="BB2926" s="31"/>
      <c r="BC2926" s="31"/>
      <c r="BD2926" s="31"/>
      <c r="BE2926" s="31"/>
      <c r="BF2926" s="96"/>
    </row>
    <row r="2927" spans="42:58" x14ac:dyDescent="0.35">
      <c r="AP2927" s="92"/>
      <c r="AQ2927" s="67"/>
      <c r="AR2927" s="67"/>
      <c r="AS2927" s="73"/>
      <c r="AT2927" s="67"/>
      <c r="AU2927" s="67"/>
      <c r="AV2927" s="73"/>
      <c r="AW2927" s="68"/>
      <c r="AX2927" s="68"/>
      <c r="AY2927" s="68"/>
      <c r="AZ2927" s="68"/>
      <c r="BA2927" s="68"/>
      <c r="BB2927" s="67"/>
      <c r="BC2927" s="67"/>
      <c r="BD2927" s="67"/>
      <c r="BE2927" s="67"/>
      <c r="BF2927" s="95"/>
    </row>
    <row r="2928" spans="42:58" x14ac:dyDescent="0.35">
      <c r="AP2928" s="93"/>
      <c r="AQ2928" s="31"/>
      <c r="AR2928" s="31"/>
      <c r="AS2928" s="94"/>
      <c r="AT2928" s="31"/>
      <c r="AU2928" s="31"/>
      <c r="AV2928" s="94"/>
      <c r="AW2928" s="32"/>
      <c r="AX2928" s="32"/>
      <c r="AY2928" s="32"/>
      <c r="AZ2928" s="32"/>
      <c r="BA2928" s="32"/>
      <c r="BB2928" s="31"/>
      <c r="BC2928" s="31"/>
      <c r="BD2928" s="31"/>
      <c r="BE2928" s="31"/>
      <c r="BF2928" s="96"/>
    </row>
    <row r="2929" spans="42:58" x14ac:dyDescent="0.35">
      <c r="AP2929" s="92"/>
      <c r="AQ2929" s="67"/>
      <c r="AR2929" s="67"/>
      <c r="AS2929" s="73"/>
      <c r="AT2929" s="67"/>
      <c r="AU2929" s="67"/>
      <c r="AV2929" s="73"/>
      <c r="AW2929" s="68"/>
      <c r="AX2929" s="68"/>
      <c r="AY2929" s="68"/>
      <c r="AZ2929" s="68"/>
      <c r="BA2929" s="68"/>
      <c r="BB2929" s="67"/>
      <c r="BC2929" s="67"/>
      <c r="BD2929" s="67"/>
      <c r="BE2929" s="67"/>
      <c r="BF2929" s="95"/>
    </row>
    <row r="2930" spans="42:58" x14ac:dyDescent="0.35">
      <c r="AP2930" s="93"/>
      <c r="AQ2930" s="31"/>
      <c r="AR2930" s="31"/>
      <c r="AS2930" s="94"/>
      <c r="AT2930" s="31"/>
      <c r="AU2930" s="31"/>
      <c r="AV2930" s="94"/>
      <c r="AW2930" s="32"/>
      <c r="AX2930" s="32"/>
      <c r="AY2930" s="32"/>
      <c r="AZ2930" s="32"/>
      <c r="BA2930" s="32"/>
      <c r="BB2930" s="31"/>
      <c r="BC2930" s="31"/>
      <c r="BD2930" s="31"/>
      <c r="BE2930" s="31"/>
      <c r="BF2930" s="96"/>
    </row>
    <row r="2931" spans="42:58" x14ac:dyDescent="0.35">
      <c r="AP2931" s="92"/>
      <c r="AQ2931" s="67"/>
      <c r="AR2931" s="67"/>
      <c r="AS2931" s="73"/>
      <c r="AT2931" s="67"/>
      <c r="AU2931" s="67"/>
      <c r="AV2931" s="73"/>
      <c r="AW2931" s="68"/>
      <c r="AX2931" s="68"/>
      <c r="AY2931" s="68"/>
      <c r="AZ2931" s="68"/>
      <c r="BA2931" s="68"/>
      <c r="BB2931" s="67"/>
      <c r="BC2931" s="67"/>
      <c r="BD2931" s="67"/>
      <c r="BE2931" s="67"/>
      <c r="BF2931" s="95"/>
    </row>
    <row r="2932" spans="42:58" x14ac:dyDescent="0.35">
      <c r="AP2932" s="93"/>
      <c r="AQ2932" s="31"/>
      <c r="AR2932" s="31"/>
      <c r="AS2932" s="94"/>
      <c r="AT2932" s="31"/>
      <c r="AU2932" s="31"/>
      <c r="AV2932" s="94"/>
      <c r="AW2932" s="32"/>
      <c r="AX2932" s="32"/>
      <c r="AY2932" s="32"/>
      <c r="AZ2932" s="32"/>
      <c r="BA2932" s="32"/>
      <c r="BB2932" s="31"/>
      <c r="BC2932" s="31"/>
      <c r="BD2932" s="31"/>
      <c r="BE2932" s="31"/>
      <c r="BF2932" s="96"/>
    </row>
    <row r="2933" spans="42:58" x14ac:dyDescent="0.35">
      <c r="AP2933" s="92"/>
      <c r="AQ2933" s="67"/>
      <c r="AR2933" s="67"/>
      <c r="AS2933" s="73"/>
      <c r="AT2933" s="67"/>
      <c r="AU2933" s="67"/>
      <c r="AV2933" s="73"/>
      <c r="AW2933" s="68"/>
      <c r="AX2933" s="68"/>
      <c r="AY2933" s="68"/>
      <c r="AZ2933" s="68"/>
      <c r="BA2933" s="68"/>
      <c r="BB2933" s="67"/>
      <c r="BC2933" s="67"/>
      <c r="BD2933" s="67"/>
      <c r="BE2933" s="67"/>
      <c r="BF2933" s="95"/>
    </row>
    <row r="2934" spans="42:58" x14ac:dyDescent="0.35">
      <c r="AP2934" s="93"/>
      <c r="AQ2934" s="31"/>
      <c r="AR2934" s="31"/>
      <c r="AS2934" s="94"/>
      <c r="AT2934" s="31"/>
      <c r="AU2934" s="31"/>
      <c r="AV2934" s="94"/>
      <c r="AW2934" s="32"/>
      <c r="AX2934" s="32"/>
      <c r="AY2934" s="32"/>
      <c r="AZ2934" s="32"/>
      <c r="BA2934" s="32"/>
      <c r="BB2934" s="31"/>
      <c r="BC2934" s="31"/>
      <c r="BD2934" s="31"/>
      <c r="BE2934" s="31"/>
      <c r="BF2934" s="96"/>
    </row>
    <row r="2935" spans="42:58" x14ac:dyDescent="0.35">
      <c r="AP2935" s="92"/>
      <c r="AQ2935" s="67"/>
      <c r="AR2935" s="67"/>
      <c r="AS2935" s="73"/>
      <c r="AT2935" s="67"/>
      <c r="AU2935" s="67"/>
      <c r="AV2935" s="73"/>
      <c r="AW2935" s="68"/>
      <c r="AX2935" s="68"/>
      <c r="AY2935" s="68"/>
      <c r="AZ2935" s="68"/>
      <c r="BA2935" s="68"/>
      <c r="BB2935" s="67"/>
      <c r="BC2935" s="67"/>
      <c r="BD2935" s="67"/>
      <c r="BE2935" s="67"/>
      <c r="BF2935" s="95"/>
    </row>
    <row r="2936" spans="42:58" x14ac:dyDescent="0.35">
      <c r="AP2936" s="93"/>
      <c r="AQ2936" s="31"/>
      <c r="AR2936" s="31"/>
      <c r="AS2936" s="94"/>
      <c r="AT2936" s="31"/>
      <c r="AU2936" s="31"/>
      <c r="AV2936" s="94"/>
      <c r="AW2936" s="32"/>
      <c r="AX2936" s="32"/>
      <c r="AY2936" s="32"/>
      <c r="AZ2936" s="32"/>
      <c r="BA2936" s="32"/>
      <c r="BB2936" s="31"/>
      <c r="BC2936" s="31"/>
      <c r="BD2936" s="31"/>
      <c r="BE2936" s="31"/>
      <c r="BF2936" s="96"/>
    </row>
    <row r="2937" spans="42:58" x14ac:dyDescent="0.35">
      <c r="AP2937" s="92"/>
      <c r="AQ2937" s="67"/>
      <c r="AR2937" s="67"/>
      <c r="AS2937" s="73"/>
      <c r="AT2937" s="67"/>
      <c r="AU2937" s="67"/>
      <c r="AV2937" s="73"/>
      <c r="AW2937" s="68"/>
      <c r="AX2937" s="68"/>
      <c r="AY2937" s="68"/>
      <c r="AZ2937" s="68"/>
      <c r="BA2937" s="68"/>
      <c r="BB2937" s="67"/>
      <c r="BC2937" s="67"/>
      <c r="BD2937" s="67"/>
      <c r="BE2937" s="67"/>
      <c r="BF2937" s="95"/>
    </row>
    <row r="2938" spans="42:58" x14ac:dyDescent="0.35">
      <c r="AP2938" s="93"/>
      <c r="AQ2938" s="31"/>
      <c r="AR2938" s="31"/>
      <c r="AS2938" s="94"/>
      <c r="AT2938" s="31"/>
      <c r="AU2938" s="31"/>
      <c r="AV2938" s="94"/>
      <c r="AW2938" s="32"/>
      <c r="AX2938" s="32"/>
      <c r="AY2938" s="32"/>
      <c r="AZ2938" s="32"/>
      <c r="BA2938" s="32"/>
      <c r="BB2938" s="31"/>
      <c r="BC2938" s="31"/>
      <c r="BD2938" s="31"/>
      <c r="BE2938" s="31"/>
      <c r="BF2938" s="96"/>
    </row>
    <row r="2939" spans="42:58" x14ac:dyDescent="0.35">
      <c r="AP2939" s="92"/>
      <c r="AQ2939" s="67"/>
      <c r="AR2939" s="67"/>
      <c r="AS2939" s="73"/>
      <c r="AT2939" s="67"/>
      <c r="AU2939" s="67"/>
      <c r="AV2939" s="73"/>
      <c r="AW2939" s="68"/>
      <c r="AX2939" s="68"/>
      <c r="AY2939" s="68"/>
      <c r="AZ2939" s="68"/>
      <c r="BA2939" s="68"/>
      <c r="BB2939" s="67"/>
      <c r="BC2939" s="67"/>
      <c r="BD2939" s="67"/>
      <c r="BE2939" s="67"/>
      <c r="BF2939" s="95"/>
    </row>
    <row r="2940" spans="42:58" x14ac:dyDescent="0.35">
      <c r="AP2940" s="93"/>
      <c r="AQ2940" s="31"/>
      <c r="AR2940" s="31"/>
      <c r="AS2940" s="94"/>
      <c r="AT2940" s="31"/>
      <c r="AU2940" s="31"/>
      <c r="AV2940" s="94"/>
      <c r="AW2940" s="32"/>
      <c r="AX2940" s="32"/>
      <c r="AY2940" s="32"/>
      <c r="AZ2940" s="32"/>
      <c r="BA2940" s="32"/>
      <c r="BB2940" s="31"/>
      <c r="BC2940" s="31"/>
      <c r="BD2940" s="31"/>
      <c r="BE2940" s="31"/>
      <c r="BF2940" s="96"/>
    </row>
    <row r="2941" spans="42:58" x14ac:dyDescent="0.35">
      <c r="AP2941" s="92"/>
      <c r="AQ2941" s="67"/>
      <c r="AR2941" s="67"/>
      <c r="AS2941" s="73"/>
      <c r="AT2941" s="67"/>
      <c r="AU2941" s="67"/>
      <c r="AV2941" s="73"/>
      <c r="AW2941" s="68"/>
      <c r="AX2941" s="68"/>
      <c r="AY2941" s="68"/>
      <c r="AZ2941" s="68"/>
      <c r="BA2941" s="68"/>
      <c r="BB2941" s="67"/>
      <c r="BC2941" s="67"/>
      <c r="BD2941" s="67"/>
      <c r="BE2941" s="67"/>
      <c r="BF2941" s="95"/>
    </row>
    <row r="2942" spans="42:58" x14ac:dyDescent="0.35">
      <c r="AP2942" s="93"/>
      <c r="AQ2942" s="31"/>
      <c r="AR2942" s="31"/>
      <c r="AS2942" s="94"/>
      <c r="AT2942" s="31"/>
      <c r="AU2942" s="31"/>
      <c r="AV2942" s="94"/>
      <c r="AW2942" s="32"/>
      <c r="AX2942" s="32"/>
      <c r="AY2942" s="32"/>
      <c r="AZ2942" s="32"/>
      <c r="BA2942" s="32"/>
      <c r="BB2942" s="31"/>
      <c r="BC2942" s="31"/>
      <c r="BD2942" s="31"/>
      <c r="BE2942" s="31"/>
      <c r="BF2942" s="96"/>
    </row>
    <row r="2943" spans="42:58" x14ac:dyDescent="0.35">
      <c r="AP2943" s="92"/>
      <c r="AQ2943" s="67"/>
      <c r="AR2943" s="67"/>
      <c r="AS2943" s="73"/>
      <c r="AT2943" s="67"/>
      <c r="AU2943" s="67"/>
      <c r="AV2943" s="73"/>
      <c r="AW2943" s="68"/>
      <c r="AX2943" s="68"/>
      <c r="AY2943" s="68"/>
      <c r="AZ2943" s="68"/>
      <c r="BA2943" s="68"/>
      <c r="BB2943" s="67"/>
      <c r="BC2943" s="67"/>
      <c r="BD2943" s="67"/>
      <c r="BE2943" s="67"/>
      <c r="BF2943" s="95"/>
    </row>
    <row r="2944" spans="42:58" x14ac:dyDescent="0.35">
      <c r="AP2944" s="93"/>
      <c r="AQ2944" s="31"/>
      <c r="AR2944" s="31"/>
      <c r="AS2944" s="94"/>
      <c r="AT2944" s="31"/>
      <c r="AU2944" s="31"/>
      <c r="AV2944" s="94"/>
      <c r="AW2944" s="32"/>
      <c r="AX2944" s="32"/>
      <c r="AY2944" s="32"/>
      <c r="AZ2944" s="32"/>
      <c r="BA2944" s="32"/>
      <c r="BB2944" s="31"/>
      <c r="BC2944" s="31"/>
      <c r="BD2944" s="31"/>
      <c r="BE2944" s="31"/>
      <c r="BF2944" s="96"/>
    </row>
    <row r="2945" spans="42:58" x14ac:dyDescent="0.35">
      <c r="AP2945" s="92"/>
      <c r="AQ2945" s="67"/>
      <c r="AR2945" s="67"/>
      <c r="AS2945" s="73"/>
      <c r="AT2945" s="67"/>
      <c r="AU2945" s="67"/>
      <c r="AV2945" s="73"/>
      <c r="AW2945" s="68"/>
      <c r="AX2945" s="68"/>
      <c r="AY2945" s="68"/>
      <c r="AZ2945" s="68"/>
      <c r="BA2945" s="68"/>
      <c r="BB2945" s="67"/>
      <c r="BC2945" s="67"/>
      <c r="BD2945" s="67"/>
      <c r="BE2945" s="67"/>
      <c r="BF2945" s="95"/>
    </row>
    <row r="2946" spans="42:58" x14ac:dyDescent="0.35">
      <c r="AP2946" s="93"/>
      <c r="AQ2946" s="31"/>
      <c r="AR2946" s="31"/>
      <c r="AS2946" s="94"/>
      <c r="AT2946" s="31"/>
      <c r="AU2946" s="31"/>
      <c r="AV2946" s="94"/>
      <c r="AW2946" s="32"/>
      <c r="AX2946" s="32"/>
      <c r="AY2946" s="32"/>
      <c r="AZ2946" s="32"/>
      <c r="BA2946" s="32"/>
      <c r="BB2946" s="31"/>
      <c r="BC2946" s="31"/>
      <c r="BD2946" s="31"/>
      <c r="BE2946" s="31"/>
      <c r="BF2946" s="96"/>
    </row>
    <row r="2947" spans="42:58" x14ac:dyDescent="0.35">
      <c r="AP2947" s="92"/>
      <c r="AQ2947" s="67"/>
      <c r="AR2947" s="67"/>
      <c r="AS2947" s="73"/>
      <c r="AT2947" s="67"/>
      <c r="AU2947" s="67"/>
      <c r="AV2947" s="73"/>
      <c r="AW2947" s="68"/>
      <c r="AX2947" s="68"/>
      <c r="AY2947" s="68"/>
      <c r="AZ2947" s="68"/>
      <c r="BA2947" s="68"/>
      <c r="BB2947" s="67"/>
      <c r="BC2947" s="67"/>
      <c r="BD2947" s="67"/>
      <c r="BE2947" s="67"/>
      <c r="BF2947" s="95"/>
    </row>
    <row r="2948" spans="42:58" x14ac:dyDescent="0.35">
      <c r="AP2948" s="93"/>
      <c r="AQ2948" s="31"/>
      <c r="AR2948" s="31"/>
      <c r="AS2948" s="94"/>
      <c r="AT2948" s="31"/>
      <c r="AU2948" s="31"/>
      <c r="AV2948" s="94"/>
      <c r="AW2948" s="32"/>
      <c r="AX2948" s="32"/>
      <c r="AY2948" s="32"/>
      <c r="AZ2948" s="32"/>
      <c r="BA2948" s="32"/>
      <c r="BB2948" s="31"/>
      <c r="BC2948" s="31"/>
      <c r="BD2948" s="31"/>
      <c r="BE2948" s="31"/>
      <c r="BF2948" s="96"/>
    </row>
    <row r="2949" spans="42:58" x14ac:dyDescent="0.35">
      <c r="AP2949" s="92"/>
      <c r="AQ2949" s="67"/>
      <c r="AR2949" s="67"/>
      <c r="AS2949" s="73"/>
      <c r="AT2949" s="67"/>
      <c r="AU2949" s="67"/>
      <c r="AV2949" s="73"/>
      <c r="AW2949" s="68"/>
      <c r="AX2949" s="68"/>
      <c r="AY2949" s="68"/>
      <c r="AZ2949" s="68"/>
      <c r="BA2949" s="68"/>
      <c r="BB2949" s="67"/>
      <c r="BC2949" s="67"/>
      <c r="BD2949" s="67"/>
      <c r="BE2949" s="67"/>
      <c r="BF2949" s="95"/>
    </row>
    <row r="2950" spans="42:58" x14ac:dyDescent="0.35">
      <c r="AP2950" s="93"/>
      <c r="AQ2950" s="31"/>
      <c r="AR2950" s="31"/>
      <c r="AS2950" s="94"/>
      <c r="AT2950" s="31"/>
      <c r="AU2950" s="31"/>
      <c r="AV2950" s="94"/>
      <c r="AW2950" s="32"/>
      <c r="AX2950" s="32"/>
      <c r="AY2950" s="32"/>
      <c r="AZ2950" s="32"/>
      <c r="BA2950" s="32"/>
      <c r="BB2950" s="31"/>
      <c r="BC2950" s="31"/>
      <c r="BD2950" s="31"/>
      <c r="BE2950" s="31"/>
      <c r="BF2950" s="96"/>
    </row>
    <row r="2951" spans="42:58" x14ac:dyDescent="0.35">
      <c r="AP2951" s="92"/>
      <c r="AQ2951" s="67"/>
      <c r="AR2951" s="67"/>
      <c r="AS2951" s="73"/>
      <c r="AT2951" s="67"/>
      <c r="AU2951" s="67"/>
      <c r="AV2951" s="73"/>
      <c r="AW2951" s="68"/>
      <c r="AX2951" s="68"/>
      <c r="AY2951" s="68"/>
      <c r="AZ2951" s="68"/>
      <c r="BA2951" s="68"/>
      <c r="BB2951" s="67"/>
      <c r="BC2951" s="67"/>
      <c r="BD2951" s="67"/>
      <c r="BE2951" s="67"/>
      <c r="BF2951" s="95"/>
    </row>
    <row r="2952" spans="42:58" x14ac:dyDescent="0.35">
      <c r="AP2952" s="93"/>
      <c r="AQ2952" s="31"/>
      <c r="AR2952" s="31"/>
      <c r="AS2952" s="94"/>
      <c r="AT2952" s="31"/>
      <c r="AU2952" s="31"/>
      <c r="AV2952" s="94"/>
      <c r="AW2952" s="32"/>
      <c r="AX2952" s="32"/>
      <c r="AY2952" s="32"/>
      <c r="AZ2952" s="32"/>
      <c r="BA2952" s="32"/>
      <c r="BB2952" s="31"/>
      <c r="BC2952" s="31"/>
      <c r="BD2952" s="31"/>
      <c r="BE2952" s="31"/>
      <c r="BF2952" s="96"/>
    </row>
    <row r="2953" spans="42:58" x14ac:dyDescent="0.35">
      <c r="AP2953" s="92"/>
      <c r="AQ2953" s="67"/>
      <c r="AR2953" s="67"/>
      <c r="AS2953" s="73"/>
      <c r="AT2953" s="67"/>
      <c r="AU2953" s="67"/>
      <c r="AV2953" s="73"/>
      <c r="AW2953" s="68"/>
      <c r="AX2953" s="68"/>
      <c r="AY2953" s="68"/>
      <c r="AZ2953" s="68"/>
      <c r="BA2953" s="68"/>
      <c r="BB2953" s="67"/>
      <c r="BC2953" s="67"/>
      <c r="BD2953" s="67"/>
      <c r="BE2953" s="67"/>
      <c r="BF2953" s="95"/>
    </row>
    <row r="2954" spans="42:58" x14ac:dyDescent="0.35">
      <c r="AP2954" s="93"/>
      <c r="AQ2954" s="31"/>
      <c r="AR2954" s="31"/>
      <c r="AS2954" s="94"/>
      <c r="AT2954" s="31"/>
      <c r="AU2954" s="31"/>
      <c r="AV2954" s="94"/>
      <c r="AW2954" s="32"/>
      <c r="AX2954" s="32"/>
      <c r="AY2954" s="32"/>
      <c r="AZ2954" s="32"/>
      <c r="BA2954" s="32"/>
      <c r="BB2954" s="31"/>
      <c r="BC2954" s="31"/>
      <c r="BD2954" s="31"/>
      <c r="BE2954" s="31"/>
      <c r="BF2954" s="96"/>
    </row>
    <row r="2955" spans="42:58" x14ac:dyDescent="0.35">
      <c r="AP2955" s="92"/>
      <c r="AQ2955" s="67"/>
      <c r="AR2955" s="67"/>
      <c r="AS2955" s="73"/>
      <c r="AT2955" s="67"/>
      <c r="AU2955" s="67"/>
      <c r="AV2955" s="73"/>
      <c r="AW2955" s="68"/>
      <c r="AX2955" s="68"/>
      <c r="AY2955" s="68"/>
      <c r="AZ2955" s="68"/>
      <c r="BA2955" s="68"/>
      <c r="BB2955" s="67"/>
      <c r="BC2955" s="67"/>
      <c r="BD2955" s="67"/>
      <c r="BE2955" s="67"/>
      <c r="BF2955" s="95"/>
    </row>
    <row r="2956" spans="42:58" x14ac:dyDescent="0.35">
      <c r="AP2956" s="93"/>
      <c r="AQ2956" s="31"/>
      <c r="AR2956" s="31"/>
      <c r="AS2956" s="94"/>
      <c r="AT2956" s="31"/>
      <c r="AU2956" s="31"/>
      <c r="AV2956" s="94"/>
      <c r="AW2956" s="32"/>
      <c r="AX2956" s="32"/>
      <c r="AY2956" s="32"/>
      <c r="AZ2956" s="32"/>
      <c r="BA2956" s="32"/>
      <c r="BB2956" s="31"/>
      <c r="BC2956" s="31"/>
      <c r="BD2956" s="31"/>
      <c r="BE2956" s="31"/>
      <c r="BF2956" s="96"/>
    </row>
    <row r="2957" spans="42:58" x14ac:dyDescent="0.35">
      <c r="AP2957" s="92"/>
      <c r="AQ2957" s="67"/>
      <c r="AR2957" s="67"/>
      <c r="AS2957" s="73"/>
      <c r="AT2957" s="67"/>
      <c r="AU2957" s="67"/>
      <c r="AV2957" s="73"/>
      <c r="AW2957" s="68"/>
      <c r="AX2957" s="68"/>
      <c r="AY2957" s="68"/>
      <c r="AZ2957" s="68"/>
      <c r="BA2957" s="68"/>
      <c r="BB2957" s="67"/>
      <c r="BC2957" s="67"/>
      <c r="BD2957" s="67"/>
      <c r="BE2957" s="67"/>
      <c r="BF2957" s="95"/>
    </row>
    <row r="2958" spans="42:58" x14ac:dyDescent="0.35">
      <c r="AP2958" s="93"/>
      <c r="AQ2958" s="31"/>
      <c r="AR2958" s="31"/>
      <c r="AS2958" s="94"/>
      <c r="AT2958" s="31"/>
      <c r="AU2958" s="31"/>
      <c r="AV2958" s="94"/>
      <c r="AW2958" s="32"/>
      <c r="AX2958" s="32"/>
      <c r="AY2958" s="32"/>
      <c r="AZ2958" s="32"/>
      <c r="BA2958" s="32"/>
      <c r="BB2958" s="31"/>
      <c r="BC2958" s="31"/>
      <c r="BD2958" s="31"/>
      <c r="BE2958" s="31"/>
      <c r="BF2958" s="96"/>
    </row>
    <row r="2959" spans="42:58" x14ac:dyDescent="0.35">
      <c r="AP2959" s="92"/>
      <c r="AQ2959" s="67"/>
      <c r="AR2959" s="67"/>
      <c r="AS2959" s="73"/>
      <c r="AT2959" s="67"/>
      <c r="AU2959" s="67"/>
      <c r="AV2959" s="73"/>
      <c r="AW2959" s="68"/>
      <c r="AX2959" s="68"/>
      <c r="AY2959" s="68"/>
      <c r="AZ2959" s="68"/>
      <c r="BA2959" s="68"/>
      <c r="BB2959" s="67"/>
      <c r="BC2959" s="67"/>
      <c r="BD2959" s="67"/>
      <c r="BE2959" s="67"/>
      <c r="BF2959" s="95"/>
    </row>
    <row r="2960" spans="42:58" x14ac:dyDescent="0.35">
      <c r="AP2960" s="93"/>
      <c r="AQ2960" s="31"/>
      <c r="AR2960" s="31"/>
      <c r="AS2960" s="94"/>
      <c r="AT2960" s="31"/>
      <c r="AU2960" s="31"/>
      <c r="AV2960" s="94"/>
      <c r="AW2960" s="32"/>
      <c r="AX2960" s="32"/>
      <c r="AY2960" s="32"/>
      <c r="AZ2960" s="32"/>
      <c r="BA2960" s="32"/>
      <c r="BB2960" s="31"/>
      <c r="BC2960" s="31"/>
      <c r="BD2960" s="31"/>
      <c r="BE2960" s="31"/>
      <c r="BF2960" s="96"/>
    </row>
    <row r="2961" spans="42:58" x14ac:dyDescent="0.35">
      <c r="AP2961" s="92"/>
      <c r="AQ2961" s="67"/>
      <c r="AR2961" s="67"/>
      <c r="AS2961" s="73"/>
      <c r="AT2961" s="67"/>
      <c r="AU2961" s="67"/>
      <c r="AV2961" s="73"/>
      <c r="AW2961" s="68"/>
      <c r="AX2961" s="68"/>
      <c r="AY2961" s="68"/>
      <c r="AZ2961" s="68"/>
      <c r="BA2961" s="68"/>
      <c r="BB2961" s="67"/>
      <c r="BC2961" s="67"/>
      <c r="BD2961" s="67"/>
      <c r="BE2961" s="67"/>
      <c r="BF2961" s="95"/>
    </row>
    <row r="2962" spans="42:58" x14ac:dyDescent="0.35">
      <c r="AP2962" s="93"/>
      <c r="AQ2962" s="31"/>
      <c r="AR2962" s="31"/>
      <c r="AS2962" s="94"/>
      <c r="AT2962" s="31"/>
      <c r="AU2962" s="31"/>
      <c r="AV2962" s="94"/>
      <c r="AW2962" s="32"/>
      <c r="AX2962" s="32"/>
      <c r="AY2962" s="32"/>
      <c r="AZ2962" s="32"/>
      <c r="BA2962" s="32"/>
      <c r="BB2962" s="31"/>
      <c r="BC2962" s="31"/>
      <c r="BD2962" s="31"/>
      <c r="BE2962" s="31"/>
      <c r="BF2962" s="96"/>
    </row>
    <row r="2963" spans="42:58" x14ac:dyDescent="0.35">
      <c r="AP2963" s="92"/>
      <c r="AQ2963" s="67"/>
      <c r="AR2963" s="67"/>
      <c r="AS2963" s="73"/>
      <c r="AT2963" s="67"/>
      <c r="AU2963" s="67"/>
      <c r="AV2963" s="73"/>
      <c r="AW2963" s="68"/>
      <c r="AX2963" s="68"/>
      <c r="AY2963" s="68"/>
      <c r="AZ2963" s="68"/>
      <c r="BA2963" s="68"/>
      <c r="BB2963" s="67"/>
      <c r="BC2963" s="67"/>
      <c r="BD2963" s="67"/>
      <c r="BE2963" s="67"/>
      <c r="BF2963" s="95"/>
    </row>
    <row r="2964" spans="42:58" x14ac:dyDescent="0.35">
      <c r="AP2964" s="93"/>
      <c r="AQ2964" s="31"/>
      <c r="AR2964" s="31"/>
      <c r="AS2964" s="94"/>
      <c r="AT2964" s="31"/>
      <c r="AU2964" s="31"/>
      <c r="AV2964" s="94"/>
      <c r="AW2964" s="32"/>
      <c r="AX2964" s="32"/>
      <c r="AY2964" s="32"/>
      <c r="AZ2964" s="32"/>
      <c r="BA2964" s="32"/>
      <c r="BB2964" s="31"/>
      <c r="BC2964" s="31"/>
      <c r="BD2964" s="31"/>
      <c r="BE2964" s="31"/>
      <c r="BF2964" s="96"/>
    </row>
    <row r="2965" spans="42:58" x14ac:dyDescent="0.35">
      <c r="AP2965" s="92"/>
      <c r="AQ2965" s="67"/>
      <c r="AR2965" s="67"/>
      <c r="AS2965" s="73"/>
      <c r="AT2965" s="67"/>
      <c r="AU2965" s="67"/>
      <c r="AV2965" s="73"/>
      <c r="AW2965" s="68"/>
      <c r="AX2965" s="68"/>
      <c r="AY2965" s="68"/>
      <c r="AZ2965" s="68"/>
      <c r="BA2965" s="68"/>
      <c r="BB2965" s="67"/>
      <c r="BC2965" s="67"/>
      <c r="BD2965" s="67"/>
      <c r="BE2965" s="67"/>
      <c r="BF2965" s="95"/>
    </row>
    <row r="2966" spans="42:58" x14ac:dyDescent="0.35">
      <c r="AP2966" s="93"/>
      <c r="AQ2966" s="31"/>
      <c r="AR2966" s="31"/>
      <c r="AS2966" s="94"/>
      <c r="AT2966" s="31"/>
      <c r="AU2966" s="31"/>
      <c r="AV2966" s="94"/>
      <c r="AW2966" s="32"/>
      <c r="AX2966" s="32"/>
      <c r="AY2966" s="32"/>
      <c r="AZ2966" s="32"/>
      <c r="BA2966" s="32"/>
      <c r="BB2966" s="31"/>
      <c r="BC2966" s="31"/>
      <c r="BD2966" s="31"/>
      <c r="BE2966" s="31"/>
      <c r="BF2966" s="96"/>
    </row>
    <row r="2967" spans="42:58" x14ac:dyDescent="0.35">
      <c r="AP2967" s="92"/>
      <c r="AQ2967" s="67"/>
      <c r="AR2967" s="67"/>
      <c r="AS2967" s="73"/>
      <c r="AT2967" s="67"/>
      <c r="AU2967" s="67"/>
      <c r="AV2967" s="73"/>
      <c r="AW2967" s="68"/>
      <c r="AX2967" s="68"/>
      <c r="AY2967" s="68"/>
      <c r="AZ2967" s="68"/>
      <c r="BA2967" s="68"/>
      <c r="BB2967" s="67"/>
      <c r="BC2967" s="67"/>
      <c r="BD2967" s="67"/>
      <c r="BE2967" s="67"/>
      <c r="BF2967" s="95"/>
    </row>
    <row r="2968" spans="42:58" x14ac:dyDescent="0.35">
      <c r="AP2968" s="93"/>
      <c r="AQ2968" s="31"/>
      <c r="AR2968" s="31"/>
      <c r="AS2968" s="94"/>
      <c r="AT2968" s="31"/>
      <c r="AU2968" s="31"/>
      <c r="AV2968" s="94"/>
      <c r="AW2968" s="32"/>
      <c r="AX2968" s="32"/>
      <c r="AY2968" s="32"/>
      <c r="AZ2968" s="32"/>
      <c r="BA2968" s="32"/>
      <c r="BB2968" s="31"/>
      <c r="BC2968" s="31"/>
      <c r="BD2968" s="31"/>
      <c r="BE2968" s="31"/>
      <c r="BF2968" s="96"/>
    </row>
    <row r="2969" spans="42:58" x14ac:dyDescent="0.35">
      <c r="AP2969" s="92"/>
      <c r="AQ2969" s="67"/>
      <c r="AR2969" s="67"/>
      <c r="AS2969" s="73"/>
      <c r="AT2969" s="67"/>
      <c r="AU2969" s="67"/>
      <c r="AV2969" s="73"/>
      <c r="AW2969" s="68"/>
      <c r="AX2969" s="68"/>
      <c r="AY2969" s="68"/>
      <c r="AZ2969" s="68"/>
      <c r="BA2969" s="68"/>
      <c r="BB2969" s="67"/>
      <c r="BC2969" s="67"/>
      <c r="BD2969" s="67"/>
      <c r="BE2969" s="67"/>
      <c r="BF2969" s="95"/>
    </row>
    <row r="2970" spans="42:58" x14ac:dyDescent="0.35">
      <c r="AP2970" s="93"/>
      <c r="AQ2970" s="31"/>
      <c r="AR2970" s="31"/>
      <c r="AS2970" s="94"/>
      <c r="AT2970" s="31"/>
      <c r="AU2970" s="31"/>
      <c r="AV2970" s="94"/>
      <c r="AW2970" s="32"/>
      <c r="AX2970" s="32"/>
      <c r="AY2970" s="32"/>
      <c r="AZ2970" s="32"/>
      <c r="BA2970" s="32"/>
      <c r="BB2970" s="31"/>
      <c r="BC2970" s="31"/>
      <c r="BD2970" s="31"/>
      <c r="BE2970" s="31"/>
      <c r="BF2970" s="96"/>
    </row>
    <row r="2971" spans="42:58" x14ac:dyDescent="0.35">
      <c r="AP2971" s="92"/>
      <c r="AQ2971" s="67"/>
      <c r="AR2971" s="67"/>
      <c r="AS2971" s="73"/>
      <c r="AT2971" s="67"/>
      <c r="AU2971" s="67"/>
      <c r="AV2971" s="73"/>
      <c r="AW2971" s="68"/>
      <c r="AX2971" s="68"/>
      <c r="AY2971" s="68"/>
      <c r="AZ2971" s="68"/>
      <c r="BA2971" s="68"/>
      <c r="BB2971" s="67"/>
      <c r="BC2971" s="67"/>
      <c r="BD2971" s="67"/>
      <c r="BE2971" s="67"/>
      <c r="BF2971" s="95"/>
    </row>
    <row r="2972" spans="42:58" x14ac:dyDescent="0.35">
      <c r="AP2972" s="93"/>
      <c r="AQ2972" s="31"/>
      <c r="AR2972" s="31"/>
      <c r="AS2972" s="94"/>
      <c r="AT2972" s="31"/>
      <c r="AU2972" s="31"/>
      <c r="AV2972" s="94"/>
      <c r="AW2972" s="32"/>
      <c r="AX2972" s="32"/>
      <c r="AY2972" s="32"/>
      <c r="AZ2972" s="32"/>
      <c r="BA2972" s="32"/>
      <c r="BB2972" s="31"/>
      <c r="BC2972" s="31"/>
      <c r="BD2972" s="31"/>
      <c r="BE2972" s="31"/>
      <c r="BF2972" s="96"/>
    </row>
    <row r="2973" spans="42:58" x14ac:dyDescent="0.35">
      <c r="AP2973" s="92"/>
      <c r="AQ2973" s="67"/>
      <c r="AR2973" s="67"/>
      <c r="AS2973" s="73"/>
      <c r="AT2973" s="67"/>
      <c r="AU2973" s="67"/>
      <c r="AV2973" s="73"/>
      <c r="AW2973" s="68"/>
      <c r="AX2973" s="68"/>
      <c r="AY2973" s="68"/>
      <c r="AZ2973" s="68"/>
      <c r="BA2973" s="68"/>
      <c r="BB2973" s="67"/>
      <c r="BC2973" s="67"/>
      <c r="BD2973" s="67"/>
      <c r="BE2973" s="67"/>
      <c r="BF2973" s="95"/>
    </row>
    <row r="2974" spans="42:58" x14ac:dyDescent="0.35">
      <c r="AP2974" s="93"/>
      <c r="AQ2974" s="31"/>
      <c r="AR2974" s="31"/>
      <c r="AS2974" s="94"/>
      <c r="AT2974" s="31"/>
      <c r="AU2974" s="31"/>
      <c r="AV2974" s="94"/>
      <c r="AW2974" s="32"/>
      <c r="AX2974" s="32"/>
      <c r="AY2974" s="32"/>
      <c r="AZ2974" s="32"/>
      <c r="BA2974" s="32"/>
      <c r="BB2974" s="31"/>
      <c r="BC2974" s="31"/>
      <c r="BD2974" s="31"/>
      <c r="BE2974" s="31"/>
      <c r="BF2974" s="96"/>
    </row>
    <row r="2975" spans="42:58" x14ac:dyDescent="0.35">
      <c r="AP2975" s="92"/>
      <c r="AQ2975" s="67"/>
      <c r="AR2975" s="67"/>
      <c r="AS2975" s="73"/>
      <c r="AT2975" s="67"/>
      <c r="AU2975" s="67"/>
      <c r="AV2975" s="73"/>
      <c r="AW2975" s="68"/>
      <c r="AX2975" s="68"/>
      <c r="AY2975" s="68"/>
      <c r="AZ2975" s="68"/>
      <c r="BA2975" s="68"/>
      <c r="BB2975" s="67"/>
      <c r="BC2975" s="67"/>
      <c r="BD2975" s="67"/>
      <c r="BE2975" s="67"/>
      <c r="BF2975" s="95"/>
    </row>
    <row r="2976" spans="42:58" x14ac:dyDescent="0.35">
      <c r="AP2976" s="93"/>
      <c r="AQ2976" s="31"/>
      <c r="AR2976" s="31"/>
      <c r="AS2976" s="94"/>
      <c r="AT2976" s="31"/>
      <c r="AU2976" s="31"/>
      <c r="AV2976" s="94"/>
      <c r="AW2976" s="32"/>
      <c r="AX2976" s="32"/>
      <c r="AY2976" s="32"/>
      <c r="AZ2976" s="32"/>
      <c r="BA2976" s="32"/>
      <c r="BB2976" s="31"/>
      <c r="BC2976" s="31"/>
      <c r="BD2976" s="31"/>
      <c r="BE2976" s="31"/>
      <c r="BF2976" s="96"/>
    </row>
    <row r="2977" spans="42:58" x14ac:dyDescent="0.35">
      <c r="AP2977" s="92"/>
      <c r="AQ2977" s="67"/>
      <c r="AR2977" s="67"/>
      <c r="AS2977" s="73"/>
      <c r="AT2977" s="67"/>
      <c r="AU2977" s="67"/>
      <c r="AV2977" s="73"/>
      <c r="AW2977" s="68"/>
      <c r="AX2977" s="68"/>
      <c r="AY2977" s="68"/>
      <c r="AZ2977" s="68"/>
      <c r="BA2977" s="68"/>
      <c r="BB2977" s="67"/>
      <c r="BC2977" s="67"/>
      <c r="BD2977" s="67"/>
      <c r="BE2977" s="67"/>
      <c r="BF2977" s="95"/>
    </row>
    <row r="2978" spans="42:58" x14ac:dyDescent="0.35">
      <c r="AP2978" s="93"/>
      <c r="AQ2978" s="31"/>
      <c r="AR2978" s="31"/>
      <c r="AS2978" s="94"/>
      <c r="AT2978" s="31"/>
      <c r="AU2978" s="31"/>
      <c r="AV2978" s="94"/>
      <c r="AW2978" s="32"/>
      <c r="AX2978" s="32"/>
      <c r="AY2978" s="32"/>
      <c r="AZ2978" s="32"/>
      <c r="BA2978" s="32"/>
      <c r="BB2978" s="31"/>
      <c r="BC2978" s="31"/>
      <c r="BD2978" s="31"/>
      <c r="BE2978" s="31"/>
      <c r="BF2978" s="96"/>
    </row>
    <row r="2979" spans="42:58" x14ac:dyDescent="0.35">
      <c r="AP2979" s="92"/>
      <c r="AQ2979" s="67"/>
      <c r="AR2979" s="67"/>
      <c r="AS2979" s="73"/>
      <c r="AT2979" s="67"/>
      <c r="AU2979" s="67"/>
      <c r="AV2979" s="73"/>
      <c r="AW2979" s="68"/>
      <c r="AX2979" s="68"/>
      <c r="AY2979" s="68"/>
      <c r="AZ2979" s="68"/>
      <c r="BA2979" s="68"/>
      <c r="BB2979" s="67"/>
      <c r="BC2979" s="67"/>
      <c r="BD2979" s="67"/>
      <c r="BE2979" s="67"/>
      <c r="BF2979" s="95"/>
    </row>
    <row r="2980" spans="42:58" x14ac:dyDescent="0.35">
      <c r="AP2980" s="93"/>
      <c r="AQ2980" s="31"/>
      <c r="AR2980" s="31"/>
      <c r="AS2980" s="94"/>
      <c r="AT2980" s="31"/>
      <c r="AU2980" s="31"/>
      <c r="AV2980" s="94"/>
      <c r="AW2980" s="32"/>
      <c r="AX2980" s="32"/>
      <c r="AY2980" s="32"/>
      <c r="AZ2980" s="32"/>
      <c r="BA2980" s="32"/>
      <c r="BB2980" s="31"/>
      <c r="BC2980" s="31"/>
      <c r="BD2980" s="31"/>
      <c r="BE2980" s="31"/>
      <c r="BF2980" s="96"/>
    </row>
    <row r="2981" spans="42:58" x14ac:dyDescent="0.35">
      <c r="AP2981" s="92"/>
      <c r="AQ2981" s="67"/>
      <c r="AR2981" s="67"/>
      <c r="AS2981" s="73"/>
      <c r="AT2981" s="67"/>
      <c r="AU2981" s="67"/>
      <c r="AV2981" s="73"/>
      <c r="AW2981" s="68"/>
      <c r="AX2981" s="68"/>
      <c r="AY2981" s="68"/>
      <c r="AZ2981" s="68"/>
      <c r="BA2981" s="68"/>
      <c r="BB2981" s="67"/>
      <c r="BC2981" s="67"/>
      <c r="BD2981" s="67"/>
      <c r="BE2981" s="67"/>
      <c r="BF2981" s="95"/>
    </row>
    <row r="2982" spans="42:58" x14ac:dyDescent="0.35">
      <c r="AP2982" s="93"/>
      <c r="AQ2982" s="31"/>
      <c r="AR2982" s="31"/>
      <c r="AS2982" s="94"/>
      <c r="AT2982" s="31"/>
      <c r="AU2982" s="31"/>
      <c r="AV2982" s="94"/>
      <c r="AW2982" s="32"/>
      <c r="AX2982" s="32"/>
      <c r="AY2982" s="32"/>
      <c r="AZ2982" s="32"/>
      <c r="BA2982" s="32"/>
      <c r="BB2982" s="31"/>
      <c r="BC2982" s="31"/>
      <c r="BD2982" s="31"/>
      <c r="BE2982" s="31"/>
      <c r="BF2982" s="96"/>
    </row>
    <row r="2983" spans="42:58" x14ac:dyDescent="0.35">
      <c r="AP2983" s="92"/>
      <c r="AQ2983" s="67"/>
      <c r="AR2983" s="67"/>
      <c r="AS2983" s="73"/>
      <c r="AT2983" s="67"/>
      <c r="AU2983" s="67"/>
      <c r="AV2983" s="73"/>
      <c r="AW2983" s="68"/>
      <c r="AX2983" s="68"/>
      <c r="AY2983" s="68"/>
      <c r="AZ2983" s="68"/>
      <c r="BA2983" s="68"/>
      <c r="BB2983" s="67"/>
      <c r="BC2983" s="67"/>
      <c r="BD2983" s="67"/>
      <c r="BE2983" s="67"/>
      <c r="BF2983" s="95"/>
    </row>
    <row r="2984" spans="42:58" x14ac:dyDescent="0.35">
      <c r="AP2984" s="93"/>
      <c r="AQ2984" s="31"/>
      <c r="AR2984" s="31"/>
      <c r="AS2984" s="94"/>
      <c r="AT2984" s="31"/>
      <c r="AU2984" s="31"/>
      <c r="AV2984" s="94"/>
      <c r="AW2984" s="32"/>
      <c r="AX2984" s="32"/>
      <c r="AY2984" s="32"/>
      <c r="AZ2984" s="32"/>
      <c r="BA2984" s="32"/>
      <c r="BB2984" s="31"/>
      <c r="BC2984" s="31"/>
      <c r="BD2984" s="31"/>
      <c r="BE2984" s="31"/>
      <c r="BF2984" s="96"/>
    </row>
    <row r="2985" spans="42:58" x14ac:dyDescent="0.35">
      <c r="AP2985" s="92"/>
      <c r="AQ2985" s="67"/>
      <c r="AR2985" s="67"/>
      <c r="AS2985" s="73"/>
      <c r="AT2985" s="67"/>
      <c r="AU2985" s="67"/>
      <c r="AV2985" s="73"/>
      <c r="AW2985" s="68"/>
      <c r="AX2985" s="68"/>
      <c r="AY2985" s="68"/>
      <c r="AZ2985" s="68"/>
      <c r="BA2985" s="68"/>
      <c r="BB2985" s="67"/>
      <c r="BC2985" s="67"/>
      <c r="BD2985" s="67"/>
      <c r="BE2985" s="67"/>
      <c r="BF2985" s="95"/>
    </row>
    <row r="2986" spans="42:58" x14ac:dyDescent="0.35">
      <c r="AP2986" s="93"/>
      <c r="AQ2986" s="31"/>
      <c r="AR2986" s="31"/>
      <c r="AS2986" s="94"/>
      <c r="AT2986" s="31"/>
      <c r="AU2986" s="31"/>
      <c r="AV2986" s="94"/>
      <c r="AW2986" s="32"/>
      <c r="AX2986" s="32"/>
      <c r="AY2986" s="32"/>
      <c r="AZ2986" s="32"/>
      <c r="BA2986" s="32"/>
      <c r="BB2986" s="31"/>
      <c r="BC2986" s="31"/>
      <c r="BD2986" s="31"/>
      <c r="BE2986" s="31"/>
      <c r="BF2986" s="96"/>
    </row>
    <row r="2987" spans="42:58" x14ac:dyDescent="0.35">
      <c r="AP2987" s="92"/>
      <c r="AQ2987" s="67"/>
      <c r="AR2987" s="67"/>
      <c r="AS2987" s="73"/>
      <c r="AT2987" s="67"/>
      <c r="AU2987" s="67"/>
      <c r="AV2987" s="73"/>
      <c r="AW2987" s="68"/>
      <c r="AX2987" s="68"/>
      <c r="AY2987" s="68"/>
      <c r="AZ2987" s="68"/>
      <c r="BA2987" s="68"/>
      <c r="BB2987" s="67"/>
      <c r="BC2987" s="67"/>
      <c r="BD2987" s="67"/>
      <c r="BE2987" s="67"/>
      <c r="BF2987" s="95"/>
    </row>
    <row r="2988" spans="42:58" x14ac:dyDescent="0.35">
      <c r="AP2988" s="93"/>
      <c r="AQ2988" s="31"/>
      <c r="AR2988" s="31"/>
      <c r="AS2988" s="94"/>
      <c r="AT2988" s="31"/>
      <c r="AU2988" s="31"/>
      <c r="AV2988" s="94"/>
      <c r="AW2988" s="32"/>
      <c r="AX2988" s="32"/>
      <c r="AY2988" s="32"/>
      <c r="AZ2988" s="32"/>
      <c r="BA2988" s="32"/>
      <c r="BB2988" s="31"/>
      <c r="BC2988" s="31"/>
      <c r="BD2988" s="31"/>
      <c r="BE2988" s="31"/>
      <c r="BF2988" s="96"/>
    </row>
    <row r="2989" spans="42:58" x14ac:dyDescent="0.35">
      <c r="AP2989" s="92"/>
      <c r="AQ2989" s="67"/>
      <c r="AR2989" s="67"/>
      <c r="AS2989" s="73"/>
      <c r="AT2989" s="67"/>
      <c r="AU2989" s="67"/>
      <c r="AV2989" s="73"/>
      <c r="AW2989" s="68"/>
      <c r="AX2989" s="68"/>
      <c r="AY2989" s="68"/>
      <c r="AZ2989" s="68"/>
      <c r="BA2989" s="68"/>
      <c r="BB2989" s="67"/>
      <c r="BC2989" s="67"/>
      <c r="BD2989" s="67"/>
      <c r="BE2989" s="67"/>
      <c r="BF2989" s="95"/>
    </row>
    <row r="2990" spans="42:58" x14ac:dyDescent="0.35">
      <c r="AP2990" s="93"/>
      <c r="AQ2990" s="31"/>
      <c r="AR2990" s="31"/>
      <c r="AS2990" s="94"/>
      <c r="AT2990" s="31"/>
      <c r="AU2990" s="31"/>
      <c r="AV2990" s="94"/>
      <c r="AW2990" s="32"/>
      <c r="AX2990" s="32"/>
      <c r="AY2990" s="32"/>
      <c r="AZ2990" s="32"/>
      <c r="BA2990" s="32"/>
      <c r="BB2990" s="31"/>
      <c r="BC2990" s="31"/>
      <c r="BD2990" s="31"/>
      <c r="BE2990" s="31"/>
      <c r="BF2990" s="96"/>
    </row>
    <row r="2991" spans="42:58" x14ac:dyDescent="0.35">
      <c r="AP2991" s="92"/>
      <c r="AQ2991" s="67"/>
      <c r="AR2991" s="67"/>
      <c r="AS2991" s="73"/>
      <c r="AT2991" s="67"/>
      <c r="AU2991" s="67"/>
      <c r="AV2991" s="73"/>
      <c r="AW2991" s="68"/>
      <c r="AX2991" s="68"/>
      <c r="AY2991" s="68"/>
      <c r="AZ2991" s="68"/>
      <c r="BA2991" s="68"/>
      <c r="BB2991" s="67"/>
      <c r="BC2991" s="67"/>
      <c r="BD2991" s="67"/>
      <c r="BE2991" s="67"/>
      <c r="BF2991" s="95"/>
    </row>
    <row r="2992" spans="42:58" x14ac:dyDescent="0.35">
      <c r="AP2992" s="93"/>
      <c r="AQ2992" s="31"/>
      <c r="AR2992" s="31"/>
      <c r="AS2992" s="94"/>
      <c r="AT2992" s="31"/>
      <c r="AU2992" s="31"/>
      <c r="AV2992" s="94"/>
      <c r="AW2992" s="32"/>
      <c r="AX2992" s="32"/>
      <c r="AY2992" s="32"/>
      <c r="AZ2992" s="32"/>
      <c r="BA2992" s="32"/>
      <c r="BB2992" s="31"/>
      <c r="BC2992" s="31"/>
      <c r="BD2992" s="31"/>
      <c r="BE2992" s="31"/>
      <c r="BF2992" s="96"/>
    </row>
    <row r="2993" spans="42:58" x14ac:dyDescent="0.35">
      <c r="AP2993" s="92"/>
      <c r="AQ2993" s="67"/>
      <c r="AR2993" s="67"/>
      <c r="AS2993" s="73"/>
      <c r="AT2993" s="67"/>
      <c r="AU2993" s="67"/>
      <c r="AV2993" s="73"/>
      <c r="AW2993" s="68"/>
      <c r="AX2993" s="68"/>
      <c r="AY2993" s="68"/>
      <c r="AZ2993" s="68"/>
      <c r="BA2993" s="68"/>
      <c r="BB2993" s="67"/>
      <c r="BC2993" s="67"/>
      <c r="BD2993" s="67"/>
      <c r="BE2993" s="67"/>
      <c r="BF2993" s="95"/>
    </row>
    <row r="2994" spans="42:58" x14ac:dyDescent="0.35">
      <c r="AP2994" s="93"/>
      <c r="AQ2994" s="31"/>
      <c r="AR2994" s="31"/>
      <c r="AS2994" s="94"/>
      <c r="AT2994" s="31"/>
      <c r="AU2994" s="31"/>
      <c r="AV2994" s="94"/>
      <c r="AW2994" s="32"/>
      <c r="AX2994" s="32"/>
      <c r="AY2994" s="32"/>
      <c r="AZ2994" s="32"/>
      <c r="BA2994" s="32"/>
      <c r="BB2994" s="31"/>
      <c r="BC2994" s="31"/>
      <c r="BD2994" s="31"/>
      <c r="BE2994" s="31"/>
      <c r="BF2994" s="96"/>
    </row>
    <row r="2995" spans="42:58" x14ac:dyDescent="0.35">
      <c r="AP2995" s="92"/>
      <c r="AQ2995" s="67"/>
      <c r="AR2995" s="67"/>
      <c r="AS2995" s="73"/>
      <c r="AT2995" s="67"/>
      <c r="AU2995" s="67"/>
      <c r="AV2995" s="73"/>
      <c r="AW2995" s="68"/>
      <c r="AX2995" s="68"/>
      <c r="AY2995" s="68"/>
      <c r="AZ2995" s="68"/>
      <c r="BA2995" s="68"/>
      <c r="BB2995" s="67"/>
      <c r="BC2995" s="67"/>
      <c r="BD2995" s="67"/>
      <c r="BE2995" s="67"/>
      <c r="BF2995" s="95"/>
    </row>
    <row r="2996" spans="42:58" x14ac:dyDescent="0.35">
      <c r="AP2996" s="93"/>
      <c r="AQ2996" s="31"/>
      <c r="AR2996" s="31"/>
      <c r="AS2996" s="94"/>
      <c r="AT2996" s="31"/>
      <c r="AU2996" s="31"/>
      <c r="AV2996" s="94"/>
      <c r="AW2996" s="32"/>
      <c r="AX2996" s="32"/>
      <c r="AY2996" s="32"/>
      <c r="AZ2996" s="32"/>
      <c r="BA2996" s="32"/>
      <c r="BB2996" s="31"/>
      <c r="BC2996" s="31"/>
      <c r="BD2996" s="31"/>
      <c r="BE2996" s="31"/>
      <c r="BF2996" s="96"/>
    </row>
    <row r="2997" spans="42:58" x14ac:dyDescent="0.35">
      <c r="AP2997" s="92"/>
      <c r="AQ2997" s="67"/>
      <c r="AR2997" s="67"/>
      <c r="AS2997" s="73"/>
      <c r="AT2997" s="67"/>
      <c r="AU2997" s="67"/>
      <c r="AV2997" s="73"/>
      <c r="AW2997" s="68"/>
      <c r="AX2997" s="68"/>
      <c r="AY2997" s="68"/>
      <c r="AZ2997" s="68"/>
      <c r="BA2997" s="68"/>
      <c r="BB2997" s="67"/>
      <c r="BC2997" s="67"/>
      <c r="BD2997" s="67"/>
      <c r="BE2997" s="67"/>
      <c r="BF2997" s="95"/>
    </row>
    <row r="2998" spans="42:58" x14ac:dyDescent="0.35">
      <c r="AP2998" s="93"/>
      <c r="AQ2998" s="31"/>
      <c r="AR2998" s="31"/>
      <c r="AS2998" s="94"/>
      <c r="AT2998" s="31"/>
      <c r="AU2998" s="31"/>
      <c r="AV2998" s="94"/>
      <c r="AW2998" s="32"/>
      <c r="AX2998" s="32"/>
      <c r="AY2998" s="32"/>
      <c r="AZ2998" s="32"/>
      <c r="BA2998" s="32"/>
      <c r="BB2998" s="31"/>
      <c r="BC2998" s="31"/>
      <c r="BD2998" s="31"/>
      <c r="BE2998" s="31"/>
      <c r="BF2998" s="96"/>
    </row>
    <row r="2999" spans="42:58" x14ac:dyDescent="0.35">
      <c r="AP2999" s="92"/>
      <c r="AQ2999" s="67"/>
      <c r="AR2999" s="67"/>
      <c r="AS2999" s="73"/>
      <c r="AT2999" s="67"/>
      <c r="AU2999" s="67"/>
      <c r="AV2999" s="73"/>
      <c r="AW2999" s="68"/>
      <c r="AX2999" s="68"/>
      <c r="AY2999" s="68"/>
      <c r="AZ2999" s="68"/>
      <c r="BA2999" s="68"/>
      <c r="BB2999" s="67"/>
      <c r="BC2999" s="67"/>
      <c r="BD2999" s="67"/>
      <c r="BE2999" s="67"/>
      <c r="BF2999" s="95"/>
    </row>
    <row r="3000" spans="42:58" x14ac:dyDescent="0.35">
      <c r="AP3000" s="93"/>
      <c r="AQ3000" s="31"/>
      <c r="AR3000" s="31"/>
      <c r="AS3000" s="94"/>
      <c r="AT3000" s="31"/>
      <c r="AU3000" s="31"/>
      <c r="AV3000" s="94"/>
      <c r="AW3000" s="32"/>
      <c r="AX3000" s="32"/>
      <c r="AY3000" s="32"/>
      <c r="AZ3000" s="32"/>
      <c r="BA3000" s="32"/>
      <c r="BB3000" s="31"/>
      <c r="BC3000" s="31"/>
      <c r="BD3000" s="31"/>
      <c r="BE3000" s="31"/>
      <c r="BF3000" s="96"/>
    </row>
    <row r="3001" spans="42:58" x14ac:dyDescent="0.35">
      <c r="AP3001" s="92"/>
      <c r="AQ3001" s="67"/>
      <c r="AR3001" s="67"/>
      <c r="AS3001" s="73"/>
      <c r="AT3001" s="67"/>
      <c r="AU3001" s="67"/>
      <c r="AV3001" s="73"/>
      <c r="AW3001" s="68"/>
      <c r="AX3001" s="68"/>
      <c r="AY3001" s="68"/>
      <c r="AZ3001" s="68"/>
      <c r="BA3001" s="68"/>
      <c r="BB3001" s="67"/>
      <c r="BC3001" s="67"/>
      <c r="BD3001" s="67"/>
      <c r="BE3001" s="67"/>
      <c r="BF3001" s="95"/>
    </row>
    <row r="3002" spans="42:58" x14ac:dyDescent="0.35">
      <c r="AP3002" s="93"/>
      <c r="AQ3002" s="31"/>
      <c r="AR3002" s="31"/>
      <c r="AS3002" s="94"/>
      <c r="AT3002" s="31"/>
      <c r="AU3002" s="31"/>
      <c r="AV3002" s="94"/>
      <c r="AW3002" s="32"/>
      <c r="AX3002" s="32"/>
      <c r="AY3002" s="32"/>
      <c r="AZ3002" s="32"/>
      <c r="BA3002" s="32"/>
      <c r="BB3002" s="31"/>
      <c r="BC3002" s="31"/>
      <c r="BD3002" s="31"/>
      <c r="BE3002" s="31"/>
      <c r="BF3002" s="96"/>
    </row>
    <row r="3003" spans="42:58" x14ac:dyDescent="0.35">
      <c r="AP3003" s="92"/>
      <c r="AQ3003" s="67"/>
      <c r="AR3003" s="67"/>
      <c r="AS3003" s="73"/>
      <c r="AT3003" s="67"/>
      <c r="AU3003" s="67"/>
      <c r="AV3003" s="73"/>
      <c r="AW3003" s="68"/>
      <c r="AX3003" s="68"/>
      <c r="AY3003" s="68"/>
      <c r="AZ3003" s="68"/>
      <c r="BA3003" s="68"/>
      <c r="BB3003" s="67"/>
      <c r="BC3003" s="67"/>
      <c r="BD3003" s="67"/>
      <c r="BE3003" s="67"/>
      <c r="BF3003" s="95"/>
    </row>
    <row r="3004" spans="42:58" x14ac:dyDescent="0.35">
      <c r="AP3004" s="93"/>
      <c r="AQ3004" s="31"/>
      <c r="AR3004" s="31"/>
      <c r="AS3004" s="94"/>
      <c r="AT3004" s="31"/>
      <c r="AU3004" s="31"/>
      <c r="AV3004" s="94"/>
      <c r="AW3004" s="32"/>
      <c r="AX3004" s="32"/>
      <c r="AY3004" s="32"/>
      <c r="AZ3004" s="32"/>
      <c r="BA3004" s="32"/>
      <c r="BB3004" s="31"/>
      <c r="BC3004" s="31"/>
      <c r="BD3004" s="31"/>
      <c r="BE3004" s="31"/>
      <c r="BF3004" s="96"/>
    </row>
    <row r="3005" spans="42:58" x14ac:dyDescent="0.35">
      <c r="AP3005" s="92"/>
      <c r="AQ3005" s="67"/>
      <c r="AR3005" s="67"/>
      <c r="AS3005" s="73"/>
      <c r="AT3005" s="67"/>
      <c r="AU3005" s="67"/>
      <c r="AV3005" s="73"/>
      <c r="AW3005" s="68"/>
      <c r="AX3005" s="68"/>
      <c r="AY3005" s="68"/>
      <c r="AZ3005" s="68"/>
      <c r="BA3005" s="68"/>
      <c r="BB3005" s="67"/>
      <c r="BC3005" s="67"/>
      <c r="BD3005" s="67"/>
      <c r="BE3005" s="67"/>
      <c r="BF3005" s="95"/>
    </row>
    <row r="3006" spans="42:58" x14ac:dyDescent="0.35">
      <c r="AP3006" s="93"/>
      <c r="AQ3006" s="31"/>
      <c r="AR3006" s="31"/>
      <c r="AS3006" s="94"/>
      <c r="AT3006" s="31"/>
      <c r="AU3006" s="31"/>
      <c r="AV3006" s="94"/>
      <c r="AW3006" s="32"/>
      <c r="AX3006" s="32"/>
      <c r="AY3006" s="32"/>
      <c r="AZ3006" s="32"/>
      <c r="BA3006" s="32"/>
      <c r="BB3006" s="31"/>
      <c r="BC3006" s="31"/>
      <c r="BD3006" s="31"/>
      <c r="BE3006" s="31"/>
      <c r="BF3006" s="96"/>
    </row>
    <row r="3007" spans="42:58" x14ac:dyDescent="0.35">
      <c r="AP3007" s="92"/>
      <c r="AQ3007" s="67"/>
      <c r="AR3007" s="67"/>
      <c r="AS3007" s="73"/>
      <c r="AT3007" s="67"/>
      <c r="AU3007" s="67"/>
      <c r="AV3007" s="73"/>
      <c r="AW3007" s="68"/>
      <c r="AX3007" s="68"/>
      <c r="AY3007" s="68"/>
      <c r="AZ3007" s="68"/>
      <c r="BA3007" s="68"/>
      <c r="BB3007" s="67"/>
      <c r="BC3007" s="67"/>
      <c r="BD3007" s="67"/>
      <c r="BE3007" s="67"/>
      <c r="BF3007" s="95"/>
    </row>
    <row r="3008" spans="42:58" x14ac:dyDescent="0.35">
      <c r="AP3008" s="93"/>
      <c r="AQ3008" s="31"/>
      <c r="AR3008" s="31"/>
      <c r="AS3008" s="94"/>
      <c r="AT3008" s="31"/>
      <c r="AU3008" s="31"/>
      <c r="AV3008" s="94"/>
      <c r="AW3008" s="32"/>
      <c r="AX3008" s="32"/>
      <c r="AY3008" s="32"/>
      <c r="AZ3008" s="32"/>
      <c r="BA3008" s="32"/>
      <c r="BB3008" s="31"/>
      <c r="BC3008" s="31"/>
      <c r="BD3008" s="31"/>
      <c r="BE3008" s="31"/>
      <c r="BF3008" s="96"/>
    </row>
    <row r="3009" spans="42:58" x14ac:dyDescent="0.35">
      <c r="AP3009" s="92"/>
      <c r="AQ3009" s="67"/>
      <c r="AR3009" s="67"/>
      <c r="AS3009" s="73"/>
      <c r="AT3009" s="67"/>
      <c r="AU3009" s="67"/>
      <c r="AV3009" s="73"/>
      <c r="AW3009" s="68"/>
      <c r="AX3009" s="68"/>
      <c r="AY3009" s="68"/>
      <c r="AZ3009" s="68"/>
      <c r="BA3009" s="68"/>
      <c r="BB3009" s="67"/>
      <c r="BC3009" s="67"/>
      <c r="BD3009" s="67"/>
      <c r="BE3009" s="67"/>
      <c r="BF3009" s="95"/>
    </row>
    <row r="3010" spans="42:58" x14ac:dyDescent="0.35">
      <c r="AP3010" s="93"/>
      <c r="AQ3010" s="31"/>
      <c r="AR3010" s="31"/>
      <c r="AS3010" s="94"/>
      <c r="AT3010" s="31"/>
      <c r="AU3010" s="31"/>
      <c r="AV3010" s="94"/>
      <c r="AW3010" s="32"/>
      <c r="AX3010" s="32"/>
      <c r="AY3010" s="32"/>
      <c r="AZ3010" s="32"/>
      <c r="BA3010" s="32"/>
      <c r="BB3010" s="31"/>
      <c r="BC3010" s="31"/>
      <c r="BD3010" s="31"/>
      <c r="BE3010" s="31"/>
      <c r="BF3010" s="96"/>
    </row>
    <row r="3011" spans="42:58" x14ac:dyDescent="0.35">
      <c r="AP3011" s="92"/>
      <c r="AQ3011" s="67"/>
      <c r="AR3011" s="67"/>
      <c r="AS3011" s="73"/>
      <c r="AT3011" s="67"/>
      <c r="AU3011" s="67"/>
      <c r="AV3011" s="73"/>
      <c r="AW3011" s="68"/>
      <c r="AX3011" s="68"/>
      <c r="AY3011" s="68"/>
      <c r="AZ3011" s="68"/>
      <c r="BA3011" s="68"/>
      <c r="BB3011" s="67"/>
      <c r="BC3011" s="67"/>
      <c r="BD3011" s="67"/>
      <c r="BE3011" s="67"/>
      <c r="BF3011" s="95"/>
    </row>
    <row r="3012" spans="42:58" x14ac:dyDescent="0.35">
      <c r="AP3012" s="93"/>
      <c r="AQ3012" s="31"/>
      <c r="AR3012" s="31"/>
      <c r="AS3012" s="94"/>
      <c r="AT3012" s="31"/>
      <c r="AU3012" s="31"/>
      <c r="AV3012" s="94"/>
      <c r="AW3012" s="32"/>
      <c r="AX3012" s="32"/>
      <c r="AY3012" s="32"/>
      <c r="AZ3012" s="32"/>
      <c r="BA3012" s="32"/>
      <c r="BB3012" s="31"/>
      <c r="BC3012" s="31"/>
      <c r="BD3012" s="31"/>
      <c r="BE3012" s="31"/>
      <c r="BF3012" s="96"/>
    </row>
    <row r="3013" spans="42:58" x14ac:dyDescent="0.35">
      <c r="AP3013" s="92"/>
      <c r="AQ3013" s="67"/>
      <c r="AR3013" s="67"/>
      <c r="AS3013" s="73"/>
      <c r="AT3013" s="67"/>
      <c r="AU3013" s="67"/>
      <c r="AV3013" s="73"/>
      <c r="AW3013" s="68"/>
      <c r="AX3013" s="68"/>
      <c r="AY3013" s="68"/>
      <c r="AZ3013" s="68"/>
      <c r="BA3013" s="68"/>
      <c r="BB3013" s="67"/>
      <c r="BC3013" s="67"/>
      <c r="BD3013" s="67"/>
      <c r="BE3013" s="67"/>
      <c r="BF3013" s="95"/>
    </row>
    <row r="3014" spans="42:58" x14ac:dyDescent="0.35">
      <c r="AP3014" s="93"/>
      <c r="AQ3014" s="31"/>
      <c r="AR3014" s="31"/>
      <c r="AS3014" s="94"/>
      <c r="AT3014" s="31"/>
      <c r="AU3014" s="31"/>
      <c r="AV3014" s="94"/>
      <c r="AW3014" s="32"/>
      <c r="AX3014" s="32"/>
      <c r="AY3014" s="32"/>
      <c r="AZ3014" s="32"/>
      <c r="BA3014" s="32"/>
      <c r="BB3014" s="31"/>
      <c r="BC3014" s="31"/>
      <c r="BD3014" s="31"/>
      <c r="BE3014" s="31"/>
      <c r="BF3014" s="96"/>
    </row>
    <row r="3015" spans="42:58" x14ac:dyDescent="0.35">
      <c r="AP3015" s="92"/>
      <c r="AQ3015" s="67"/>
      <c r="AR3015" s="67"/>
      <c r="AS3015" s="73"/>
      <c r="AT3015" s="67"/>
      <c r="AU3015" s="67"/>
      <c r="AV3015" s="73"/>
      <c r="AW3015" s="68"/>
      <c r="AX3015" s="68"/>
      <c r="AY3015" s="68"/>
      <c r="AZ3015" s="68"/>
      <c r="BA3015" s="68"/>
      <c r="BB3015" s="67"/>
      <c r="BC3015" s="67"/>
      <c r="BD3015" s="67"/>
      <c r="BE3015" s="67"/>
      <c r="BF3015" s="95"/>
    </row>
    <row r="3016" spans="42:58" x14ac:dyDescent="0.35">
      <c r="AP3016" s="93"/>
      <c r="AQ3016" s="31"/>
      <c r="AR3016" s="31"/>
      <c r="AS3016" s="94"/>
      <c r="AT3016" s="31"/>
      <c r="AU3016" s="31"/>
      <c r="AV3016" s="94"/>
      <c r="AW3016" s="32"/>
      <c r="AX3016" s="32"/>
      <c r="AY3016" s="32"/>
      <c r="AZ3016" s="32"/>
      <c r="BA3016" s="32"/>
      <c r="BB3016" s="31"/>
      <c r="BC3016" s="31"/>
      <c r="BD3016" s="31"/>
      <c r="BE3016" s="31"/>
      <c r="BF3016" s="96"/>
    </row>
    <row r="3017" spans="42:58" x14ac:dyDescent="0.35">
      <c r="AP3017" s="92"/>
      <c r="AQ3017" s="67"/>
      <c r="AR3017" s="67"/>
      <c r="AS3017" s="73"/>
      <c r="AT3017" s="67"/>
      <c r="AU3017" s="67"/>
      <c r="AV3017" s="73"/>
      <c r="AW3017" s="68"/>
      <c r="AX3017" s="68"/>
      <c r="AY3017" s="68"/>
      <c r="AZ3017" s="68"/>
      <c r="BA3017" s="68"/>
      <c r="BB3017" s="67"/>
      <c r="BC3017" s="67"/>
      <c r="BD3017" s="67"/>
      <c r="BE3017" s="67"/>
      <c r="BF3017" s="95"/>
    </row>
    <row r="3018" spans="42:58" x14ac:dyDescent="0.35">
      <c r="AP3018" s="93"/>
      <c r="AQ3018" s="31"/>
      <c r="AR3018" s="31"/>
      <c r="AS3018" s="94"/>
      <c r="AT3018" s="31"/>
      <c r="AU3018" s="31"/>
      <c r="AV3018" s="94"/>
      <c r="AW3018" s="32"/>
      <c r="AX3018" s="32"/>
      <c r="AY3018" s="32"/>
      <c r="AZ3018" s="32"/>
      <c r="BA3018" s="32"/>
      <c r="BB3018" s="31"/>
      <c r="BC3018" s="31"/>
      <c r="BD3018" s="31"/>
      <c r="BE3018" s="31"/>
      <c r="BF3018" s="96"/>
    </row>
    <row r="3019" spans="42:58" x14ac:dyDescent="0.35">
      <c r="AP3019" s="92"/>
      <c r="AQ3019" s="67"/>
      <c r="AR3019" s="67"/>
      <c r="AS3019" s="73"/>
      <c r="AT3019" s="67"/>
      <c r="AU3019" s="67"/>
      <c r="AV3019" s="73"/>
      <c r="AW3019" s="68"/>
      <c r="AX3019" s="68"/>
      <c r="AY3019" s="68"/>
      <c r="AZ3019" s="68"/>
      <c r="BA3019" s="68"/>
      <c r="BB3019" s="67"/>
      <c r="BC3019" s="67"/>
      <c r="BD3019" s="67"/>
      <c r="BE3019" s="67"/>
      <c r="BF3019" s="95"/>
    </row>
    <row r="3020" spans="42:58" x14ac:dyDescent="0.35">
      <c r="AP3020" s="93"/>
      <c r="AQ3020" s="31"/>
      <c r="AR3020" s="31"/>
      <c r="AS3020" s="94"/>
      <c r="AT3020" s="31"/>
      <c r="AU3020" s="31"/>
      <c r="AV3020" s="94"/>
      <c r="AW3020" s="32"/>
      <c r="AX3020" s="32"/>
      <c r="AY3020" s="32"/>
      <c r="AZ3020" s="32"/>
      <c r="BA3020" s="32"/>
      <c r="BB3020" s="31"/>
      <c r="BC3020" s="31"/>
      <c r="BD3020" s="31"/>
      <c r="BE3020" s="31"/>
      <c r="BF3020" s="96"/>
    </row>
    <row r="3021" spans="42:58" x14ac:dyDescent="0.35">
      <c r="AP3021" s="92"/>
      <c r="AQ3021" s="67"/>
      <c r="AR3021" s="67"/>
      <c r="AS3021" s="73"/>
      <c r="AT3021" s="67"/>
      <c r="AU3021" s="67"/>
      <c r="AV3021" s="73"/>
      <c r="AW3021" s="68"/>
      <c r="AX3021" s="68"/>
      <c r="AY3021" s="68"/>
      <c r="AZ3021" s="68"/>
      <c r="BA3021" s="68"/>
      <c r="BB3021" s="67"/>
      <c r="BC3021" s="67"/>
      <c r="BD3021" s="67"/>
      <c r="BE3021" s="67"/>
      <c r="BF3021" s="95"/>
    </row>
    <row r="3022" spans="42:58" x14ac:dyDescent="0.35">
      <c r="AP3022" s="93"/>
      <c r="AQ3022" s="31"/>
      <c r="AR3022" s="31"/>
      <c r="AS3022" s="94"/>
      <c r="AT3022" s="31"/>
      <c r="AU3022" s="31"/>
      <c r="AV3022" s="94"/>
      <c r="AW3022" s="32"/>
      <c r="AX3022" s="32"/>
      <c r="AY3022" s="32"/>
      <c r="AZ3022" s="32"/>
      <c r="BA3022" s="32"/>
      <c r="BB3022" s="31"/>
      <c r="BC3022" s="31"/>
      <c r="BD3022" s="31"/>
      <c r="BE3022" s="31"/>
      <c r="BF3022" s="96"/>
    </row>
    <row r="3023" spans="42:58" x14ac:dyDescent="0.35">
      <c r="AP3023" s="92"/>
      <c r="AQ3023" s="67"/>
      <c r="AR3023" s="67"/>
      <c r="AS3023" s="73"/>
      <c r="AT3023" s="67"/>
      <c r="AU3023" s="67"/>
      <c r="AV3023" s="73"/>
      <c r="AW3023" s="68"/>
      <c r="AX3023" s="68"/>
      <c r="AY3023" s="68"/>
      <c r="AZ3023" s="68"/>
      <c r="BA3023" s="68"/>
      <c r="BB3023" s="67"/>
      <c r="BC3023" s="67"/>
      <c r="BD3023" s="67"/>
      <c r="BE3023" s="67"/>
      <c r="BF3023" s="95"/>
    </row>
    <row r="3024" spans="42:58" x14ac:dyDescent="0.35">
      <c r="AP3024" s="93"/>
      <c r="AQ3024" s="31"/>
      <c r="AR3024" s="31"/>
      <c r="AS3024" s="94"/>
      <c r="AT3024" s="31"/>
      <c r="AU3024" s="31"/>
      <c r="AV3024" s="94"/>
      <c r="AW3024" s="32"/>
      <c r="AX3024" s="32"/>
      <c r="AY3024" s="32"/>
      <c r="AZ3024" s="32"/>
      <c r="BA3024" s="32"/>
      <c r="BB3024" s="31"/>
      <c r="BC3024" s="31"/>
      <c r="BD3024" s="31"/>
      <c r="BE3024" s="31"/>
      <c r="BF3024" s="96"/>
    </row>
    <row r="3025" spans="42:58" x14ac:dyDescent="0.35">
      <c r="AP3025" s="92"/>
      <c r="AQ3025" s="67"/>
      <c r="AR3025" s="67"/>
      <c r="AS3025" s="73"/>
      <c r="AT3025" s="67"/>
      <c r="AU3025" s="67"/>
      <c r="AV3025" s="73"/>
      <c r="AW3025" s="68"/>
      <c r="AX3025" s="68"/>
      <c r="AY3025" s="68"/>
      <c r="AZ3025" s="68"/>
      <c r="BA3025" s="68"/>
      <c r="BB3025" s="67"/>
      <c r="BC3025" s="67"/>
      <c r="BD3025" s="67"/>
      <c r="BE3025" s="67"/>
      <c r="BF3025" s="95"/>
    </row>
    <row r="3026" spans="42:58" x14ac:dyDescent="0.35">
      <c r="AP3026" s="93"/>
      <c r="AQ3026" s="31"/>
      <c r="AR3026" s="31"/>
      <c r="AS3026" s="94"/>
      <c r="AT3026" s="31"/>
      <c r="AU3026" s="31"/>
      <c r="AV3026" s="94"/>
      <c r="AW3026" s="32"/>
      <c r="AX3026" s="32"/>
      <c r="AY3026" s="32"/>
      <c r="AZ3026" s="32"/>
      <c r="BA3026" s="32"/>
      <c r="BB3026" s="31"/>
      <c r="BC3026" s="31"/>
      <c r="BD3026" s="31"/>
      <c r="BE3026" s="31"/>
      <c r="BF3026" s="96"/>
    </row>
    <row r="3027" spans="42:58" x14ac:dyDescent="0.35">
      <c r="AP3027" s="92"/>
      <c r="AQ3027" s="67"/>
      <c r="AR3027" s="67"/>
      <c r="AS3027" s="73"/>
      <c r="AT3027" s="67"/>
      <c r="AU3027" s="67"/>
      <c r="AV3027" s="73"/>
      <c r="AW3027" s="68"/>
      <c r="AX3027" s="68"/>
      <c r="AY3027" s="68"/>
      <c r="AZ3027" s="68"/>
      <c r="BA3027" s="68"/>
      <c r="BB3027" s="67"/>
      <c r="BC3027" s="67"/>
      <c r="BD3027" s="67"/>
      <c r="BE3027" s="67"/>
      <c r="BF3027" s="95"/>
    </row>
    <row r="3028" spans="42:58" x14ac:dyDescent="0.35">
      <c r="AP3028" s="93"/>
      <c r="AQ3028" s="31"/>
      <c r="AR3028" s="31"/>
      <c r="AS3028" s="94"/>
      <c r="AT3028" s="31"/>
      <c r="AU3028" s="31"/>
      <c r="AV3028" s="94"/>
      <c r="AW3028" s="32"/>
      <c r="AX3028" s="32"/>
      <c r="AY3028" s="32"/>
      <c r="AZ3028" s="32"/>
      <c r="BA3028" s="32"/>
      <c r="BB3028" s="31"/>
      <c r="BC3028" s="31"/>
      <c r="BD3028" s="31"/>
      <c r="BE3028" s="31"/>
      <c r="BF3028" s="96"/>
    </row>
    <row r="3029" spans="42:58" x14ac:dyDescent="0.35">
      <c r="AP3029" s="92"/>
      <c r="AQ3029" s="67"/>
      <c r="AR3029" s="67"/>
      <c r="AS3029" s="73"/>
      <c r="AT3029" s="67"/>
      <c r="AU3029" s="67"/>
      <c r="AV3029" s="73"/>
      <c r="AW3029" s="68"/>
      <c r="AX3029" s="68"/>
      <c r="AY3029" s="68"/>
      <c r="AZ3029" s="68"/>
      <c r="BA3029" s="68"/>
      <c r="BB3029" s="67"/>
      <c r="BC3029" s="67"/>
      <c r="BD3029" s="67"/>
      <c r="BE3029" s="67"/>
      <c r="BF3029" s="95"/>
    </row>
    <row r="3030" spans="42:58" x14ac:dyDescent="0.35">
      <c r="AP3030" s="93"/>
      <c r="AQ3030" s="31"/>
      <c r="AR3030" s="31"/>
      <c r="AS3030" s="94"/>
      <c r="AT3030" s="31"/>
      <c r="AU3030" s="31"/>
      <c r="AV3030" s="94"/>
      <c r="AW3030" s="32"/>
      <c r="AX3030" s="32"/>
      <c r="AY3030" s="32"/>
      <c r="AZ3030" s="32"/>
      <c r="BA3030" s="32"/>
      <c r="BB3030" s="31"/>
      <c r="BC3030" s="31"/>
      <c r="BD3030" s="31"/>
      <c r="BE3030" s="31"/>
      <c r="BF3030" s="96"/>
    </row>
    <row r="3031" spans="42:58" x14ac:dyDescent="0.35">
      <c r="AP3031" s="92"/>
      <c r="AQ3031" s="67"/>
      <c r="AR3031" s="67"/>
      <c r="AS3031" s="73"/>
      <c r="AT3031" s="67"/>
      <c r="AU3031" s="67"/>
      <c r="AV3031" s="73"/>
      <c r="AW3031" s="68"/>
      <c r="AX3031" s="68"/>
      <c r="AY3031" s="68"/>
      <c r="AZ3031" s="68"/>
      <c r="BA3031" s="68"/>
      <c r="BB3031" s="67"/>
      <c r="BC3031" s="67"/>
      <c r="BD3031" s="67"/>
      <c r="BE3031" s="67"/>
      <c r="BF3031" s="95"/>
    </row>
    <row r="3032" spans="42:58" x14ac:dyDescent="0.35">
      <c r="AP3032" s="93"/>
      <c r="AQ3032" s="31"/>
      <c r="AR3032" s="31"/>
      <c r="AS3032" s="94"/>
      <c r="AT3032" s="31"/>
      <c r="AU3032" s="31"/>
      <c r="AV3032" s="94"/>
      <c r="AW3032" s="32"/>
      <c r="AX3032" s="32"/>
      <c r="AY3032" s="32"/>
      <c r="AZ3032" s="32"/>
      <c r="BA3032" s="32"/>
      <c r="BB3032" s="31"/>
      <c r="BC3032" s="31"/>
      <c r="BD3032" s="31"/>
      <c r="BE3032" s="31"/>
      <c r="BF3032" s="96"/>
    </row>
    <row r="3033" spans="42:58" x14ac:dyDescent="0.35">
      <c r="AP3033" s="92"/>
      <c r="AQ3033" s="67"/>
      <c r="AR3033" s="67"/>
      <c r="AS3033" s="73"/>
      <c r="AT3033" s="67"/>
      <c r="AU3033" s="67"/>
      <c r="AV3033" s="73"/>
      <c r="AW3033" s="68"/>
      <c r="AX3033" s="68"/>
      <c r="AY3033" s="68"/>
      <c r="AZ3033" s="68"/>
      <c r="BA3033" s="68"/>
      <c r="BB3033" s="67"/>
      <c r="BC3033" s="67"/>
      <c r="BD3033" s="67"/>
      <c r="BE3033" s="67"/>
      <c r="BF3033" s="95"/>
    </row>
    <row r="3034" spans="42:58" x14ac:dyDescent="0.35">
      <c r="AP3034" s="93"/>
      <c r="AQ3034" s="31"/>
      <c r="AR3034" s="31"/>
      <c r="AS3034" s="94"/>
      <c r="AT3034" s="31"/>
      <c r="AU3034" s="31"/>
      <c r="AV3034" s="94"/>
      <c r="AW3034" s="32"/>
      <c r="AX3034" s="32"/>
      <c r="AY3034" s="32"/>
      <c r="AZ3034" s="32"/>
      <c r="BA3034" s="32"/>
      <c r="BB3034" s="31"/>
      <c r="BC3034" s="31"/>
      <c r="BD3034" s="31"/>
      <c r="BE3034" s="31"/>
      <c r="BF3034" s="96"/>
    </row>
    <row r="3035" spans="42:58" x14ac:dyDescent="0.35">
      <c r="AP3035" s="92"/>
      <c r="AQ3035" s="67"/>
      <c r="AR3035" s="67"/>
      <c r="AS3035" s="73"/>
      <c r="AT3035" s="67"/>
      <c r="AU3035" s="67"/>
      <c r="AV3035" s="73"/>
      <c r="AW3035" s="68"/>
      <c r="AX3035" s="68"/>
      <c r="AY3035" s="68"/>
      <c r="AZ3035" s="68"/>
      <c r="BA3035" s="68"/>
      <c r="BB3035" s="67"/>
      <c r="BC3035" s="67"/>
      <c r="BD3035" s="67"/>
      <c r="BE3035" s="67"/>
      <c r="BF3035" s="95"/>
    </row>
    <row r="3036" spans="42:58" x14ac:dyDescent="0.35">
      <c r="AP3036" s="93"/>
      <c r="AQ3036" s="31"/>
      <c r="AR3036" s="31"/>
      <c r="AS3036" s="94"/>
      <c r="AT3036" s="31"/>
      <c r="AU3036" s="31"/>
      <c r="AV3036" s="94"/>
      <c r="AW3036" s="32"/>
      <c r="AX3036" s="32"/>
      <c r="AY3036" s="32"/>
      <c r="AZ3036" s="32"/>
      <c r="BA3036" s="32"/>
      <c r="BB3036" s="31"/>
      <c r="BC3036" s="31"/>
      <c r="BD3036" s="31"/>
      <c r="BE3036" s="31"/>
      <c r="BF3036" s="96"/>
    </row>
    <row r="3037" spans="42:58" x14ac:dyDescent="0.35">
      <c r="AP3037" s="92"/>
      <c r="AQ3037" s="67"/>
      <c r="AR3037" s="67"/>
      <c r="AS3037" s="73"/>
      <c r="AT3037" s="67"/>
      <c r="AU3037" s="67"/>
      <c r="AV3037" s="73"/>
      <c r="AW3037" s="68"/>
      <c r="AX3037" s="68"/>
      <c r="AY3037" s="68"/>
      <c r="AZ3037" s="68"/>
      <c r="BA3037" s="68"/>
      <c r="BB3037" s="67"/>
      <c r="BC3037" s="67"/>
      <c r="BD3037" s="67"/>
      <c r="BE3037" s="67"/>
      <c r="BF3037" s="95"/>
    </row>
    <row r="3038" spans="42:58" x14ac:dyDescent="0.35">
      <c r="AP3038" s="93"/>
      <c r="AQ3038" s="31"/>
      <c r="AR3038" s="31"/>
      <c r="AS3038" s="94"/>
      <c r="AT3038" s="31"/>
      <c r="AU3038" s="31"/>
      <c r="AV3038" s="94"/>
      <c r="AW3038" s="32"/>
      <c r="AX3038" s="32"/>
      <c r="AY3038" s="32"/>
      <c r="AZ3038" s="32"/>
      <c r="BA3038" s="32"/>
      <c r="BB3038" s="31"/>
      <c r="BC3038" s="31"/>
      <c r="BD3038" s="31"/>
      <c r="BE3038" s="31"/>
      <c r="BF3038" s="96"/>
    </row>
    <row r="3039" spans="42:58" x14ac:dyDescent="0.35">
      <c r="AP3039" s="92"/>
      <c r="AQ3039" s="67"/>
      <c r="AR3039" s="67"/>
      <c r="AS3039" s="73"/>
      <c r="AT3039" s="67"/>
      <c r="AU3039" s="67"/>
      <c r="AV3039" s="73"/>
      <c r="AW3039" s="68"/>
      <c r="AX3039" s="68"/>
      <c r="AY3039" s="68"/>
      <c r="AZ3039" s="68"/>
      <c r="BA3039" s="68"/>
      <c r="BB3039" s="67"/>
      <c r="BC3039" s="67"/>
      <c r="BD3039" s="67"/>
      <c r="BE3039" s="67"/>
      <c r="BF3039" s="95"/>
    </row>
    <row r="3040" spans="42:58" x14ac:dyDescent="0.35">
      <c r="AP3040" s="93"/>
      <c r="AQ3040" s="31"/>
      <c r="AR3040" s="31"/>
      <c r="AS3040" s="94"/>
      <c r="AT3040" s="31"/>
      <c r="AU3040" s="31"/>
      <c r="AV3040" s="94"/>
      <c r="AW3040" s="32"/>
      <c r="AX3040" s="32"/>
      <c r="AY3040" s="32"/>
      <c r="AZ3040" s="32"/>
      <c r="BA3040" s="32"/>
      <c r="BB3040" s="31"/>
      <c r="BC3040" s="31"/>
      <c r="BD3040" s="31"/>
      <c r="BE3040" s="31"/>
      <c r="BF3040" s="96"/>
    </row>
    <row r="3041" spans="42:58" x14ac:dyDescent="0.35">
      <c r="AP3041" s="92"/>
      <c r="AQ3041" s="67"/>
      <c r="AR3041" s="67"/>
      <c r="AS3041" s="73"/>
      <c r="AT3041" s="67"/>
      <c r="AU3041" s="67"/>
      <c r="AV3041" s="73"/>
      <c r="AW3041" s="68"/>
      <c r="AX3041" s="68"/>
      <c r="AY3041" s="68"/>
      <c r="AZ3041" s="68"/>
      <c r="BA3041" s="68"/>
      <c r="BB3041" s="67"/>
      <c r="BC3041" s="67"/>
      <c r="BD3041" s="67"/>
      <c r="BE3041" s="67"/>
      <c r="BF3041" s="95"/>
    </row>
    <row r="3042" spans="42:58" x14ac:dyDescent="0.35">
      <c r="AP3042" s="93"/>
      <c r="AQ3042" s="31"/>
      <c r="AR3042" s="31"/>
      <c r="AS3042" s="94"/>
      <c r="AT3042" s="31"/>
      <c r="AU3042" s="31"/>
      <c r="AV3042" s="94"/>
      <c r="AW3042" s="32"/>
      <c r="AX3042" s="32"/>
      <c r="AY3042" s="32"/>
      <c r="AZ3042" s="32"/>
      <c r="BA3042" s="32"/>
      <c r="BB3042" s="31"/>
      <c r="BC3042" s="31"/>
      <c r="BD3042" s="31"/>
      <c r="BE3042" s="31"/>
      <c r="BF3042" s="96"/>
    </row>
    <row r="3043" spans="42:58" x14ac:dyDescent="0.35">
      <c r="AP3043" s="92"/>
      <c r="AQ3043" s="67"/>
      <c r="AR3043" s="67"/>
      <c r="AS3043" s="73"/>
      <c r="AT3043" s="67"/>
      <c r="AU3043" s="67"/>
      <c r="AV3043" s="73"/>
      <c r="AW3043" s="68"/>
      <c r="AX3043" s="68"/>
      <c r="AY3043" s="68"/>
      <c r="AZ3043" s="68"/>
      <c r="BA3043" s="68"/>
      <c r="BB3043" s="67"/>
      <c r="BC3043" s="67"/>
      <c r="BD3043" s="67"/>
      <c r="BE3043" s="67"/>
      <c r="BF3043" s="95"/>
    </row>
    <row r="3044" spans="42:58" x14ac:dyDescent="0.35">
      <c r="AP3044" s="93"/>
      <c r="AQ3044" s="31"/>
      <c r="AR3044" s="31"/>
      <c r="AS3044" s="94"/>
      <c r="AT3044" s="31"/>
      <c r="AU3044" s="31"/>
      <c r="AV3044" s="94"/>
      <c r="AW3044" s="32"/>
      <c r="AX3044" s="32"/>
      <c r="AY3044" s="32"/>
      <c r="AZ3044" s="32"/>
      <c r="BA3044" s="32"/>
      <c r="BB3044" s="31"/>
      <c r="BC3044" s="31"/>
      <c r="BD3044" s="31"/>
      <c r="BE3044" s="31"/>
      <c r="BF3044" s="96"/>
    </row>
    <row r="3045" spans="42:58" x14ac:dyDescent="0.35">
      <c r="AP3045" s="92"/>
      <c r="AQ3045" s="67"/>
      <c r="AR3045" s="67"/>
      <c r="AS3045" s="73"/>
      <c r="AT3045" s="67"/>
      <c r="AU3045" s="67"/>
      <c r="AV3045" s="73"/>
      <c r="AW3045" s="68"/>
      <c r="AX3045" s="68"/>
      <c r="AY3045" s="68"/>
      <c r="AZ3045" s="68"/>
      <c r="BA3045" s="68"/>
      <c r="BB3045" s="67"/>
      <c r="BC3045" s="67"/>
      <c r="BD3045" s="67"/>
      <c r="BE3045" s="67"/>
      <c r="BF3045" s="95"/>
    </row>
    <row r="3046" spans="42:58" x14ac:dyDescent="0.35">
      <c r="AP3046" s="93"/>
      <c r="AQ3046" s="31"/>
      <c r="AR3046" s="31"/>
      <c r="AS3046" s="94"/>
      <c r="AT3046" s="31"/>
      <c r="AU3046" s="31"/>
      <c r="AV3046" s="94"/>
      <c r="AW3046" s="32"/>
      <c r="AX3046" s="32"/>
      <c r="AY3046" s="32"/>
      <c r="AZ3046" s="32"/>
      <c r="BA3046" s="32"/>
      <c r="BB3046" s="31"/>
      <c r="BC3046" s="31"/>
      <c r="BD3046" s="31"/>
      <c r="BE3046" s="31"/>
      <c r="BF3046" s="96"/>
    </row>
    <row r="3047" spans="42:58" x14ac:dyDescent="0.35">
      <c r="AP3047" s="92"/>
      <c r="AQ3047" s="67"/>
      <c r="AR3047" s="67"/>
      <c r="AS3047" s="73"/>
      <c r="AT3047" s="67"/>
      <c r="AU3047" s="67"/>
      <c r="AV3047" s="73"/>
      <c r="AW3047" s="68"/>
      <c r="AX3047" s="68"/>
      <c r="AY3047" s="68"/>
      <c r="AZ3047" s="68"/>
      <c r="BA3047" s="68"/>
      <c r="BB3047" s="67"/>
      <c r="BC3047" s="67"/>
      <c r="BD3047" s="67"/>
      <c r="BE3047" s="67"/>
      <c r="BF3047" s="95"/>
    </row>
    <row r="3048" spans="42:58" x14ac:dyDescent="0.35">
      <c r="AP3048" s="93"/>
      <c r="AQ3048" s="31"/>
      <c r="AR3048" s="31"/>
      <c r="AS3048" s="94"/>
      <c r="AT3048" s="31"/>
      <c r="AU3048" s="31"/>
      <c r="AV3048" s="94"/>
      <c r="AW3048" s="32"/>
      <c r="AX3048" s="32"/>
      <c r="AY3048" s="32"/>
      <c r="AZ3048" s="32"/>
      <c r="BA3048" s="32"/>
      <c r="BB3048" s="31"/>
      <c r="BC3048" s="31"/>
      <c r="BD3048" s="31"/>
      <c r="BE3048" s="31"/>
      <c r="BF3048" s="96"/>
    </row>
    <row r="3049" spans="42:58" x14ac:dyDescent="0.35">
      <c r="AP3049" s="92"/>
      <c r="AQ3049" s="67"/>
      <c r="AR3049" s="67"/>
      <c r="AS3049" s="73"/>
      <c r="AT3049" s="67"/>
      <c r="AU3049" s="67"/>
      <c r="AV3049" s="73"/>
      <c r="AW3049" s="68"/>
      <c r="AX3049" s="68"/>
      <c r="AY3049" s="68"/>
      <c r="AZ3049" s="68"/>
      <c r="BA3049" s="68"/>
      <c r="BB3049" s="67"/>
      <c r="BC3049" s="67"/>
      <c r="BD3049" s="67"/>
      <c r="BE3049" s="67"/>
      <c r="BF3049" s="95"/>
    </row>
    <row r="3050" spans="42:58" x14ac:dyDescent="0.35">
      <c r="AP3050" s="93"/>
      <c r="AQ3050" s="31"/>
      <c r="AR3050" s="31"/>
      <c r="AS3050" s="94"/>
      <c r="AT3050" s="31"/>
      <c r="AU3050" s="31"/>
      <c r="AV3050" s="94"/>
      <c r="AW3050" s="32"/>
      <c r="AX3050" s="32"/>
      <c r="AY3050" s="32"/>
      <c r="AZ3050" s="32"/>
      <c r="BA3050" s="32"/>
      <c r="BB3050" s="31"/>
      <c r="BC3050" s="31"/>
      <c r="BD3050" s="31"/>
      <c r="BE3050" s="31"/>
      <c r="BF3050" s="96"/>
    </row>
    <row r="3051" spans="42:58" x14ac:dyDescent="0.35">
      <c r="AP3051" s="92"/>
      <c r="AQ3051" s="67"/>
      <c r="AR3051" s="67"/>
      <c r="AS3051" s="73"/>
      <c r="AT3051" s="67"/>
      <c r="AU3051" s="67"/>
      <c r="AV3051" s="73"/>
      <c r="AW3051" s="68"/>
      <c r="AX3051" s="68"/>
      <c r="AY3051" s="68"/>
      <c r="AZ3051" s="68"/>
      <c r="BA3051" s="68"/>
      <c r="BB3051" s="67"/>
      <c r="BC3051" s="67"/>
      <c r="BD3051" s="67"/>
      <c r="BE3051" s="67"/>
      <c r="BF3051" s="95"/>
    </row>
    <row r="3052" spans="42:58" x14ac:dyDescent="0.35">
      <c r="AP3052" s="93"/>
      <c r="AQ3052" s="31"/>
      <c r="AR3052" s="31"/>
      <c r="AS3052" s="94"/>
      <c r="AT3052" s="31"/>
      <c r="AU3052" s="31"/>
      <c r="AV3052" s="94"/>
      <c r="AW3052" s="32"/>
      <c r="AX3052" s="32"/>
      <c r="AY3052" s="32"/>
      <c r="AZ3052" s="32"/>
      <c r="BA3052" s="32"/>
      <c r="BB3052" s="31"/>
      <c r="BC3052" s="31"/>
      <c r="BD3052" s="31"/>
      <c r="BE3052" s="31"/>
      <c r="BF3052" s="96"/>
    </row>
    <row r="3053" spans="42:58" x14ac:dyDescent="0.35">
      <c r="AP3053" s="92"/>
      <c r="AQ3053" s="67"/>
      <c r="AR3053" s="67"/>
      <c r="AS3053" s="73"/>
      <c r="AT3053" s="67"/>
      <c r="AU3053" s="67"/>
      <c r="AV3053" s="73"/>
      <c r="AW3053" s="68"/>
      <c r="AX3053" s="68"/>
      <c r="AY3053" s="68"/>
      <c r="AZ3053" s="68"/>
      <c r="BA3053" s="68"/>
      <c r="BB3053" s="67"/>
      <c r="BC3053" s="67"/>
      <c r="BD3053" s="67"/>
      <c r="BE3053" s="67"/>
      <c r="BF3053" s="95"/>
    </row>
    <row r="3054" spans="42:58" x14ac:dyDescent="0.35">
      <c r="AP3054" s="93"/>
      <c r="AQ3054" s="31"/>
      <c r="AR3054" s="31"/>
      <c r="AS3054" s="94"/>
      <c r="AT3054" s="31"/>
      <c r="AU3054" s="31"/>
      <c r="AV3054" s="94"/>
      <c r="AW3054" s="32"/>
      <c r="AX3054" s="32"/>
      <c r="AY3054" s="32"/>
      <c r="AZ3054" s="32"/>
      <c r="BA3054" s="32"/>
      <c r="BB3054" s="31"/>
      <c r="BC3054" s="31"/>
      <c r="BD3054" s="31"/>
      <c r="BE3054" s="31"/>
      <c r="BF3054" s="96"/>
    </row>
    <row r="3055" spans="42:58" x14ac:dyDescent="0.35">
      <c r="AP3055" s="92"/>
      <c r="AQ3055" s="67"/>
      <c r="AR3055" s="67"/>
      <c r="AS3055" s="73"/>
      <c r="AT3055" s="67"/>
      <c r="AU3055" s="67"/>
      <c r="AV3055" s="73"/>
      <c r="AW3055" s="68"/>
      <c r="AX3055" s="68"/>
      <c r="AY3055" s="68"/>
      <c r="AZ3055" s="68"/>
      <c r="BA3055" s="68"/>
      <c r="BB3055" s="67"/>
      <c r="BC3055" s="67"/>
      <c r="BD3055" s="67"/>
      <c r="BE3055" s="67"/>
      <c r="BF3055" s="95"/>
    </row>
    <row r="3056" spans="42:58" x14ac:dyDescent="0.35">
      <c r="AP3056" s="93"/>
      <c r="AQ3056" s="31"/>
      <c r="AR3056" s="31"/>
      <c r="AS3056" s="94"/>
      <c r="AT3056" s="31"/>
      <c r="AU3056" s="31"/>
      <c r="AV3056" s="94"/>
      <c r="AW3056" s="32"/>
      <c r="AX3056" s="32"/>
      <c r="AY3056" s="32"/>
      <c r="AZ3056" s="32"/>
      <c r="BA3056" s="32"/>
      <c r="BB3056" s="31"/>
      <c r="BC3056" s="31"/>
      <c r="BD3056" s="31"/>
      <c r="BE3056" s="31"/>
      <c r="BF3056" s="96"/>
    </row>
    <row r="3057" spans="42:58" x14ac:dyDescent="0.35">
      <c r="AP3057" s="92"/>
      <c r="AQ3057" s="67"/>
      <c r="AR3057" s="67"/>
      <c r="AS3057" s="73"/>
      <c r="AT3057" s="67"/>
      <c r="AU3057" s="67"/>
      <c r="AV3057" s="73"/>
      <c r="AW3057" s="68"/>
      <c r="AX3057" s="68"/>
      <c r="AY3057" s="68"/>
      <c r="AZ3057" s="68"/>
      <c r="BA3057" s="68"/>
      <c r="BB3057" s="67"/>
      <c r="BC3057" s="67"/>
      <c r="BD3057" s="67"/>
      <c r="BE3057" s="67"/>
      <c r="BF3057" s="95"/>
    </row>
    <row r="3058" spans="42:58" x14ac:dyDescent="0.35">
      <c r="AP3058" s="93"/>
      <c r="AQ3058" s="31"/>
      <c r="AR3058" s="31"/>
      <c r="AS3058" s="94"/>
      <c r="AT3058" s="31"/>
      <c r="AU3058" s="31"/>
      <c r="AV3058" s="94"/>
      <c r="AW3058" s="32"/>
      <c r="AX3058" s="32"/>
      <c r="AY3058" s="32"/>
      <c r="AZ3058" s="32"/>
      <c r="BA3058" s="32"/>
      <c r="BB3058" s="31"/>
      <c r="BC3058" s="31"/>
      <c r="BD3058" s="31"/>
      <c r="BE3058" s="31"/>
      <c r="BF3058" s="96"/>
    </row>
    <row r="3059" spans="42:58" x14ac:dyDescent="0.35">
      <c r="AP3059" s="92"/>
      <c r="AQ3059" s="67"/>
      <c r="AR3059" s="67"/>
      <c r="AS3059" s="73"/>
      <c r="AT3059" s="67"/>
      <c r="AU3059" s="67"/>
      <c r="AV3059" s="73"/>
      <c r="AW3059" s="68"/>
      <c r="AX3059" s="68"/>
      <c r="AY3059" s="68"/>
      <c r="AZ3059" s="68"/>
      <c r="BA3059" s="68"/>
      <c r="BB3059" s="67"/>
      <c r="BC3059" s="67"/>
      <c r="BD3059" s="67"/>
      <c r="BE3059" s="67"/>
      <c r="BF3059" s="95"/>
    </row>
    <row r="3060" spans="42:58" x14ac:dyDescent="0.35">
      <c r="AP3060" s="93"/>
      <c r="AQ3060" s="31"/>
      <c r="AR3060" s="31"/>
      <c r="AS3060" s="94"/>
      <c r="AT3060" s="31"/>
      <c r="AU3060" s="31"/>
      <c r="AV3060" s="94"/>
      <c r="AW3060" s="32"/>
      <c r="AX3060" s="32"/>
      <c r="AY3060" s="32"/>
      <c r="AZ3060" s="32"/>
      <c r="BA3060" s="32"/>
      <c r="BB3060" s="31"/>
      <c r="BC3060" s="31"/>
      <c r="BD3060" s="31"/>
      <c r="BE3060" s="31"/>
      <c r="BF3060" s="96"/>
    </row>
    <row r="3061" spans="42:58" x14ac:dyDescent="0.35">
      <c r="AP3061" s="92"/>
      <c r="AQ3061" s="67"/>
      <c r="AR3061" s="67"/>
      <c r="AS3061" s="73"/>
      <c r="AT3061" s="67"/>
      <c r="AU3061" s="67"/>
      <c r="AV3061" s="73"/>
      <c r="AW3061" s="68"/>
      <c r="AX3061" s="68"/>
      <c r="AY3061" s="68"/>
      <c r="AZ3061" s="68"/>
      <c r="BA3061" s="68"/>
      <c r="BB3061" s="67"/>
      <c r="BC3061" s="67"/>
      <c r="BD3061" s="67"/>
      <c r="BE3061" s="67"/>
      <c r="BF3061" s="95"/>
    </row>
    <row r="3062" spans="42:58" x14ac:dyDescent="0.35">
      <c r="AP3062" s="93"/>
      <c r="AQ3062" s="31"/>
      <c r="AR3062" s="31"/>
      <c r="AS3062" s="94"/>
      <c r="AT3062" s="31"/>
      <c r="AU3062" s="31"/>
      <c r="AV3062" s="94"/>
      <c r="AW3062" s="32"/>
      <c r="AX3062" s="32"/>
      <c r="AY3062" s="32"/>
      <c r="AZ3062" s="32"/>
      <c r="BA3062" s="32"/>
      <c r="BB3062" s="31"/>
      <c r="BC3062" s="31"/>
      <c r="BD3062" s="31"/>
      <c r="BE3062" s="31"/>
      <c r="BF3062" s="96"/>
    </row>
    <row r="3063" spans="42:58" x14ac:dyDescent="0.35">
      <c r="AP3063" s="92"/>
      <c r="AQ3063" s="67"/>
      <c r="AR3063" s="67"/>
      <c r="AS3063" s="73"/>
      <c r="AT3063" s="67"/>
      <c r="AU3063" s="67"/>
      <c r="AV3063" s="73"/>
      <c r="AW3063" s="68"/>
      <c r="AX3063" s="68"/>
      <c r="AY3063" s="68"/>
      <c r="AZ3063" s="68"/>
      <c r="BA3063" s="68"/>
      <c r="BB3063" s="67"/>
      <c r="BC3063" s="67"/>
      <c r="BD3063" s="67"/>
      <c r="BE3063" s="67"/>
      <c r="BF3063" s="95"/>
    </row>
    <row r="3064" spans="42:58" x14ac:dyDescent="0.35">
      <c r="AP3064" s="93"/>
      <c r="AQ3064" s="31"/>
      <c r="AR3064" s="31"/>
      <c r="AS3064" s="94"/>
      <c r="AT3064" s="31"/>
      <c r="AU3064" s="31"/>
      <c r="AV3064" s="94"/>
      <c r="AW3064" s="32"/>
      <c r="AX3064" s="32"/>
      <c r="AY3064" s="32"/>
      <c r="AZ3064" s="32"/>
      <c r="BA3064" s="32"/>
      <c r="BB3064" s="31"/>
      <c r="BC3064" s="31"/>
      <c r="BD3064" s="31"/>
      <c r="BE3064" s="31"/>
      <c r="BF3064" s="96"/>
    </row>
    <row r="3065" spans="42:58" x14ac:dyDescent="0.35">
      <c r="AP3065" s="92"/>
      <c r="AQ3065" s="67"/>
      <c r="AR3065" s="67"/>
      <c r="AS3065" s="73"/>
      <c r="AT3065" s="67"/>
      <c r="AU3065" s="67"/>
      <c r="AV3065" s="73"/>
      <c r="AW3065" s="68"/>
      <c r="AX3065" s="68"/>
      <c r="AY3065" s="68"/>
      <c r="AZ3065" s="68"/>
      <c r="BA3065" s="68"/>
      <c r="BB3065" s="67"/>
      <c r="BC3065" s="67"/>
      <c r="BD3065" s="67"/>
      <c r="BE3065" s="67"/>
      <c r="BF3065" s="95"/>
    </row>
    <row r="3066" spans="42:58" x14ac:dyDescent="0.35">
      <c r="AP3066" s="93"/>
      <c r="AQ3066" s="31"/>
      <c r="AR3066" s="31"/>
      <c r="AS3066" s="94"/>
      <c r="AT3066" s="31"/>
      <c r="AU3066" s="31"/>
      <c r="AV3066" s="94"/>
      <c r="AW3066" s="32"/>
      <c r="AX3066" s="32"/>
      <c r="AY3066" s="32"/>
      <c r="AZ3066" s="32"/>
      <c r="BA3066" s="32"/>
      <c r="BB3066" s="31"/>
      <c r="BC3066" s="31"/>
      <c r="BD3066" s="31"/>
      <c r="BE3066" s="31"/>
      <c r="BF3066" s="96"/>
    </row>
    <row r="3067" spans="42:58" x14ac:dyDescent="0.35">
      <c r="AP3067" s="92"/>
      <c r="AQ3067" s="67"/>
      <c r="AR3067" s="67"/>
      <c r="AS3067" s="73"/>
      <c r="AT3067" s="67"/>
      <c r="AU3067" s="67"/>
      <c r="AV3067" s="73"/>
      <c r="AW3067" s="68"/>
      <c r="AX3067" s="68"/>
      <c r="AY3067" s="68"/>
      <c r="AZ3067" s="68"/>
      <c r="BA3067" s="68"/>
      <c r="BB3067" s="67"/>
      <c r="BC3067" s="67"/>
      <c r="BD3067" s="67"/>
      <c r="BE3067" s="67"/>
      <c r="BF3067" s="95"/>
    </row>
    <row r="3068" spans="42:58" x14ac:dyDescent="0.35">
      <c r="AP3068" s="93"/>
      <c r="AQ3068" s="31"/>
      <c r="AR3068" s="31"/>
      <c r="AS3068" s="94"/>
      <c r="AT3068" s="31"/>
      <c r="AU3068" s="31"/>
      <c r="AV3068" s="94"/>
      <c r="AW3068" s="32"/>
      <c r="AX3068" s="32"/>
      <c r="AY3068" s="32"/>
      <c r="AZ3068" s="32"/>
      <c r="BA3068" s="32"/>
      <c r="BB3068" s="31"/>
      <c r="BC3068" s="31"/>
      <c r="BD3068" s="31"/>
      <c r="BE3068" s="31"/>
      <c r="BF3068" s="96"/>
    </row>
    <row r="3069" spans="42:58" x14ac:dyDescent="0.35">
      <c r="AP3069" s="92"/>
      <c r="AQ3069" s="67"/>
      <c r="AR3069" s="67"/>
      <c r="AS3069" s="73"/>
      <c r="AT3069" s="67"/>
      <c r="AU3069" s="67"/>
      <c r="AV3069" s="73"/>
      <c r="AW3069" s="68"/>
      <c r="AX3069" s="68"/>
      <c r="AY3069" s="68"/>
      <c r="AZ3069" s="68"/>
      <c r="BA3069" s="68"/>
      <c r="BB3069" s="67"/>
      <c r="BC3069" s="67"/>
      <c r="BD3069" s="67"/>
      <c r="BE3069" s="67"/>
      <c r="BF3069" s="95"/>
    </row>
    <row r="3070" spans="42:58" x14ac:dyDescent="0.35">
      <c r="AP3070" s="93"/>
      <c r="AQ3070" s="31"/>
      <c r="AR3070" s="31"/>
      <c r="AS3070" s="94"/>
      <c r="AT3070" s="31"/>
      <c r="AU3070" s="31"/>
      <c r="AV3070" s="94"/>
      <c r="AW3070" s="32"/>
      <c r="AX3070" s="32"/>
      <c r="AY3070" s="32"/>
      <c r="AZ3070" s="32"/>
      <c r="BA3070" s="32"/>
      <c r="BB3070" s="31"/>
      <c r="BC3070" s="31"/>
      <c r="BD3070" s="31"/>
      <c r="BE3070" s="31"/>
      <c r="BF3070" s="96"/>
    </row>
    <row r="3071" spans="42:58" x14ac:dyDescent="0.35">
      <c r="AP3071" s="92"/>
      <c r="AQ3071" s="67"/>
      <c r="AR3071" s="67"/>
      <c r="AS3071" s="73"/>
      <c r="AT3071" s="67"/>
      <c r="AU3071" s="67"/>
      <c r="AV3071" s="73"/>
      <c r="AW3071" s="68"/>
      <c r="AX3071" s="68"/>
      <c r="AY3071" s="68"/>
      <c r="AZ3071" s="68"/>
      <c r="BA3071" s="68"/>
      <c r="BB3071" s="67"/>
      <c r="BC3071" s="67"/>
      <c r="BD3071" s="67"/>
      <c r="BE3071" s="67"/>
      <c r="BF3071" s="95"/>
    </row>
    <row r="3072" spans="42:58" x14ac:dyDescent="0.35">
      <c r="AP3072" s="93"/>
      <c r="AQ3072" s="31"/>
      <c r="AR3072" s="31"/>
      <c r="AS3072" s="94"/>
      <c r="AT3072" s="31"/>
      <c r="AU3072" s="31"/>
      <c r="AV3072" s="94"/>
      <c r="AW3072" s="32"/>
      <c r="AX3072" s="32"/>
      <c r="AY3072" s="32"/>
      <c r="AZ3072" s="32"/>
      <c r="BA3072" s="32"/>
      <c r="BB3072" s="31"/>
      <c r="BC3072" s="31"/>
      <c r="BD3072" s="31"/>
      <c r="BE3072" s="31"/>
      <c r="BF3072" s="96"/>
    </row>
    <row r="3073" spans="42:58" x14ac:dyDescent="0.35">
      <c r="AP3073" s="92"/>
      <c r="AQ3073" s="67"/>
      <c r="AR3073" s="67"/>
      <c r="AS3073" s="73"/>
      <c r="AT3073" s="67"/>
      <c r="AU3073" s="67"/>
      <c r="AV3073" s="73"/>
      <c r="AW3073" s="68"/>
      <c r="AX3073" s="68"/>
      <c r="AY3073" s="68"/>
      <c r="AZ3073" s="68"/>
      <c r="BA3073" s="68"/>
      <c r="BB3073" s="67"/>
      <c r="BC3073" s="67"/>
      <c r="BD3073" s="67"/>
      <c r="BE3073" s="67"/>
      <c r="BF3073" s="95"/>
    </row>
    <row r="3074" spans="42:58" x14ac:dyDescent="0.35">
      <c r="AP3074" s="93"/>
      <c r="AQ3074" s="31"/>
      <c r="AR3074" s="31"/>
      <c r="AS3074" s="94"/>
      <c r="AT3074" s="31"/>
      <c r="AU3074" s="31"/>
      <c r="AV3074" s="94"/>
      <c r="AW3074" s="32"/>
      <c r="AX3074" s="32"/>
      <c r="AY3074" s="32"/>
      <c r="AZ3074" s="32"/>
      <c r="BA3074" s="32"/>
      <c r="BB3074" s="31"/>
      <c r="BC3074" s="31"/>
      <c r="BD3074" s="31"/>
      <c r="BE3074" s="31"/>
      <c r="BF3074" s="96"/>
    </row>
    <row r="3075" spans="42:58" x14ac:dyDescent="0.35">
      <c r="AP3075" s="92"/>
      <c r="AQ3075" s="67"/>
      <c r="AR3075" s="67"/>
      <c r="AS3075" s="73"/>
      <c r="AT3075" s="67"/>
      <c r="AU3075" s="67"/>
      <c r="AV3075" s="73"/>
      <c r="AW3075" s="68"/>
      <c r="AX3075" s="68"/>
      <c r="AY3075" s="68"/>
      <c r="AZ3075" s="68"/>
      <c r="BA3075" s="68"/>
      <c r="BB3075" s="67"/>
      <c r="BC3075" s="67"/>
      <c r="BD3075" s="67"/>
      <c r="BE3075" s="67"/>
      <c r="BF3075" s="95"/>
    </row>
    <row r="3076" spans="42:58" x14ac:dyDescent="0.35">
      <c r="AP3076" s="93"/>
      <c r="AQ3076" s="31"/>
      <c r="AR3076" s="31"/>
      <c r="AS3076" s="94"/>
      <c r="AT3076" s="31"/>
      <c r="AU3076" s="31"/>
      <c r="AV3076" s="94"/>
      <c r="AW3076" s="32"/>
      <c r="AX3076" s="32"/>
      <c r="AY3076" s="32"/>
      <c r="AZ3076" s="32"/>
      <c r="BA3076" s="32"/>
      <c r="BB3076" s="31"/>
      <c r="BC3076" s="31"/>
      <c r="BD3076" s="31"/>
      <c r="BE3076" s="31"/>
      <c r="BF3076" s="96"/>
    </row>
    <row r="3077" spans="42:58" x14ac:dyDescent="0.35">
      <c r="AP3077" s="92"/>
      <c r="AQ3077" s="67"/>
      <c r="AR3077" s="67"/>
      <c r="AS3077" s="73"/>
      <c r="AT3077" s="67"/>
      <c r="AU3077" s="67"/>
      <c r="AV3077" s="73"/>
      <c r="AW3077" s="68"/>
      <c r="AX3077" s="68"/>
      <c r="AY3077" s="68"/>
      <c r="AZ3077" s="68"/>
      <c r="BA3077" s="68"/>
      <c r="BB3077" s="67"/>
      <c r="BC3077" s="67"/>
      <c r="BD3077" s="67"/>
      <c r="BE3077" s="67"/>
      <c r="BF3077" s="95"/>
    </row>
    <row r="3078" spans="42:58" x14ac:dyDescent="0.35">
      <c r="AP3078" s="93"/>
      <c r="AQ3078" s="31"/>
      <c r="AR3078" s="31"/>
      <c r="AS3078" s="94"/>
      <c r="AT3078" s="31"/>
      <c r="AU3078" s="31"/>
      <c r="AV3078" s="94"/>
      <c r="AW3078" s="32"/>
      <c r="AX3078" s="32"/>
      <c r="AY3078" s="32"/>
      <c r="AZ3078" s="32"/>
      <c r="BA3078" s="32"/>
      <c r="BB3078" s="31"/>
      <c r="BC3078" s="31"/>
      <c r="BD3078" s="31"/>
      <c r="BE3078" s="31"/>
      <c r="BF3078" s="96"/>
    </row>
    <row r="3079" spans="42:58" x14ac:dyDescent="0.35">
      <c r="AP3079" s="92"/>
      <c r="AQ3079" s="67"/>
      <c r="AR3079" s="67"/>
      <c r="AS3079" s="73"/>
      <c r="AT3079" s="67"/>
      <c r="AU3079" s="67"/>
      <c r="AV3079" s="73"/>
      <c r="AW3079" s="68"/>
      <c r="AX3079" s="68"/>
      <c r="AY3079" s="68"/>
      <c r="AZ3079" s="68"/>
      <c r="BA3079" s="68"/>
      <c r="BB3079" s="67"/>
      <c r="BC3079" s="67"/>
      <c r="BD3079" s="67"/>
      <c r="BE3079" s="67"/>
      <c r="BF3079" s="95"/>
    </row>
    <row r="3080" spans="42:58" x14ac:dyDescent="0.35">
      <c r="AP3080" s="93"/>
      <c r="AQ3080" s="31"/>
      <c r="AR3080" s="31"/>
      <c r="AS3080" s="94"/>
      <c r="AT3080" s="31"/>
      <c r="AU3080" s="31"/>
      <c r="AV3080" s="94"/>
      <c r="AW3080" s="32"/>
      <c r="AX3080" s="32"/>
      <c r="AY3080" s="32"/>
      <c r="AZ3080" s="32"/>
      <c r="BA3080" s="32"/>
      <c r="BB3080" s="31"/>
      <c r="BC3080" s="31"/>
      <c r="BD3080" s="31"/>
      <c r="BE3080" s="31"/>
      <c r="BF3080" s="96"/>
    </row>
    <row r="3081" spans="42:58" x14ac:dyDescent="0.35">
      <c r="AP3081" s="92"/>
      <c r="AQ3081" s="67"/>
      <c r="AR3081" s="67"/>
      <c r="AS3081" s="73"/>
      <c r="AT3081" s="67"/>
      <c r="AU3081" s="67"/>
      <c r="AV3081" s="73"/>
      <c r="AW3081" s="68"/>
      <c r="AX3081" s="68"/>
      <c r="AY3081" s="68"/>
      <c r="AZ3081" s="68"/>
      <c r="BA3081" s="68"/>
      <c r="BB3081" s="67"/>
      <c r="BC3081" s="67"/>
      <c r="BD3081" s="67"/>
      <c r="BE3081" s="67"/>
      <c r="BF3081" s="95"/>
    </row>
    <row r="3082" spans="42:58" x14ac:dyDescent="0.35">
      <c r="AP3082" s="93"/>
      <c r="AQ3082" s="31"/>
      <c r="AR3082" s="31"/>
      <c r="AS3082" s="94"/>
      <c r="AT3082" s="31"/>
      <c r="AU3082" s="31"/>
      <c r="AV3082" s="94"/>
      <c r="AW3082" s="32"/>
      <c r="AX3082" s="32"/>
      <c r="AY3082" s="32"/>
      <c r="AZ3082" s="32"/>
      <c r="BA3082" s="32"/>
      <c r="BB3082" s="31"/>
      <c r="BC3082" s="31"/>
      <c r="BD3082" s="31"/>
      <c r="BE3082" s="31"/>
      <c r="BF3082" s="96"/>
    </row>
    <row r="3083" spans="42:58" x14ac:dyDescent="0.35">
      <c r="AP3083" s="92"/>
      <c r="AQ3083" s="67"/>
      <c r="AR3083" s="67"/>
      <c r="AS3083" s="73"/>
      <c r="AT3083" s="67"/>
      <c r="AU3083" s="67"/>
      <c r="AV3083" s="73"/>
      <c r="AW3083" s="68"/>
      <c r="AX3083" s="68"/>
      <c r="AY3083" s="68"/>
      <c r="AZ3083" s="68"/>
      <c r="BA3083" s="68"/>
      <c r="BB3083" s="67"/>
      <c r="BC3083" s="67"/>
      <c r="BD3083" s="67"/>
      <c r="BE3083" s="67"/>
      <c r="BF3083" s="95"/>
    </row>
    <row r="3084" spans="42:58" x14ac:dyDescent="0.35">
      <c r="AP3084" s="93"/>
      <c r="AQ3084" s="31"/>
      <c r="AR3084" s="31"/>
      <c r="AS3084" s="94"/>
      <c r="AT3084" s="31"/>
      <c r="AU3084" s="31"/>
      <c r="AV3084" s="94"/>
      <c r="AW3084" s="32"/>
      <c r="AX3084" s="32"/>
      <c r="AY3084" s="32"/>
      <c r="AZ3084" s="32"/>
      <c r="BA3084" s="32"/>
      <c r="BB3084" s="31"/>
      <c r="BC3084" s="31"/>
      <c r="BD3084" s="31"/>
      <c r="BE3084" s="31"/>
      <c r="BF3084" s="96"/>
    </row>
    <row r="3085" spans="42:58" x14ac:dyDescent="0.35">
      <c r="AP3085" s="92"/>
      <c r="AQ3085" s="67"/>
      <c r="AR3085" s="67"/>
      <c r="AS3085" s="73"/>
      <c r="AT3085" s="67"/>
      <c r="AU3085" s="67"/>
      <c r="AV3085" s="73"/>
      <c r="AW3085" s="68"/>
      <c r="AX3085" s="68"/>
      <c r="AY3085" s="68"/>
      <c r="AZ3085" s="68"/>
      <c r="BA3085" s="68"/>
      <c r="BB3085" s="67"/>
      <c r="BC3085" s="67"/>
      <c r="BD3085" s="67"/>
      <c r="BE3085" s="67"/>
      <c r="BF3085" s="95"/>
    </row>
    <row r="3086" spans="42:58" x14ac:dyDescent="0.35">
      <c r="AP3086" s="93"/>
      <c r="AQ3086" s="31"/>
      <c r="AR3086" s="31"/>
      <c r="AS3086" s="94"/>
      <c r="AT3086" s="31"/>
      <c r="AU3086" s="31"/>
      <c r="AV3086" s="94"/>
      <c r="AW3086" s="32"/>
      <c r="AX3086" s="32"/>
      <c r="AY3086" s="32"/>
      <c r="AZ3086" s="32"/>
      <c r="BA3086" s="32"/>
      <c r="BB3086" s="31"/>
      <c r="BC3086" s="31"/>
      <c r="BD3086" s="31"/>
      <c r="BE3086" s="31"/>
      <c r="BF3086" s="96"/>
    </row>
    <row r="3087" spans="42:58" x14ac:dyDescent="0.35">
      <c r="AP3087" s="92"/>
      <c r="AQ3087" s="67"/>
      <c r="AR3087" s="67"/>
      <c r="AS3087" s="73"/>
      <c r="AT3087" s="67"/>
      <c r="AU3087" s="67"/>
      <c r="AV3087" s="73"/>
      <c r="AW3087" s="68"/>
      <c r="AX3087" s="68"/>
      <c r="AY3087" s="68"/>
      <c r="AZ3087" s="68"/>
      <c r="BA3087" s="68"/>
      <c r="BB3087" s="67"/>
      <c r="BC3087" s="67"/>
      <c r="BD3087" s="67"/>
      <c r="BE3087" s="67"/>
      <c r="BF3087" s="95"/>
    </row>
    <row r="3088" spans="42:58" x14ac:dyDescent="0.35">
      <c r="AP3088" s="93"/>
      <c r="AQ3088" s="31"/>
      <c r="AR3088" s="31"/>
      <c r="AS3088" s="94"/>
      <c r="AT3088" s="31"/>
      <c r="AU3088" s="31"/>
      <c r="AV3088" s="94"/>
      <c r="AW3088" s="32"/>
      <c r="AX3088" s="32"/>
      <c r="AY3088" s="32"/>
      <c r="AZ3088" s="32"/>
      <c r="BA3088" s="32"/>
      <c r="BB3088" s="31"/>
      <c r="BC3088" s="31"/>
      <c r="BD3088" s="31"/>
      <c r="BE3088" s="31"/>
      <c r="BF3088" s="96"/>
    </row>
    <row r="3089" spans="42:58" x14ac:dyDescent="0.35">
      <c r="AP3089" s="92"/>
      <c r="AQ3089" s="67"/>
      <c r="AR3089" s="67"/>
      <c r="AS3089" s="73"/>
      <c r="AT3089" s="67"/>
      <c r="AU3089" s="67"/>
      <c r="AV3089" s="73"/>
      <c r="AW3089" s="68"/>
      <c r="AX3089" s="68"/>
      <c r="AY3089" s="68"/>
      <c r="AZ3089" s="68"/>
      <c r="BA3089" s="68"/>
      <c r="BB3089" s="67"/>
      <c r="BC3089" s="67"/>
      <c r="BD3089" s="67"/>
      <c r="BE3089" s="67"/>
      <c r="BF3089" s="95"/>
    </row>
    <row r="3090" spans="42:58" x14ac:dyDescent="0.35">
      <c r="AP3090" s="93"/>
      <c r="AQ3090" s="31"/>
      <c r="AR3090" s="31"/>
      <c r="AS3090" s="94"/>
      <c r="AT3090" s="31"/>
      <c r="AU3090" s="31"/>
      <c r="AV3090" s="94"/>
      <c r="AW3090" s="32"/>
      <c r="AX3090" s="32"/>
      <c r="AY3090" s="32"/>
      <c r="AZ3090" s="32"/>
      <c r="BA3090" s="32"/>
      <c r="BB3090" s="31"/>
      <c r="BC3090" s="31"/>
      <c r="BD3090" s="31"/>
      <c r="BE3090" s="31"/>
      <c r="BF3090" s="96"/>
    </row>
    <row r="3091" spans="42:58" x14ac:dyDescent="0.35">
      <c r="AP3091" s="92"/>
      <c r="AQ3091" s="67"/>
      <c r="AR3091" s="67"/>
      <c r="AS3091" s="73"/>
      <c r="AT3091" s="67"/>
      <c r="AU3091" s="67"/>
      <c r="AV3091" s="73"/>
      <c r="AW3091" s="68"/>
      <c r="AX3091" s="68"/>
      <c r="AY3091" s="68"/>
      <c r="AZ3091" s="68"/>
      <c r="BA3091" s="68"/>
      <c r="BB3091" s="67"/>
      <c r="BC3091" s="67"/>
      <c r="BD3091" s="67"/>
      <c r="BE3091" s="67"/>
      <c r="BF3091" s="95"/>
    </row>
    <row r="3092" spans="42:58" x14ac:dyDescent="0.35">
      <c r="AP3092" s="93"/>
      <c r="AQ3092" s="31"/>
      <c r="AR3092" s="31"/>
      <c r="AS3092" s="94"/>
      <c r="AT3092" s="31"/>
      <c r="AU3092" s="31"/>
      <c r="AV3092" s="94"/>
      <c r="AW3092" s="32"/>
      <c r="AX3092" s="32"/>
      <c r="AY3092" s="32"/>
      <c r="AZ3092" s="32"/>
      <c r="BA3092" s="32"/>
      <c r="BB3092" s="31"/>
      <c r="BC3092" s="31"/>
      <c r="BD3092" s="31"/>
      <c r="BE3092" s="31"/>
      <c r="BF3092" s="96"/>
    </row>
    <row r="3093" spans="42:58" x14ac:dyDescent="0.35">
      <c r="AP3093" s="92"/>
      <c r="AQ3093" s="67"/>
      <c r="AR3093" s="67"/>
      <c r="AS3093" s="73"/>
      <c r="AT3093" s="67"/>
      <c r="AU3093" s="67"/>
      <c r="AV3093" s="73"/>
      <c r="AW3093" s="68"/>
      <c r="AX3093" s="68"/>
      <c r="AY3093" s="68"/>
      <c r="AZ3093" s="68"/>
      <c r="BA3093" s="68"/>
      <c r="BB3093" s="67"/>
      <c r="BC3093" s="67"/>
      <c r="BD3093" s="67"/>
      <c r="BE3093" s="67"/>
      <c r="BF3093" s="95"/>
    </row>
    <row r="3094" spans="42:58" x14ac:dyDescent="0.35">
      <c r="AP3094" s="93"/>
      <c r="AQ3094" s="31"/>
      <c r="AR3094" s="31"/>
      <c r="AS3094" s="94"/>
      <c r="AT3094" s="31"/>
      <c r="AU3094" s="31"/>
      <c r="AV3094" s="94"/>
      <c r="AW3094" s="32"/>
      <c r="AX3094" s="32"/>
      <c r="AY3094" s="32"/>
      <c r="AZ3094" s="32"/>
      <c r="BA3094" s="32"/>
      <c r="BB3094" s="31"/>
      <c r="BC3094" s="31"/>
      <c r="BD3094" s="31"/>
      <c r="BE3094" s="31"/>
      <c r="BF3094" s="96"/>
    </row>
    <row r="3095" spans="42:58" x14ac:dyDescent="0.35">
      <c r="AP3095" s="92"/>
      <c r="AQ3095" s="67"/>
      <c r="AR3095" s="67"/>
      <c r="AS3095" s="73"/>
      <c r="AT3095" s="67"/>
      <c r="AU3095" s="67"/>
      <c r="AV3095" s="73"/>
      <c r="AW3095" s="68"/>
      <c r="AX3095" s="68"/>
      <c r="AY3095" s="68"/>
      <c r="AZ3095" s="68"/>
      <c r="BA3095" s="68"/>
      <c r="BB3095" s="67"/>
      <c r="BC3095" s="67"/>
      <c r="BD3095" s="67"/>
      <c r="BE3095" s="67"/>
      <c r="BF3095" s="95"/>
    </row>
    <row r="3096" spans="42:58" x14ac:dyDescent="0.35">
      <c r="AP3096" s="93"/>
      <c r="AQ3096" s="31"/>
      <c r="AR3096" s="31"/>
      <c r="AS3096" s="94"/>
      <c r="AT3096" s="31"/>
      <c r="AU3096" s="31"/>
      <c r="AV3096" s="94"/>
      <c r="AW3096" s="32"/>
      <c r="AX3096" s="32"/>
      <c r="AY3096" s="32"/>
      <c r="AZ3096" s="32"/>
      <c r="BA3096" s="32"/>
      <c r="BB3096" s="31"/>
      <c r="BC3096" s="31"/>
      <c r="BD3096" s="31"/>
      <c r="BE3096" s="31"/>
      <c r="BF3096" s="96"/>
    </row>
    <row r="3097" spans="42:58" x14ac:dyDescent="0.35">
      <c r="AP3097" s="92"/>
      <c r="AQ3097" s="67"/>
      <c r="AR3097" s="67"/>
      <c r="AS3097" s="73"/>
      <c r="AT3097" s="67"/>
      <c r="AU3097" s="67"/>
      <c r="AV3097" s="73"/>
      <c r="AW3097" s="68"/>
      <c r="AX3097" s="68"/>
      <c r="AY3097" s="68"/>
      <c r="AZ3097" s="68"/>
      <c r="BA3097" s="68"/>
      <c r="BB3097" s="67"/>
      <c r="BC3097" s="67"/>
      <c r="BD3097" s="67"/>
      <c r="BE3097" s="67"/>
      <c r="BF3097" s="95"/>
    </row>
    <row r="3098" spans="42:58" x14ac:dyDescent="0.35">
      <c r="AP3098" s="93"/>
      <c r="AQ3098" s="31"/>
      <c r="AR3098" s="31"/>
      <c r="AS3098" s="94"/>
      <c r="AT3098" s="31"/>
      <c r="AU3098" s="31"/>
      <c r="AV3098" s="94"/>
      <c r="AW3098" s="32"/>
      <c r="AX3098" s="32"/>
      <c r="AY3098" s="32"/>
      <c r="AZ3098" s="32"/>
      <c r="BA3098" s="32"/>
      <c r="BB3098" s="31"/>
      <c r="BC3098" s="31"/>
      <c r="BD3098" s="31"/>
      <c r="BE3098" s="31"/>
      <c r="BF3098" s="96"/>
    </row>
    <row r="3099" spans="42:58" x14ac:dyDescent="0.35">
      <c r="AP3099" s="92"/>
      <c r="AQ3099" s="67"/>
      <c r="AR3099" s="67"/>
      <c r="AS3099" s="73"/>
      <c r="AT3099" s="67"/>
      <c r="AU3099" s="67"/>
      <c r="AV3099" s="73"/>
      <c r="AW3099" s="68"/>
      <c r="AX3099" s="68"/>
      <c r="AY3099" s="68"/>
      <c r="AZ3099" s="68"/>
      <c r="BA3099" s="68"/>
      <c r="BB3099" s="67"/>
      <c r="BC3099" s="67"/>
      <c r="BD3099" s="67"/>
      <c r="BE3099" s="67"/>
      <c r="BF3099" s="95"/>
    </row>
    <row r="3100" spans="42:58" x14ac:dyDescent="0.35">
      <c r="AP3100" s="93"/>
      <c r="AQ3100" s="31"/>
      <c r="AR3100" s="31"/>
      <c r="AS3100" s="94"/>
      <c r="AT3100" s="31"/>
      <c r="AU3100" s="31"/>
      <c r="AV3100" s="94"/>
      <c r="AW3100" s="32"/>
      <c r="AX3100" s="32"/>
      <c r="AY3100" s="32"/>
      <c r="AZ3100" s="32"/>
      <c r="BA3100" s="32"/>
      <c r="BB3100" s="31"/>
      <c r="BC3100" s="31"/>
      <c r="BD3100" s="31"/>
      <c r="BE3100" s="31"/>
      <c r="BF3100" s="96"/>
    </row>
    <row r="3101" spans="42:58" x14ac:dyDescent="0.35">
      <c r="AP3101" s="92"/>
      <c r="AQ3101" s="67"/>
      <c r="AR3101" s="67"/>
      <c r="AS3101" s="73"/>
      <c r="AT3101" s="67"/>
      <c r="AU3101" s="67"/>
      <c r="AV3101" s="73"/>
      <c r="AW3101" s="68"/>
      <c r="AX3101" s="68"/>
      <c r="AY3101" s="68"/>
      <c r="AZ3101" s="68"/>
      <c r="BA3101" s="68"/>
      <c r="BB3101" s="67"/>
      <c r="BC3101" s="67"/>
      <c r="BD3101" s="67"/>
      <c r="BE3101" s="67"/>
      <c r="BF3101" s="95"/>
    </row>
    <row r="3102" spans="42:58" x14ac:dyDescent="0.35">
      <c r="AP3102" s="93"/>
      <c r="AQ3102" s="31"/>
      <c r="AR3102" s="31"/>
      <c r="AS3102" s="94"/>
      <c r="AT3102" s="31"/>
      <c r="AU3102" s="31"/>
      <c r="AV3102" s="94"/>
      <c r="AW3102" s="32"/>
      <c r="AX3102" s="32"/>
      <c r="AY3102" s="32"/>
      <c r="AZ3102" s="32"/>
      <c r="BA3102" s="32"/>
      <c r="BB3102" s="31"/>
      <c r="BC3102" s="31"/>
      <c r="BD3102" s="31"/>
      <c r="BE3102" s="31"/>
      <c r="BF3102" s="96"/>
    </row>
    <row r="3103" spans="42:58" x14ac:dyDescent="0.35">
      <c r="AP3103" s="92"/>
      <c r="AQ3103" s="67"/>
      <c r="AR3103" s="67"/>
      <c r="AS3103" s="73"/>
      <c r="AT3103" s="67"/>
      <c r="AU3103" s="67"/>
      <c r="AV3103" s="73"/>
      <c r="AW3103" s="68"/>
      <c r="AX3103" s="68"/>
      <c r="AY3103" s="68"/>
      <c r="AZ3103" s="68"/>
      <c r="BA3103" s="68"/>
      <c r="BB3103" s="67"/>
      <c r="BC3103" s="67"/>
      <c r="BD3103" s="67"/>
      <c r="BE3103" s="67"/>
      <c r="BF3103" s="95"/>
    </row>
    <row r="3104" spans="42:58" x14ac:dyDescent="0.35">
      <c r="AP3104" s="93"/>
      <c r="AQ3104" s="31"/>
      <c r="AR3104" s="31"/>
      <c r="AS3104" s="94"/>
      <c r="AT3104" s="31"/>
      <c r="AU3104" s="31"/>
      <c r="AV3104" s="94"/>
      <c r="AW3104" s="32"/>
      <c r="AX3104" s="32"/>
      <c r="AY3104" s="32"/>
      <c r="AZ3104" s="32"/>
      <c r="BA3104" s="32"/>
      <c r="BB3104" s="31"/>
      <c r="BC3104" s="31"/>
      <c r="BD3104" s="31"/>
      <c r="BE3104" s="31"/>
      <c r="BF3104" s="96"/>
    </row>
    <row r="3105" spans="42:58" x14ac:dyDescent="0.35">
      <c r="AP3105" s="92"/>
      <c r="AQ3105" s="67"/>
      <c r="AR3105" s="67"/>
      <c r="AS3105" s="73"/>
      <c r="AT3105" s="67"/>
      <c r="AU3105" s="67"/>
      <c r="AV3105" s="73"/>
      <c r="AW3105" s="68"/>
      <c r="AX3105" s="68"/>
      <c r="AY3105" s="68"/>
      <c r="AZ3105" s="68"/>
      <c r="BA3105" s="68"/>
      <c r="BB3105" s="67"/>
      <c r="BC3105" s="67"/>
      <c r="BD3105" s="67"/>
      <c r="BE3105" s="67"/>
      <c r="BF3105" s="95"/>
    </row>
    <row r="3106" spans="42:58" x14ac:dyDescent="0.35">
      <c r="AP3106" s="93"/>
      <c r="AQ3106" s="31"/>
      <c r="AR3106" s="31"/>
      <c r="AS3106" s="94"/>
      <c r="AT3106" s="31"/>
      <c r="AU3106" s="31"/>
      <c r="AV3106" s="94"/>
      <c r="AW3106" s="32"/>
      <c r="AX3106" s="32"/>
      <c r="AY3106" s="32"/>
      <c r="AZ3106" s="32"/>
      <c r="BA3106" s="32"/>
      <c r="BB3106" s="31"/>
      <c r="BC3106" s="31"/>
      <c r="BD3106" s="31"/>
      <c r="BE3106" s="31"/>
      <c r="BF3106" s="96"/>
    </row>
    <row r="3107" spans="42:58" x14ac:dyDescent="0.35">
      <c r="AP3107" s="92"/>
      <c r="AQ3107" s="67"/>
      <c r="AR3107" s="67"/>
      <c r="AS3107" s="73"/>
      <c r="AT3107" s="67"/>
      <c r="AU3107" s="67"/>
      <c r="AV3107" s="73"/>
      <c r="AW3107" s="68"/>
      <c r="AX3107" s="68"/>
      <c r="AY3107" s="68"/>
      <c r="AZ3107" s="68"/>
      <c r="BA3107" s="68"/>
      <c r="BB3107" s="67"/>
      <c r="BC3107" s="67"/>
      <c r="BD3107" s="67"/>
      <c r="BE3107" s="67"/>
      <c r="BF3107" s="95"/>
    </row>
    <row r="3108" spans="42:58" x14ac:dyDescent="0.35">
      <c r="AP3108" s="93"/>
      <c r="AQ3108" s="31"/>
      <c r="AR3108" s="31"/>
      <c r="AS3108" s="94"/>
      <c r="AT3108" s="31"/>
      <c r="AU3108" s="31"/>
      <c r="AV3108" s="94"/>
      <c r="AW3108" s="32"/>
      <c r="AX3108" s="32"/>
      <c r="AY3108" s="32"/>
      <c r="AZ3108" s="32"/>
      <c r="BA3108" s="32"/>
      <c r="BB3108" s="31"/>
      <c r="BC3108" s="31"/>
      <c r="BD3108" s="31"/>
      <c r="BE3108" s="31"/>
      <c r="BF3108" s="96"/>
    </row>
    <row r="3109" spans="42:58" x14ac:dyDescent="0.35">
      <c r="AP3109" s="92"/>
      <c r="AQ3109" s="67"/>
      <c r="AR3109" s="67"/>
      <c r="AS3109" s="73"/>
      <c r="AT3109" s="67"/>
      <c r="AU3109" s="67"/>
      <c r="AV3109" s="73"/>
      <c r="AW3109" s="68"/>
      <c r="AX3109" s="68"/>
      <c r="AY3109" s="68"/>
      <c r="AZ3109" s="68"/>
      <c r="BA3109" s="68"/>
      <c r="BB3109" s="67"/>
      <c r="BC3109" s="67"/>
      <c r="BD3109" s="67"/>
      <c r="BE3109" s="67"/>
      <c r="BF3109" s="95"/>
    </row>
    <row r="3110" spans="42:58" x14ac:dyDescent="0.35">
      <c r="AP3110" s="93"/>
      <c r="AQ3110" s="31"/>
      <c r="AR3110" s="31"/>
      <c r="AS3110" s="94"/>
      <c r="AT3110" s="31"/>
      <c r="AU3110" s="31"/>
      <c r="AV3110" s="94"/>
      <c r="AW3110" s="32"/>
      <c r="AX3110" s="32"/>
      <c r="AY3110" s="32"/>
      <c r="AZ3110" s="32"/>
      <c r="BA3110" s="32"/>
      <c r="BB3110" s="31"/>
      <c r="BC3110" s="31"/>
      <c r="BD3110" s="31"/>
      <c r="BE3110" s="31"/>
      <c r="BF3110" s="96"/>
    </row>
    <row r="3111" spans="42:58" x14ac:dyDescent="0.35">
      <c r="AP3111" s="92"/>
      <c r="AQ3111" s="67"/>
      <c r="AR3111" s="67"/>
      <c r="AS3111" s="73"/>
      <c r="AT3111" s="67"/>
      <c r="AU3111" s="67"/>
      <c r="AV3111" s="73"/>
      <c r="AW3111" s="68"/>
      <c r="AX3111" s="68"/>
      <c r="AY3111" s="68"/>
      <c r="AZ3111" s="68"/>
      <c r="BA3111" s="68"/>
      <c r="BB3111" s="67"/>
      <c r="BC3111" s="67"/>
      <c r="BD3111" s="67"/>
      <c r="BE3111" s="67"/>
      <c r="BF3111" s="95"/>
    </row>
    <row r="3112" spans="42:58" x14ac:dyDescent="0.35">
      <c r="AP3112" s="93"/>
      <c r="AQ3112" s="31"/>
      <c r="AR3112" s="31"/>
      <c r="AS3112" s="94"/>
      <c r="AT3112" s="31"/>
      <c r="AU3112" s="31"/>
      <c r="AV3112" s="94"/>
      <c r="AW3112" s="32"/>
      <c r="AX3112" s="32"/>
      <c r="AY3112" s="32"/>
      <c r="AZ3112" s="32"/>
      <c r="BA3112" s="32"/>
      <c r="BB3112" s="31"/>
      <c r="BC3112" s="31"/>
      <c r="BD3112" s="31"/>
      <c r="BE3112" s="31"/>
      <c r="BF3112" s="96"/>
    </row>
    <row r="3113" spans="42:58" x14ac:dyDescent="0.35">
      <c r="AP3113" s="92"/>
      <c r="AQ3113" s="67"/>
      <c r="AR3113" s="67"/>
      <c r="AS3113" s="73"/>
      <c r="AT3113" s="67"/>
      <c r="AU3113" s="67"/>
      <c r="AV3113" s="73"/>
      <c r="AW3113" s="68"/>
      <c r="AX3113" s="68"/>
      <c r="AY3113" s="68"/>
      <c r="AZ3113" s="68"/>
      <c r="BA3113" s="68"/>
      <c r="BB3113" s="67"/>
      <c r="BC3113" s="67"/>
      <c r="BD3113" s="67"/>
      <c r="BE3113" s="67"/>
      <c r="BF3113" s="95"/>
    </row>
    <row r="3114" spans="42:58" x14ac:dyDescent="0.35">
      <c r="AP3114" s="93"/>
      <c r="AQ3114" s="31"/>
      <c r="AR3114" s="31"/>
      <c r="AS3114" s="94"/>
      <c r="AT3114" s="31"/>
      <c r="AU3114" s="31"/>
      <c r="AV3114" s="94"/>
      <c r="AW3114" s="32"/>
      <c r="AX3114" s="32"/>
      <c r="AY3114" s="32"/>
      <c r="AZ3114" s="32"/>
      <c r="BA3114" s="32"/>
      <c r="BB3114" s="31"/>
      <c r="BC3114" s="31"/>
      <c r="BD3114" s="31"/>
      <c r="BE3114" s="31"/>
      <c r="BF3114" s="96"/>
    </row>
    <row r="3115" spans="42:58" x14ac:dyDescent="0.35">
      <c r="AP3115" s="92"/>
      <c r="AQ3115" s="67"/>
      <c r="AR3115" s="67"/>
      <c r="AS3115" s="73"/>
      <c r="AT3115" s="67"/>
      <c r="AU3115" s="67"/>
      <c r="AV3115" s="73"/>
      <c r="AW3115" s="68"/>
      <c r="AX3115" s="68"/>
      <c r="AY3115" s="68"/>
      <c r="AZ3115" s="68"/>
      <c r="BA3115" s="68"/>
      <c r="BB3115" s="67"/>
      <c r="BC3115" s="67"/>
      <c r="BD3115" s="67"/>
      <c r="BE3115" s="67"/>
      <c r="BF3115" s="95"/>
    </row>
    <row r="3116" spans="42:58" x14ac:dyDescent="0.35">
      <c r="AP3116" s="93"/>
      <c r="AQ3116" s="31"/>
      <c r="AR3116" s="31"/>
      <c r="AS3116" s="94"/>
      <c r="AT3116" s="31"/>
      <c r="AU3116" s="31"/>
      <c r="AV3116" s="94"/>
      <c r="AW3116" s="32"/>
      <c r="AX3116" s="32"/>
      <c r="AY3116" s="32"/>
      <c r="AZ3116" s="32"/>
      <c r="BA3116" s="32"/>
      <c r="BB3116" s="31"/>
      <c r="BC3116" s="31"/>
      <c r="BD3116" s="31"/>
      <c r="BE3116" s="31"/>
      <c r="BF3116" s="96"/>
    </row>
    <row r="3117" spans="42:58" x14ac:dyDescent="0.35">
      <c r="AP3117" s="92"/>
      <c r="AQ3117" s="67"/>
      <c r="AR3117" s="67"/>
      <c r="AS3117" s="73"/>
      <c r="AT3117" s="67"/>
      <c r="AU3117" s="67"/>
      <c r="AV3117" s="73"/>
      <c r="AW3117" s="68"/>
      <c r="AX3117" s="68"/>
      <c r="AY3117" s="68"/>
      <c r="AZ3117" s="68"/>
      <c r="BA3117" s="68"/>
      <c r="BB3117" s="67"/>
      <c r="BC3117" s="67"/>
      <c r="BD3117" s="67"/>
      <c r="BE3117" s="67"/>
      <c r="BF3117" s="95"/>
    </row>
    <row r="3118" spans="42:58" x14ac:dyDescent="0.35">
      <c r="AP3118" s="93"/>
      <c r="AQ3118" s="31"/>
      <c r="AR3118" s="31"/>
      <c r="AS3118" s="94"/>
      <c r="AT3118" s="31"/>
      <c r="AU3118" s="31"/>
      <c r="AV3118" s="94"/>
      <c r="AW3118" s="32"/>
      <c r="AX3118" s="32"/>
      <c r="AY3118" s="32"/>
      <c r="AZ3118" s="32"/>
      <c r="BA3118" s="32"/>
      <c r="BB3118" s="31"/>
      <c r="BC3118" s="31"/>
      <c r="BD3118" s="31"/>
      <c r="BE3118" s="31"/>
      <c r="BF3118" s="96"/>
    </row>
    <row r="3119" spans="42:58" x14ac:dyDescent="0.35">
      <c r="AP3119" s="92"/>
      <c r="AQ3119" s="67"/>
      <c r="AR3119" s="67"/>
      <c r="AS3119" s="73"/>
      <c r="AT3119" s="67"/>
      <c r="AU3119" s="67"/>
      <c r="AV3119" s="73"/>
      <c r="AW3119" s="68"/>
      <c r="AX3119" s="68"/>
      <c r="AY3119" s="68"/>
      <c r="AZ3119" s="68"/>
      <c r="BA3119" s="68"/>
      <c r="BB3119" s="67"/>
      <c r="BC3119" s="67"/>
      <c r="BD3119" s="67"/>
      <c r="BE3119" s="67"/>
      <c r="BF3119" s="95"/>
    </row>
    <row r="3120" spans="42:58" x14ac:dyDescent="0.35">
      <c r="AP3120" s="93"/>
      <c r="AQ3120" s="31"/>
      <c r="AR3120" s="31"/>
      <c r="AS3120" s="94"/>
      <c r="AT3120" s="31"/>
      <c r="AU3120" s="31"/>
      <c r="AV3120" s="94"/>
      <c r="AW3120" s="32"/>
      <c r="AX3120" s="32"/>
      <c r="AY3120" s="32"/>
      <c r="AZ3120" s="32"/>
      <c r="BA3120" s="32"/>
      <c r="BB3120" s="31"/>
      <c r="BC3120" s="31"/>
      <c r="BD3120" s="31"/>
      <c r="BE3120" s="31"/>
      <c r="BF3120" s="96"/>
    </row>
    <row r="3121" spans="42:58" x14ac:dyDescent="0.35">
      <c r="AP3121" s="92"/>
      <c r="AQ3121" s="67"/>
      <c r="AR3121" s="67"/>
      <c r="AS3121" s="73"/>
      <c r="AT3121" s="67"/>
      <c r="AU3121" s="67"/>
      <c r="AV3121" s="73"/>
      <c r="AW3121" s="68"/>
      <c r="AX3121" s="68"/>
      <c r="AY3121" s="68"/>
      <c r="AZ3121" s="68"/>
      <c r="BA3121" s="68"/>
      <c r="BB3121" s="67"/>
      <c r="BC3121" s="67"/>
      <c r="BD3121" s="67"/>
      <c r="BE3121" s="67"/>
      <c r="BF3121" s="95"/>
    </row>
    <row r="3122" spans="42:58" x14ac:dyDescent="0.35">
      <c r="AP3122" s="93"/>
      <c r="AQ3122" s="31"/>
      <c r="AR3122" s="31"/>
      <c r="AS3122" s="94"/>
      <c r="AT3122" s="31"/>
      <c r="AU3122" s="31"/>
      <c r="AV3122" s="94"/>
      <c r="AW3122" s="32"/>
      <c r="AX3122" s="32"/>
      <c r="AY3122" s="32"/>
      <c r="AZ3122" s="32"/>
      <c r="BA3122" s="32"/>
      <c r="BB3122" s="31"/>
      <c r="BC3122" s="31"/>
      <c r="BD3122" s="31"/>
      <c r="BE3122" s="31"/>
      <c r="BF3122" s="96"/>
    </row>
    <row r="3123" spans="42:58" x14ac:dyDescent="0.35">
      <c r="AP3123" s="92"/>
      <c r="AQ3123" s="67"/>
      <c r="AR3123" s="67"/>
      <c r="AS3123" s="73"/>
      <c r="AT3123" s="67"/>
      <c r="AU3123" s="67"/>
      <c r="AV3123" s="73"/>
      <c r="AW3123" s="68"/>
      <c r="AX3123" s="68"/>
      <c r="AY3123" s="68"/>
      <c r="AZ3123" s="68"/>
      <c r="BA3123" s="68"/>
      <c r="BB3123" s="67"/>
      <c r="BC3123" s="67"/>
      <c r="BD3123" s="67"/>
      <c r="BE3123" s="67"/>
      <c r="BF3123" s="95"/>
    </row>
    <row r="3124" spans="42:58" x14ac:dyDescent="0.35">
      <c r="AP3124" s="93"/>
      <c r="AQ3124" s="31"/>
      <c r="AR3124" s="31"/>
      <c r="AS3124" s="94"/>
      <c r="AT3124" s="31"/>
      <c r="AU3124" s="31"/>
      <c r="AV3124" s="94"/>
      <c r="AW3124" s="32"/>
      <c r="AX3124" s="32"/>
      <c r="AY3124" s="32"/>
      <c r="AZ3124" s="32"/>
      <c r="BA3124" s="32"/>
      <c r="BB3124" s="31"/>
      <c r="BC3124" s="31"/>
      <c r="BD3124" s="31"/>
      <c r="BE3124" s="31"/>
      <c r="BF3124" s="96"/>
    </row>
    <row r="3125" spans="42:58" x14ac:dyDescent="0.35">
      <c r="AP3125" s="92"/>
      <c r="AQ3125" s="67"/>
      <c r="AR3125" s="67"/>
      <c r="AS3125" s="73"/>
      <c r="AT3125" s="67"/>
      <c r="AU3125" s="67"/>
      <c r="AV3125" s="73"/>
      <c r="AW3125" s="68"/>
      <c r="AX3125" s="68"/>
      <c r="AY3125" s="68"/>
      <c r="AZ3125" s="68"/>
      <c r="BA3125" s="68"/>
      <c r="BB3125" s="67"/>
      <c r="BC3125" s="67"/>
      <c r="BD3125" s="67"/>
      <c r="BE3125" s="67"/>
      <c r="BF3125" s="95"/>
    </row>
    <row r="3126" spans="42:58" x14ac:dyDescent="0.35">
      <c r="AP3126" s="93"/>
      <c r="AQ3126" s="31"/>
      <c r="AR3126" s="31"/>
      <c r="AS3126" s="94"/>
      <c r="AT3126" s="31"/>
      <c r="AU3126" s="31"/>
      <c r="AV3126" s="94"/>
      <c r="AW3126" s="32"/>
      <c r="AX3126" s="32"/>
      <c r="AY3126" s="32"/>
      <c r="AZ3126" s="32"/>
      <c r="BA3126" s="32"/>
      <c r="BB3126" s="31"/>
      <c r="BC3126" s="31"/>
      <c r="BD3126" s="31"/>
      <c r="BE3126" s="31"/>
      <c r="BF3126" s="96"/>
    </row>
    <row r="3127" spans="42:58" x14ac:dyDescent="0.35">
      <c r="AP3127" s="92"/>
      <c r="AQ3127" s="67"/>
      <c r="AR3127" s="67"/>
      <c r="AS3127" s="73"/>
      <c r="AT3127" s="67"/>
      <c r="AU3127" s="67"/>
      <c r="AV3127" s="73"/>
      <c r="AW3127" s="68"/>
      <c r="AX3127" s="68"/>
      <c r="AY3127" s="68"/>
      <c r="AZ3127" s="68"/>
      <c r="BA3127" s="68"/>
      <c r="BB3127" s="67"/>
      <c r="BC3127" s="67"/>
      <c r="BD3127" s="67"/>
      <c r="BE3127" s="67"/>
      <c r="BF3127" s="95"/>
    </row>
    <row r="3128" spans="42:58" x14ac:dyDescent="0.35">
      <c r="AP3128" s="93"/>
      <c r="AQ3128" s="31"/>
      <c r="AR3128" s="31"/>
      <c r="AS3128" s="94"/>
      <c r="AT3128" s="31"/>
      <c r="AU3128" s="31"/>
      <c r="AV3128" s="94"/>
      <c r="AW3128" s="32"/>
      <c r="AX3128" s="32"/>
      <c r="AY3128" s="32"/>
      <c r="AZ3128" s="32"/>
      <c r="BA3128" s="32"/>
      <c r="BB3128" s="31"/>
      <c r="BC3128" s="31"/>
      <c r="BD3128" s="31"/>
      <c r="BE3128" s="31"/>
      <c r="BF3128" s="96"/>
    </row>
    <row r="3129" spans="42:58" x14ac:dyDescent="0.35">
      <c r="AP3129" s="92"/>
      <c r="AQ3129" s="67"/>
      <c r="AR3129" s="67"/>
      <c r="AS3129" s="73"/>
      <c r="AT3129" s="67"/>
      <c r="AU3129" s="67"/>
      <c r="AV3129" s="73"/>
      <c r="AW3129" s="68"/>
      <c r="AX3129" s="68"/>
      <c r="AY3129" s="68"/>
      <c r="AZ3129" s="68"/>
      <c r="BA3129" s="68"/>
      <c r="BB3129" s="67"/>
      <c r="BC3129" s="67"/>
      <c r="BD3129" s="67"/>
      <c r="BE3129" s="67"/>
      <c r="BF3129" s="95"/>
    </row>
    <row r="3130" spans="42:58" x14ac:dyDescent="0.35">
      <c r="AP3130" s="93"/>
      <c r="AQ3130" s="31"/>
      <c r="AR3130" s="31"/>
      <c r="AS3130" s="94"/>
      <c r="AT3130" s="31"/>
      <c r="AU3130" s="31"/>
      <c r="AV3130" s="94"/>
      <c r="AW3130" s="32"/>
      <c r="AX3130" s="32"/>
      <c r="AY3130" s="32"/>
      <c r="AZ3130" s="32"/>
      <c r="BA3130" s="32"/>
      <c r="BB3130" s="31"/>
      <c r="BC3130" s="31"/>
      <c r="BD3130" s="31"/>
      <c r="BE3130" s="31"/>
      <c r="BF3130" s="96"/>
    </row>
    <row r="3131" spans="42:58" x14ac:dyDescent="0.35">
      <c r="AP3131" s="92"/>
      <c r="AQ3131" s="67"/>
      <c r="AR3131" s="67"/>
      <c r="AS3131" s="73"/>
      <c r="AT3131" s="67"/>
      <c r="AU3131" s="67"/>
      <c r="AV3131" s="73"/>
      <c r="AW3131" s="68"/>
      <c r="AX3131" s="68"/>
      <c r="AY3131" s="68"/>
      <c r="AZ3131" s="68"/>
      <c r="BA3131" s="68"/>
      <c r="BB3131" s="67"/>
      <c r="BC3131" s="67"/>
      <c r="BD3131" s="67"/>
      <c r="BE3131" s="67"/>
      <c r="BF3131" s="95"/>
    </row>
    <row r="3132" spans="42:58" x14ac:dyDescent="0.35">
      <c r="AP3132" s="93"/>
      <c r="AQ3132" s="31"/>
      <c r="AR3132" s="31"/>
      <c r="AS3132" s="94"/>
      <c r="AT3132" s="31"/>
      <c r="AU3132" s="31"/>
      <c r="AV3132" s="94"/>
      <c r="AW3132" s="32"/>
      <c r="AX3132" s="32"/>
      <c r="AY3132" s="32"/>
      <c r="AZ3132" s="32"/>
      <c r="BA3132" s="32"/>
      <c r="BB3132" s="31"/>
      <c r="BC3132" s="31"/>
      <c r="BD3132" s="31"/>
      <c r="BE3132" s="31"/>
      <c r="BF3132" s="96"/>
    </row>
    <row r="3133" spans="42:58" x14ac:dyDescent="0.35">
      <c r="AP3133" s="92"/>
      <c r="AQ3133" s="67"/>
      <c r="AR3133" s="67"/>
      <c r="AS3133" s="73"/>
      <c r="AT3133" s="67"/>
      <c r="AU3133" s="67"/>
      <c r="AV3133" s="73"/>
      <c r="AW3133" s="68"/>
      <c r="AX3133" s="68"/>
      <c r="AY3133" s="68"/>
      <c r="AZ3133" s="68"/>
      <c r="BA3133" s="68"/>
      <c r="BB3133" s="67"/>
      <c r="BC3133" s="67"/>
      <c r="BD3133" s="67"/>
      <c r="BE3133" s="67"/>
      <c r="BF3133" s="95"/>
    </row>
    <row r="3134" spans="42:58" x14ac:dyDescent="0.35">
      <c r="AP3134" s="93"/>
      <c r="AQ3134" s="31"/>
      <c r="AR3134" s="31"/>
      <c r="AS3134" s="94"/>
      <c r="AT3134" s="31"/>
      <c r="AU3134" s="31"/>
      <c r="AV3134" s="94"/>
      <c r="AW3134" s="32"/>
      <c r="AX3134" s="32"/>
      <c r="AY3134" s="32"/>
      <c r="AZ3134" s="32"/>
      <c r="BA3134" s="32"/>
      <c r="BB3134" s="31"/>
      <c r="BC3134" s="31"/>
      <c r="BD3134" s="31"/>
      <c r="BE3134" s="31"/>
      <c r="BF3134" s="96"/>
    </row>
    <row r="3135" spans="42:58" x14ac:dyDescent="0.35">
      <c r="AP3135" s="92"/>
      <c r="AQ3135" s="67"/>
      <c r="AR3135" s="67"/>
      <c r="AS3135" s="73"/>
      <c r="AT3135" s="67"/>
      <c r="AU3135" s="67"/>
      <c r="AV3135" s="73"/>
      <c r="AW3135" s="68"/>
      <c r="AX3135" s="68"/>
      <c r="AY3135" s="68"/>
      <c r="AZ3135" s="68"/>
      <c r="BA3135" s="68"/>
      <c r="BB3135" s="67"/>
      <c r="BC3135" s="67"/>
      <c r="BD3135" s="67"/>
      <c r="BE3135" s="67"/>
      <c r="BF3135" s="95"/>
    </row>
    <row r="3136" spans="42:58" x14ac:dyDescent="0.35">
      <c r="AP3136" s="93"/>
      <c r="AQ3136" s="31"/>
      <c r="AR3136" s="31"/>
      <c r="AS3136" s="94"/>
      <c r="AT3136" s="31"/>
      <c r="AU3136" s="31"/>
      <c r="AV3136" s="94"/>
      <c r="AW3136" s="32"/>
      <c r="AX3136" s="32"/>
      <c r="AY3136" s="32"/>
      <c r="AZ3136" s="32"/>
      <c r="BA3136" s="32"/>
      <c r="BB3136" s="31"/>
      <c r="BC3136" s="31"/>
      <c r="BD3136" s="31"/>
      <c r="BE3136" s="31"/>
      <c r="BF3136" s="96"/>
    </row>
    <row r="3137" spans="42:58" x14ac:dyDescent="0.35">
      <c r="AP3137" s="92"/>
      <c r="AQ3137" s="67"/>
      <c r="AR3137" s="67"/>
      <c r="AS3137" s="73"/>
      <c r="AT3137" s="67"/>
      <c r="AU3137" s="67"/>
      <c r="AV3137" s="73"/>
      <c r="AW3137" s="68"/>
      <c r="AX3137" s="68"/>
      <c r="AY3137" s="68"/>
      <c r="AZ3137" s="68"/>
      <c r="BA3137" s="68"/>
      <c r="BB3137" s="67"/>
      <c r="BC3137" s="67"/>
      <c r="BD3137" s="67"/>
      <c r="BE3137" s="67"/>
      <c r="BF3137" s="95"/>
    </row>
    <row r="3138" spans="42:58" x14ac:dyDescent="0.35">
      <c r="AP3138" s="93"/>
      <c r="AQ3138" s="31"/>
      <c r="AR3138" s="31"/>
      <c r="AS3138" s="94"/>
      <c r="AT3138" s="31"/>
      <c r="AU3138" s="31"/>
      <c r="AV3138" s="94"/>
      <c r="AW3138" s="32"/>
      <c r="AX3138" s="32"/>
      <c r="AY3138" s="32"/>
      <c r="AZ3138" s="32"/>
      <c r="BA3138" s="32"/>
      <c r="BB3138" s="31"/>
      <c r="BC3138" s="31"/>
      <c r="BD3138" s="31"/>
      <c r="BE3138" s="31"/>
      <c r="BF3138" s="96"/>
    </row>
    <row r="3139" spans="42:58" x14ac:dyDescent="0.35">
      <c r="AP3139" s="92"/>
      <c r="AQ3139" s="67"/>
      <c r="AR3139" s="67"/>
      <c r="AS3139" s="73"/>
      <c r="AT3139" s="67"/>
      <c r="AU3139" s="67"/>
      <c r="AV3139" s="73"/>
      <c r="AW3139" s="68"/>
      <c r="AX3139" s="68"/>
      <c r="AY3139" s="68"/>
      <c r="AZ3139" s="68"/>
      <c r="BA3139" s="68"/>
      <c r="BB3139" s="67"/>
      <c r="BC3139" s="67"/>
      <c r="BD3139" s="67"/>
      <c r="BE3139" s="67"/>
      <c r="BF3139" s="95"/>
    </row>
    <row r="3140" spans="42:58" x14ac:dyDescent="0.35">
      <c r="AP3140" s="93"/>
      <c r="AQ3140" s="31"/>
      <c r="AR3140" s="31"/>
      <c r="AS3140" s="94"/>
      <c r="AT3140" s="31"/>
      <c r="AU3140" s="31"/>
      <c r="AV3140" s="94"/>
      <c r="AW3140" s="32"/>
      <c r="AX3140" s="32"/>
      <c r="AY3140" s="32"/>
      <c r="AZ3140" s="32"/>
      <c r="BA3140" s="32"/>
      <c r="BB3140" s="31"/>
      <c r="BC3140" s="31"/>
      <c r="BD3140" s="31"/>
      <c r="BE3140" s="31"/>
      <c r="BF3140" s="96"/>
    </row>
    <row r="3141" spans="42:58" x14ac:dyDescent="0.35">
      <c r="AP3141" s="92"/>
      <c r="AQ3141" s="67"/>
      <c r="AR3141" s="67"/>
      <c r="AS3141" s="73"/>
      <c r="AT3141" s="67"/>
      <c r="AU3141" s="67"/>
      <c r="AV3141" s="73"/>
      <c r="AW3141" s="68"/>
      <c r="AX3141" s="68"/>
      <c r="AY3141" s="68"/>
      <c r="AZ3141" s="68"/>
      <c r="BA3141" s="68"/>
      <c r="BB3141" s="67"/>
      <c r="BC3141" s="67"/>
      <c r="BD3141" s="67"/>
      <c r="BE3141" s="67"/>
      <c r="BF3141" s="95"/>
    </row>
    <row r="3142" spans="42:58" x14ac:dyDescent="0.35">
      <c r="AP3142" s="93"/>
      <c r="AQ3142" s="31"/>
      <c r="AR3142" s="31"/>
      <c r="AS3142" s="94"/>
      <c r="AT3142" s="31"/>
      <c r="AU3142" s="31"/>
      <c r="AV3142" s="94"/>
      <c r="AW3142" s="32"/>
      <c r="AX3142" s="32"/>
      <c r="AY3142" s="32"/>
      <c r="AZ3142" s="32"/>
      <c r="BA3142" s="32"/>
      <c r="BB3142" s="31"/>
      <c r="BC3142" s="31"/>
      <c r="BD3142" s="31"/>
      <c r="BE3142" s="31"/>
      <c r="BF3142" s="96"/>
    </row>
    <row r="3143" spans="42:58" x14ac:dyDescent="0.35">
      <c r="AP3143" s="92"/>
      <c r="AQ3143" s="67"/>
      <c r="AR3143" s="67"/>
      <c r="AS3143" s="73"/>
      <c r="AT3143" s="67"/>
      <c r="AU3143" s="67"/>
      <c r="AV3143" s="73"/>
      <c r="AW3143" s="68"/>
      <c r="AX3143" s="68"/>
      <c r="AY3143" s="68"/>
      <c r="AZ3143" s="68"/>
      <c r="BA3143" s="68"/>
      <c r="BB3143" s="67"/>
      <c r="BC3143" s="67"/>
      <c r="BD3143" s="67"/>
      <c r="BE3143" s="67"/>
      <c r="BF3143" s="95"/>
    </row>
    <row r="3144" spans="42:58" x14ac:dyDescent="0.35">
      <c r="AP3144" s="93"/>
      <c r="AQ3144" s="31"/>
      <c r="AR3144" s="31"/>
      <c r="AS3144" s="94"/>
      <c r="AT3144" s="31"/>
      <c r="AU3144" s="31"/>
      <c r="AV3144" s="94"/>
      <c r="AW3144" s="32"/>
      <c r="AX3144" s="32"/>
      <c r="AY3144" s="32"/>
      <c r="AZ3144" s="32"/>
      <c r="BA3144" s="32"/>
      <c r="BB3144" s="31"/>
      <c r="BC3144" s="31"/>
      <c r="BD3144" s="31"/>
      <c r="BE3144" s="31"/>
      <c r="BF3144" s="96"/>
    </row>
    <row r="3145" spans="42:58" x14ac:dyDescent="0.35">
      <c r="AP3145" s="92"/>
      <c r="AQ3145" s="67"/>
      <c r="AR3145" s="67"/>
      <c r="AS3145" s="73"/>
      <c r="AT3145" s="67"/>
      <c r="AU3145" s="67"/>
      <c r="AV3145" s="73"/>
      <c r="AW3145" s="68"/>
      <c r="AX3145" s="68"/>
      <c r="AY3145" s="68"/>
      <c r="AZ3145" s="68"/>
      <c r="BA3145" s="68"/>
      <c r="BB3145" s="67"/>
      <c r="BC3145" s="67"/>
      <c r="BD3145" s="67"/>
      <c r="BE3145" s="67"/>
      <c r="BF3145" s="95"/>
    </row>
    <row r="3146" spans="42:58" x14ac:dyDescent="0.35">
      <c r="AP3146" s="93"/>
      <c r="AQ3146" s="31"/>
      <c r="AR3146" s="31"/>
      <c r="AS3146" s="94"/>
      <c r="AT3146" s="31"/>
      <c r="AU3146" s="31"/>
      <c r="AV3146" s="94"/>
      <c r="AW3146" s="32"/>
      <c r="AX3146" s="32"/>
      <c r="AY3146" s="32"/>
      <c r="AZ3146" s="32"/>
      <c r="BA3146" s="32"/>
      <c r="BB3146" s="31"/>
      <c r="BC3146" s="31"/>
      <c r="BD3146" s="31"/>
      <c r="BE3146" s="31"/>
      <c r="BF3146" s="96"/>
    </row>
    <row r="3147" spans="42:58" x14ac:dyDescent="0.35">
      <c r="AP3147" s="92"/>
      <c r="AQ3147" s="67"/>
      <c r="AR3147" s="67"/>
      <c r="AS3147" s="73"/>
      <c r="AT3147" s="67"/>
      <c r="AU3147" s="67"/>
      <c r="AV3147" s="73"/>
      <c r="AW3147" s="68"/>
      <c r="AX3147" s="68"/>
      <c r="AY3147" s="68"/>
      <c r="AZ3147" s="68"/>
      <c r="BA3147" s="68"/>
      <c r="BB3147" s="67"/>
      <c r="BC3147" s="67"/>
      <c r="BD3147" s="67"/>
      <c r="BE3147" s="67"/>
      <c r="BF3147" s="95"/>
    </row>
    <row r="3148" spans="42:58" x14ac:dyDescent="0.35">
      <c r="AP3148" s="93"/>
      <c r="AQ3148" s="31"/>
      <c r="AR3148" s="31"/>
      <c r="AS3148" s="94"/>
      <c r="AT3148" s="31"/>
      <c r="AU3148" s="31"/>
      <c r="AV3148" s="94"/>
      <c r="AW3148" s="32"/>
      <c r="AX3148" s="32"/>
      <c r="AY3148" s="32"/>
      <c r="AZ3148" s="32"/>
      <c r="BA3148" s="32"/>
      <c r="BB3148" s="31"/>
      <c r="BC3148" s="31"/>
      <c r="BD3148" s="31"/>
      <c r="BE3148" s="31"/>
      <c r="BF3148" s="96"/>
    </row>
    <row r="3149" spans="42:58" x14ac:dyDescent="0.35">
      <c r="AP3149" s="92"/>
      <c r="AQ3149" s="67"/>
      <c r="AR3149" s="67"/>
      <c r="AS3149" s="73"/>
      <c r="AT3149" s="67"/>
      <c r="AU3149" s="67"/>
      <c r="AV3149" s="73"/>
      <c r="AW3149" s="68"/>
      <c r="AX3149" s="68"/>
      <c r="AY3149" s="68"/>
      <c r="AZ3149" s="68"/>
      <c r="BA3149" s="68"/>
      <c r="BB3149" s="67"/>
      <c r="BC3149" s="67"/>
      <c r="BD3149" s="67"/>
      <c r="BE3149" s="67"/>
      <c r="BF3149" s="95"/>
    </row>
    <row r="3150" spans="42:58" x14ac:dyDescent="0.35">
      <c r="AP3150" s="93"/>
      <c r="AQ3150" s="31"/>
      <c r="AR3150" s="31"/>
      <c r="AS3150" s="94"/>
      <c r="AT3150" s="31"/>
      <c r="AU3150" s="31"/>
      <c r="AV3150" s="94"/>
      <c r="AW3150" s="32"/>
      <c r="AX3150" s="32"/>
      <c r="AY3150" s="32"/>
      <c r="AZ3150" s="32"/>
      <c r="BA3150" s="32"/>
      <c r="BB3150" s="31"/>
      <c r="BC3150" s="31"/>
      <c r="BD3150" s="31"/>
      <c r="BE3150" s="31"/>
      <c r="BF3150" s="96"/>
    </row>
    <row r="3151" spans="42:58" x14ac:dyDescent="0.35">
      <c r="AP3151" s="92"/>
      <c r="AQ3151" s="67"/>
      <c r="AR3151" s="67"/>
      <c r="AS3151" s="73"/>
      <c r="AT3151" s="67"/>
      <c r="AU3151" s="67"/>
      <c r="AV3151" s="73"/>
      <c r="AW3151" s="68"/>
      <c r="AX3151" s="68"/>
      <c r="AY3151" s="68"/>
      <c r="AZ3151" s="68"/>
      <c r="BA3151" s="68"/>
      <c r="BB3151" s="67"/>
      <c r="BC3151" s="67"/>
      <c r="BD3151" s="67"/>
      <c r="BE3151" s="67"/>
      <c r="BF3151" s="95"/>
    </row>
    <row r="3152" spans="42:58" x14ac:dyDescent="0.35">
      <c r="AP3152" s="93"/>
      <c r="AQ3152" s="31"/>
      <c r="AR3152" s="31"/>
      <c r="AS3152" s="94"/>
      <c r="AT3152" s="31"/>
      <c r="AU3152" s="31"/>
      <c r="AV3152" s="94"/>
      <c r="AW3152" s="32"/>
      <c r="AX3152" s="32"/>
      <c r="AY3152" s="32"/>
      <c r="AZ3152" s="32"/>
      <c r="BA3152" s="32"/>
      <c r="BB3152" s="31"/>
      <c r="BC3152" s="31"/>
      <c r="BD3152" s="31"/>
      <c r="BE3152" s="31"/>
      <c r="BF3152" s="96"/>
    </row>
    <row r="3153" spans="42:58" x14ac:dyDescent="0.35">
      <c r="AP3153" s="92"/>
      <c r="AQ3153" s="67"/>
      <c r="AR3153" s="67"/>
      <c r="AS3153" s="73"/>
      <c r="AT3153" s="67"/>
      <c r="AU3153" s="67"/>
      <c r="AV3153" s="73"/>
      <c r="AW3153" s="68"/>
      <c r="AX3153" s="68"/>
      <c r="AY3153" s="68"/>
      <c r="AZ3153" s="68"/>
      <c r="BA3153" s="68"/>
      <c r="BB3153" s="67"/>
      <c r="BC3153" s="67"/>
      <c r="BD3153" s="67"/>
      <c r="BE3153" s="67"/>
      <c r="BF3153" s="95"/>
    </row>
    <row r="3154" spans="42:58" x14ac:dyDescent="0.35">
      <c r="AP3154" s="93"/>
      <c r="AQ3154" s="31"/>
      <c r="AR3154" s="31"/>
      <c r="AS3154" s="94"/>
      <c r="AT3154" s="31"/>
      <c r="AU3154" s="31"/>
      <c r="AV3154" s="94"/>
      <c r="AW3154" s="32"/>
      <c r="AX3154" s="32"/>
      <c r="AY3154" s="32"/>
      <c r="AZ3154" s="32"/>
      <c r="BA3154" s="32"/>
      <c r="BB3154" s="31"/>
      <c r="BC3154" s="31"/>
      <c r="BD3154" s="31"/>
      <c r="BE3154" s="31"/>
      <c r="BF3154" s="96"/>
    </row>
    <row r="3155" spans="42:58" x14ac:dyDescent="0.35">
      <c r="AP3155" s="92"/>
      <c r="AQ3155" s="67"/>
      <c r="AR3155" s="67"/>
      <c r="AS3155" s="73"/>
      <c r="AT3155" s="67"/>
      <c r="AU3155" s="67"/>
      <c r="AV3155" s="73"/>
      <c r="AW3155" s="68"/>
      <c r="AX3155" s="68"/>
      <c r="AY3155" s="68"/>
      <c r="AZ3155" s="68"/>
      <c r="BA3155" s="68"/>
      <c r="BB3155" s="67"/>
      <c r="BC3155" s="67"/>
      <c r="BD3155" s="67"/>
      <c r="BE3155" s="67"/>
      <c r="BF3155" s="95"/>
    </row>
    <row r="3156" spans="42:58" x14ac:dyDescent="0.35">
      <c r="AP3156" s="93"/>
      <c r="AQ3156" s="31"/>
      <c r="AR3156" s="31"/>
      <c r="AS3156" s="94"/>
      <c r="AT3156" s="31"/>
      <c r="AU3156" s="31"/>
      <c r="AV3156" s="94"/>
      <c r="AW3156" s="32"/>
      <c r="AX3156" s="32"/>
      <c r="AY3156" s="32"/>
      <c r="AZ3156" s="32"/>
      <c r="BA3156" s="32"/>
      <c r="BB3156" s="31"/>
      <c r="BC3156" s="31"/>
      <c r="BD3156" s="31"/>
      <c r="BE3156" s="31"/>
      <c r="BF3156" s="96"/>
    </row>
    <row r="3157" spans="42:58" x14ac:dyDescent="0.35">
      <c r="AP3157" s="92"/>
      <c r="AQ3157" s="67"/>
      <c r="AR3157" s="67"/>
      <c r="AS3157" s="73"/>
      <c r="AT3157" s="67"/>
      <c r="AU3157" s="67"/>
      <c r="AV3157" s="73"/>
      <c r="AW3157" s="68"/>
      <c r="AX3157" s="68"/>
      <c r="AY3157" s="68"/>
      <c r="AZ3157" s="68"/>
      <c r="BA3157" s="68"/>
      <c r="BB3157" s="67"/>
      <c r="BC3157" s="67"/>
      <c r="BD3157" s="67"/>
      <c r="BE3157" s="67"/>
      <c r="BF3157" s="95"/>
    </row>
    <row r="3158" spans="42:58" x14ac:dyDescent="0.35">
      <c r="AP3158" s="93"/>
      <c r="AQ3158" s="31"/>
      <c r="AR3158" s="31"/>
      <c r="AS3158" s="94"/>
      <c r="AT3158" s="31"/>
      <c r="AU3158" s="31"/>
      <c r="AV3158" s="94"/>
      <c r="AW3158" s="32"/>
      <c r="AX3158" s="32"/>
      <c r="AY3158" s="32"/>
      <c r="AZ3158" s="32"/>
      <c r="BA3158" s="32"/>
      <c r="BB3158" s="31"/>
      <c r="BC3158" s="31"/>
      <c r="BD3158" s="31"/>
      <c r="BE3158" s="31"/>
      <c r="BF3158" s="96"/>
    </row>
    <row r="3159" spans="42:58" x14ac:dyDescent="0.35">
      <c r="AP3159" s="92"/>
      <c r="AQ3159" s="67"/>
      <c r="AR3159" s="67"/>
      <c r="AS3159" s="73"/>
      <c r="AT3159" s="67"/>
      <c r="AU3159" s="67"/>
      <c r="AV3159" s="73"/>
      <c r="AW3159" s="68"/>
      <c r="AX3159" s="68"/>
      <c r="AY3159" s="68"/>
      <c r="AZ3159" s="68"/>
      <c r="BA3159" s="68"/>
      <c r="BB3159" s="67"/>
      <c r="BC3159" s="67"/>
      <c r="BD3159" s="67"/>
      <c r="BE3159" s="67"/>
      <c r="BF3159" s="95"/>
    </row>
    <row r="3160" spans="42:58" x14ac:dyDescent="0.35">
      <c r="AP3160" s="93"/>
      <c r="AQ3160" s="31"/>
      <c r="AR3160" s="31"/>
      <c r="AS3160" s="94"/>
      <c r="AT3160" s="31"/>
      <c r="AU3160" s="31"/>
      <c r="AV3160" s="94"/>
      <c r="AW3160" s="32"/>
      <c r="AX3160" s="32"/>
      <c r="AY3160" s="32"/>
      <c r="AZ3160" s="32"/>
      <c r="BA3160" s="32"/>
      <c r="BB3160" s="31"/>
      <c r="BC3160" s="31"/>
      <c r="BD3160" s="31"/>
      <c r="BE3160" s="31"/>
      <c r="BF3160" s="96"/>
    </row>
    <row r="3161" spans="42:58" x14ac:dyDescent="0.35">
      <c r="AP3161" s="92"/>
      <c r="AQ3161" s="67"/>
      <c r="AR3161" s="67"/>
      <c r="AS3161" s="73"/>
      <c r="AT3161" s="67"/>
      <c r="AU3161" s="67"/>
      <c r="AV3161" s="73"/>
      <c r="AW3161" s="68"/>
      <c r="AX3161" s="68"/>
      <c r="AY3161" s="68"/>
      <c r="AZ3161" s="68"/>
      <c r="BA3161" s="68"/>
      <c r="BB3161" s="67"/>
      <c r="BC3161" s="67"/>
      <c r="BD3161" s="67"/>
      <c r="BE3161" s="67"/>
      <c r="BF3161" s="95"/>
    </row>
    <row r="3162" spans="42:58" x14ac:dyDescent="0.35">
      <c r="AP3162" s="93"/>
      <c r="AQ3162" s="31"/>
      <c r="AR3162" s="31"/>
      <c r="AS3162" s="94"/>
      <c r="AT3162" s="31"/>
      <c r="AU3162" s="31"/>
      <c r="AV3162" s="94"/>
      <c r="AW3162" s="32"/>
      <c r="AX3162" s="32"/>
      <c r="AY3162" s="32"/>
      <c r="AZ3162" s="32"/>
      <c r="BA3162" s="32"/>
      <c r="BB3162" s="31"/>
      <c r="BC3162" s="31"/>
      <c r="BD3162" s="31"/>
      <c r="BE3162" s="31"/>
      <c r="BF3162" s="96"/>
    </row>
    <row r="3163" spans="42:58" x14ac:dyDescent="0.35">
      <c r="AP3163" s="92"/>
      <c r="AQ3163" s="67"/>
      <c r="AR3163" s="67"/>
      <c r="AS3163" s="73"/>
      <c r="AT3163" s="67"/>
      <c r="AU3163" s="67"/>
      <c r="AV3163" s="73"/>
      <c r="AW3163" s="68"/>
      <c r="AX3163" s="68"/>
      <c r="AY3163" s="68"/>
      <c r="AZ3163" s="68"/>
      <c r="BA3163" s="68"/>
      <c r="BB3163" s="67"/>
      <c r="BC3163" s="67"/>
      <c r="BD3163" s="67"/>
      <c r="BE3163" s="67"/>
      <c r="BF3163" s="95"/>
    </row>
    <row r="3164" spans="42:58" x14ac:dyDescent="0.35">
      <c r="AP3164" s="93"/>
      <c r="AQ3164" s="31"/>
      <c r="AR3164" s="31"/>
      <c r="AS3164" s="94"/>
      <c r="AT3164" s="31"/>
      <c r="AU3164" s="31"/>
      <c r="AV3164" s="94"/>
      <c r="AW3164" s="32"/>
      <c r="AX3164" s="32"/>
      <c r="AY3164" s="32"/>
      <c r="AZ3164" s="32"/>
      <c r="BA3164" s="32"/>
      <c r="BB3164" s="31"/>
      <c r="BC3164" s="31"/>
      <c r="BD3164" s="31"/>
      <c r="BE3164" s="31"/>
      <c r="BF3164" s="96"/>
    </row>
    <row r="3165" spans="42:58" x14ac:dyDescent="0.35">
      <c r="AP3165" s="92"/>
      <c r="AQ3165" s="67"/>
      <c r="AR3165" s="67"/>
      <c r="AS3165" s="73"/>
      <c r="AT3165" s="67"/>
      <c r="AU3165" s="67"/>
      <c r="AV3165" s="73"/>
      <c r="AW3165" s="68"/>
      <c r="AX3165" s="68"/>
      <c r="AY3165" s="68"/>
      <c r="AZ3165" s="68"/>
      <c r="BA3165" s="68"/>
      <c r="BB3165" s="67"/>
      <c r="BC3165" s="67"/>
      <c r="BD3165" s="67"/>
      <c r="BE3165" s="67"/>
      <c r="BF3165" s="95"/>
    </row>
    <row r="3166" spans="42:58" x14ac:dyDescent="0.35">
      <c r="AP3166" s="93"/>
      <c r="AQ3166" s="31"/>
      <c r="AR3166" s="31"/>
      <c r="AS3166" s="94"/>
      <c r="AT3166" s="31"/>
      <c r="AU3166" s="31"/>
      <c r="AV3166" s="94"/>
      <c r="AW3166" s="32"/>
      <c r="AX3166" s="32"/>
      <c r="AY3166" s="32"/>
      <c r="AZ3166" s="32"/>
      <c r="BA3166" s="32"/>
      <c r="BB3166" s="31"/>
      <c r="BC3166" s="31"/>
      <c r="BD3166" s="31"/>
      <c r="BE3166" s="31"/>
      <c r="BF3166" s="96"/>
    </row>
    <row r="3167" spans="42:58" x14ac:dyDescent="0.35">
      <c r="AP3167" s="92"/>
      <c r="AQ3167" s="67"/>
      <c r="AR3167" s="67"/>
      <c r="AS3167" s="73"/>
      <c r="AT3167" s="67"/>
      <c r="AU3167" s="67"/>
      <c r="AV3167" s="73"/>
      <c r="AW3167" s="68"/>
      <c r="AX3167" s="68"/>
      <c r="AY3167" s="68"/>
      <c r="AZ3167" s="68"/>
      <c r="BA3167" s="68"/>
      <c r="BB3167" s="67"/>
      <c r="BC3167" s="67"/>
      <c r="BD3167" s="67"/>
      <c r="BE3167" s="67"/>
      <c r="BF3167" s="95"/>
    </row>
    <row r="3168" spans="42:58" x14ac:dyDescent="0.35">
      <c r="AP3168" s="93"/>
      <c r="AQ3168" s="31"/>
      <c r="AR3168" s="31"/>
      <c r="AS3168" s="94"/>
      <c r="AT3168" s="31"/>
      <c r="AU3168" s="31"/>
      <c r="AV3168" s="94"/>
      <c r="AW3168" s="32"/>
      <c r="AX3168" s="32"/>
      <c r="AY3168" s="32"/>
      <c r="AZ3168" s="32"/>
      <c r="BA3168" s="32"/>
      <c r="BB3168" s="31"/>
      <c r="BC3168" s="31"/>
      <c r="BD3168" s="31"/>
      <c r="BE3168" s="31"/>
      <c r="BF3168" s="96"/>
    </row>
    <row r="3169" spans="42:58" x14ac:dyDescent="0.35">
      <c r="AP3169" s="92"/>
      <c r="AQ3169" s="67"/>
      <c r="AR3169" s="67"/>
      <c r="AS3169" s="73"/>
      <c r="AT3169" s="67"/>
      <c r="AU3169" s="67"/>
      <c r="AV3169" s="73"/>
      <c r="AW3169" s="68"/>
      <c r="AX3169" s="68"/>
      <c r="AY3169" s="68"/>
      <c r="AZ3169" s="68"/>
      <c r="BA3169" s="68"/>
      <c r="BB3169" s="67"/>
      <c r="BC3169" s="67"/>
      <c r="BD3169" s="67"/>
      <c r="BE3169" s="67"/>
      <c r="BF3169" s="95"/>
    </row>
    <row r="3170" spans="42:58" x14ac:dyDescent="0.35">
      <c r="AP3170" s="93"/>
      <c r="AQ3170" s="31"/>
      <c r="AR3170" s="31"/>
      <c r="AS3170" s="94"/>
      <c r="AT3170" s="31"/>
      <c r="AU3170" s="31"/>
      <c r="AV3170" s="94"/>
      <c r="AW3170" s="32"/>
      <c r="AX3170" s="32"/>
      <c r="AY3170" s="32"/>
      <c r="AZ3170" s="32"/>
      <c r="BA3170" s="32"/>
      <c r="BB3170" s="31"/>
      <c r="BC3170" s="31"/>
      <c r="BD3170" s="31"/>
      <c r="BE3170" s="31"/>
      <c r="BF3170" s="96"/>
    </row>
    <row r="3171" spans="42:58" x14ac:dyDescent="0.35">
      <c r="AP3171" s="92"/>
      <c r="AQ3171" s="67"/>
      <c r="AR3171" s="67"/>
      <c r="AS3171" s="73"/>
      <c r="AT3171" s="67"/>
      <c r="AU3171" s="67"/>
      <c r="AV3171" s="73"/>
      <c r="AW3171" s="68"/>
      <c r="AX3171" s="68"/>
      <c r="AY3171" s="68"/>
      <c r="AZ3171" s="68"/>
      <c r="BA3171" s="68"/>
      <c r="BB3171" s="67"/>
      <c r="BC3171" s="67"/>
      <c r="BD3171" s="67"/>
      <c r="BE3171" s="67"/>
      <c r="BF3171" s="95"/>
    </row>
    <row r="3172" spans="42:58" x14ac:dyDescent="0.35">
      <c r="AP3172" s="93"/>
      <c r="AQ3172" s="31"/>
      <c r="AR3172" s="31"/>
      <c r="AS3172" s="94"/>
      <c r="AT3172" s="31"/>
      <c r="AU3172" s="31"/>
      <c r="AV3172" s="94"/>
      <c r="AW3172" s="32"/>
      <c r="AX3172" s="32"/>
      <c r="AY3172" s="32"/>
      <c r="AZ3172" s="32"/>
      <c r="BA3172" s="32"/>
      <c r="BB3172" s="31"/>
      <c r="BC3172" s="31"/>
      <c r="BD3172" s="31"/>
      <c r="BE3172" s="31"/>
      <c r="BF3172" s="96"/>
    </row>
    <row r="3173" spans="42:58" x14ac:dyDescent="0.35">
      <c r="AP3173" s="92"/>
      <c r="AQ3173" s="67"/>
      <c r="AR3173" s="67"/>
      <c r="AS3173" s="73"/>
      <c r="AT3173" s="67"/>
      <c r="AU3173" s="67"/>
      <c r="AV3173" s="73"/>
      <c r="AW3173" s="68"/>
      <c r="AX3173" s="68"/>
      <c r="AY3173" s="68"/>
      <c r="AZ3173" s="68"/>
      <c r="BA3173" s="68"/>
      <c r="BB3173" s="67"/>
      <c r="BC3173" s="67"/>
      <c r="BD3173" s="67"/>
      <c r="BE3173" s="67"/>
      <c r="BF3173" s="95"/>
    </row>
    <row r="3174" spans="42:58" x14ac:dyDescent="0.35">
      <c r="AP3174" s="93"/>
      <c r="AQ3174" s="31"/>
      <c r="AR3174" s="31"/>
      <c r="AS3174" s="94"/>
      <c r="AT3174" s="31"/>
      <c r="AU3174" s="31"/>
      <c r="AV3174" s="94"/>
      <c r="AW3174" s="32"/>
      <c r="AX3174" s="32"/>
      <c r="AY3174" s="32"/>
      <c r="AZ3174" s="32"/>
      <c r="BA3174" s="32"/>
      <c r="BB3174" s="31"/>
      <c r="BC3174" s="31"/>
      <c r="BD3174" s="31"/>
      <c r="BE3174" s="31"/>
      <c r="BF3174" s="96"/>
    </row>
    <row r="3175" spans="42:58" x14ac:dyDescent="0.35">
      <c r="AP3175" s="92"/>
      <c r="AQ3175" s="67"/>
      <c r="AR3175" s="67"/>
      <c r="AS3175" s="73"/>
      <c r="AT3175" s="67"/>
      <c r="AU3175" s="67"/>
      <c r="AV3175" s="73"/>
      <c r="AW3175" s="68"/>
      <c r="AX3175" s="68"/>
      <c r="AY3175" s="68"/>
      <c r="AZ3175" s="68"/>
      <c r="BA3175" s="68"/>
      <c r="BB3175" s="67"/>
      <c r="BC3175" s="67"/>
      <c r="BD3175" s="67"/>
      <c r="BE3175" s="67"/>
      <c r="BF3175" s="95"/>
    </row>
    <row r="3176" spans="42:58" x14ac:dyDescent="0.35">
      <c r="AP3176" s="93"/>
      <c r="AQ3176" s="31"/>
      <c r="AR3176" s="31"/>
      <c r="AS3176" s="94"/>
      <c r="AT3176" s="31"/>
      <c r="AU3176" s="31"/>
      <c r="AV3176" s="94"/>
      <c r="AW3176" s="32"/>
      <c r="AX3176" s="32"/>
      <c r="AY3176" s="32"/>
      <c r="AZ3176" s="32"/>
      <c r="BA3176" s="32"/>
      <c r="BB3176" s="31"/>
      <c r="BC3176" s="31"/>
      <c r="BD3176" s="31"/>
      <c r="BE3176" s="31"/>
      <c r="BF3176" s="96"/>
    </row>
    <row r="3177" spans="42:58" x14ac:dyDescent="0.35">
      <c r="AP3177" s="92"/>
      <c r="AQ3177" s="67"/>
      <c r="AR3177" s="67"/>
      <c r="AS3177" s="73"/>
      <c r="AT3177" s="67"/>
      <c r="AU3177" s="67"/>
      <c r="AV3177" s="73"/>
      <c r="AW3177" s="68"/>
      <c r="AX3177" s="68"/>
      <c r="AY3177" s="68"/>
      <c r="AZ3177" s="68"/>
      <c r="BA3177" s="68"/>
      <c r="BB3177" s="67"/>
      <c r="BC3177" s="67"/>
      <c r="BD3177" s="67"/>
      <c r="BE3177" s="67"/>
      <c r="BF3177" s="95"/>
    </row>
    <row r="3178" spans="42:58" x14ac:dyDescent="0.35">
      <c r="AP3178" s="93"/>
      <c r="AQ3178" s="31"/>
      <c r="AR3178" s="31"/>
      <c r="AS3178" s="94"/>
      <c r="AT3178" s="31"/>
      <c r="AU3178" s="31"/>
      <c r="AV3178" s="94"/>
      <c r="AW3178" s="32"/>
      <c r="AX3178" s="32"/>
      <c r="AY3178" s="32"/>
      <c r="AZ3178" s="32"/>
      <c r="BA3178" s="32"/>
      <c r="BB3178" s="31"/>
      <c r="BC3178" s="31"/>
      <c r="BD3178" s="31"/>
      <c r="BE3178" s="31"/>
      <c r="BF3178" s="96"/>
    </row>
    <row r="3179" spans="42:58" x14ac:dyDescent="0.35">
      <c r="AP3179" s="92"/>
      <c r="AQ3179" s="67"/>
      <c r="AR3179" s="67"/>
      <c r="AS3179" s="73"/>
      <c r="AT3179" s="67"/>
      <c r="AU3179" s="67"/>
      <c r="AV3179" s="73"/>
      <c r="AW3179" s="68"/>
      <c r="AX3179" s="68"/>
      <c r="AY3179" s="68"/>
      <c r="AZ3179" s="68"/>
      <c r="BA3179" s="68"/>
      <c r="BB3179" s="67"/>
      <c r="BC3179" s="67"/>
      <c r="BD3179" s="67"/>
      <c r="BE3179" s="67"/>
      <c r="BF3179" s="95"/>
    </row>
    <row r="3180" spans="42:58" x14ac:dyDescent="0.35">
      <c r="AP3180" s="93"/>
      <c r="AQ3180" s="31"/>
      <c r="AR3180" s="31"/>
      <c r="AS3180" s="94"/>
      <c r="AT3180" s="31"/>
      <c r="AU3180" s="31"/>
      <c r="AV3180" s="94"/>
      <c r="AW3180" s="32"/>
      <c r="AX3180" s="32"/>
      <c r="AY3180" s="32"/>
      <c r="AZ3180" s="32"/>
      <c r="BA3180" s="32"/>
      <c r="BB3180" s="31"/>
      <c r="BC3180" s="31"/>
      <c r="BD3180" s="31"/>
      <c r="BE3180" s="31"/>
      <c r="BF3180" s="96"/>
    </row>
    <row r="3181" spans="42:58" x14ac:dyDescent="0.35">
      <c r="AP3181" s="92"/>
      <c r="AQ3181" s="67"/>
      <c r="AR3181" s="67"/>
      <c r="AS3181" s="73"/>
      <c r="AT3181" s="67"/>
      <c r="AU3181" s="67"/>
      <c r="AV3181" s="73"/>
      <c r="AW3181" s="68"/>
      <c r="AX3181" s="68"/>
      <c r="AY3181" s="68"/>
      <c r="AZ3181" s="68"/>
      <c r="BA3181" s="68"/>
      <c r="BB3181" s="67"/>
      <c r="BC3181" s="67"/>
      <c r="BD3181" s="67"/>
      <c r="BE3181" s="67"/>
      <c r="BF3181" s="95"/>
    </row>
    <row r="3182" spans="42:58" x14ac:dyDescent="0.35">
      <c r="AP3182" s="93"/>
      <c r="AQ3182" s="31"/>
      <c r="AR3182" s="31"/>
      <c r="AS3182" s="94"/>
      <c r="AT3182" s="31"/>
      <c r="AU3182" s="31"/>
      <c r="AV3182" s="94"/>
      <c r="AW3182" s="32"/>
      <c r="AX3182" s="32"/>
      <c r="AY3182" s="32"/>
      <c r="AZ3182" s="32"/>
      <c r="BA3182" s="32"/>
      <c r="BB3182" s="31"/>
      <c r="BC3182" s="31"/>
      <c r="BD3182" s="31"/>
      <c r="BE3182" s="31"/>
      <c r="BF3182" s="96"/>
    </row>
    <row r="3183" spans="42:58" x14ac:dyDescent="0.35">
      <c r="AP3183" s="92"/>
      <c r="AQ3183" s="67"/>
      <c r="AR3183" s="67"/>
      <c r="AS3183" s="73"/>
      <c r="AT3183" s="67"/>
      <c r="AU3183" s="67"/>
      <c r="AV3183" s="73"/>
      <c r="AW3183" s="68"/>
      <c r="AX3183" s="68"/>
      <c r="AY3183" s="68"/>
      <c r="AZ3183" s="68"/>
      <c r="BA3183" s="68"/>
      <c r="BB3183" s="67"/>
      <c r="BC3183" s="67"/>
      <c r="BD3183" s="67"/>
      <c r="BE3183" s="67"/>
      <c r="BF3183" s="95"/>
    </row>
    <row r="3184" spans="42:58" x14ac:dyDescent="0.35">
      <c r="AP3184" s="93"/>
      <c r="AQ3184" s="31"/>
      <c r="AR3184" s="31"/>
      <c r="AS3184" s="94"/>
      <c r="AT3184" s="31"/>
      <c r="AU3184" s="31"/>
      <c r="AV3184" s="94"/>
      <c r="AW3184" s="32"/>
      <c r="AX3184" s="32"/>
      <c r="AY3184" s="32"/>
      <c r="AZ3184" s="32"/>
      <c r="BA3184" s="32"/>
      <c r="BB3184" s="31"/>
      <c r="BC3184" s="31"/>
      <c r="BD3184" s="31"/>
      <c r="BE3184" s="31"/>
      <c r="BF3184" s="96"/>
    </row>
    <row r="3185" spans="42:58" x14ac:dyDescent="0.35">
      <c r="AP3185" s="92"/>
      <c r="AQ3185" s="67"/>
      <c r="AR3185" s="67"/>
      <c r="AS3185" s="73"/>
      <c r="AT3185" s="67"/>
      <c r="AU3185" s="67"/>
      <c r="AV3185" s="73"/>
      <c r="AW3185" s="68"/>
      <c r="AX3185" s="68"/>
      <c r="AY3185" s="68"/>
      <c r="AZ3185" s="68"/>
      <c r="BA3185" s="68"/>
      <c r="BB3185" s="67"/>
      <c r="BC3185" s="67"/>
      <c r="BD3185" s="67"/>
      <c r="BE3185" s="67"/>
      <c r="BF3185" s="95"/>
    </row>
    <row r="3186" spans="42:58" x14ac:dyDescent="0.35">
      <c r="AP3186" s="93"/>
      <c r="AQ3186" s="31"/>
      <c r="AR3186" s="31"/>
      <c r="AS3186" s="94"/>
      <c r="AT3186" s="31"/>
      <c r="AU3186" s="31"/>
      <c r="AV3186" s="94"/>
      <c r="AW3186" s="32"/>
      <c r="AX3186" s="32"/>
      <c r="AY3186" s="32"/>
      <c r="AZ3186" s="32"/>
      <c r="BA3186" s="32"/>
      <c r="BB3186" s="31"/>
      <c r="BC3186" s="31"/>
      <c r="BD3186" s="31"/>
      <c r="BE3186" s="31"/>
      <c r="BF3186" s="96"/>
    </row>
    <row r="3187" spans="42:58" x14ac:dyDescent="0.35">
      <c r="AP3187" s="92"/>
      <c r="AQ3187" s="67"/>
      <c r="AR3187" s="67"/>
      <c r="AS3187" s="73"/>
      <c r="AT3187" s="67"/>
      <c r="AU3187" s="67"/>
      <c r="AV3187" s="73"/>
      <c r="AW3187" s="68"/>
      <c r="AX3187" s="68"/>
      <c r="AY3187" s="68"/>
      <c r="AZ3187" s="68"/>
      <c r="BA3187" s="68"/>
      <c r="BB3187" s="67"/>
      <c r="BC3187" s="67"/>
      <c r="BD3187" s="67"/>
      <c r="BE3187" s="67"/>
      <c r="BF3187" s="95"/>
    </row>
    <row r="3188" spans="42:58" x14ac:dyDescent="0.35">
      <c r="AP3188" s="93"/>
      <c r="AQ3188" s="31"/>
      <c r="AR3188" s="31"/>
      <c r="AS3188" s="94"/>
      <c r="AT3188" s="31"/>
      <c r="AU3188" s="31"/>
      <c r="AV3188" s="94"/>
      <c r="AW3188" s="32"/>
      <c r="AX3188" s="32"/>
      <c r="AY3188" s="32"/>
      <c r="AZ3188" s="32"/>
      <c r="BA3188" s="32"/>
      <c r="BB3188" s="31"/>
      <c r="BC3188" s="31"/>
      <c r="BD3188" s="31"/>
      <c r="BE3188" s="31"/>
      <c r="BF3188" s="96"/>
    </row>
    <row r="3189" spans="42:58" x14ac:dyDescent="0.35">
      <c r="AP3189" s="92"/>
      <c r="AQ3189" s="67"/>
      <c r="AR3189" s="67"/>
      <c r="AS3189" s="73"/>
      <c r="AT3189" s="67"/>
      <c r="AU3189" s="67"/>
      <c r="AV3189" s="73"/>
      <c r="AW3189" s="68"/>
      <c r="AX3189" s="68"/>
      <c r="AY3189" s="68"/>
      <c r="AZ3189" s="68"/>
      <c r="BA3189" s="68"/>
      <c r="BB3189" s="67"/>
      <c r="BC3189" s="67"/>
      <c r="BD3189" s="67"/>
      <c r="BE3189" s="67"/>
      <c r="BF3189" s="95"/>
    </row>
    <row r="3190" spans="42:58" x14ac:dyDescent="0.35">
      <c r="AP3190" s="93"/>
      <c r="AQ3190" s="31"/>
      <c r="AR3190" s="31"/>
      <c r="AS3190" s="94"/>
      <c r="AT3190" s="31"/>
      <c r="AU3190" s="31"/>
      <c r="AV3190" s="94"/>
      <c r="AW3190" s="32"/>
      <c r="AX3190" s="32"/>
      <c r="AY3190" s="32"/>
      <c r="AZ3190" s="32"/>
      <c r="BA3190" s="32"/>
      <c r="BB3190" s="31"/>
      <c r="BC3190" s="31"/>
      <c r="BD3190" s="31"/>
      <c r="BE3190" s="31"/>
      <c r="BF3190" s="96"/>
    </row>
    <row r="3191" spans="42:58" x14ac:dyDescent="0.35">
      <c r="AP3191" s="92"/>
      <c r="AQ3191" s="67"/>
      <c r="AR3191" s="67"/>
      <c r="AS3191" s="73"/>
      <c r="AT3191" s="67"/>
      <c r="AU3191" s="67"/>
      <c r="AV3191" s="73"/>
      <c r="AW3191" s="68"/>
      <c r="AX3191" s="68"/>
      <c r="AY3191" s="68"/>
      <c r="AZ3191" s="68"/>
      <c r="BA3191" s="68"/>
      <c r="BB3191" s="67"/>
      <c r="BC3191" s="67"/>
      <c r="BD3191" s="67"/>
      <c r="BE3191" s="67"/>
      <c r="BF3191" s="95"/>
    </row>
    <row r="3192" spans="42:58" x14ac:dyDescent="0.35">
      <c r="AP3192" s="93"/>
      <c r="AQ3192" s="31"/>
      <c r="AR3192" s="31"/>
      <c r="AS3192" s="94"/>
      <c r="AT3192" s="31"/>
      <c r="AU3192" s="31"/>
      <c r="AV3192" s="94"/>
      <c r="AW3192" s="32"/>
      <c r="AX3192" s="32"/>
      <c r="AY3192" s="32"/>
      <c r="AZ3192" s="32"/>
      <c r="BA3192" s="32"/>
      <c r="BB3192" s="31"/>
      <c r="BC3192" s="31"/>
      <c r="BD3192" s="31"/>
      <c r="BE3192" s="31"/>
      <c r="BF3192" s="96"/>
    </row>
    <row r="3193" spans="42:58" x14ac:dyDescent="0.35">
      <c r="AP3193" s="92"/>
      <c r="AQ3193" s="67"/>
      <c r="AR3193" s="67"/>
      <c r="AS3193" s="73"/>
      <c r="AT3193" s="67"/>
      <c r="AU3193" s="67"/>
      <c r="AV3193" s="73"/>
      <c r="AW3193" s="68"/>
      <c r="AX3193" s="68"/>
      <c r="AY3193" s="68"/>
      <c r="AZ3193" s="68"/>
      <c r="BA3193" s="68"/>
      <c r="BB3193" s="67"/>
      <c r="BC3193" s="67"/>
      <c r="BD3193" s="67"/>
      <c r="BE3193" s="67"/>
      <c r="BF3193" s="95"/>
    </row>
    <row r="3194" spans="42:58" x14ac:dyDescent="0.35">
      <c r="AP3194" s="93"/>
      <c r="AQ3194" s="31"/>
      <c r="AR3194" s="31"/>
      <c r="AS3194" s="94"/>
      <c r="AT3194" s="31"/>
      <c r="AU3194" s="31"/>
      <c r="AV3194" s="94"/>
      <c r="AW3194" s="32"/>
      <c r="AX3194" s="32"/>
      <c r="AY3194" s="32"/>
      <c r="AZ3194" s="32"/>
      <c r="BA3194" s="32"/>
      <c r="BB3194" s="31"/>
      <c r="BC3194" s="31"/>
      <c r="BD3194" s="31"/>
      <c r="BE3194" s="31"/>
      <c r="BF3194" s="96"/>
    </row>
    <row r="3195" spans="42:58" x14ac:dyDescent="0.35">
      <c r="AP3195" s="92"/>
      <c r="AQ3195" s="67"/>
      <c r="AR3195" s="67"/>
      <c r="AS3195" s="73"/>
      <c r="AT3195" s="67"/>
      <c r="AU3195" s="67"/>
      <c r="AV3195" s="73"/>
      <c r="AW3195" s="68"/>
      <c r="AX3195" s="68"/>
      <c r="AY3195" s="68"/>
      <c r="AZ3195" s="68"/>
      <c r="BA3195" s="68"/>
      <c r="BB3195" s="67"/>
      <c r="BC3195" s="67"/>
      <c r="BD3195" s="67"/>
      <c r="BE3195" s="67"/>
      <c r="BF3195" s="95"/>
    </row>
    <row r="3196" spans="42:58" x14ac:dyDescent="0.35">
      <c r="AP3196" s="93"/>
      <c r="AQ3196" s="31"/>
      <c r="AR3196" s="31"/>
      <c r="AS3196" s="94"/>
      <c r="AT3196" s="31"/>
      <c r="AU3196" s="31"/>
      <c r="AV3196" s="94"/>
      <c r="AW3196" s="32"/>
      <c r="AX3196" s="32"/>
      <c r="AY3196" s="32"/>
      <c r="AZ3196" s="32"/>
      <c r="BA3196" s="32"/>
      <c r="BB3196" s="31"/>
      <c r="BC3196" s="31"/>
      <c r="BD3196" s="31"/>
      <c r="BE3196" s="31"/>
      <c r="BF3196" s="96"/>
    </row>
    <row r="3197" spans="42:58" x14ac:dyDescent="0.35">
      <c r="AP3197" s="92"/>
      <c r="AQ3197" s="67"/>
      <c r="AR3197" s="67"/>
      <c r="AS3197" s="73"/>
      <c r="AT3197" s="67"/>
      <c r="AU3197" s="67"/>
      <c r="AV3197" s="73"/>
      <c r="AW3197" s="68"/>
      <c r="AX3197" s="68"/>
      <c r="AY3197" s="68"/>
      <c r="AZ3197" s="68"/>
      <c r="BA3197" s="68"/>
      <c r="BB3197" s="67"/>
      <c r="BC3197" s="67"/>
      <c r="BD3197" s="67"/>
      <c r="BE3197" s="67"/>
      <c r="BF3197" s="95"/>
    </row>
    <row r="3198" spans="42:58" x14ac:dyDescent="0.35">
      <c r="AP3198" s="93"/>
      <c r="AQ3198" s="31"/>
      <c r="AR3198" s="31"/>
      <c r="AS3198" s="94"/>
      <c r="AT3198" s="31"/>
      <c r="AU3198" s="31"/>
      <c r="AV3198" s="94"/>
      <c r="AW3198" s="32"/>
      <c r="AX3198" s="32"/>
      <c r="AY3198" s="32"/>
      <c r="AZ3198" s="32"/>
      <c r="BA3198" s="32"/>
      <c r="BB3198" s="31"/>
      <c r="BC3198" s="31"/>
      <c r="BD3198" s="31"/>
      <c r="BE3198" s="31"/>
      <c r="BF3198" s="96"/>
    </row>
    <row r="3199" spans="42:58" x14ac:dyDescent="0.35">
      <c r="AP3199" s="92"/>
      <c r="AQ3199" s="67"/>
      <c r="AR3199" s="67"/>
      <c r="AS3199" s="73"/>
      <c r="AT3199" s="67"/>
      <c r="AU3199" s="67"/>
      <c r="AV3199" s="73"/>
      <c r="AW3199" s="68"/>
      <c r="AX3199" s="68"/>
      <c r="AY3199" s="68"/>
      <c r="AZ3199" s="68"/>
      <c r="BA3199" s="68"/>
      <c r="BB3199" s="67"/>
      <c r="BC3199" s="67"/>
      <c r="BD3199" s="67"/>
      <c r="BE3199" s="67"/>
      <c r="BF3199" s="95"/>
    </row>
    <row r="3200" spans="42:58" x14ac:dyDescent="0.35">
      <c r="AP3200" s="93"/>
      <c r="AQ3200" s="31"/>
      <c r="AR3200" s="31"/>
      <c r="AS3200" s="94"/>
      <c r="AT3200" s="31"/>
      <c r="AU3200" s="31"/>
      <c r="AV3200" s="94"/>
      <c r="AW3200" s="32"/>
      <c r="AX3200" s="32"/>
      <c r="AY3200" s="32"/>
      <c r="AZ3200" s="32"/>
      <c r="BA3200" s="32"/>
      <c r="BB3200" s="31"/>
      <c r="BC3200" s="31"/>
      <c r="BD3200" s="31"/>
      <c r="BE3200" s="31"/>
      <c r="BF3200" s="96"/>
    </row>
    <row r="3201" spans="42:58" x14ac:dyDescent="0.35">
      <c r="AP3201" s="92"/>
      <c r="AQ3201" s="67"/>
      <c r="AR3201" s="67"/>
      <c r="AS3201" s="73"/>
      <c r="AT3201" s="67"/>
      <c r="AU3201" s="67"/>
      <c r="AV3201" s="73"/>
      <c r="AW3201" s="68"/>
      <c r="AX3201" s="68"/>
      <c r="AY3201" s="68"/>
      <c r="AZ3201" s="68"/>
      <c r="BA3201" s="68"/>
      <c r="BB3201" s="67"/>
      <c r="BC3201" s="67"/>
      <c r="BD3201" s="67"/>
      <c r="BE3201" s="67"/>
      <c r="BF3201" s="95"/>
    </row>
    <row r="3202" spans="42:58" x14ac:dyDescent="0.35">
      <c r="AP3202" s="93"/>
      <c r="AQ3202" s="31"/>
      <c r="AR3202" s="31"/>
      <c r="AS3202" s="94"/>
      <c r="AT3202" s="31"/>
      <c r="AU3202" s="31"/>
      <c r="AV3202" s="94"/>
      <c r="AW3202" s="32"/>
      <c r="AX3202" s="32"/>
      <c r="AY3202" s="32"/>
      <c r="AZ3202" s="32"/>
      <c r="BA3202" s="32"/>
      <c r="BB3202" s="31"/>
      <c r="BC3202" s="31"/>
      <c r="BD3202" s="31"/>
      <c r="BE3202" s="31"/>
      <c r="BF3202" s="96"/>
    </row>
    <row r="3203" spans="42:58" x14ac:dyDescent="0.35">
      <c r="AP3203" s="92"/>
      <c r="AQ3203" s="67"/>
      <c r="AR3203" s="67"/>
      <c r="AS3203" s="73"/>
      <c r="AT3203" s="67"/>
      <c r="AU3203" s="67"/>
      <c r="AV3203" s="73"/>
      <c r="AW3203" s="68"/>
      <c r="AX3203" s="68"/>
      <c r="AY3203" s="68"/>
      <c r="AZ3203" s="68"/>
      <c r="BA3203" s="68"/>
      <c r="BB3203" s="67"/>
      <c r="BC3203" s="67"/>
      <c r="BD3203" s="67"/>
      <c r="BE3203" s="67"/>
      <c r="BF3203" s="95"/>
    </row>
    <row r="3204" spans="42:58" x14ac:dyDescent="0.35">
      <c r="AP3204" s="93"/>
      <c r="AQ3204" s="31"/>
      <c r="AR3204" s="31"/>
      <c r="AS3204" s="94"/>
      <c r="AT3204" s="31"/>
      <c r="AU3204" s="31"/>
      <c r="AV3204" s="94"/>
      <c r="AW3204" s="32"/>
      <c r="AX3204" s="32"/>
      <c r="AY3204" s="32"/>
      <c r="AZ3204" s="32"/>
      <c r="BA3204" s="32"/>
      <c r="BB3204" s="31"/>
      <c r="BC3204" s="31"/>
      <c r="BD3204" s="31"/>
      <c r="BE3204" s="31"/>
      <c r="BF3204" s="96"/>
    </row>
    <row r="3205" spans="42:58" x14ac:dyDescent="0.35">
      <c r="AP3205" s="92"/>
      <c r="AQ3205" s="67"/>
      <c r="AR3205" s="67"/>
      <c r="AS3205" s="73"/>
      <c r="AT3205" s="67"/>
      <c r="AU3205" s="67"/>
      <c r="AV3205" s="73"/>
      <c r="AW3205" s="68"/>
      <c r="AX3205" s="68"/>
      <c r="AY3205" s="68"/>
      <c r="AZ3205" s="68"/>
      <c r="BA3205" s="68"/>
      <c r="BB3205" s="67"/>
      <c r="BC3205" s="67"/>
      <c r="BD3205" s="67"/>
      <c r="BE3205" s="67"/>
      <c r="BF3205" s="95"/>
    </row>
    <row r="3206" spans="42:58" x14ac:dyDescent="0.35">
      <c r="AP3206" s="93"/>
      <c r="AQ3206" s="31"/>
      <c r="AR3206" s="31"/>
      <c r="AS3206" s="94"/>
      <c r="AT3206" s="31"/>
      <c r="AU3206" s="31"/>
      <c r="AV3206" s="94"/>
      <c r="AW3206" s="32"/>
      <c r="AX3206" s="32"/>
      <c r="AY3206" s="32"/>
      <c r="AZ3206" s="32"/>
      <c r="BA3206" s="32"/>
      <c r="BB3206" s="31"/>
      <c r="BC3206" s="31"/>
      <c r="BD3206" s="31"/>
      <c r="BE3206" s="31"/>
      <c r="BF3206" s="96"/>
    </row>
    <row r="3207" spans="42:58" x14ac:dyDescent="0.35">
      <c r="AP3207" s="92"/>
      <c r="AQ3207" s="67"/>
      <c r="AR3207" s="67"/>
      <c r="AS3207" s="73"/>
      <c r="AT3207" s="67"/>
      <c r="AU3207" s="67"/>
      <c r="AV3207" s="73"/>
      <c r="AW3207" s="68"/>
      <c r="AX3207" s="68"/>
      <c r="AY3207" s="68"/>
      <c r="AZ3207" s="68"/>
      <c r="BA3207" s="68"/>
      <c r="BB3207" s="67"/>
      <c r="BC3207" s="67"/>
      <c r="BD3207" s="67"/>
      <c r="BE3207" s="67"/>
      <c r="BF3207" s="95"/>
    </row>
    <row r="3208" spans="42:58" x14ac:dyDescent="0.35">
      <c r="AP3208" s="93"/>
      <c r="AQ3208" s="31"/>
      <c r="AR3208" s="31"/>
      <c r="AS3208" s="94"/>
      <c r="AT3208" s="31"/>
      <c r="AU3208" s="31"/>
      <c r="AV3208" s="94"/>
      <c r="AW3208" s="32"/>
      <c r="AX3208" s="32"/>
      <c r="AY3208" s="32"/>
      <c r="AZ3208" s="32"/>
      <c r="BA3208" s="32"/>
      <c r="BB3208" s="31"/>
      <c r="BC3208" s="31"/>
      <c r="BD3208" s="31"/>
      <c r="BE3208" s="31"/>
      <c r="BF3208" s="96"/>
    </row>
    <row r="3209" spans="42:58" x14ac:dyDescent="0.35">
      <c r="AP3209" s="92"/>
      <c r="AQ3209" s="67"/>
      <c r="AR3209" s="67"/>
      <c r="AS3209" s="73"/>
      <c r="AT3209" s="67"/>
      <c r="AU3209" s="67"/>
      <c r="AV3209" s="73"/>
      <c r="AW3209" s="68"/>
      <c r="AX3209" s="68"/>
      <c r="AY3209" s="68"/>
      <c r="AZ3209" s="68"/>
      <c r="BA3209" s="68"/>
      <c r="BB3209" s="67"/>
      <c r="BC3209" s="67"/>
      <c r="BD3209" s="67"/>
      <c r="BE3209" s="67"/>
      <c r="BF3209" s="95"/>
    </row>
    <row r="3210" spans="42:58" x14ac:dyDescent="0.35">
      <c r="AP3210" s="93"/>
      <c r="AQ3210" s="31"/>
      <c r="AR3210" s="31"/>
      <c r="AS3210" s="94"/>
      <c r="AT3210" s="31"/>
      <c r="AU3210" s="31"/>
      <c r="AV3210" s="94"/>
      <c r="AW3210" s="32"/>
      <c r="AX3210" s="32"/>
      <c r="AY3210" s="32"/>
      <c r="AZ3210" s="32"/>
      <c r="BA3210" s="32"/>
      <c r="BB3210" s="31"/>
      <c r="BC3210" s="31"/>
      <c r="BD3210" s="31"/>
      <c r="BE3210" s="31"/>
      <c r="BF3210" s="96"/>
    </row>
    <row r="3211" spans="42:58" x14ac:dyDescent="0.35">
      <c r="AP3211" s="92"/>
      <c r="AQ3211" s="67"/>
      <c r="AR3211" s="67"/>
      <c r="AS3211" s="73"/>
      <c r="AT3211" s="67"/>
      <c r="AU3211" s="67"/>
      <c r="AV3211" s="73"/>
      <c r="AW3211" s="68"/>
      <c r="AX3211" s="68"/>
      <c r="AY3211" s="68"/>
      <c r="AZ3211" s="68"/>
      <c r="BA3211" s="68"/>
      <c r="BB3211" s="67"/>
      <c r="BC3211" s="67"/>
      <c r="BD3211" s="67"/>
      <c r="BE3211" s="67"/>
      <c r="BF3211" s="95"/>
    </row>
    <row r="3212" spans="42:58" x14ac:dyDescent="0.35">
      <c r="AP3212" s="93"/>
      <c r="AQ3212" s="31"/>
      <c r="AR3212" s="31"/>
      <c r="AS3212" s="94"/>
      <c r="AT3212" s="31"/>
      <c r="AU3212" s="31"/>
      <c r="AV3212" s="94"/>
      <c r="AW3212" s="32"/>
      <c r="AX3212" s="32"/>
      <c r="AY3212" s="32"/>
      <c r="AZ3212" s="32"/>
      <c r="BA3212" s="32"/>
      <c r="BB3212" s="31"/>
      <c r="BC3212" s="31"/>
      <c r="BD3212" s="31"/>
      <c r="BE3212" s="31"/>
      <c r="BF3212" s="96"/>
    </row>
    <row r="3213" spans="42:58" x14ac:dyDescent="0.35">
      <c r="AP3213" s="92"/>
      <c r="AQ3213" s="67"/>
      <c r="AR3213" s="67"/>
      <c r="AS3213" s="73"/>
      <c r="AT3213" s="67"/>
      <c r="AU3213" s="67"/>
      <c r="AV3213" s="73"/>
      <c r="AW3213" s="68"/>
      <c r="AX3213" s="68"/>
      <c r="AY3213" s="68"/>
      <c r="AZ3213" s="68"/>
      <c r="BA3213" s="68"/>
      <c r="BB3213" s="67"/>
      <c r="BC3213" s="67"/>
      <c r="BD3213" s="67"/>
      <c r="BE3213" s="67"/>
      <c r="BF3213" s="95"/>
    </row>
    <row r="3214" spans="42:58" x14ac:dyDescent="0.35">
      <c r="AP3214" s="93"/>
      <c r="AQ3214" s="31"/>
      <c r="AR3214" s="31"/>
      <c r="AS3214" s="94"/>
      <c r="AT3214" s="31"/>
      <c r="AU3214" s="31"/>
      <c r="AV3214" s="94"/>
      <c r="AW3214" s="32"/>
      <c r="AX3214" s="32"/>
      <c r="AY3214" s="32"/>
      <c r="AZ3214" s="32"/>
      <c r="BA3214" s="32"/>
      <c r="BB3214" s="31"/>
      <c r="BC3214" s="31"/>
      <c r="BD3214" s="31"/>
      <c r="BE3214" s="31"/>
      <c r="BF3214" s="96"/>
    </row>
    <row r="3215" spans="42:58" x14ac:dyDescent="0.35">
      <c r="AP3215" s="92"/>
      <c r="AQ3215" s="67"/>
      <c r="AR3215" s="67"/>
      <c r="AS3215" s="73"/>
      <c r="AT3215" s="67"/>
      <c r="AU3215" s="67"/>
      <c r="AV3215" s="73"/>
      <c r="AW3215" s="68"/>
      <c r="AX3215" s="68"/>
      <c r="AY3215" s="68"/>
      <c r="AZ3215" s="68"/>
      <c r="BA3215" s="68"/>
      <c r="BB3215" s="67"/>
      <c r="BC3215" s="67"/>
      <c r="BD3215" s="67"/>
      <c r="BE3215" s="67"/>
      <c r="BF3215" s="95"/>
    </row>
    <row r="3216" spans="42:58" x14ac:dyDescent="0.35">
      <c r="AP3216" s="93"/>
      <c r="AQ3216" s="31"/>
      <c r="AR3216" s="31"/>
      <c r="AS3216" s="94"/>
      <c r="AT3216" s="31"/>
      <c r="AU3216" s="31"/>
      <c r="AV3216" s="94"/>
      <c r="AW3216" s="32"/>
      <c r="AX3216" s="32"/>
      <c r="AY3216" s="32"/>
      <c r="AZ3216" s="32"/>
      <c r="BA3216" s="32"/>
      <c r="BB3216" s="31"/>
      <c r="BC3216" s="31"/>
      <c r="BD3216" s="31"/>
      <c r="BE3216" s="31"/>
      <c r="BF3216" s="96"/>
    </row>
    <row r="3217" spans="42:58" x14ac:dyDescent="0.35">
      <c r="AP3217" s="92"/>
      <c r="AQ3217" s="67"/>
      <c r="AR3217" s="67"/>
      <c r="AS3217" s="73"/>
      <c r="AT3217" s="67"/>
      <c r="AU3217" s="67"/>
      <c r="AV3217" s="73"/>
      <c r="AW3217" s="68"/>
      <c r="AX3217" s="68"/>
      <c r="AY3217" s="68"/>
      <c r="AZ3217" s="68"/>
      <c r="BA3217" s="68"/>
      <c r="BB3217" s="67"/>
      <c r="BC3217" s="67"/>
      <c r="BD3217" s="67"/>
      <c r="BE3217" s="67"/>
      <c r="BF3217" s="95"/>
    </row>
    <row r="3218" spans="42:58" x14ac:dyDescent="0.35">
      <c r="AP3218" s="93"/>
      <c r="AQ3218" s="31"/>
      <c r="AR3218" s="31"/>
      <c r="AS3218" s="94"/>
      <c r="AT3218" s="31"/>
      <c r="AU3218" s="31"/>
      <c r="AV3218" s="94"/>
      <c r="AW3218" s="32"/>
      <c r="AX3218" s="32"/>
      <c r="AY3218" s="32"/>
      <c r="AZ3218" s="32"/>
      <c r="BA3218" s="32"/>
      <c r="BB3218" s="31"/>
      <c r="BC3218" s="31"/>
      <c r="BD3218" s="31"/>
      <c r="BE3218" s="31"/>
      <c r="BF3218" s="96"/>
    </row>
    <row r="3219" spans="42:58" x14ac:dyDescent="0.35">
      <c r="AP3219" s="92"/>
      <c r="AQ3219" s="67"/>
      <c r="AR3219" s="67"/>
      <c r="AS3219" s="73"/>
      <c r="AT3219" s="67"/>
      <c r="AU3219" s="67"/>
      <c r="AV3219" s="73"/>
      <c r="AW3219" s="68"/>
      <c r="AX3219" s="68"/>
      <c r="AY3219" s="68"/>
      <c r="AZ3219" s="68"/>
      <c r="BA3219" s="68"/>
      <c r="BB3219" s="67"/>
      <c r="BC3219" s="67"/>
      <c r="BD3219" s="67"/>
      <c r="BE3219" s="67"/>
      <c r="BF3219" s="95"/>
    </row>
    <row r="3220" spans="42:58" x14ac:dyDescent="0.35">
      <c r="AP3220" s="93"/>
      <c r="AQ3220" s="31"/>
      <c r="AR3220" s="31"/>
      <c r="AS3220" s="94"/>
      <c r="AT3220" s="31"/>
      <c r="AU3220" s="31"/>
      <c r="AV3220" s="94"/>
      <c r="AW3220" s="32"/>
      <c r="AX3220" s="32"/>
      <c r="AY3220" s="32"/>
      <c r="AZ3220" s="32"/>
      <c r="BA3220" s="32"/>
      <c r="BB3220" s="31"/>
      <c r="BC3220" s="31"/>
      <c r="BD3220" s="31"/>
      <c r="BE3220" s="31"/>
      <c r="BF3220" s="96"/>
    </row>
    <row r="3221" spans="42:58" x14ac:dyDescent="0.35">
      <c r="AP3221" s="92"/>
      <c r="AQ3221" s="67"/>
      <c r="AR3221" s="67"/>
      <c r="AS3221" s="73"/>
      <c r="AT3221" s="67"/>
      <c r="AU3221" s="67"/>
      <c r="AV3221" s="73"/>
      <c r="AW3221" s="68"/>
      <c r="AX3221" s="68"/>
      <c r="AY3221" s="68"/>
      <c r="AZ3221" s="68"/>
      <c r="BA3221" s="68"/>
      <c r="BB3221" s="67"/>
      <c r="BC3221" s="67"/>
      <c r="BD3221" s="67"/>
      <c r="BE3221" s="67"/>
      <c r="BF3221" s="95"/>
    </row>
    <row r="3222" spans="42:58" x14ac:dyDescent="0.35">
      <c r="AP3222" s="93"/>
      <c r="AQ3222" s="31"/>
      <c r="AR3222" s="31"/>
      <c r="AS3222" s="94"/>
      <c r="AT3222" s="31"/>
      <c r="AU3222" s="31"/>
      <c r="AV3222" s="94"/>
      <c r="AW3222" s="32"/>
      <c r="AX3222" s="32"/>
      <c r="AY3222" s="32"/>
      <c r="AZ3222" s="32"/>
      <c r="BA3222" s="32"/>
      <c r="BB3222" s="31"/>
      <c r="BC3222" s="31"/>
      <c r="BD3222" s="31"/>
      <c r="BE3222" s="31"/>
      <c r="BF3222" s="96"/>
    </row>
    <row r="3223" spans="42:58" x14ac:dyDescent="0.35">
      <c r="AP3223" s="92"/>
      <c r="AQ3223" s="67"/>
      <c r="AR3223" s="67"/>
      <c r="AS3223" s="73"/>
      <c r="AT3223" s="67"/>
      <c r="AU3223" s="67"/>
      <c r="AV3223" s="73"/>
      <c r="AW3223" s="68"/>
      <c r="AX3223" s="68"/>
      <c r="AY3223" s="68"/>
      <c r="AZ3223" s="68"/>
      <c r="BA3223" s="68"/>
      <c r="BB3223" s="67"/>
      <c r="BC3223" s="67"/>
      <c r="BD3223" s="67"/>
      <c r="BE3223" s="67"/>
      <c r="BF3223" s="95"/>
    </row>
    <row r="3224" spans="42:58" x14ac:dyDescent="0.35">
      <c r="AP3224" s="93"/>
      <c r="AQ3224" s="31"/>
      <c r="AR3224" s="31"/>
      <c r="AS3224" s="94"/>
      <c r="AT3224" s="31"/>
      <c r="AU3224" s="31"/>
      <c r="AV3224" s="94"/>
      <c r="AW3224" s="32"/>
      <c r="AX3224" s="32"/>
      <c r="AY3224" s="32"/>
      <c r="AZ3224" s="32"/>
      <c r="BA3224" s="32"/>
      <c r="BB3224" s="31"/>
      <c r="BC3224" s="31"/>
      <c r="BD3224" s="31"/>
      <c r="BE3224" s="31"/>
      <c r="BF3224" s="96"/>
    </row>
    <row r="3225" spans="42:58" x14ac:dyDescent="0.35">
      <c r="AP3225" s="92"/>
      <c r="AQ3225" s="67"/>
      <c r="AR3225" s="67"/>
      <c r="AS3225" s="73"/>
      <c r="AT3225" s="67"/>
      <c r="AU3225" s="67"/>
      <c r="AV3225" s="73"/>
      <c r="AW3225" s="68"/>
      <c r="AX3225" s="68"/>
      <c r="AY3225" s="68"/>
      <c r="AZ3225" s="68"/>
      <c r="BA3225" s="68"/>
      <c r="BB3225" s="67"/>
      <c r="BC3225" s="67"/>
      <c r="BD3225" s="67"/>
      <c r="BE3225" s="67"/>
      <c r="BF3225" s="95"/>
    </row>
    <row r="3226" spans="42:58" x14ac:dyDescent="0.35">
      <c r="AP3226" s="93"/>
      <c r="AQ3226" s="31"/>
      <c r="AR3226" s="31"/>
      <c r="AS3226" s="94"/>
      <c r="AT3226" s="31"/>
      <c r="AU3226" s="31"/>
      <c r="AV3226" s="94"/>
      <c r="AW3226" s="32"/>
      <c r="AX3226" s="32"/>
      <c r="AY3226" s="32"/>
      <c r="AZ3226" s="32"/>
      <c r="BA3226" s="32"/>
      <c r="BB3226" s="31"/>
      <c r="BC3226" s="31"/>
      <c r="BD3226" s="31"/>
      <c r="BE3226" s="31"/>
      <c r="BF3226" s="96"/>
    </row>
    <row r="3227" spans="42:58" x14ac:dyDescent="0.35">
      <c r="AP3227" s="92"/>
      <c r="AQ3227" s="67"/>
      <c r="AR3227" s="67"/>
      <c r="AS3227" s="73"/>
      <c r="AT3227" s="67"/>
      <c r="AU3227" s="67"/>
      <c r="AV3227" s="73"/>
      <c r="AW3227" s="68"/>
      <c r="AX3227" s="68"/>
      <c r="AY3227" s="68"/>
      <c r="AZ3227" s="68"/>
      <c r="BA3227" s="68"/>
      <c r="BB3227" s="67"/>
      <c r="BC3227" s="67"/>
      <c r="BD3227" s="67"/>
      <c r="BE3227" s="67"/>
      <c r="BF3227" s="95"/>
    </row>
    <row r="3228" spans="42:58" x14ac:dyDescent="0.35">
      <c r="AP3228" s="93"/>
      <c r="AQ3228" s="31"/>
      <c r="AR3228" s="31"/>
      <c r="AS3228" s="94"/>
      <c r="AT3228" s="31"/>
      <c r="AU3228" s="31"/>
      <c r="AV3228" s="94"/>
      <c r="AW3228" s="32"/>
      <c r="AX3228" s="32"/>
      <c r="AY3228" s="32"/>
      <c r="AZ3228" s="32"/>
      <c r="BA3228" s="32"/>
      <c r="BB3228" s="31"/>
      <c r="BC3228" s="31"/>
      <c r="BD3228" s="31"/>
      <c r="BE3228" s="31"/>
      <c r="BF3228" s="96"/>
    </row>
    <row r="3229" spans="42:58" x14ac:dyDescent="0.35">
      <c r="AP3229" s="92"/>
      <c r="AQ3229" s="67"/>
      <c r="AR3229" s="67"/>
      <c r="AS3229" s="73"/>
      <c r="AT3229" s="67"/>
      <c r="AU3229" s="67"/>
      <c r="AV3229" s="73"/>
      <c r="AW3229" s="68"/>
      <c r="AX3229" s="68"/>
      <c r="AY3229" s="68"/>
      <c r="AZ3229" s="68"/>
      <c r="BA3229" s="68"/>
      <c r="BB3229" s="67"/>
      <c r="BC3229" s="67"/>
      <c r="BD3229" s="67"/>
      <c r="BE3229" s="67"/>
      <c r="BF3229" s="95"/>
    </row>
    <row r="3230" spans="42:58" x14ac:dyDescent="0.35">
      <c r="AP3230" s="93"/>
      <c r="AQ3230" s="31"/>
      <c r="AR3230" s="31"/>
      <c r="AS3230" s="94"/>
      <c r="AT3230" s="31"/>
      <c r="AU3230" s="31"/>
      <c r="AV3230" s="94"/>
      <c r="AW3230" s="32"/>
      <c r="AX3230" s="32"/>
      <c r="AY3230" s="32"/>
      <c r="AZ3230" s="32"/>
      <c r="BA3230" s="32"/>
      <c r="BB3230" s="31"/>
      <c r="BC3230" s="31"/>
      <c r="BD3230" s="31"/>
      <c r="BE3230" s="31"/>
      <c r="BF3230" s="96"/>
    </row>
    <row r="3231" spans="42:58" x14ac:dyDescent="0.35">
      <c r="AP3231" s="92"/>
      <c r="AQ3231" s="67"/>
      <c r="AR3231" s="67"/>
      <c r="AS3231" s="73"/>
      <c r="AT3231" s="67"/>
      <c r="AU3231" s="67"/>
      <c r="AV3231" s="73"/>
      <c r="AW3231" s="68"/>
      <c r="AX3231" s="68"/>
      <c r="AY3231" s="68"/>
      <c r="AZ3231" s="68"/>
      <c r="BA3231" s="68"/>
      <c r="BB3231" s="67"/>
      <c r="BC3231" s="67"/>
      <c r="BD3231" s="67"/>
      <c r="BE3231" s="67"/>
      <c r="BF3231" s="95"/>
    </row>
    <row r="3232" spans="42:58" x14ac:dyDescent="0.35">
      <c r="AP3232" s="93"/>
      <c r="AQ3232" s="31"/>
      <c r="AR3232" s="31"/>
      <c r="AS3232" s="94"/>
      <c r="AT3232" s="31"/>
      <c r="AU3232" s="31"/>
      <c r="AV3232" s="94"/>
      <c r="AW3232" s="32"/>
      <c r="AX3232" s="32"/>
      <c r="AY3232" s="32"/>
      <c r="AZ3232" s="32"/>
      <c r="BA3232" s="32"/>
      <c r="BB3232" s="31"/>
      <c r="BC3232" s="31"/>
      <c r="BD3232" s="31"/>
      <c r="BE3232" s="31"/>
      <c r="BF3232" s="96"/>
    </row>
    <row r="3233" spans="42:58" x14ac:dyDescent="0.35">
      <c r="AP3233" s="92"/>
      <c r="AQ3233" s="67"/>
      <c r="AR3233" s="67"/>
      <c r="AS3233" s="73"/>
      <c r="AT3233" s="67"/>
      <c r="AU3233" s="67"/>
      <c r="AV3233" s="73"/>
      <c r="AW3233" s="68"/>
      <c r="AX3233" s="68"/>
      <c r="AY3233" s="68"/>
      <c r="AZ3233" s="68"/>
      <c r="BA3233" s="68"/>
      <c r="BB3233" s="67"/>
      <c r="BC3233" s="67"/>
      <c r="BD3233" s="67"/>
      <c r="BE3233" s="67"/>
      <c r="BF3233" s="95"/>
    </row>
    <row r="3234" spans="42:58" x14ac:dyDescent="0.35">
      <c r="AP3234" s="93"/>
      <c r="AQ3234" s="31"/>
      <c r="AR3234" s="31"/>
      <c r="AS3234" s="94"/>
      <c r="AT3234" s="31"/>
      <c r="AU3234" s="31"/>
      <c r="AV3234" s="94"/>
      <c r="AW3234" s="32"/>
      <c r="AX3234" s="32"/>
      <c r="AY3234" s="32"/>
      <c r="AZ3234" s="32"/>
      <c r="BA3234" s="32"/>
      <c r="BB3234" s="31"/>
      <c r="BC3234" s="31"/>
      <c r="BD3234" s="31"/>
      <c r="BE3234" s="31"/>
      <c r="BF3234" s="96"/>
    </row>
    <row r="3235" spans="42:58" x14ac:dyDescent="0.35">
      <c r="AP3235" s="92"/>
      <c r="AQ3235" s="67"/>
      <c r="AR3235" s="67"/>
      <c r="AS3235" s="73"/>
      <c r="AT3235" s="67"/>
      <c r="AU3235" s="67"/>
      <c r="AV3235" s="73"/>
      <c r="AW3235" s="68"/>
      <c r="AX3235" s="68"/>
      <c r="AY3235" s="68"/>
      <c r="AZ3235" s="68"/>
      <c r="BA3235" s="68"/>
      <c r="BB3235" s="67"/>
      <c r="BC3235" s="67"/>
      <c r="BD3235" s="67"/>
      <c r="BE3235" s="67"/>
      <c r="BF3235" s="95"/>
    </row>
    <row r="3236" spans="42:58" x14ac:dyDescent="0.35">
      <c r="AP3236" s="93"/>
      <c r="AQ3236" s="31"/>
      <c r="AR3236" s="31"/>
      <c r="AS3236" s="94"/>
      <c r="AT3236" s="31"/>
      <c r="AU3236" s="31"/>
      <c r="AV3236" s="94"/>
      <c r="AW3236" s="32"/>
      <c r="AX3236" s="32"/>
      <c r="AY3236" s="32"/>
      <c r="AZ3236" s="32"/>
      <c r="BA3236" s="32"/>
      <c r="BB3236" s="31"/>
      <c r="BC3236" s="31"/>
      <c r="BD3236" s="31"/>
      <c r="BE3236" s="31"/>
      <c r="BF3236" s="96"/>
    </row>
    <row r="3237" spans="42:58" x14ac:dyDescent="0.35">
      <c r="AP3237" s="92"/>
      <c r="AQ3237" s="67"/>
      <c r="AR3237" s="67"/>
      <c r="AS3237" s="73"/>
      <c r="AT3237" s="67"/>
      <c r="AU3237" s="67"/>
      <c r="AV3237" s="73"/>
      <c r="AW3237" s="68"/>
      <c r="AX3237" s="68"/>
      <c r="AY3237" s="68"/>
      <c r="AZ3237" s="68"/>
      <c r="BA3237" s="68"/>
      <c r="BB3237" s="67"/>
      <c r="BC3237" s="67"/>
      <c r="BD3237" s="67"/>
      <c r="BE3237" s="67"/>
      <c r="BF3237" s="95"/>
    </row>
    <row r="3238" spans="42:58" x14ac:dyDescent="0.35">
      <c r="AP3238" s="93"/>
      <c r="AQ3238" s="31"/>
      <c r="AR3238" s="31"/>
      <c r="AS3238" s="94"/>
      <c r="AT3238" s="31"/>
      <c r="AU3238" s="31"/>
      <c r="AV3238" s="94"/>
      <c r="AW3238" s="32"/>
      <c r="AX3238" s="32"/>
      <c r="AY3238" s="32"/>
      <c r="AZ3238" s="32"/>
      <c r="BA3238" s="32"/>
      <c r="BB3238" s="31"/>
      <c r="BC3238" s="31"/>
      <c r="BD3238" s="31"/>
      <c r="BE3238" s="31"/>
      <c r="BF3238" s="96"/>
    </row>
    <row r="3239" spans="42:58" x14ac:dyDescent="0.35">
      <c r="AP3239" s="92"/>
      <c r="AQ3239" s="67"/>
      <c r="AR3239" s="67"/>
      <c r="AS3239" s="73"/>
      <c r="AT3239" s="67"/>
      <c r="AU3239" s="67"/>
      <c r="AV3239" s="73"/>
      <c r="AW3239" s="68"/>
      <c r="AX3239" s="68"/>
      <c r="AY3239" s="68"/>
      <c r="AZ3239" s="68"/>
      <c r="BA3239" s="68"/>
      <c r="BB3239" s="67"/>
      <c r="BC3239" s="67"/>
      <c r="BD3239" s="67"/>
      <c r="BE3239" s="67"/>
      <c r="BF3239" s="95"/>
    </row>
    <row r="3240" spans="42:58" x14ac:dyDescent="0.35">
      <c r="AP3240" s="93"/>
      <c r="AQ3240" s="31"/>
      <c r="AR3240" s="31"/>
      <c r="AS3240" s="94"/>
      <c r="AT3240" s="31"/>
      <c r="AU3240" s="31"/>
      <c r="AV3240" s="94"/>
      <c r="AW3240" s="32"/>
      <c r="AX3240" s="32"/>
      <c r="AY3240" s="32"/>
      <c r="AZ3240" s="32"/>
      <c r="BA3240" s="32"/>
      <c r="BB3240" s="31"/>
      <c r="BC3240" s="31"/>
      <c r="BD3240" s="31"/>
      <c r="BE3240" s="31"/>
      <c r="BF3240" s="96"/>
    </row>
    <row r="3241" spans="42:58" x14ac:dyDescent="0.35">
      <c r="AP3241" s="92"/>
      <c r="AQ3241" s="67"/>
      <c r="AR3241" s="67"/>
      <c r="AS3241" s="73"/>
      <c r="AT3241" s="67"/>
      <c r="AU3241" s="67"/>
      <c r="AV3241" s="73"/>
      <c r="AW3241" s="68"/>
      <c r="AX3241" s="68"/>
      <c r="AY3241" s="68"/>
      <c r="AZ3241" s="68"/>
      <c r="BA3241" s="68"/>
      <c r="BB3241" s="67"/>
      <c r="BC3241" s="67"/>
      <c r="BD3241" s="67"/>
      <c r="BE3241" s="67"/>
      <c r="BF3241" s="95"/>
    </row>
    <row r="3242" spans="42:58" x14ac:dyDescent="0.35">
      <c r="AP3242" s="93"/>
      <c r="AQ3242" s="31"/>
      <c r="AR3242" s="31"/>
      <c r="AS3242" s="94"/>
      <c r="AT3242" s="31"/>
      <c r="AU3242" s="31"/>
      <c r="AV3242" s="94"/>
      <c r="AW3242" s="32"/>
      <c r="AX3242" s="32"/>
      <c r="AY3242" s="32"/>
      <c r="AZ3242" s="32"/>
      <c r="BA3242" s="32"/>
      <c r="BB3242" s="31"/>
      <c r="BC3242" s="31"/>
      <c r="BD3242" s="31"/>
      <c r="BE3242" s="31"/>
      <c r="BF3242" s="96"/>
    </row>
    <row r="3243" spans="42:58" x14ac:dyDescent="0.35">
      <c r="AP3243" s="92"/>
      <c r="AQ3243" s="67"/>
      <c r="AR3243" s="67"/>
      <c r="AS3243" s="73"/>
      <c r="AT3243" s="67"/>
      <c r="AU3243" s="67"/>
      <c r="AV3243" s="73"/>
      <c r="AW3243" s="68"/>
      <c r="AX3243" s="68"/>
      <c r="AY3243" s="68"/>
      <c r="AZ3243" s="68"/>
      <c r="BA3243" s="68"/>
      <c r="BB3243" s="67"/>
      <c r="BC3243" s="67"/>
      <c r="BD3243" s="67"/>
      <c r="BE3243" s="67"/>
      <c r="BF3243" s="95"/>
    </row>
    <row r="3244" spans="42:58" x14ac:dyDescent="0.35">
      <c r="AP3244" s="93"/>
      <c r="AQ3244" s="31"/>
      <c r="AR3244" s="31"/>
      <c r="AS3244" s="94"/>
      <c r="AT3244" s="31"/>
      <c r="AU3244" s="31"/>
      <c r="AV3244" s="94"/>
      <c r="AW3244" s="32"/>
      <c r="AX3244" s="32"/>
      <c r="AY3244" s="32"/>
      <c r="AZ3244" s="32"/>
      <c r="BA3244" s="32"/>
      <c r="BB3244" s="31"/>
      <c r="BC3244" s="31"/>
      <c r="BD3244" s="31"/>
      <c r="BE3244" s="31"/>
      <c r="BF3244" s="96"/>
    </row>
    <row r="3245" spans="42:58" x14ac:dyDescent="0.35">
      <c r="AP3245" s="92"/>
      <c r="AQ3245" s="67"/>
      <c r="AR3245" s="67"/>
      <c r="AS3245" s="73"/>
      <c r="AT3245" s="67"/>
      <c r="AU3245" s="67"/>
      <c r="AV3245" s="73"/>
      <c r="AW3245" s="68"/>
      <c r="AX3245" s="68"/>
      <c r="AY3245" s="68"/>
      <c r="AZ3245" s="68"/>
      <c r="BA3245" s="68"/>
      <c r="BB3245" s="67"/>
      <c r="BC3245" s="67"/>
      <c r="BD3245" s="67"/>
      <c r="BE3245" s="67"/>
      <c r="BF3245" s="95"/>
    </row>
    <row r="3246" spans="42:58" x14ac:dyDescent="0.35">
      <c r="AP3246" s="93"/>
      <c r="AQ3246" s="31"/>
      <c r="AR3246" s="31"/>
      <c r="AS3246" s="94"/>
      <c r="AT3246" s="31"/>
      <c r="AU3246" s="31"/>
      <c r="AV3246" s="94"/>
      <c r="AW3246" s="32"/>
      <c r="AX3246" s="32"/>
      <c r="AY3246" s="32"/>
      <c r="AZ3246" s="32"/>
      <c r="BA3246" s="32"/>
      <c r="BB3246" s="31"/>
      <c r="BC3246" s="31"/>
      <c r="BD3246" s="31"/>
      <c r="BE3246" s="31"/>
      <c r="BF3246" s="96"/>
    </row>
    <row r="3247" spans="42:58" x14ac:dyDescent="0.35">
      <c r="AP3247" s="92"/>
      <c r="AQ3247" s="67"/>
      <c r="AR3247" s="67"/>
      <c r="AS3247" s="73"/>
      <c r="AT3247" s="67"/>
      <c r="AU3247" s="67"/>
      <c r="AV3247" s="73"/>
      <c r="AW3247" s="68"/>
      <c r="AX3247" s="68"/>
      <c r="AY3247" s="68"/>
      <c r="AZ3247" s="68"/>
      <c r="BA3247" s="68"/>
      <c r="BB3247" s="67"/>
      <c r="BC3247" s="67"/>
      <c r="BD3247" s="67"/>
      <c r="BE3247" s="67"/>
      <c r="BF3247" s="95"/>
    </row>
    <row r="3248" spans="42:58" x14ac:dyDescent="0.35">
      <c r="AP3248" s="93"/>
      <c r="AQ3248" s="31"/>
      <c r="AR3248" s="31"/>
      <c r="AS3248" s="94"/>
      <c r="AT3248" s="31"/>
      <c r="AU3248" s="31"/>
      <c r="AV3248" s="94"/>
      <c r="AW3248" s="32"/>
      <c r="AX3248" s="32"/>
      <c r="AY3248" s="32"/>
      <c r="AZ3248" s="32"/>
      <c r="BA3248" s="32"/>
      <c r="BB3248" s="31"/>
      <c r="BC3248" s="31"/>
      <c r="BD3248" s="31"/>
      <c r="BE3248" s="31"/>
      <c r="BF3248" s="96"/>
    </row>
    <row r="3249" spans="42:58" x14ac:dyDescent="0.35">
      <c r="AP3249" s="92"/>
      <c r="AQ3249" s="67"/>
      <c r="AR3249" s="67"/>
      <c r="AS3249" s="73"/>
      <c r="AT3249" s="67"/>
      <c r="AU3249" s="67"/>
      <c r="AV3249" s="73"/>
      <c r="AW3249" s="68"/>
      <c r="AX3249" s="68"/>
      <c r="AY3249" s="68"/>
      <c r="AZ3249" s="68"/>
      <c r="BA3249" s="68"/>
      <c r="BB3249" s="67"/>
      <c r="BC3249" s="67"/>
      <c r="BD3249" s="67"/>
      <c r="BE3249" s="67"/>
      <c r="BF3249" s="95"/>
    </row>
    <row r="3250" spans="42:58" x14ac:dyDescent="0.35">
      <c r="AP3250" s="93"/>
      <c r="AQ3250" s="31"/>
      <c r="AR3250" s="31"/>
      <c r="AS3250" s="94"/>
      <c r="AT3250" s="31"/>
      <c r="AU3250" s="31"/>
      <c r="AV3250" s="94"/>
      <c r="AW3250" s="32"/>
      <c r="AX3250" s="32"/>
      <c r="AY3250" s="32"/>
      <c r="AZ3250" s="32"/>
      <c r="BA3250" s="32"/>
      <c r="BB3250" s="31"/>
      <c r="BC3250" s="31"/>
      <c r="BD3250" s="31"/>
      <c r="BE3250" s="31"/>
      <c r="BF3250" s="96"/>
    </row>
    <row r="3251" spans="42:58" x14ac:dyDescent="0.35">
      <c r="AP3251" s="92"/>
      <c r="AQ3251" s="67"/>
      <c r="AR3251" s="67"/>
      <c r="AS3251" s="73"/>
      <c r="AT3251" s="67"/>
      <c r="AU3251" s="67"/>
      <c r="AV3251" s="73"/>
      <c r="AW3251" s="68"/>
      <c r="AX3251" s="68"/>
      <c r="AY3251" s="68"/>
      <c r="AZ3251" s="68"/>
      <c r="BA3251" s="68"/>
      <c r="BB3251" s="67"/>
      <c r="BC3251" s="67"/>
      <c r="BD3251" s="67"/>
      <c r="BE3251" s="67"/>
      <c r="BF3251" s="95"/>
    </row>
    <row r="3252" spans="42:58" x14ac:dyDescent="0.35">
      <c r="AP3252" s="93"/>
      <c r="AQ3252" s="31"/>
      <c r="AR3252" s="31"/>
      <c r="AS3252" s="94"/>
      <c r="AT3252" s="31"/>
      <c r="AU3252" s="31"/>
      <c r="AV3252" s="94"/>
      <c r="AW3252" s="32"/>
      <c r="AX3252" s="32"/>
      <c r="AY3252" s="32"/>
      <c r="AZ3252" s="32"/>
      <c r="BA3252" s="32"/>
      <c r="BB3252" s="31"/>
      <c r="BC3252" s="31"/>
      <c r="BD3252" s="31"/>
      <c r="BE3252" s="31"/>
      <c r="BF3252" s="96"/>
    </row>
    <row r="3253" spans="42:58" x14ac:dyDescent="0.35">
      <c r="AP3253" s="92"/>
      <c r="AQ3253" s="67"/>
      <c r="AR3253" s="67"/>
      <c r="AS3253" s="73"/>
      <c r="AT3253" s="67"/>
      <c r="AU3253" s="67"/>
      <c r="AV3253" s="73"/>
      <c r="AW3253" s="68"/>
      <c r="AX3253" s="68"/>
      <c r="AY3253" s="68"/>
      <c r="AZ3253" s="68"/>
      <c r="BA3253" s="68"/>
      <c r="BB3253" s="67"/>
      <c r="BC3253" s="67"/>
      <c r="BD3253" s="67"/>
      <c r="BE3253" s="67"/>
      <c r="BF3253" s="95"/>
    </row>
    <row r="3254" spans="42:58" x14ac:dyDescent="0.35">
      <c r="AP3254" s="93"/>
      <c r="AQ3254" s="31"/>
      <c r="AR3254" s="31"/>
      <c r="AS3254" s="94"/>
      <c r="AT3254" s="31"/>
      <c r="AU3254" s="31"/>
      <c r="AV3254" s="94"/>
      <c r="AW3254" s="32"/>
      <c r="AX3254" s="32"/>
      <c r="AY3254" s="32"/>
      <c r="AZ3254" s="32"/>
      <c r="BA3254" s="32"/>
      <c r="BB3254" s="31"/>
      <c r="BC3254" s="31"/>
      <c r="BD3254" s="31"/>
      <c r="BE3254" s="31"/>
      <c r="BF3254" s="96"/>
    </row>
    <row r="3255" spans="42:58" x14ac:dyDescent="0.35">
      <c r="AP3255" s="92"/>
      <c r="AQ3255" s="67"/>
      <c r="AR3255" s="67"/>
      <c r="AS3255" s="73"/>
      <c r="AT3255" s="67"/>
      <c r="AU3255" s="67"/>
      <c r="AV3255" s="73"/>
      <c r="AW3255" s="68"/>
      <c r="AX3255" s="68"/>
      <c r="AY3255" s="68"/>
      <c r="AZ3255" s="68"/>
      <c r="BA3255" s="68"/>
      <c r="BB3255" s="67"/>
      <c r="BC3255" s="67"/>
      <c r="BD3255" s="67"/>
      <c r="BE3255" s="67"/>
      <c r="BF3255" s="95"/>
    </row>
    <row r="3256" spans="42:58" x14ac:dyDescent="0.35">
      <c r="AP3256" s="93"/>
      <c r="AQ3256" s="31"/>
      <c r="AR3256" s="31"/>
      <c r="AS3256" s="94"/>
      <c r="AT3256" s="31"/>
      <c r="AU3256" s="31"/>
      <c r="AV3256" s="94"/>
      <c r="AW3256" s="32"/>
      <c r="AX3256" s="32"/>
      <c r="AY3256" s="32"/>
      <c r="AZ3256" s="32"/>
      <c r="BA3256" s="32"/>
      <c r="BB3256" s="31"/>
      <c r="BC3256" s="31"/>
      <c r="BD3256" s="31"/>
      <c r="BE3256" s="31"/>
      <c r="BF3256" s="96"/>
    </row>
    <row r="3257" spans="42:58" x14ac:dyDescent="0.35">
      <c r="AP3257" s="92"/>
      <c r="AQ3257" s="67"/>
      <c r="AR3257" s="67"/>
      <c r="AS3257" s="73"/>
      <c r="AT3257" s="67"/>
      <c r="AU3257" s="67"/>
      <c r="AV3257" s="73"/>
      <c r="AW3257" s="68"/>
      <c r="AX3257" s="68"/>
      <c r="AY3257" s="68"/>
      <c r="AZ3257" s="68"/>
      <c r="BA3257" s="68"/>
      <c r="BB3257" s="67"/>
      <c r="BC3257" s="67"/>
      <c r="BD3257" s="67"/>
      <c r="BE3257" s="67"/>
      <c r="BF3257" s="95"/>
    </row>
    <row r="3258" spans="42:58" x14ac:dyDescent="0.35">
      <c r="AP3258" s="93"/>
      <c r="AQ3258" s="31"/>
      <c r="AR3258" s="31"/>
      <c r="AS3258" s="94"/>
      <c r="AT3258" s="31"/>
      <c r="AU3258" s="31"/>
      <c r="AV3258" s="94"/>
      <c r="AW3258" s="32"/>
      <c r="AX3258" s="32"/>
      <c r="AY3258" s="32"/>
      <c r="AZ3258" s="32"/>
      <c r="BA3258" s="32"/>
      <c r="BB3258" s="31"/>
      <c r="BC3258" s="31"/>
      <c r="BD3258" s="31"/>
      <c r="BE3258" s="31"/>
      <c r="BF3258" s="96"/>
    </row>
    <row r="3259" spans="42:58" x14ac:dyDescent="0.35">
      <c r="AP3259" s="92"/>
      <c r="AQ3259" s="67"/>
      <c r="AR3259" s="67"/>
      <c r="AS3259" s="73"/>
      <c r="AT3259" s="67"/>
      <c r="AU3259" s="67"/>
      <c r="AV3259" s="73"/>
      <c r="AW3259" s="68"/>
      <c r="AX3259" s="68"/>
      <c r="AY3259" s="68"/>
      <c r="AZ3259" s="68"/>
      <c r="BA3259" s="68"/>
      <c r="BB3259" s="67"/>
      <c r="BC3259" s="67"/>
      <c r="BD3259" s="67"/>
      <c r="BE3259" s="67"/>
      <c r="BF3259" s="95"/>
    </row>
    <row r="3260" spans="42:58" x14ac:dyDescent="0.35">
      <c r="AP3260" s="93"/>
      <c r="AQ3260" s="31"/>
      <c r="AR3260" s="31"/>
      <c r="AS3260" s="94"/>
      <c r="AT3260" s="31"/>
      <c r="AU3260" s="31"/>
      <c r="AV3260" s="94"/>
      <c r="AW3260" s="32"/>
      <c r="AX3260" s="32"/>
      <c r="AY3260" s="32"/>
      <c r="AZ3260" s="32"/>
      <c r="BA3260" s="32"/>
      <c r="BB3260" s="31"/>
      <c r="BC3260" s="31"/>
      <c r="BD3260" s="31"/>
      <c r="BE3260" s="31"/>
      <c r="BF3260" s="96"/>
    </row>
    <row r="3261" spans="42:58" x14ac:dyDescent="0.35">
      <c r="AP3261" s="92"/>
      <c r="AQ3261" s="67"/>
      <c r="AR3261" s="67"/>
      <c r="AS3261" s="73"/>
      <c r="AT3261" s="67"/>
      <c r="AU3261" s="67"/>
      <c r="AV3261" s="73"/>
      <c r="AW3261" s="68"/>
      <c r="AX3261" s="68"/>
      <c r="AY3261" s="68"/>
      <c r="AZ3261" s="68"/>
      <c r="BA3261" s="68"/>
      <c r="BB3261" s="67"/>
      <c r="BC3261" s="67"/>
      <c r="BD3261" s="67"/>
      <c r="BE3261" s="67"/>
      <c r="BF3261" s="95"/>
    </row>
    <row r="3262" spans="42:58" x14ac:dyDescent="0.35">
      <c r="AP3262" s="93"/>
      <c r="AQ3262" s="31"/>
      <c r="AR3262" s="31"/>
      <c r="AS3262" s="94"/>
      <c r="AT3262" s="31"/>
      <c r="AU3262" s="31"/>
      <c r="AV3262" s="94"/>
      <c r="AW3262" s="32"/>
      <c r="AX3262" s="32"/>
      <c r="AY3262" s="32"/>
      <c r="AZ3262" s="32"/>
      <c r="BA3262" s="32"/>
      <c r="BB3262" s="31"/>
      <c r="BC3262" s="31"/>
      <c r="BD3262" s="31"/>
      <c r="BE3262" s="31"/>
      <c r="BF3262" s="96"/>
    </row>
    <row r="3263" spans="42:58" x14ac:dyDescent="0.35">
      <c r="AP3263" s="92"/>
      <c r="AQ3263" s="67"/>
      <c r="AR3263" s="67"/>
      <c r="AS3263" s="73"/>
      <c r="AT3263" s="67"/>
      <c r="AU3263" s="67"/>
      <c r="AV3263" s="73"/>
      <c r="AW3263" s="68"/>
      <c r="AX3263" s="68"/>
      <c r="AY3263" s="68"/>
      <c r="AZ3263" s="68"/>
      <c r="BA3263" s="68"/>
      <c r="BB3263" s="67"/>
      <c r="BC3263" s="67"/>
      <c r="BD3263" s="67"/>
      <c r="BE3263" s="67"/>
      <c r="BF3263" s="95"/>
    </row>
    <row r="3264" spans="42:58" x14ac:dyDescent="0.35">
      <c r="AP3264" s="93"/>
      <c r="AQ3264" s="31"/>
      <c r="AR3264" s="31"/>
      <c r="AS3264" s="94"/>
      <c r="AT3264" s="31"/>
      <c r="AU3264" s="31"/>
      <c r="AV3264" s="94"/>
      <c r="AW3264" s="32"/>
      <c r="AX3264" s="32"/>
      <c r="AY3264" s="32"/>
      <c r="AZ3264" s="32"/>
      <c r="BA3264" s="32"/>
      <c r="BB3264" s="31"/>
      <c r="BC3264" s="31"/>
      <c r="BD3264" s="31"/>
      <c r="BE3264" s="31"/>
      <c r="BF3264" s="96"/>
    </row>
    <row r="3265" spans="42:58" x14ac:dyDescent="0.35">
      <c r="AP3265" s="92"/>
      <c r="AQ3265" s="67"/>
      <c r="AR3265" s="67"/>
      <c r="AS3265" s="73"/>
      <c r="AT3265" s="67"/>
      <c r="AU3265" s="67"/>
      <c r="AV3265" s="73"/>
      <c r="AW3265" s="68"/>
      <c r="AX3265" s="68"/>
      <c r="AY3265" s="68"/>
      <c r="AZ3265" s="68"/>
      <c r="BA3265" s="68"/>
      <c r="BB3265" s="67"/>
      <c r="BC3265" s="67"/>
      <c r="BD3265" s="67"/>
      <c r="BE3265" s="67"/>
      <c r="BF3265" s="95"/>
    </row>
    <row r="3266" spans="42:58" x14ac:dyDescent="0.35">
      <c r="AP3266" s="93"/>
      <c r="AQ3266" s="31"/>
      <c r="AR3266" s="31"/>
      <c r="AS3266" s="94"/>
      <c r="AT3266" s="31"/>
      <c r="AU3266" s="31"/>
      <c r="AV3266" s="94"/>
      <c r="AW3266" s="32"/>
      <c r="AX3266" s="32"/>
      <c r="AY3266" s="32"/>
      <c r="AZ3266" s="32"/>
      <c r="BA3266" s="32"/>
      <c r="BB3266" s="31"/>
      <c r="BC3266" s="31"/>
      <c r="BD3266" s="31"/>
      <c r="BE3266" s="31"/>
      <c r="BF3266" s="96"/>
    </row>
    <row r="3267" spans="42:58" x14ac:dyDescent="0.35">
      <c r="AP3267" s="92"/>
      <c r="AQ3267" s="67"/>
      <c r="AR3267" s="67"/>
      <c r="AS3267" s="73"/>
      <c r="AT3267" s="67"/>
      <c r="AU3267" s="67"/>
      <c r="AV3267" s="73"/>
      <c r="AW3267" s="68"/>
      <c r="AX3267" s="68"/>
      <c r="AY3267" s="68"/>
      <c r="AZ3267" s="68"/>
      <c r="BA3267" s="68"/>
      <c r="BB3267" s="67"/>
      <c r="BC3267" s="67"/>
      <c r="BD3267" s="67"/>
      <c r="BE3267" s="67"/>
      <c r="BF3267" s="95"/>
    </row>
    <row r="3268" spans="42:58" x14ac:dyDescent="0.35">
      <c r="AP3268" s="93"/>
      <c r="AQ3268" s="31"/>
      <c r="AR3268" s="31"/>
      <c r="AS3268" s="94"/>
      <c r="AT3268" s="31"/>
      <c r="AU3268" s="31"/>
      <c r="AV3268" s="94"/>
      <c r="AW3268" s="32"/>
      <c r="AX3268" s="32"/>
      <c r="AY3268" s="32"/>
      <c r="AZ3268" s="32"/>
      <c r="BA3268" s="32"/>
      <c r="BB3268" s="31"/>
      <c r="BC3268" s="31"/>
      <c r="BD3268" s="31"/>
      <c r="BE3268" s="31"/>
      <c r="BF3268" s="96"/>
    </row>
    <row r="3269" spans="42:58" x14ac:dyDescent="0.35">
      <c r="AP3269" s="92"/>
      <c r="AQ3269" s="67"/>
      <c r="AR3269" s="67"/>
      <c r="AS3269" s="73"/>
      <c r="AT3269" s="67"/>
      <c r="AU3269" s="67"/>
      <c r="AV3269" s="73"/>
      <c r="AW3269" s="68"/>
      <c r="AX3269" s="68"/>
      <c r="AY3269" s="68"/>
      <c r="AZ3269" s="68"/>
      <c r="BA3269" s="68"/>
      <c r="BB3269" s="67"/>
      <c r="BC3269" s="67"/>
      <c r="BD3269" s="67"/>
      <c r="BE3269" s="67"/>
      <c r="BF3269" s="95"/>
    </row>
    <row r="3270" spans="42:58" x14ac:dyDescent="0.35">
      <c r="AP3270" s="93"/>
      <c r="AQ3270" s="31"/>
      <c r="AR3270" s="31"/>
      <c r="AS3270" s="94"/>
      <c r="AT3270" s="31"/>
      <c r="AU3270" s="31"/>
      <c r="AV3270" s="94"/>
      <c r="AW3270" s="32"/>
      <c r="AX3270" s="32"/>
      <c r="AY3270" s="32"/>
      <c r="AZ3270" s="32"/>
      <c r="BA3270" s="32"/>
      <c r="BB3270" s="31"/>
      <c r="BC3270" s="31"/>
      <c r="BD3270" s="31"/>
      <c r="BE3270" s="31"/>
      <c r="BF3270" s="96"/>
    </row>
    <row r="3271" spans="42:58" x14ac:dyDescent="0.35">
      <c r="AP3271" s="92"/>
      <c r="AQ3271" s="67"/>
      <c r="AR3271" s="67"/>
      <c r="AS3271" s="73"/>
      <c r="AT3271" s="67"/>
      <c r="AU3271" s="67"/>
      <c r="AV3271" s="73"/>
      <c r="AW3271" s="68"/>
      <c r="AX3271" s="68"/>
      <c r="AY3271" s="68"/>
      <c r="AZ3271" s="68"/>
      <c r="BA3271" s="68"/>
      <c r="BB3271" s="67"/>
      <c r="BC3271" s="67"/>
      <c r="BD3271" s="67"/>
      <c r="BE3271" s="67"/>
      <c r="BF3271" s="95"/>
    </row>
    <row r="3272" spans="42:58" x14ac:dyDescent="0.35">
      <c r="AP3272" s="93"/>
      <c r="AQ3272" s="31"/>
      <c r="AR3272" s="31"/>
      <c r="AS3272" s="94"/>
      <c r="AT3272" s="31"/>
      <c r="AU3272" s="31"/>
      <c r="AV3272" s="94"/>
      <c r="AW3272" s="32"/>
      <c r="AX3272" s="32"/>
      <c r="AY3272" s="32"/>
      <c r="AZ3272" s="32"/>
      <c r="BA3272" s="32"/>
      <c r="BB3272" s="31"/>
      <c r="BC3272" s="31"/>
      <c r="BD3272" s="31"/>
      <c r="BE3272" s="31"/>
      <c r="BF3272" s="96"/>
    </row>
    <row r="3273" spans="42:58" x14ac:dyDescent="0.35">
      <c r="AP3273" s="92"/>
      <c r="AQ3273" s="67"/>
      <c r="AR3273" s="67"/>
      <c r="AS3273" s="73"/>
      <c r="AT3273" s="67"/>
      <c r="AU3273" s="67"/>
      <c r="AV3273" s="73"/>
      <c r="AW3273" s="68"/>
      <c r="AX3273" s="68"/>
      <c r="AY3273" s="68"/>
      <c r="AZ3273" s="68"/>
      <c r="BA3273" s="68"/>
      <c r="BB3273" s="67"/>
      <c r="BC3273" s="67"/>
      <c r="BD3273" s="67"/>
      <c r="BE3273" s="67"/>
      <c r="BF3273" s="95"/>
    </row>
    <row r="3274" spans="42:58" x14ac:dyDescent="0.35">
      <c r="AP3274" s="93"/>
      <c r="AQ3274" s="31"/>
      <c r="AR3274" s="31"/>
      <c r="AS3274" s="94"/>
      <c r="AT3274" s="31"/>
      <c r="AU3274" s="31"/>
      <c r="AV3274" s="94"/>
      <c r="AW3274" s="32"/>
      <c r="AX3274" s="32"/>
      <c r="AY3274" s="32"/>
      <c r="AZ3274" s="32"/>
      <c r="BA3274" s="32"/>
      <c r="BB3274" s="31"/>
      <c r="BC3274" s="31"/>
      <c r="BD3274" s="31"/>
      <c r="BE3274" s="31"/>
      <c r="BF3274" s="96"/>
    </row>
    <row r="3275" spans="42:58" x14ac:dyDescent="0.35">
      <c r="AP3275" s="92"/>
      <c r="AQ3275" s="67"/>
      <c r="AR3275" s="67"/>
      <c r="AS3275" s="73"/>
      <c r="AT3275" s="67"/>
      <c r="AU3275" s="67"/>
      <c r="AV3275" s="73"/>
      <c r="AW3275" s="68"/>
      <c r="AX3275" s="68"/>
      <c r="AY3275" s="68"/>
      <c r="AZ3275" s="68"/>
      <c r="BA3275" s="68"/>
      <c r="BB3275" s="67"/>
      <c r="BC3275" s="67"/>
      <c r="BD3275" s="67"/>
      <c r="BE3275" s="67"/>
      <c r="BF3275" s="95"/>
    </row>
    <row r="3276" spans="42:58" x14ac:dyDescent="0.35">
      <c r="AP3276" s="93"/>
      <c r="AQ3276" s="31"/>
      <c r="AR3276" s="31"/>
      <c r="AS3276" s="94"/>
      <c r="AT3276" s="31"/>
      <c r="AU3276" s="31"/>
      <c r="AV3276" s="94"/>
      <c r="AW3276" s="32"/>
      <c r="AX3276" s="32"/>
      <c r="AY3276" s="32"/>
      <c r="AZ3276" s="32"/>
      <c r="BA3276" s="32"/>
      <c r="BB3276" s="31"/>
      <c r="BC3276" s="31"/>
      <c r="BD3276" s="31"/>
      <c r="BE3276" s="31"/>
      <c r="BF3276" s="96"/>
    </row>
    <row r="3277" spans="42:58" x14ac:dyDescent="0.35">
      <c r="AP3277" s="92"/>
      <c r="AQ3277" s="67"/>
      <c r="AR3277" s="67"/>
      <c r="AS3277" s="73"/>
      <c r="AT3277" s="67"/>
      <c r="AU3277" s="67"/>
      <c r="AV3277" s="73"/>
      <c r="AW3277" s="68"/>
      <c r="AX3277" s="68"/>
      <c r="AY3277" s="68"/>
      <c r="AZ3277" s="68"/>
      <c r="BA3277" s="68"/>
      <c r="BB3277" s="67"/>
      <c r="BC3277" s="67"/>
      <c r="BD3277" s="67"/>
      <c r="BE3277" s="67"/>
      <c r="BF3277" s="95"/>
    </row>
    <row r="3278" spans="42:58" x14ac:dyDescent="0.35">
      <c r="AP3278" s="93"/>
      <c r="AQ3278" s="31"/>
      <c r="AR3278" s="31"/>
      <c r="AS3278" s="94"/>
      <c r="AT3278" s="31"/>
      <c r="AU3278" s="31"/>
      <c r="AV3278" s="94"/>
      <c r="AW3278" s="32"/>
      <c r="AX3278" s="32"/>
      <c r="AY3278" s="32"/>
      <c r="AZ3278" s="32"/>
      <c r="BA3278" s="32"/>
      <c r="BB3278" s="31"/>
      <c r="BC3278" s="31"/>
      <c r="BD3278" s="31"/>
      <c r="BE3278" s="31"/>
      <c r="BF3278" s="96"/>
    </row>
    <row r="3279" spans="42:58" x14ac:dyDescent="0.35">
      <c r="AP3279" s="92"/>
      <c r="AQ3279" s="67"/>
      <c r="AR3279" s="67"/>
      <c r="AS3279" s="73"/>
      <c r="AT3279" s="67"/>
      <c r="AU3279" s="67"/>
      <c r="AV3279" s="73"/>
      <c r="AW3279" s="68"/>
      <c r="AX3279" s="68"/>
      <c r="AY3279" s="68"/>
      <c r="AZ3279" s="68"/>
      <c r="BA3279" s="68"/>
      <c r="BB3279" s="67"/>
      <c r="BC3279" s="67"/>
      <c r="BD3279" s="67"/>
      <c r="BE3279" s="67"/>
      <c r="BF3279" s="95"/>
    </row>
    <row r="3280" spans="42:58" x14ac:dyDescent="0.35">
      <c r="AP3280" s="93"/>
      <c r="AQ3280" s="31"/>
      <c r="AR3280" s="31"/>
      <c r="AS3280" s="94"/>
      <c r="AT3280" s="31"/>
      <c r="AU3280" s="31"/>
      <c r="AV3280" s="94"/>
      <c r="AW3280" s="32"/>
      <c r="AX3280" s="32"/>
      <c r="AY3280" s="32"/>
      <c r="AZ3280" s="32"/>
      <c r="BA3280" s="32"/>
      <c r="BB3280" s="31"/>
      <c r="BC3280" s="31"/>
      <c r="BD3280" s="31"/>
      <c r="BE3280" s="31"/>
      <c r="BF3280" s="96"/>
    </row>
    <row r="3281" spans="42:58" x14ac:dyDescent="0.35">
      <c r="AP3281" s="92"/>
      <c r="AQ3281" s="67"/>
      <c r="AR3281" s="67"/>
      <c r="AS3281" s="73"/>
      <c r="AT3281" s="67"/>
      <c r="AU3281" s="67"/>
      <c r="AV3281" s="73"/>
      <c r="AW3281" s="68"/>
      <c r="AX3281" s="68"/>
      <c r="AY3281" s="68"/>
      <c r="AZ3281" s="68"/>
      <c r="BA3281" s="68"/>
      <c r="BB3281" s="67"/>
      <c r="BC3281" s="67"/>
      <c r="BD3281" s="67"/>
      <c r="BE3281" s="67"/>
      <c r="BF3281" s="95"/>
    </row>
    <row r="3282" spans="42:58" x14ac:dyDescent="0.35">
      <c r="AP3282" s="93"/>
      <c r="AQ3282" s="31"/>
      <c r="AR3282" s="31"/>
      <c r="AS3282" s="94"/>
      <c r="AT3282" s="31"/>
      <c r="AU3282" s="31"/>
      <c r="AV3282" s="94"/>
      <c r="AW3282" s="32"/>
      <c r="AX3282" s="32"/>
      <c r="AY3282" s="32"/>
      <c r="AZ3282" s="32"/>
      <c r="BA3282" s="32"/>
      <c r="BB3282" s="31"/>
      <c r="BC3282" s="31"/>
      <c r="BD3282" s="31"/>
      <c r="BE3282" s="31"/>
      <c r="BF3282" s="96"/>
    </row>
    <row r="3283" spans="42:58" x14ac:dyDescent="0.35">
      <c r="AP3283" s="92"/>
      <c r="AQ3283" s="67"/>
      <c r="AR3283" s="67"/>
      <c r="AS3283" s="73"/>
      <c r="AT3283" s="67"/>
      <c r="AU3283" s="67"/>
      <c r="AV3283" s="73"/>
      <c r="AW3283" s="68"/>
      <c r="AX3283" s="68"/>
      <c r="AY3283" s="68"/>
      <c r="AZ3283" s="68"/>
      <c r="BA3283" s="68"/>
      <c r="BB3283" s="67"/>
      <c r="BC3283" s="67"/>
      <c r="BD3283" s="67"/>
      <c r="BE3283" s="67"/>
      <c r="BF3283" s="95"/>
    </row>
    <row r="3284" spans="42:58" x14ac:dyDescent="0.35">
      <c r="AP3284" s="93"/>
      <c r="AQ3284" s="31"/>
      <c r="AR3284" s="31"/>
      <c r="AS3284" s="94"/>
      <c r="AT3284" s="31"/>
      <c r="AU3284" s="31"/>
      <c r="AV3284" s="94"/>
      <c r="AW3284" s="32"/>
      <c r="AX3284" s="32"/>
      <c r="AY3284" s="32"/>
      <c r="AZ3284" s="32"/>
      <c r="BA3284" s="32"/>
      <c r="BB3284" s="31"/>
      <c r="BC3284" s="31"/>
      <c r="BD3284" s="31"/>
      <c r="BE3284" s="31"/>
      <c r="BF3284" s="96"/>
    </row>
    <row r="3285" spans="42:58" x14ac:dyDescent="0.35">
      <c r="AP3285" s="92"/>
      <c r="AQ3285" s="67"/>
      <c r="AR3285" s="67"/>
      <c r="AS3285" s="73"/>
      <c r="AT3285" s="67"/>
      <c r="AU3285" s="67"/>
      <c r="AV3285" s="73"/>
      <c r="AW3285" s="68"/>
      <c r="AX3285" s="68"/>
      <c r="AY3285" s="68"/>
      <c r="AZ3285" s="68"/>
      <c r="BA3285" s="68"/>
      <c r="BB3285" s="67"/>
      <c r="BC3285" s="67"/>
      <c r="BD3285" s="67"/>
      <c r="BE3285" s="67"/>
      <c r="BF3285" s="95"/>
    </row>
    <row r="3286" spans="42:58" x14ac:dyDescent="0.35">
      <c r="AP3286" s="93"/>
      <c r="AQ3286" s="31"/>
      <c r="AR3286" s="31"/>
      <c r="AS3286" s="94"/>
      <c r="AT3286" s="31"/>
      <c r="AU3286" s="31"/>
      <c r="AV3286" s="94"/>
      <c r="AW3286" s="32"/>
      <c r="AX3286" s="32"/>
      <c r="AY3286" s="32"/>
      <c r="AZ3286" s="32"/>
      <c r="BA3286" s="32"/>
      <c r="BB3286" s="31"/>
      <c r="BC3286" s="31"/>
      <c r="BD3286" s="31"/>
      <c r="BE3286" s="31"/>
      <c r="BF3286" s="96"/>
    </row>
    <row r="3287" spans="42:58" x14ac:dyDescent="0.35">
      <c r="AP3287" s="92"/>
      <c r="AQ3287" s="67"/>
      <c r="AR3287" s="67"/>
      <c r="AS3287" s="73"/>
      <c r="AT3287" s="67"/>
      <c r="AU3287" s="67"/>
      <c r="AV3287" s="73"/>
      <c r="AW3287" s="68"/>
      <c r="AX3287" s="68"/>
      <c r="AY3287" s="68"/>
      <c r="AZ3287" s="68"/>
      <c r="BA3287" s="68"/>
      <c r="BB3287" s="67"/>
      <c r="BC3287" s="67"/>
      <c r="BD3287" s="67"/>
      <c r="BE3287" s="67"/>
      <c r="BF3287" s="95"/>
    </row>
    <row r="3288" spans="42:58" x14ac:dyDescent="0.35">
      <c r="AP3288" s="93"/>
      <c r="AQ3288" s="31"/>
      <c r="AR3288" s="31"/>
      <c r="AS3288" s="94"/>
      <c r="AT3288" s="31"/>
      <c r="AU3288" s="31"/>
      <c r="AV3288" s="94"/>
      <c r="AW3288" s="32"/>
      <c r="AX3288" s="32"/>
      <c r="AY3288" s="32"/>
      <c r="AZ3288" s="32"/>
      <c r="BA3288" s="32"/>
      <c r="BB3288" s="31"/>
      <c r="BC3288" s="31"/>
      <c r="BD3288" s="31"/>
      <c r="BE3288" s="31"/>
      <c r="BF3288" s="96"/>
    </row>
    <row r="3289" spans="42:58" x14ac:dyDescent="0.35">
      <c r="AP3289" s="92"/>
      <c r="AQ3289" s="67"/>
      <c r="AR3289" s="67"/>
      <c r="AS3289" s="73"/>
      <c r="AT3289" s="67"/>
      <c r="AU3289" s="67"/>
      <c r="AV3289" s="73"/>
      <c r="AW3289" s="68"/>
      <c r="AX3289" s="68"/>
      <c r="AY3289" s="68"/>
      <c r="AZ3289" s="68"/>
      <c r="BA3289" s="68"/>
      <c r="BB3289" s="67"/>
      <c r="BC3289" s="67"/>
      <c r="BD3289" s="67"/>
      <c r="BE3289" s="67"/>
      <c r="BF3289" s="95"/>
    </row>
    <row r="3290" spans="42:58" x14ac:dyDescent="0.35">
      <c r="AP3290" s="93"/>
      <c r="AQ3290" s="31"/>
      <c r="AR3290" s="31"/>
      <c r="AS3290" s="94"/>
      <c r="AT3290" s="31"/>
      <c r="AU3290" s="31"/>
      <c r="AV3290" s="94"/>
      <c r="AW3290" s="32"/>
      <c r="AX3290" s="32"/>
      <c r="AY3290" s="32"/>
      <c r="AZ3290" s="32"/>
      <c r="BA3290" s="32"/>
      <c r="BB3290" s="31"/>
      <c r="BC3290" s="31"/>
      <c r="BD3290" s="31"/>
      <c r="BE3290" s="31"/>
      <c r="BF3290" s="96"/>
    </row>
    <row r="3291" spans="42:58" x14ac:dyDescent="0.35">
      <c r="AP3291" s="92"/>
      <c r="AQ3291" s="67"/>
      <c r="AR3291" s="67"/>
      <c r="AS3291" s="73"/>
      <c r="AT3291" s="67"/>
      <c r="AU3291" s="67"/>
      <c r="AV3291" s="73"/>
      <c r="AW3291" s="68"/>
      <c r="AX3291" s="68"/>
      <c r="AY3291" s="68"/>
      <c r="AZ3291" s="68"/>
      <c r="BA3291" s="68"/>
      <c r="BB3291" s="67"/>
      <c r="BC3291" s="67"/>
      <c r="BD3291" s="67"/>
      <c r="BE3291" s="67"/>
      <c r="BF3291" s="95"/>
    </row>
    <row r="3292" spans="42:58" x14ac:dyDescent="0.35">
      <c r="AP3292" s="93"/>
      <c r="AQ3292" s="31"/>
      <c r="AR3292" s="31"/>
      <c r="AS3292" s="94"/>
      <c r="AT3292" s="31"/>
      <c r="AU3292" s="31"/>
      <c r="AV3292" s="94"/>
      <c r="AW3292" s="32"/>
      <c r="AX3292" s="32"/>
      <c r="AY3292" s="32"/>
      <c r="AZ3292" s="32"/>
      <c r="BA3292" s="32"/>
      <c r="BB3292" s="31"/>
      <c r="BC3292" s="31"/>
      <c r="BD3292" s="31"/>
      <c r="BE3292" s="31"/>
      <c r="BF3292" s="96"/>
    </row>
    <row r="3293" spans="42:58" x14ac:dyDescent="0.35">
      <c r="AP3293" s="92"/>
      <c r="AQ3293" s="67"/>
      <c r="AR3293" s="67"/>
      <c r="AS3293" s="73"/>
      <c r="AT3293" s="67"/>
      <c r="AU3293" s="67"/>
      <c r="AV3293" s="73"/>
      <c r="AW3293" s="68"/>
      <c r="AX3293" s="68"/>
      <c r="AY3293" s="68"/>
      <c r="AZ3293" s="68"/>
      <c r="BA3293" s="68"/>
      <c r="BB3293" s="67"/>
      <c r="BC3293" s="67"/>
      <c r="BD3293" s="67"/>
      <c r="BE3293" s="67"/>
      <c r="BF3293" s="95"/>
    </row>
    <row r="3294" spans="42:58" x14ac:dyDescent="0.35">
      <c r="AP3294" s="93"/>
      <c r="AQ3294" s="31"/>
      <c r="AR3294" s="31"/>
      <c r="AS3294" s="94"/>
      <c r="AT3294" s="31"/>
      <c r="AU3294" s="31"/>
      <c r="AV3294" s="94"/>
      <c r="AW3294" s="32"/>
      <c r="AX3294" s="32"/>
      <c r="AY3294" s="32"/>
      <c r="AZ3294" s="32"/>
      <c r="BA3294" s="32"/>
      <c r="BB3294" s="31"/>
      <c r="BC3294" s="31"/>
      <c r="BD3294" s="31"/>
      <c r="BE3294" s="31"/>
      <c r="BF3294" s="96"/>
    </row>
    <row r="3295" spans="42:58" x14ac:dyDescent="0.35">
      <c r="AP3295" s="92"/>
      <c r="AQ3295" s="67"/>
      <c r="AR3295" s="67"/>
      <c r="AS3295" s="73"/>
      <c r="AT3295" s="67"/>
      <c r="AU3295" s="67"/>
      <c r="AV3295" s="73"/>
      <c r="AW3295" s="68"/>
      <c r="AX3295" s="68"/>
      <c r="AY3295" s="68"/>
      <c r="AZ3295" s="68"/>
      <c r="BA3295" s="68"/>
      <c r="BB3295" s="67"/>
      <c r="BC3295" s="67"/>
      <c r="BD3295" s="67"/>
      <c r="BE3295" s="67"/>
      <c r="BF3295" s="95"/>
    </row>
    <row r="3296" spans="42:58" x14ac:dyDescent="0.35">
      <c r="AP3296" s="93"/>
      <c r="AQ3296" s="31"/>
      <c r="AR3296" s="31"/>
      <c r="AS3296" s="94"/>
      <c r="AT3296" s="31"/>
      <c r="AU3296" s="31"/>
      <c r="AV3296" s="94"/>
      <c r="AW3296" s="32"/>
      <c r="AX3296" s="32"/>
      <c r="AY3296" s="32"/>
      <c r="AZ3296" s="32"/>
      <c r="BA3296" s="32"/>
      <c r="BB3296" s="31"/>
      <c r="BC3296" s="31"/>
      <c r="BD3296" s="31"/>
      <c r="BE3296" s="31"/>
      <c r="BF3296" s="96"/>
    </row>
    <row r="3297" spans="42:58" x14ac:dyDescent="0.35">
      <c r="AP3297" s="92"/>
      <c r="AQ3297" s="67"/>
      <c r="AR3297" s="67"/>
      <c r="AS3297" s="73"/>
      <c r="AT3297" s="67"/>
      <c r="AU3297" s="67"/>
      <c r="AV3297" s="73"/>
      <c r="AW3297" s="68"/>
      <c r="AX3297" s="68"/>
      <c r="AY3297" s="68"/>
      <c r="AZ3297" s="68"/>
      <c r="BA3297" s="68"/>
      <c r="BB3297" s="67"/>
      <c r="BC3297" s="67"/>
      <c r="BD3297" s="67"/>
      <c r="BE3297" s="67"/>
      <c r="BF3297" s="95"/>
    </row>
    <row r="3298" spans="42:58" x14ac:dyDescent="0.35">
      <c r="AP3298" s="93"/>
      <c r="AQ3298" s="31"/>
      <c r="AR3298" s="31"/>
      <c r="AS3298" s="94"/>
      <c r="AT3298" s="31"/>
      <c r="AU3298" s="31"/>
      <c r="AV3298" s="94"/>
      <c r="AW3298" s="32"/>
      <c r="AX3298" s="32"/>
      <c r="AY3298" s="32"/>
      <c r="AZ3298" s="32"/>
      <c r="BA3298" s="32"/>
      <c r="BB3298" s="31"/>
      <c r="BC3298" s="31"/>
      <c r="BD3298" s="31"/>
      <c r="BE3298" s="31"/>
      <c r="BF3298" s="96"/>
    </row>
    <row r="3299" spans="42:58" x14ac:dyDescent="0.35">
      <c r="AP3299" s="92"/>
      <c r="AQ3299" s="67"/>
      <c r="AR3299" s="67"/>
      <c r="AS3299" s="73"/>
      <c r="AT3299" s="67"/>
      <c r="AU3299" s="67"/>
      <c r="AV3299" s="73"/>
      <c r="AW3299" s="68"/>
      <c r="AX3299" s="68"/>
      <c r="AY3299" s="68"/>
      <c r="AZ3299" s="68"/>
      <c r="BA3299" s="68"/>
      <c r="BB3299" s="67"/>
      <c r="BC3299" s="67"/>
      <c r="BD3299" s="67"/>
      <c r="BE3299" s="67"/>
      <c r="BF3299" s="95"/>
    </row>
    <row r="3300" spans="42:58" x14ac:dyDescent="0.35">
      <c r="AP3300" s="93"/>
      <c r="AQ3300" s="31"/>
      <c r="AR3300" s="31"/>
      <c r="AS3300" s="94"/>
      <c r="AT3300" s="31"/>
      <c r="AU3300" s="31"/>
      <c r="AV3300" s="94"/>
      <c r="AW3300" s="32"/>
      <c r="AX3300" s="32"/>
      <c r="AY3300" s="32"/>
      <c r="AZ3300" s="32"/>
      <c r="BA3300" s="32"/>
      <c r="BB3300" s="31"/>
      <c r="BC3300" s="31"/>
      <c r="BD3300" s="31"/>
      <c r="BE3300" s="31"/>
      <c r="BF3300" s="96"/>
    </row>
    <row r="3301" spans="42:58" x14ac:dyDescent="0.35">
      <c r="AP3301" s="92"/>
      <c r="AQ3301" s="67"/>
      <c r="AR3301" s="67"/>
      <c r="AS3301" s="73"/>
      <c r="AT3301" s="67"/>
      <c r="AU3301" s="67"/>
      <c r="AV3301" s="73"/>
      <c r="AW3301" s="68"/>
      <c r="AX3301" s="68"/>
      <c r="AY3301" s="68"/>
      <c r="AZ3301" s="68"/>
      <c r="BA3301" s="68"/>
      <c r="BB3301" s="67"/>
      <c r="BC3301" s="67"/>
      <c r="BD3301" s="67"/>
      <c r="BE3301" s="67"/>
      <c r="BF3301" s="95"/>
    </row>
    <row r="3302" spans="42:58" x14ac:dyDescent="0.35">
      <c r="AP3302" s="93"/>
      <c r="AQ3302" s="31"/>
      <c r="AR3302" s="31"/>
      <c r="AS3302" s="94"/>
      <c r="AT3302" s="31"/>
      <c r="AU3302" s="31"/>
      <c r="AV3302" s="94"/>
      <c r="AW3302" s="32"/>
      <c r="AX3302" s="32"/>
      <c r="AY3302" s="32"/>
      <c r="AZ3302" s="32"/>
      <c r="BA3302" s="32"/>
      <c r="BB3302" s="31"/>
      <c r="BC3302" s="31"/>
      <c r="BD3302" s="31"/>
      <c r="BE3302" s="31"/>
      <c r="BF3302" s="96"/>
    </row>
    <row r="3303" spans="42:58" x14ac:dyDescent="0.35">
      <c r="AP3303" s="92"/>
      <c r="AQ3303" s="67"/>
      <c r="AR3303" s="67"/>
      <c r="AS3303" s="73"/>
      <c r="AT3303" s="67"/>
      <c r="AU3303" s="67"/>
      <c r="AV3303" s="73"/>
      <c r="AW3303" s="68"/>
      <c r="AX3303" s="68"/>
      <c r="AY3303" s="68"/>
      <c r="AZ3303" s="68"/>
      <c r="BA3303" s="68"/>
      <c r="BB3303" s="67"/>
      <c r="BC3303" s="67"/>
      <c r="BD3303" s="67"/>
      <c r="BE3303" s="67"/>
      <c r="BF3303" s="95"/>
    </row>
    <row r="3304" spans="42:58" x14ac:dyDescent="0.35">
      <c r="AP3304" s="93"/>
      <c r="AQ3304" s="31"/>
      <c r="AR3304" s="31"/>
      <c r="AS3304" s="94"/>
      <c r="AT3304" s="31"/>
      <c r="AU3304" s="31"/>
      <c r="AV3304" s="94"/>
      <c r="AW3304" s="32"/>
      <c r="AX3304" s="32"/>
      <c r="AY3304" s="32"/>
      <c r="AZ3304" s="32"/>
      <c r="BA3304" s="32"/>
      <c r="BB3304" s="31"/>
      <c r="BC3304" s="31"/>
      <c r="BD3304" s="31"/>
      <c r="BE3304" s="31"/>
      <c r="BF3304" s="96"/>
    </row>
    <row r="3305" spans="42:58" x14ac:dyDescent="0.35">
      <c r="AP3305" s="92"/>
      <c r="AQ3305" s="67"/>
      <c r="AR3305" s="67"/>
      <c r="AS3305" s="73"/>
      <c r="AT3305" s="67"/>
      <c r="AU3305" s="67"/>
      <c r="AV3305" s="73"/>
      <c r="AW3305" s="68"/>
      <c r="AX3305" s="68"/>
      <c r="AY3305" s="68"/>
      <c r="AZ3305" s="68"/>
      <c r="BA3305" s="68"/>
      <c r="BB3305" s="67"/>
      <c r="BC3305" s="67"/>
      <c r="BD3305" s="67"/>
      <c r="BE3305" s="67"/>
      <c r="BF3305" s="95"/>
    </row>
    <row r="3306" spans="42:58" x14ac:dyDescent="0.35">
      <c r="AP3306" s="93"/>
      <c r="AQ3306" s="31"/>
      <c r="AR3306" s="31"/>
      <c r="AS3306" s="94"/>
      <c r="AT3306" s="31"/>
      <c r="AU3306" s="31"/>
      <c r="AV3306" s="94"/>
      <c r="AW3306" s="32"/>
      <c r="AX3306" s="32"/>
      <c r="AY3306" s="32"/>
      <c r="AZ3306" s="32"/>
      <c r="BA3306" s="32"/>
      <c r="BB3306" s="31"/>
      <c r="BC3306" s="31"/>
      <c r="BD3306" s="31"/>
      <c r="BE3306" s="31"/>
      <c r="BF3306" s="96"/>
    </row>
    <row r="3307" spans="42:58" x14ac:dyDescent="0.35">
      <c r="AP3307" s="92"/>
      <c r="AQ3307" s="67"/>
      <c r="AR3307" s="67"/>
      <c r="AS3307" s="73"/>
      <c r="AT3307" s="67"/>
      <c r="AU3307" s="67"/>
      <c r="AV3307" s="73"/>
      <c r="AW3307" s="68"/>
      <c r="AX3307" s="68"/>
      <c r="AY3307" s="68"/>
      <c r="AZ3307" s="68"/>
      <c r="BA3307" s="68"/>
      <c r="BB3307" s="67"/>
      <c r="BC3307" s="67"/>
      <c r="BD3307" s="67"/>
      <c r="BE3307" s="67"/>
      <c r="BF3307" s="95"/>
    </row>
    <row r="3308" spans="42:58" x14ac:dyDescent="0.35">
      <c r="AP3308" s="93"/>
      <c r="AQ3308" s="31"/>
      <c r="AR3308" s="31"/>
      <c r="AS3308" s="94"/>
      <c r="AT3308" s="31"/>
      <c r="AU3308" s="31"/>
      <c r="AV3308" s="94"/>
      <c r="AW3308" s="32"/>
      <c r="AX3308" s="32"/>
      <c r="AY3308" s="32"/>
      <c r="AZ3308" s="32"/>
      <c r="BA3308" s="32"/>
      <c r="BB3308" s="31"/>
      <c r="BC3308" s="31"/>
      <c r="BD3308" s="31"/>
      <c r="BE3308" s="31"/>
      <c r="BF3308" s="96"/>
    </row>
    <row r="3309" spans="42:58" x14ac:dyDescent="0.35">
      <c r="AP3309" s="92"/>
      <c r="AQ3309" s="67"/>
      <c r="AR3309" s="67"/>
      <c r="AS3309" s="73"/>
      <c r="AT3309" s="67"/>
      <c r="AU3309" s="67"/>
      <c r="AV3309" s="73"/>
      <c r="AW3309" s="68"/>
      <c r="AX3309" s="68"/>
      <c r="AY3309" s="68"/>
      <c r="AZ3309" s="68"/>
      <c r="BA3309" s="68"/>
      <c r="BB3309" s="67"/>
      <c r="BC3309" s="67"/>
      <c r="BD3309" s="67"/>
      <c r="BE3309" s="67"/>
      <c r="BF3309" s="95"/>
    </row>
    <row r="3310" spans="42:58" x14ac:dyDescent="0.35">
      <c r="AP3310" s="93"/>
      <c r="AQ3310" s="31"/>
      <c r="AR3310" s="31"/>
      <c r="AS3310" s="94"/>
      <c r="AT3310" s="31"/>
      <c r="AU3310" s="31"/>
      <c r="AV3310" s="94"/>
      <c r="AW3310" s="32"/>
      <c r="AX3310" s="32"/>
      <c r="AY3310" s="32"/>
      <c r="AZ3310" s="32"/>
      <c r="BA3310" s="32"/>
      <c r="BB3310" s="31"/>
      <c r="BC3310" s="31"/>
      <c r="BD3310" s="31"/>
      <c r="BE3310" s="31"/>
      <c r="BF3310" s="96"/>
    </row>
    <row r="3311" spans="42:58" x14ac:dyDescent="0.35">
      <c r="AP3311" s="92"/>
      <c r="AQ3311" s="67"/>
      <c r="AR3311" s="67"/>
      <c r="AS3311" s="73"/>
      <c r="AT3311" s="67"/>
      <c r="AU3311" s="67"/>
      <c r="AV3311" s="73"/>
      <c r="AW3311" s="68"/>
      <c r="AX3311" s="68"/>
      <c r="AY3311" s="68"/>
      <c r="AZ3311" s="68"/>
      <c r="BA3311" s="68"/>
      <c r="BB3311" s="67"/>
      <c r="BC3311" s="67"/>
      <c r="BD3311" s="67"/>
      <c r="BE3311" s="67"/>
      <c r="BF3311" s="95"/>
    </row>
    <row r="3312" spans="42:58" x14ac:dyDescent="0.35">
      <c r="AP3312" s="93"/>
      <c r="AQ3312" s="31"/>
      <c r="AR3312" s="31"/>
      <c r="AS3312" s="94"/>
      <c r="AT3312" s="31"/>
      <c r="AU3312" s="31"/>
      <c r="AV3312" s="94"/>
      <c r="AW3312" s="32"/>
      <c r="AX3312" s="32"/>
      <c r="AY3312" s="32"/>
      <c r="AZ3312" s="32"/>
      <c r="BA3312" s="32"/>
      <c r="BB3312" s="31"/>
      <c r="BC3312" s="31"/>
      <c r="BD3312" s="31"/>
      <c r="BE3312" s="31"/>
      <c r="BF3312" s="96"/>
    </row>
    <row r="3313" spans="42:58" x14ac:dyDescent="0.35">
      <c r="AP3313" s="92"/>
      <c r="AQ3313" s="67"/>
      <c r="AR3313" s="67"/>
      <c r="AS3313" s="73"/>
      <c r="AT3313" s="67"/>
      <c r="AU3313" s="67"/>
      <c r="AV3313" s="73"/>
      <c r="AW3313" s="68"/>
      <c r="AX3313" s="68"/>
      <c r="AY3313" s="68"/>
      <c r="AZ3313" s="68"/>
      <c r="BA3313" s="68"/>
      <c r="BB3313" s="67"/>
      <c r="BC3313" s="67"/>
      <c r="BD3313" s="67"/>
      <c r="BE3313" s="67"/>
      <c r="BF3313" s="95"/>
    </row>
    <row r="3314" spans="42:58" x14ac:dyDescent="0.35">
      <c r="AP3314" s="93"/>
      <c r="AQ3314" s="31"/>
      <c r="AR3314" s="31"/>
      <c r="AS3314" s="94"/>
      <c r="AT3314" s="31"/>
      <c r="AU3314" s="31"/>
      <c r="AV3314" s="94"/>
      <c r="AW3314" s="32"/>
      <c r="AX3314" s="32"/>
      <c r="AY3314" s="32"/>
      <c r="AZ3314" s="32"/>
      <c r="BA3314" s="32"/>
      <c r="BB3314" s="31"/>
      <c r="BC3314" s="31"/>
      <c r="BD3314" s="31"/>
      <c r="BE3314" s="31"/>
      <c r="BF3314" s="96"/>
    </row>
    <row r="3315" spans="42:58" x14ac:dyDescent="0.35">
      <c r="AP3315" s="92"/>
      <c r="AQ3315" s="67"/>
      <c r="AR3315" s="67"/>
      <c r="AS3315" s="73"/>
      <c r="AT3315" s="67"/>
      <c r="AU3315" s="67"/>
      <c r="AV3315" s="73"/>
      <c r="AW3315" s="68"/>
      <c r="AX3315" s="68"/>
      <c r="AY3315" s="68"/>
      <c r="AZ3315" s="68"/>
      <c r="BA3315" s="68"/>
      <c r="BB3315" s="67"/>
      <c r="BC3315" s="67"/>
      <c r="BD3315" s="67"/>
      <c r="BE3315" s="67"/>
      <c r="BF3315" s="95"/>
    </row>
    <row r="3316" spans="42:58" x14ac:dyDescent="0.35">
      <c r="AP3316" s="93"/>
      <c r="AQ3316" s="31"/>
      <c r="AR3316" s="31"/>
      <c r="AS3316" s="94"/>
      <c r="AT3316" s="31"/>
      <c r="AU3316" s="31"/>
      <c r="AV3316" s="94"/>
      <c r="AW3316" s="32"/>
      <c r="AX3316" s="32"/>
      <c r="AY3316" s="32"/>
      <c r="AZ3316" s="32"/>
      <c r="BA3316" s="32"/>
      <c r="BB3316" s="31"/>
      <c r="BC3316" s="31"/>
      <c r="BD3316" s="31"/>
      <c r="BE3316" s="31"/>
      <c r="BF3316" s="96"/>
    </row>
    <row r="3317" spans="42:58" x14ac:dyDescent="0.35">
      <c r="AP3317" s="92"/>
      <c r="AQ3317" s="67"/>
      <c r="AR3317" s="67"/>
      <c r="AS3317" s="73"/>
      <c r="AT3317" s="67"/>
      <c r="AU3317" s="67"/>
      <c r="AV3317" s="73"/>
      <c r="AW3317" s="68"/>
      <c r="AX3317" s="68"/>
      <c r="AY3317" s="68"/>
      <c r="AZ3317" s="68"/>
      <c r="BA3317" s="68"/>
      <c r="BB3317" s="67"/>
      <c r="BC3317" s="67"/>
      <c r="BD3317" s="67"/>
      <c r="BE3317" s="67"/>
      <c r="BF3317" s="95"/>
    </row>
    <row r="3318" spans="42:58" x14ac:dyDescent="0.35">
      <c r="AP3318" s="93"/>
      <c r="AQ3318" s="31"/>
      <c r="AR3318" s="31"/>
      <c r="AS3318" s="94"/>
      <c r="AT3318" s="31"/>
      <c r="AU3318" s="31"/>
      <c r="AV3318" s="94"/>
      <c r="AW3318" s="32"/>
      <c r="AX3318" s="32"/>
      <c r="AY3318" s="32"/>
      <c r="AZ3318" s="32"/>
      <c r="BA3318" s="32"/>
      <c r="BB3318" s="31"/>
      <c r="BC3318" s="31"/>
      <c r="BD3318" s="31"/>
      <c r="BE3318" s="31"/>
      <c r="BF3318" s="96"/>
    </row>
    <row r="3319" spans="42:58" x14ac:dyDescent="0.35">
      <c r="AP3319" s="92"/>
      <c r="AQ3319" s="67"/>
      <c r="AR3319" s="67"/>
      <c r="AS3319" s="73"/>
      <c r="AT3319" s="67"/>
      <c r="AU3319" s="67"/>
      <c r="AV3319" s="73"/>
      <c r="AW3319" s="68"/>
      <c r="AX3319" s="68"/>
      <c r="AY3319" s="68"/>
      <c r="AZ3319" s="68"/>
      <c r="BA3319" s="68"/>
      <c r="BB3319" s="67"/>
      <c r="BC3319" s="67"/>
      <c r="BD3319" s="67"/>
      <c r="BE3319" s="67"/>
      <c r="BF3319" s="95"/>
    </row>
    <row r="3320" spans="42:58" x14ac:dyDescent="0.35">
      <c r="AP3320" s="93"/>
      <c r="AQ3320" s="31"/>
      <c r="AR3320" s="31"/>
      <c r="AS3320" s="94"/>
      <c r="AT3320" s="31"/>
      <c r="AU3320" s="31"/>
      <c r="AV3320" s="94"/>
      <c r="AW3320" s="32"/>
      <c r="AX3320" s="32"/>
      <c r="AY3320" s="32"/>
      <c r="AZ3320" s="32"/>
      <c r="BA3320" s="32"/>
      <c r="BB3320" s="31"/>
      <c r="BC3320" s="31"/>
      <c r="BD3320" s="31"/>
      <c r="BE3320" s="31"/>
      <c r="BF3320" s="96"/>
    </row>
    <row r="3321" spans="42:58" x14ac:dyDescent="0.35">
      <c r="AP3321" s="92"/>
      <c r="AQ3321" s="67"/>
      <c r="AR3321" s="67"/>
      <c r="AS3321" s="73"/>
      <c r="AT3321" s="67"/>
      <c r="AU3321" s="67"/>
      <c r="AV3321" s="73"/>
      <c r="AW3321" s="68"/>
      <c r="AX3321" s="68"/>
      <c r="AY3321" s="68"/>
      <c r="AZ3321" s="68"/>
      <c r="BA3321" s="68"/>
      <c r="BB3321" s="67"/>
      <c r="BC3321" s="67"/>
      <c r="BD3321" s="67"/>
      <c r="BE3321" s="67"/>
      <c r="BF3321" s="95"/>
    </row>
    <row r="3322" spans="42:58" x14ac:dyDescent="0.35">
      <c r="AP3322" s="93"/>
      <c r="AQ3322" s="31"/>
      <c r="AR3322" s="31"/>
      <c r="AS3322" s="94"/>
      <c r="AT3322" s="31"/>
      <c r="AU3322" s="31"/>
      <c r="AV3322" s="94"/>
      <c r="AW3322" s="32"/>
      <c r="AX3322" s="32"/>
      <c r="AY3322" s="32"/>
      <c r="AZ3322" s="32"/>
      <c r="BA3322" s="32"/>
      <c r="BB3322" s="31"/>
      <c r="BC3322" s="31"/>
      <c r="BD3322" s="31"/>
      <c r="BE3322" s="31"/>
      <c r="BF3322" s="96"/>
    </row>
    <row r="3323" spans="42:58" x14ac:dyDescent="0.35">
      <c r="AP3323" s="92"/>
      <c r="AQ3323" s="67"/>
      <c r="AR3323" s="67"/>
      <c r="AS3323" s="73"/>
      <c r="AT3323" s="67"/>
      <c r="AU3323" s="67"/>
      <c r="AV3323" s="73"/>
      <c r="AW3323" s="68"/>
      <c r="AX3323" s="68"/>
      <c r="AY3323" s="68"/>
      <c r="AZ3323" s="68"/>
      <c r="BA3323" s="68"/>
      <c r="BB3323" s="67"/>
      <c r="BC3323" s="67"/>
      <c r="BD3323" s="67"/>
      <c r="BE3323" s="67"/>
      <c r="BF3323" s="95"/>
    </row>
    <row r="3324" spans="42:58" x14ac:dyDescent="0.35">
      <c r="AP3324" s="93"/>
      <c r="AQ3324" s="31"/>
      <c r="AR3324" s="31"/>
      <c r="AS3324" s="94"/>
      <c r="AT3324" s="31"/>
      <c r="AU3324" s="31"/>
      <c r="AV3324" s="94"/>
      <c r="AW3324" s="32"/>
      <c r="AX3324" s="32"/>
      <c r="AY3324" s="32"/>
      <c r="AZ3324" s="32"/>
      <c r="BA3324" s="32"/>
      <c r="BB3324" s="31"/>
      <c r="BC3324" s="31"/>
      <c r="BD3324" s="31"/>
      <c r="BE3324" s="31"/>
      <c r="BF3324" s="96"/>
    </row>
    <row r="3325" spans="42:58" x14ac:dyDescent="0.35">
      <c r="AP3325" s="92"/>
      <c r="AQ3325" s="67"/>
      <c r="AR3325" s="67"/>
      <c r="AS3325" s="73"/>
      <c r="AT3325" s="67"/>
      <c r="AU3325" s="67"/>
      <c r="AV3325" s="73"/>
      <c r="AW3325" s="68"/>
      <c r="AX3325" s="68"/>
      <c r="AY3325" s="68"/>
      <c r="AZ3325" s="68"/>
      <c r="BA3325" s="68"/>
      <c r="BB3325" s="67"/>
      <c r="BC3325" s="67"/>
      <c r="BD3325" s="67"/>
      <c r="BE3325" s="67"/>
      <c r="BF3325" s="95"/>
    </row>
    <row r="3326" spans="42:58" x14ac:dyDescent="0.35">
      <c r="AP3326" s="93"/>
      <c r="AQ3326" s="31"/>
      <c r="AR3326" s="31"/>
      <c r="AS3326" s="94"/>
      <c r="AT3326" s="31"/>
      <c r="AU3326" s="31"/>
      <c r="AV3326" s="94"/>
      <c r="AW3326" s="32"/>
      <c r="AX3326" s="32"/>
      <c r="AY3326" s="32"/>
      <c r="AZ3326" s="32"/>
      <c r="BA3326" s="32"/>
      <c r="BB3326" s="31"/>
      <c r="BC3326" s="31"/>
      <c r="BD3326" s="31"/>
      <c r="BE3326" s="31"/>
      <c r="BF3326" s="96"/>
    </row>
    <row r="3327" spans="42:58" x14ac:dyDescent="0.35">
      <c r="AP3327" s="92"/>
      <c r="AQ3327" s="67"/>
      <c r="AR3327" s="67"/>
      <c r="AS3327" s="73"/>
      <c r="AT3327" s="67"/>
      <c r="AU3327" s="67"/>
      <c r="AV3327" s="73"/>
      <c r="AW3327" s="68"/>
      <c r="AX3327" s="68"/>
      <c r="AY3327" s="68"/>
      <c r="AZ3327" s="68"/>
      <c r="BA3327" s="68"/>
      <c r="BB3327" s="67"/>
      <c r="BC3327" s="67"/>
      <c r="BD3327" s="67"/>
      <c r="BE3327" s="67"/>
      <c r="BF3327" s="95"/>
    </row>
    <row r="3328" spans="42:58" x14ac:dyDescent="0.35">
      <c r="AP3328" s="93"/>
      <c r="AQ3328" s="31"/>
      <c r="AR3328" s="31"/>
      <c r="AS3328" s="94"/>
      <c r="AT3328" s="31"/>
      <c r="AU3328" s="31"/>
      <c r="AV3328" s="94"/>
      <c r="AW3328" s="32"/>
      <c r="AX3328" s="32"/>
      <c r="AY3328" s="32"/>
      <c r="AZ3328" s="32"/>
      <c r="BA3328" s="32"/>
      <c r="BB3328" s="31"/>
      <c r="BC3328" s="31"/>
      <c r="BD3328" s="31"/>
      <c r="BE3328" s="31"/>
      <c r="BF3328" s="96"/>
    </row>
    <row r="3329" spans="42:58" x14ac:dyDescent="0.35">
      <c r="AP3329" s="92"/>
      <c r="AQ3329" s="67"/>
      <c r="AR3329" s="67"/>
      <c r="AS3329" s="73"/>
      <c r="AT3329" s="67"/>
      <c r="AU3329" s="67"/>
      <c r="AV3329" s="73"/>
      <c r="AW3329" s="68"/>
      <c r="AX3329" s="68"/>
      <c r="AY3329" s="68"/>
      <c r="AZ3329" s="68"/>
      <c r="BA3329" s="68"/>
      <c r="BB3329" s="67"/>
      <c r="BC3329" s="67"/>
      <c r="BD3329" s="67"/>
      <c r="BE3329" s="67"/>
      <c r="BF3329" s="95"/>
    </row>
    <row r="3330" spans="42:58" x14ac:dyDescent="0.35">
      <c r="AP3330" s="93"/>
      <c r="AQ3330" s="31"/>
      <c r="AR3330" s="31"/>
      <c r="AS3330" s="94"/>
      <c r="AT3330" s="31"/>
      <c r="AU3330" s="31"/>
      <c r="AV3330" s="94"/>
      <c r="AW3330" s="32"/>
      <c r="AX3330" s="32"/>
      <c r="AY3330" s="32"/>
      <c r="AZ3330" s="32"/>
      <c r="BA3330" s="32"/>
      <c r="BB3330" s="31"/>
      <c r="BC3330" s="31"/>
      <c r="BD3330" s="31"/>
      <c r="BE3330" s="31"/>
      <c r="BF3330" s="96"/>
    </row>
    <row r="3331" spans="42:58" x14ac:dyDescent="0.35">
      <c r="AP3331" s="92"/>
      <c r="AQ3331" s="67"/>
      <c r="AR3331" s="67"/>
      <c r="AS3331" s="73"/>
      <c r="AT3331" s="67"/>
      <c r="AU3331" s="67"/>
      <c r="AV3331" s="73"/>
      <c r="AW3331" s="68"/>
      <c r="AX3331" s="68"/>
      <c r="AY3331" s="68"/>
      <c r="AZ3331" s="68"/>
      <c r="BA3331" s="68"/>
      <c r="BB3331" s="67"/>
      <c r="BC3331" s="67"/>
      <c r="BD3331" s="67"/>
      <c r="BE3331" s="67"/>
      <c r="BF3331" s="95"/>
    </row>
    <row r="3332" spans="42:58" x14ac:dyDescent="0.35">
      <c r="AP3332" s="93"/>
      <c r="AQ3332" s="31"/>
      <c r="AR3332" s="31"/>
      <c r="AS3332" s="94"/>
      <c r="AT3332" s="31"/>
      <c r="AU3332" s="31"/>
      <c r="AV3332" s="94"/>
      <c r="AW3332" s="32"/>
      <c r="AX3332" s="32"/>
      <c r="AY3332" s="32"/>
      <c r="AZ3332" s="32"/>
      <c r="BA3332" s="32"/>
      <c r="BB3332" s="31"/>
      <c r="BC3332" s="31"/>
      <c r="BD3332" s="31"/>
      <c r="BE3332" s="31"/>
      <c r="BF3332" s="96"/>
    </row>
    <row r="3333" spans="42:58" x14ac:dyDescent="0.35">
      <c r="AP3333" s="92"/>
      <c r="AQ3333" s="67"/>
      <c r="AR3333" s="67"/>
      <c r="AS3333" s="73"/>
      <c r="AT3333" s="67"/>
      <c r="AU3333" s="67"/>
      <c r="AV3333" s="73"/>
      <c r="AW3333" s="68"/>
      <c r="AX3333" s="68"/>
      <c r="AY3333" s="68"/>
      <c r="AZ3333" s="68"/>
      <c r="BA3333" s="68"/>
      <c r="BB3333" s="67"/>
      <c r="BC3333" s="67"/>
      <c r="BD3333" s="67"/>
      <c r="BE3333" s="67"/>
      <c r="BF3333" s="95"/>
    </row>
    <row r="3334" spans="42:58" x14ac:dyDescent="0.35">
      <c r="AP3334" s="93"/>
      <c r="AQ3334" s="31"/>
      <c r="AR3334" s="31"/>
      <c r="AS3334" s="94"/>
      <c r="AT3334" s="31"/>
      <c r="AU3334" s="31"/>
      <c r="AV3334" s="94"/>
      <c r="AW3334" s="32"/>
      <c r="AX3334" s="32"/>
      <c r="AY3334" s="32"/>
      <c r="AZ3334" s="32"/>
      <c r="BA3334" s="32"/>
      <c r="BB3334" s="31"/>
      <c r="BC3334" s="31"/>
      <c r="BD3334" s="31"/>
      <c r="BE3334" s="31"/>
      <c r="BF3334" s="96"/>
    </row>
    <row r="3335" spans="42:58" x14ac:dyDescent="0.35">
      <c r="AP3335" s="92"/>
      <c r="AQ3335" s="67"/>
      <c r="AR3335" s="67"/>
      <c r="AS3335" s="73"/>
      <c r="AT3335" s="67"/>
      <c r="AU3335" s="67"/>
      <c r="AV3335" s="73"/>
      <c r="AW3335" s="68"/>
      <c r="AX3335" s="68"/>
      <c r="AY3335" s="68"/>
      <c r="AZ3335" s="68"/>
      <c r="BA3335" s="68"/>
      <c r="BB3335" s="67"/>
      <c r="BC3335" s="67"/>
      <c r="BD3335" s="67"/>
      <c r="BE3335" s="67"/>
      <c r="BF3335" s="95"/>
    </row>
    <row r="3336" spans="42:58" x14ac:dyDescent="0.35">
      <c r="AP3336" s="93"/>
      <c r="AQ3336" s="31"/>
      <c r="AR3336" s="31"/>
      <c r="AS3336" s="94"/>
      <c r="AT3336" s="31"/>
      <c r="AU3336" s="31"/>
      <c r="AV3336" s="94"/>
      <c r="AW3336" s="32"/>
      <c r="AX3336" s="32"/>
      <c r="AY3336" s="32"/>
      <c r="AZ3336" s="32"/>
      <c r="BA3336" s="32"/>
      <c r="BB3336" s="31"/>
      <c r="BC3336" s="31"/>
      <c r="BD3336" s="31"/>
      <c r="BE3336" s="31"/>
      <c r="BF3336" s="96"/>
    </row>
    <row r="3337" spans="42:58" x14ac:dyDescent="0.35">
      <c r="AP3337" s="92"/>
      <c r="AQ3337" s="67"/>
      <c r="AR3337" s="67"/>
      <c r="AS3337" s="73"/>
      <c r="AT3337" s="67"/>
      <c r="AU3337" s="67"/>
      <c r="AV3337" s="73"/>
      <c r="AW3337" s="68"/>
      <c r="AX3337" s="68"/>
      <c r="AY3337" s="68"/>
      <c r="AZ3337" s="68"/>
      <c r="BA3337" s="68"/>
      <c r="BB3337" s="67"/>
      <c r="BC3337" s="67"/>
      <c r="BD3337" s="67"/>
      <c r="BE3337" s="67"/>
      <c r="BF3337" s="95"/>
    </row>
    <row r="3338" spans="42:58" x14ac:dyDescent="0.35">
      <c r="AP3338" s="93"/>
      <c r="AQ3338" s="31"/>
      <c r="AR3338" s="31"/>
      <c r="AS3338" s="94"/>
      <c r="AT3338" s="31"/>
      <c r="AU3338" s="31"/>
      <c r="AV3338" s="94"/>
      <c r="AW3338" s="32"/>
      <c r="AX3338" s="32"/>
      <c r="AY3338" s="32"/>
      <c r="AZ3338" s="32"/>
      <c r="BA3338" s="32"/>
      <c r="BB3338" s="31"/>
      <c r="BC3338" s="31"/>
      <c r="BD3338" s="31"/>
      <c r="BE3338" s="31"/>
      <c r="BF3338" s="96"/>
    </row>
    <row r="3339" spans="42:58" x14ac:dyDescent="0.35">
      <c r="AP3339" s="92"/>
      <c r="AQ3339" s="67"/>
      <c r="AR3339" s="67"/>
      <c r="AS3339" s="73"/>
      <c r="AT3339" s="67"/>
      <c r="AU3339" s="67"/>
      <c r="AV3339" s="73"/>
      <c r="AW3339" s="68"/>
      <c r="AX3339" s="68"/>
      <c r="AY3339" s="68"/>
      <c r="AZ3339" s="68"/>
      <c r="BA3339" s="68"/>
      <c r="BB3339" s="67"/>
      <c r="BC3339" s="67"/>
      <c r="BD3339" s="67"/>
      <c r="BE3339" s="67"/>
      <c r="BF3339" s="95"/>
    </row>
    <row r="3340" spans="42:58" x14ac:dyDescent="0.35">
      <c r="AP3340" s="93"/>
      <c r="AQ3340" s="31"/>
      <c r="AR3340" s="31"/>
      <c r="AS3340" s="94"/>
      <c r="AT3340" s="31"/>
      <c r="AU3340" s="31"/>
      <c r="AV3340" s="94"/>
      <c r="AW3340" s="32"/>
      <c r="AX3340" s="32"/>
      <c r="AY3340" s="32"/>
      <c r="AZ3340" s="32"/>
      <c r="BA3340" s="32"/>
      <c r="BB3340" s="31"/>
      <c r="BC3340" s="31"/>
      <c r="BD3340" s="31"/>
      <c r="BE3340" s="31"/>
      <c r="BF3340" s="96"/>
    </row>
    <row r="3341" spans="42:58" x14ac:dyDescent="0.35">
      <c r="AP3341" s="92"/>
      <c r="AQ3341" s="67"/>
      <c r="AR3341" s="67"/>
      <c r="AS3341" s="73"/>
      <c r="AT3341" s="67"/>
      <c r="AU3341" s="67"/>
      <c r="AV3341" s="73"/>
      <c r="AW3341" s="68"/>
      <c r="AX3341" s="68"/>
      <c r="AY3341" s="68"/>
      <c r="AZ3341" s="68"/>
      <c r="BA3341" s="68"/>
      <c r="BB3341" s="67"/>
      <c r="BC3341" s="67"/>
      <c r="BD3341" s="67"/>
      <c r="BE3341" s="67"/>
      <c r="BF3341" s="95"/>
    </row>
    <row r="3342" spans="42:58" x14ac:dyDescent="0.35">
      <c r="AP3342" s="93"/>
      <c r="AQ3342" s="31"/>
      <c r="AR3342" s="31"/>
      <c r="AS3342" s="94"/>
      <c r="AT3342" s="31"/>
      <c r="AU3342" s="31"/>
      <c r="AV3342" s="94"/>
      <c r="AW3342" s="32"/>
      <c r="AX3342" s="32"/>
      <c r="AY3342" s="32"/>
      <c r="AZ3342" s="32"/>
      <c r="BA3342" s="32"/>
      <c r="BB3342" s="31"/>
      <c r="BC3342" s="31"/>
      <c r="BD3342" s="31"/>
      <c r="BE3342" s="31"/>
      <c r="BF3342" s="96"/>
    </row>
    <row r="3343" spans="42:58" x14ac:dyDescent="0.35">
      <c r="AP3343" s="92"/>
      <c r="AQ3343" s="67"/>
      <c r="AR3343" s="67"/>
      <c r="AS3343" s="73"/>
      <c r="AT3343" s="67"/>
      <c r="AU3343" s="67"/>
      <c r="AV3343" s="73"/>
      <c r="AW3343" s="68"/>
      <c r="AX3343" s="68"/>
      <c r="AY3343" s="68"/>
      <c r="AZ3343" s="68"/>
      <c r="BA3343" s="68"/>
      <c r="BB3343" s="67"/>
      <c r="BC3343" s="67"/>
      <c r="BD3343" s="67"/>
      <c r="BE3343" s="67"/>
      <c r="BF3343" s="95"/>
    </row>
    <row r="3344" spans="42:58" x14ac:dyDescent="0.35">
      <c r="AP3344" s="93"/>
      <c r="AQ3344" s="31"/>
      <c r="AR3344" s="31"/>
      <c r="AS3344" s="94"/>
      <c r="AT3344" s="31"/>
      <c r="AU3344" s="31"/>
      <c r="AV3344" s="94"/>
      <c r="AW3344" s="32"/>
      <c r="AX3344" s="32"/>
      <c r="AY3344" s="32"/>
      <c r="AZ3344" s="32"/>
      <c r="BA3344" s="32"/>
      <c r="BB3344" s="31"/>
      <c r="BC3344" s="31"/>
      <c r="BD3344" s="31"/>
      <c r="BE3344" s="31"/>
      <c r="BF3344" s="96"/>
    </row>
    <row r="3345" spans="42:58" x14ac:dyDescent="0.35">
      <c r="AP3345" s="92"/>
      <c r="AQ3345" s="67"/>
      <c r="AR3345" s="67"/>
      <c r="AS3345" s="73"/>
      <c r="AT3345" s="67"/>
      <c r="AU3345" s="67"/>
      <c r="AV3345" s="73"/>
      <c r="AW3345" s="68"/>
      <c r="AX3345" s="68"/>
      <c r="AY3345" s="68"/>
      <c r="AZ3345" s="68"/>
      <c r="BA3345" s="68"/>
      <c r="BB3345" s="67"/>
      <c r="BC3345" s="67"/>
      <c r="BD3345" s="67"/>
      <c r="BE3345" s="67"/>
      <c r="BF3345" s="95"/>
    </row>
    <row r="3346" spans="42:58" x14ac:dyDescent="0.35">
      <c r="AP3346" s="93"/>
      <c r="AQ3346" s="31"/>
      <c r="AR3346" s="31"/>
      <c r="AS3346" s="94"/>
      <c r="AT3346" s="31"/>
      <c r="AU3346" s="31"/>
      <c r="AV3346" s="94"/>
      <c r="AW3346" s="32"/>
      <c r="AX3346" s="32"/>
      <c r="AY3346" s="32"/>
      <c r="AZ3346" s="32"/>
      <c r="BA3346" s="32"/>
      <c r="BB3346" s="31"/>
      <c r="BC3346" s="31"/>
      <c r="BD3346" s="31"/>
      <c r="BE3346" s="31"/>
      <c r="BF3346" s="96"/>
    </row>
    <row r="3347" spans="42:58" x14ac:dyDescent="0.35">
      <c r="AP3347" s="92"/>
      <c r="AQ3347" s="67"/>
      <c r="AR3347" s="67"/>
      <c r="AS3347" s="73"/>
      <c r="AT3347" s="67"/>
      <c r="AU3347" s="67"/>
      <c r="AV3347" s="73"/>
      <c r="AW3347" s="68"/>
      <c r="AX3347" s="68"/>
      <c r="AY3347" s="68"/>
      <c r="AZ3347" s="68"/>
      <c r="BA3347" s="68"/>
      <c r="BB3347" s="67"/>
      <c r="BC3347" s="67"/>
      <c r="BD3347" s="67"/>
      <c r="BE3347" s="67"/>
      <c r="BF3347" s="95"/>
    </row>
    <row r="3348" spans="42:58" x14ac:dyDescent="0.35">
      <c r="AP3348" s="93"/>
      <c r="AQ3348" s="31"/>
      <c r="AR3348" s="31"/>
      <c r="AS3348" s="94"/>
      <c r="AT3348" s="31"/>
      <c r="AU3348" s="31"/>
      <c r="AV3348" s="94"/>
      <c r="AW3348" s="32"/>
      <c r="AX3348" s="32"/>
      <c r="AY3348" s="32"/>
      <c r="AZ3348" s="32"/>
      <c r="BA3348" s="32"/>
      <c r="BB3348" s="31"/>
      <c r="BC3348" s="31"/>
      <c r="BD3348" s="31"/>
      <c r="BE3348" s="31"/>
      <c r="BF3348" s="96"/>
    </row>
    <row r="3349" spans="42:58" x14ac:dyDescent="0.35">
      <c r="AP3349" s="92"/>
      <c r="AQ3349" s="67"/>
      <c r="AR3349" s="67"/>
      <c r="AS3349" s="73"/>
      <c r="AT3349" s="67"/>
      <c r="AU3349" s="67"/>
      <c r="AV3349" s="73"/>
      <c r="AW3349" s="68"/>
      <c r="AX3349" s="68"/>
      <c r="AY3349" s="68"/>
      <c r="AZ3349" s="68"/>
      <c r="BA3349" s="68"/>
      <c r="BB3349" s="67"/>
      <c r="BC3349" s="67"/>
      <c r="BD3349" s="67"/>
      <c r="BE3349" s="67"/>
      <c r="BF3349" s="95"/>
    </row>
    <row r="3350" spans="42:58" x14ac:dyDescent="0.35">
      <c r="AP3350" s="93"/>
      <c r="AQ3350" s="31"/>
      <c r="AR3350" s="31"/>
      <c r="AS3350" s="94"/>
      <c r="AT3350" s="31"/>
      <c r="AU3350" s="31"/>
      <c r="AV3350" s="94"/>
      <c r="AW3350" s="32"/>
      <c r="AX3350" s="32"/>
      <c r="AY3350" s="32"/>
      <c r="AZ3350" s="32"/>
      <c r="BA3350" s="32"/>
      <c r="BB3350" s="31"/>
      <c r="BC3350" s="31"/>
      <c r="BD3350" s="31"/>
      <c r="BE3350" s="31"/>
      <c r="BF3350" s="96"/>
    </row>
    <row r="3351" spans="42:58" x14ac:dyDescent="0.35">
      <c r="AP3351" s="92"/>
      <c r="AQ3351" s="67"/>
      <c r="AR3351" s="67"/>
      <c r="AS3351" s="73"/>
      <c r="AT3351" s="67"/>
      <c r="AU3351" s="67"/>
      <c r="AV3351" s="73"/>
      <c r="AW3351" s="68"/>
      <c r="AX3351" s="68"/>
      <c r="AY3351" s="68"/>
      <c r="AZ3351" s="68"/>
      <c r="BA3351" s="68"/>
      <c r="BB3351" s="67"/>
      <c r="BC3351" s="67"/>
      <c r="BD3351" s="67"/>
      <c r="BE3351" s="67"/>
      <c r="BF3351" s="95"/>
    </row>
    <row r="3352" spans="42:58" x14ac:dyDescent="0.35">
      <c r="AP3352" s="93"/>
      <c r="AQ3352" s="31"/>
      <c r="AR3352" s="31"/>
      <c r="AS3352" s="94"/>
      <c r="AT3352" s="31"/>
      <c r="AU3352" s="31"/>
      <c r="AV3352" s="94"/>
      <c r="AW3352" s="32"/>
      <c r="AX3352" s="32"/>
      <c r="AY3352" s="32"/>
      <c r="AZ3352" s="32"/>
      <c r="BA3352" s="32"/>
      <c r="BB3352" s="31"/>
      <c r="BC3352" s="31"/>
      <c r="BD3352" s="31"/>
      <c r="BE3352" s="31"/>
      <c r="BF3352" s="96"/>
    </row>
    <row r="3353" spans="42:58" x14ac:dyDescent="0.35">
      <c r="AP3353" s="92"/>
      <c r="AQ3353" s="67"/>
      <c r="AR3353" s="67"/>
      <c r="AS3353" s="73"/>
      <c r="AT3353" s="67"/>
      <c r="AU3353" s="67"/>
      <c r="AV3353" s="73"/>
      <c r="AW3353" s="68"/>
      <c r="AX3353" s="68"/>
      <c r="AY3353" s="68"/>
      <c r="AZ3353" s="68"/>
      <c r="BA3353" s="68"/>
      <c r="BB3353" s="67"/>
      <c r="BC3353" s="67"/>
      <c r="BD3353" s="67"/>
      <c r="BE3353" s="67"/>
      <c r="BF3353" s="95"/>
    </row>
    <row r="3354" spans="42:58" x14ac:dyDescent="0.35">
      <c r="AP3354" s="93"/>
      <c r="AQ3354" s="31"/>
      <c r="AR3354" s="31"/>
      <c r="AS3354" s="94"/>
      <c r="AT3354" s="31"/>
      <c r="AU3354" s="31"/>
      <c r="AV3354" s="94"/>
      <c r="AW3354" s="32"/>
      <c r="AX3354" s="32"/>
      <c r="AY3354" s="32"/>
      <c r="AZ3354" s="32"/>
      <c r="BA3354" s="32"/>
      <c r="BB3354" s="31"/>
      <c r="BC3354" s="31"/>
      <c r="BD3354" s="31"/>
      <c r="BE3354" s="31"/>
      <c r="BF3354" s="96"/>
    </row>
    <row r="3355" spans="42:58" x14ac:dyDescent="0.35">
      <c r="AP3355" s="92"/>
      <c r="AQ3355" s="67"/>
      <c r="AR3355" s="67"/>
      <c r="AS3355" s="73"/>
      <c r="AT3355" s="67"/>
      <c r="AU3355" s="67"/>
      <c r="AV3355" s="73"/>
      <c r="AW3355" s="68"/>
      <c r="AX3355" s="68"/>
      <c r="AY3355" s="68"/>
      <c r="AZ3355" s="68"/>
      <c r="BA3355" s="68"/>
      <c r="BB3355" s="67"/>
      <c r="BC3355" s="67"/>
      <c r="BD3355" s="67"/>
      <c r="BE3355" s="67"/>
      <c r="BF3355" s="95"/>
    </row>
    <row r="3356" spans="42:58" x14ac:dyDescent="0.35">
      <c r="AP3356" s="93"/>
      <c r="AQ3356" s="31"/>
      <c r="AR3356" s="31"/>
      <c r="AS3356" s="94"/>
      <c r="AT3356" s="31"/>
      <c r="AU3356" s="31"/>
      <c r="AV3356" s="94"/>
      <c r="AW3356" s="32"/>
      <c r="AX3356" s="32"/>
      <c r="AY3356" s="32"/>
      <c r="AZ3356" s="32"/>
      <c r="BA3356" s="32"/>
      <c r="BB3356" s="31"/>
      <c r="BC3356" s="31"/>
      <c r="BD3356" s="31"/>
      <c r="BE3356" s="31"/>
      <c r="BF3356" s="96"/>
    </row>
    <row r="3357" spans="42:58" x14ac:dyDescent="0.35">
      <c r="AP3357" s="92"/>
      <c r="AQ3357" s="67"/>
      <c r="AR3357" s="67"/>
      <c r="AS3357" s="73"/>
      <c r="AT3357" s="67"/>
      <c r="AU3357" s="67"/>
      <c r="AV3357" s="73"/>
      <c r="AW3357" s="68"/>
      <c r="AX3357" s="68"/>
      <c r="AY3357" s="68"/>
      <c r="AZ3357" s="68"/>
      <c r="BA3357" s="68"/>
      <c r="BB3357" s="67"/>
      <c r="BC3357" s="67"/>
      <c r="BD3357" s="67"/>
      <c r="BE3357" s="67"/>
      <c r="BF3357" s="95"/>
    </row>
    <row r="3358" spans="42:58" x14ac:dyDescent="0.35">
      <c r="AP3358" s="93"/>
      <c r="AQ3358" s="31"/>
      <c r="AR3358" s="31"/>
      <c r="AS3358" s="94"/>
      <c r="AT3358" s="31"/>
      <c r="AU3358" s="31"/>
      <c r="AV3358" s="94"/>
      <c r="AW3358" s="32"/>
      <c r="AX3358" s="32"/>
      <c r="AY3358" s="32"/>
      <c r="AZ3358" s="32"/>
      <c r="BA3358" s="32"/>
      <c r="BB3358" s="31"/>
      <c r="BC3358" s="31"/>
      <c r="BD3358" s="31"/>
      <c r="BE3358" s="31"/>
      <c r="BF3358" s="96"/>
    </row>
    <row r="3359" spans="42:58" x14ac:dyDescent="0.35">
      <c r="AP3359" s="92"/>
      <c r="AQ3359" s="67"/>
      <c r="AR3359" s="67"/>
      <c r="AS3359" s="73"/>
      <c r="AT3359" s="67"/>
      <c r="AU3359" s="67"/>
      <c r="AV3359" s="73"/>
      <c r="AW3359" s="68"/>
      <c r="AX3359" s="68"/>
      <c r="AY3359" s="68"/>
      <c r="AZ3359" s="68"/>
      <c r="BA3359" s="68"/>
      <c r="BB3359" s="67"/>
      <c r="BC3359" s="67"/>
      <c r="BD3359" s="67"/>
      <c r="BE3359" s="67"/>
      <c r="BF3359" s="95"/>
    </row>
    <row r="3360" spans="42:58" x14ac:dyDescent="0.35">
      <c r="AP3360" s="93"/>
      <c r="AQ3360" s="31"/>
      <c r="AR3360" s="31"/>
      <c r="AS3360" s="94"/>
      <c r="AT3360" s="31"/>
      <c r="AU3360" s="31"/>
      <c r="AV3360" s="94"/>
      <c r="AW3360" s="32"/>
      <c r="AX3360" s="32"/>
      <c r="AY3360" s="32"/>
      <c r="AZ3360" s="32"/>
      <c r="BA3360" s="32"/>
      <c r="BB3360" s="31"/>
      <c r="BC3360" s="31"/>
      <c r="BD3360" s="31"/>
      <c r="BE3360" s="31"/>
      <c r="BF3360" s="96"/>
    </row>
    <row r="3361" spans="42:58" x14ac:dyDescent="0.35">
      <c r="AP3361" s="92"/>
      <c r="AQ3361" s="67"/>
      <c r="AR3361" s="67"/>
      <c r="AS3361" s="73"/>
      <c r="AT3361" s="67"/>
      <c r="AU3361" s="67"/>
      <c r="AV3361" s="73"/>
      <c r="AW3361" s="68"/>
      <c r="AX3361" s="68"/>
      <c r="AY3361" s="68"/>
      <c r="AZ3361" s="68"/>
      <c r="BA3361" s="68"/>
      <c r="BB3361" s="67"/>
      <c r="BC3361" s="67"/>
      <c r="BD3361" s="67"/>
      <c r="BE3361" s="67"/>
      <c r="BF3361" s="95"/>
    </row>
    <row r="3362" spans="42:58" x14ac:dyDescent="0.35">
      <c r="AP3362" s="93"/>
      <c r="AQ3362" s="31"/>
      <c r="AR3362" s="31"/>
      <c r="AS3362" s="94"/>
      <c r="AT3362" s="31"/>
      <c r="AU3362" s="31"/>
      <c r="AV3362" s="94"/>
      <c r="AW3362" s="32"/>
      <c r="AX3362" s="32"/>
      <c r="AY3362" s="32"/>
      <c r="AZ3362" s="32"/>
      <c r="BA3362" s="32"/>
      <c r="BB3362" s="31"/>
      <c r="BC3362" s="31"/>
      <c r="BD3362" s="31"/>
      <c r="BE3362" s="31"/>
      <c r="BF3362" s="96"/>
    </row>
    <row r="3363" spans="42:58" x14ac:dyDescent="0.35">
      <c r="AP3363" s="92"/>
      <c r="AQ3363" s="67"/>
      <c r="AR3363" s="67"/>
      <c r="AS3363" s="73"/>
      <c r="AT3363" s="67"/>
      <c r="AU3363" s="67"/>
      <c r="AV3363" s="73"/>
      <c r="AW3363" s="68"/>
      <c r="AX3363" s="68"/>
      <c r="AY3363" s="68"/>
      <c r="AZ3363" s="68"/>
      <c r="BA3363" s="68"/>
      <c r="BB3363" s="67"/>
      <c r="BC3363" s="67"/>
      <c r="BD3363" s="67"/>
      <c r="BE3363" s="67"/>
      <c r="BF3363" s="95"/>
    </row>
    <row r="3364" spans="42:58" x14ac:dyDescent="0.35">
      <c r="AP3364" s="93"/>
      <c r="AQ3364" s="31"/>
      <c r="AR3364" s="31"/>
      <c r="AS3364" s="94"/>
      <c r="AT3364" s="31"/>
      <c r="AU3364" s="31"/>
      <c r="AV3364" s="94"/>
      <c r="AW3364" s="32"/>
      <c r="AX3364" s="32"/>
      <c r="AY3364" s="32"/>
      <c r="AZ3364" s="32"/>
      <c r="BA3364" s="32"/>
      <c r="BB3364" s="31"/>
      <c r="BC3364" s="31"/>
      <c r="BD3364" s="31"/>
      <c r="BE3364" s="31"/>
      <c r="BF3364" s="96"/>
    </row>
    <row r="3365" spans="42:58" x14ac:dyDescent="0.35">
      <c r="AP3365" s="92"/>
      <c r="AQ3365" s="67"/>
      <c r="AR3365" s="67"/>
      <c r="AS3365" s="73"/>
      <c r="AT3365" s="67"/>
      <c r="AU3365" s="67"/>
      <c r="AV3365" s="73"/>
      <c r="AW3365" s="68"/>
      <c r="AX3365" s="68"/>
      <c r="AY3365" s="68"/>
      <c r="AZ3365" s="68"/>
      <c r="BA3365" s="68"/>
      <c r="BB3365" s="67"/>
      <c r="BC3365" s="67"/>
      <c r="BD3365" s="67"/>
      <c r="BE3365" s="67"/>
      <c r="BF3365" s="95"/>
    </row>
    <row r="3366" spans="42:58" x14ac:dyDescent="0.35">
      <c r="AP3366" s="93"/>
      <c r="AQ3366" s="31"/>
      <c r="AR3366" s="31"/>
      <c r="AS3366" s="94"/>
      <c r="AT3366" s="31"/>
      <c r="AU3366" s="31"/>
      <c r="AV3366" s="94"/>
      <c r="AW3366" s="32"/>
      <c r="AX3366" s="32"/>
      <c r="AY3366" s="32"/>
      <c r="AZ3366" s="32"/>
      <c r="BA3366" s="32"/>
      <c r="BB3366" s="31"/>
      <c r="BC3366" s="31"/>
      <c r="BD3366" s="31"/>
      <c r="BE3366" s="31"/>
      <c r="BF3366" s="96"/>
    </row>
    <row r="3367" spans="42:58" x14ac:dyDescent="0.35">
      <c r="AP3367" s="92"/>
      <c r="AQ3367" s="67"/>
      <c r="AR3367" s="67"/>
      <c r="AS3367" s="73"/>
      <c r="AT3367" s="67"/>
      <c r="AU3367" s="67"/>
      <c r="AV3367" s="73"/>
      <c r="AW3367" s="68"/>
      <c r="AX3367" s="68"/>
      <c r="AY3367" s="68"/>
      <c r="AZ3367" s="68"/>
      <c r="BA3367" s="68"/>
      <c r="BB3367" s="67"/>
      <c r="BC3367" s="67"/>
      <c r="BD3367" s="67"/>
      <c r="BE3367" s="67"/>
      <c r="BF3367" s="95"/>
    </row>
    <row r="3368" spans="42:58" x14ac:dyDescent="0.35">
      <c r="AP3368" s="93"/>
      <c r="AQ3368" s="31"/>
      <c r="AR3368" s="31"/>
      <c r="AS3368" s="94"/>
      <c r="AT3368" s="31"/>
      <c r="AU3368" s="31"/>
      <c r="AV3368" s="94"/>
      <c r="AW3368" s="32"/>
      <c r="AX3368" s="32"/>
      <c r="AY3368" s="32"/>
      <c r="AZ3368" s="32"/>
      <c r="BA3368" s="32"/>
      <c r="BB3368" s="31"/>
      <c r="BC3368" s="31"/>
      <c r="BD3368" s="31"/>
      <c r="BE3368" s="31"/>
      <c r="BF3368" s="96"/>
    </row>
    <row r="3369" spans="42:58" x14ac:dyDescent="0.35">
      <c r="AP3369" s="92"/>
      <c r="AQ3369" s="67"/>
      <c r="AR3369" s="67"/>
      <c r="AS3369" s="73"/>
      <c r="AT3369" s="67"/>
      <c r="AU3369" s="67"/>
      <c r="AV3369" s="73"/>
      <c r="AW3369" s="68"/>
      <c r="AX3369" s="68"/>
      <c r="AY3369" s="68"/>
      <c r="AZ3369" s="68"/>
      <c r="BA3369" s="68"/>
      <c r="BB3369" s="67"/>
      <c r="BC3369" s="67"/>
      <c r="BD3369" s="67"/>
      <c r="BE3369" s="67"/>
      <c r="BF3369" s="95"/>
    </row>
    <row r="3370" spans="42:58" x14ac:dyDescent="0.35">
      <c r="AP3370" s="93"/>
      <c r="AQ3370" s="31"/>
      <c r="AR3370" s="31"/>
      <c r="AS3370" s="94"/>
      <c r="AT3370" s="31"/>
      <c r="AU3370" s="31"/>
      <c r="AV3370" s="94"/>
      <c r="AW3370" s="32"/>
      <c r="AX3370" s="32"/>
      <c r="AY3370" s="32"/>
      <c r="AZ3370" s="32"/>
      <c r="BA3370" s="32"/>
      <c r="BB3370" s="31"/>
      <c r="BC3370" s="31"/>
      <c r="BD3370" s="31"/>
      <c r="BE3370" s="31"/>
      <c r="BF3370" s="96"/>
    </row>
    <row r="3371" spans="42:58" x14ac:dyDescent="0.35">
      <c r="AP3371" s="92"/>
      <c r="AQ3371" s="67"/>
      <c r="AR3371" s="67"/>
      <c r="AS3371" s="73"/>
      <c r="AT3371" s="67"/>
      <c r="AU3371" s="67"/>
      <c r="AV3371" s="73"/>
      <c r="AW3371" s="68"/>
      <c r="AX3371" s="68"/>
      <c r="AY3371" s="68"/>
      <c r="AZ3371" s="68"/>
      <c r="BA3371" s="68"/>
      <c r="BB3371" s="67"/>
      <c r="BC3371" s="67"/>
      <c r="BD3371" s="67"/>
      <c r="BE3371" s="67"/>
      <c r="BF3371" s="95"/>
    </row>
    <row r="3372" spans="42:58" x14ac:dyDescent="0.35">
      <c r="AP3372" s="93"/>
      <c r="AQ3372" s="31"/>
      <c r="AR3372" s="31"/>
      <c r="AS3372" s="94"/>
      <c r="AT3372" s="31"/>
      <c r="AU3372" s="31"/>
      <c r="AV3372" s="94"/>
      <c r="AW3372" s="32"/>
      <c r="AX3372" s="32"/>
      <c r="AY3372" s="32"/>
      <c r="AZ3372" s="32"/>
      <c r="BA3372" s="32"/>
      <c r="BB3372" s="31"/>
      <c r="BC3372" s="31"/>
      <c r="BD3372" s="31"/>
      <c r="BE3372" s="31"/>
      <c r="BF3372" s="96"/>
    </row>
    <row r="3373" spans="42:58" x14ac:dyDescent="0.35">
      <c r="AP3373" s="92"/>
      <c r="AQ3373" s="67"/>
      <c r="AR3373" s="67"/>
      <c r="AS3373" s="73"/>
      <c r="AT3373" s="67"/>
      <c r="AU3373" s="67"/>
      <c r="AV3373" s="73"/>
      <c r="AW3373" s="68"/>
      <c r="AX3373" s="68"/>
      <c r="AY3373" s="68"/>
      <c r="AZ3373" s="68"/>
      <c r="BA3373" s="68"/>
      <c r="BB3373" s="67"/>
      <c r="BC3373" s="67"/>
      <c r="BD3373" s="67"/>
      <c r="BE3373" s="67"/>
      <c r="BF3373" s="95"/>
    </row>
    <row r="3374" spans="42:58" x14ac:dyDescent="0.35">
      <c r="AP3374" s="93"/>
      <c r="AQ3374" s="31"/>
      <c r="AR3374" s="31"/>
      <c r="AS3374" s="94"/>
      <c r="AT3374" s="31"/>
      <c r="AU3374" s="31"/>
      <c r="AV3374" s="94"/>
      <c r="AW3374" s="32"/>
      <c r="AX3374" s="32"/>
      <c r="AY3374" s="32"/>
      <c r="AZ3374" s="32"/>
      <c r="BA3374" s="32"/>
      <c r="BB3374" s="31"/>
      <c r="BC3374" s="31"/>
      <c r="BD3374" s="31"/>
      <c r="BE3374" s="31"/>
      <c r="BF3374" s="96"/>
    </row>
    <row r="3375" spans="42:58" x14ac:dyDescent="0.35">
      <c r="AP3375" s="92"/>
      <c r="AQ3375" s="67"/>
      <c r="AR3375" s="67"/>
      <c r="AS3375" s="73"/>
      <c r="AT3375" s="67"/>
      <c r="AU3375" s="67"/>
      <c r="AV3375" s="73"/>
      <c r="AW3375" s="68"/>
      <c r="AX3375" s="68"/>
      <c r="AY3375" s="68"/>
      <c r="AZ3375" s="68"/>
      <c r="BA3375" s="68"/>
      <c r="BB3375" s="67"/>
      <c r="BC3375" s="67"/>
      <c r="BD3375" s="67"/>
      <c r="BE3375" s="67"/>
      <c r="BF3375" s="95"/>
    </row>
    <row r="3376" spans="42:58" x14ac:dyDescent="0.35">
      <c r="AP3376" s="93"/>
      <c r="AQ3376" s="31"/>
      <c r="AR3376" s="31"/>
      <c r="AS3376" s="94"/>
      <c r="AT3376" s="31"/>
      <c r="AU3376" s="31"/>
      <c r="AV3376" s="94"/>
      <c r="AW3376" s="32"/>
      <c r="AX3376" s="32"/>
      <c r="AY3376" s="32"/>
      <c r="AZ3376" s="32"/>
      <c r="BA3376" s="32"/>
      <c r="BB3376" s="31"/>
      <c r="BC3376" s="31"/>
      <c r="BD3376" s="31"/>
      <c r="BE3376" s="31"/>
      <c r="BF3376" s="96"/>
    </row>
    <row r="3377" spans="42:58" x14ac:dyDescent="0.35">
      <c r="AP3377" s="92"/>
      <c r="AQ3377" s="67"/>
      <c r="AR3377" s="67"/>
      <c r="AS3377" s="73"/>
      <c r="AT3377" s="67"/>
      <c r="AU3377" s="67"/>
      <c r="AV3377" s="73"/>
      <c r="AW3377" s="68"/>
      <c r="AX3377" s="68"/>
      <c r="AY3377" s="68"/>
      <c r="AZ3377" s="68"/>
      <c r="BA3377" s="68"/>
      <c r="BB3377" s="67"/>
      <c r="BC3377" s="67"/>
      <c r="BD3377" s="67"/>
      <c r="BE3377" s="67"/>
      <c r="BF3377" s="95"/>
    </row>
    <row r="3378" spans="42:58" x14ac:dyDescent="0.35">
      <c r="AP3378" s="93"/>
      <c r="AQ3378" s="31"/>
      <c r="AR3378" s="31"/>
      <c r="AS3378" s="94"/>
      <c r="AT3378" s="31"/>
      <c r="AU3378" s="31"/>
      <c r="AV3378" s="94"/>
      <c r="AW3378" s="32"/>
      <c r="AX3378" s="32"/>
      <c r="AY3378" s="32"/>
      <c r="AZ3378" s="32"/>
      <c r="BA3378" s="32"/>
      <c r="BB3378" s="31"/>
      <c r="BC3378" s="31"/>
      <c r="BD3378" s="31"/>
      <c r="BE3378" s="31"/>
      <c r="BF3378" s="96"/>
    </row>
    <row r="3379" spans="42:58" x14ac:dyDescent="0.35">
      <c r="AP3379" s="92"/>
      <c r="AQ3379" s="67"/>
      <c r="AR3379" s="67"/>
      <c r="AS3379" s="73"/>
      <c r="AT3379" s="67"/>
      <c r="AU3379" s="67"/>
      <c r="AV3379" s="73"/>
      <c r="AW3379" s="68"/>
      <c r="AX3379" s="68"/>
      <c r="AY3379" s="68"/>
      <c r="AZ3379" s="68"/>
      <c r="BA3379" s="68"/>
      <c r="BB3379" s="67"/>
      <c r="BC3379" s="67"/>
      <c r="BD3379" s="67"/>
      <c r="BE3379" s="67"/>
      <c r="BF3379" s="95"/>
    </row>
    <row r="3380" spans="42:58" x14ac:dyDescent="0.35">
      <c r="AP3380" s="93"/>
      <c r="AQ3380" s="31"/>
      <c r="AR3380" s="31"/>
      <c r="AS3380" s="94"/>
      <c r="AT3380" s="31"/>
      <c r="AU3380" s="31"/>
      <c r="AV3380" s="94"/>
      <c r="AW3380" s="32"/>
      <c r="AX3380" s="32"/>
      <c r="AY3380" s="32"/>
      <c r="AZ3380" s="32"/>
      <c r="BA3380" s="32"/>
      <c r="BB3380" s="31"/>
      <c r="BC3380" s="31"/>
      <c r="BD3380" s="31"/>
      <c r="BE3380" s="31"/>
      <c r="BF3380" s="96"/>
    </row>
    <row r="3381" spans="42:58" x14ac:dyDescent="0.35">
      <c r="AP3381" s="92"/>
      <c r="AQ3381" s="67"/>
      <c r="AR3381" s="67"/>
      <c r="AS3381" s="73"/>
      <c r="AT3381" s="67"/>
      <c r="AU3381" s="67"/>
      <c r="AV3381" s="73"/>
      <c r="AW3381" s="68"/>
      <c r="AX3381" s="68"/>
      <c r="AY3381" s="68"/>
      <c r="AZ3381" s="68"/>
      <c r="BA3381" s="68"/>
      <c r="BB3381" s="67"/>
      <c r="BC3381" s="67"/>
      <c r="BD3381" s="67"/>
      <c r="BE3381" s="67"/>
      <c r="BF3381" s="95"/>
    </row>
    <row r="3382" spans="42:58" x14ac:dyDescent="0.35">
      <c r="AP3382" s="93"/>
      <c r="AQ3382" s="31"/>
      <c r="AR3382" s="31"/>
      <c r="AS3382" s="94"/>
      <c r="AT3382" s="31"/>
      <c r="AU3382" s="31"/>
      <c r="AV3382" s="94"/>
      <c r="AW3382" s="32"/>
      <c r="AX3382" s="32"/>
      <c r="AY3382" s="32"/>
      <c r="AZ3382" s="32"/>
      <c r="BA3382" s="32"/>
      <c r="BB3382" s="31"/>
      <c r="BC3382" s="31"/>
      <c r="BD3382" s="31"/>
      <c r="BE3382" s="31"/>
      <c r="BF3382" s="96"/>
    </row>
    <row r="3383" spans="42:58" x14ac:dyDescent="0.35">
      <c r="AP3383" s="92"/>
      <c r="AQ3383" s="67"/>
      <c r="AR3383" s="67"/>
      <c r="AS3383" s="73"/>
      <c r="AT3383" s="67"/>
      <c r="AU3383" s="67"/>
      <c r="AV3383" s="73"/>
      <c r="AW3383" s="68"/>
      <c r="AX3383" s="68"/>
      <c r="AY3383" s="68"/>
      <c r="AZ3383" s="68"/>
      <c r="BA3383" s="68"/>
      <c r="BB3383" s="67"/>
      <c r="BC3383" s="67"/>
      <c r="BD3383" s="67"/>
      <c r="BE3383" s="67"/>
      <c r="BF3383" s="95"/>
    </row>
    <row r="3384" spans="42:58" x14ac:dyDescent="0.35">
      <c r="AP3384" s="93"/>
      <c r="AQ3384" s="31"/>
      <c r="AR3384" s="31"/>
      <c r="AS3384" s="94"/>
      <c r="AT3384" s="31"/>
      <c r="AU3384" s="31"/>
      <c r="AV3384" s="94"/>
      <c r="AW3384" s="32"/>
      <c r="AX3384" s="32"/>
      <c r="AY3384" s="32"/>
      <c r="AZ3384" s="32"/>
      <c r="BA3384" s="32"/>
      <c r="BB3384" s="31"/>
      <c r="BC3384" s="31"/>
      <c r="BD3384" s="31"/>
      <c r="BE3384" s="31"/>
      <c r="BF3384" s="96"/>
    </row>
    <row r="3385" spans="42:58" x14ac:dyDescent="0.35">
      <c r="AP3385" s="92"/>
      <c r="AQ3385" s="67"/>
      <c r="AR3385" s="67"/>
      <c r="AS3385" s="73"/>
      <c r="AT3385" s="67"/>
      <c r="AU3385" s="67"/>
      <c r="AV3385" s="73"/>
      <c r="AW3385" s="68"/>
      <c r="AX3385" s="68"/>
      <c r="AY3385" s="68"/>
      <c r="AZ3385" s="68"/>
      <c r="BA3385" s="68"/>
      <c r="BB3385" s="67"/>
      <c r="BC3385" s="67"/>
      <c r="BD3385" s="67"/>
      <c r="BE3385" s="67"/>
      <c r="BF3385" s="95"/>
    </row>
    <row r="3386" spans="42:58" x14ac:dyDescent="0.35">
      <c r="AP3386" s="93"/>
      <c r="AQ3386" s="31"/>
      <c r="AR3386" s="31"/>
      <c r="AS3386" s="94"/>
      <c r="AT3386" s="31"/>
      <c r="AU3386" s="31"/>
      <c r="AV3386" s="94"/>
      <c r="AW3386" s="32"/>
      <c r="AX3386" s="32"/>
      <c r="AY3386" s="32"/>
      <c r="AZ3386" s="32"/>
      <c r="BA3386" s="32"/>
      <c r="BB3386" s="31"/>
      <c r="BC3386" s="31"/>
      <c r="BD3386" s="31"/>
      <c r="BE3386" s="31"/>
      <c r="BF3386" s="96"/>
    </row>
    <row r="3387" spans="42:58" x14ac:dyDescent="0.35">
      <c r="AP3387" s="92"/>
      <c r="AQ3387" s="67"/>
      <c r="AR3387" s="67"/>
      <c r="AS3387" s="73"/>
      <c r="AT3387" s="67"/>
      <c r="AU3387" s="67"/>
      <c r="AV3387" s="73"/>
      <c r="AW3387" s="68"/>
      <c r="AX3387" s="68"/>
      <c r="AY3387" s="68"/>
      <c r="AZ3387" s="68"/>
      <c r="BA3387" s="68"/>
      <c r="BB3387" s="67"/>
      <c r="BC3387" s="67"/>
      <c r="BD3387" s="67"/>
      <c r="BE3387" s="67"/>
      <c r="BF3387" s="95"/>
    </row>
    <row r="3388" spans="42:58" x14ac:dyDescent="0.35">
      <c r="AP3388" s="93"/>
      <c r="AQ3388" s="31"/>
      <c r="AR3388" s="31"/>
      <c r="AS3388" s="94"/>
      <c r="AT3388" s="31"/>
      <c r="AU3388" s="31"/>
      <c r="AV3388" s="94"/>
      <c r="AW3388" s="32"/>
      <c r="AX3388" s="32"/>
      <c r="AY3388" s="32"/>
      <c r="AZ3388" s="32"/>
      <c r="BA3388" s="32"/>
      <c r="BB3388" s="31"/>
      <c r="BC3388" s="31"/>
      <c r="BD3388" s="31"/>
      <c r="BE3388" s="31"/>
      <c r="BF3388" s="96"/>
    </row>
    <row r="3389" spans="42:58" x14ac:dyDescent="0.35">
      <c r="AP3389" s="92"/>
      <c r="AQ3389" s="67"/>
      <c r="AR3389" s="67"/>
      <c r="AS3389" s="73"/>
      <c r="AT3389" s="67"/>
      <c r="AU3389" s="67"/>
      <c r="AV3389" s="73"/>
      <c r="AW3389" s="68"/>
      <c r="AX3389" s="68"/>
      <c r="AY3389" s="68"/>
      <c r="AZ3389" s="68"/>
      <c r="BA3389" s="68"/>
      <c r="BB3389" s="67"/>
      <c r="BC3389" s="67"/>
      <c r="BD3389" s="67"/>
      <c r="BE3389" s="67"/>
      <c r="BF3389" s="95"/>
    </row>
    <row r="3390" spans="42:58" x14ac:dyDescent="0.35">
      <c r="AP3390" s="93"/>
      <c r="AQ3390" s="31"/>
      <c r="AR3390" s="31"/>
      <c r="AS3390" s="94"/>
      <c r="AT3390" s="31"/>
      <c r="AU3390" s="31"/>
      <c r="AV3390" s="94"/>
      <c r="AW3390" s="32"/>
      <c r="AX3390" s="32"/>
      <c r="AY3390" s="32"/>
      <c r="AZ3390" s="32"/>
      <c r="BA3390" s="32"/>
      <c r="BB3390" s="31"/>
      <c r="BC3390" s="31"/>
      <c r="BD3390" s="31"/>
      <c r="BE3390" s="31"/>
      <c r="BF3390" s="96"/>
    </row>
    <row r="3391" spans="42:58" x14ac:dyDescent="0.35">
      <c r="AP3391" s="92"/>
      <c r="AQ3391" s="67"/>
      <c r="AR3391" s="67"/>
      <c r="AS3391" s="73"/>
      <c r="AT3391" s="67"/>
      <c r="AU3391" s="67"/>
      <c r="AV3391" s="73"/>
      <c r="AW3391" s="68"/>
      <c r="AX3391" s="68"/>
      <c r="AY3391" s="68"/>
      <c r="AZ3391" s="68"/>
      <c r="BA3391" s="68"/>
      <c r="BB3391" s="67"/>
      <c r="BC3391" s="67"/>
      <c r="BD3391" s="67"/>
      <c r="BE3391" s="67"/>
      <c r="BF3391" s="95"/>
    </row>
    <row r="3392" spans="42:58" x14ac:dyDescent="0.35">
      <c r="AP3392" s="93"/>
      <c r="AQ3392" s="31"/>
      <c r="AR3392" s="31"/>
      <c r="AS3392" s="94"/>
      <c r="AT3392" s="31"/>
      <c r="AU3392" s="31"/>
      <c r="AV3392" s="94"/>
      <c r="AW3392" s="32"/>
      <c r="AX3392" s="32"/>
      <c r="AY3392" s="32"/>
      <c r="AZ3392" s="32"/>
      <c r="BA3392" s="32"/>
      <c r="BB3392" s="31"/>
      <c r="BC3392" s="31"/>
      <c r="BD3392" s="31"/>
      <c r="BE3392" s="31"/>
      <c r="BF3392" s="96"/>
    </row>
    <row r="3393" spans="42:58" x14ac:dyDescent="0.35">
      <c r="AP3393" s="92"/>
      <c r="AQ3393" s="67"/>
      <c r="AR3393" s="67"/>
      <c r="AS3393" s="73"/>
      <c r="AT3393" s="67"/>
      <c r="AU3393" s="67"/>
      <c r="AV3393" s="73"/>
      <c r="AW3393" s="68"/>
      <c r="AX3393" s="68"/>
      <c r="AY3393" s="68"/>
      <c r="AZ3393" s="68"/>
      <c r="BA3393" s="68"/>
      <c r="BB3393" s="67"/>
      <c r="BC3393" s="67"/>
      <c r="BD3393" s="67"/>
      <c r="BE3393" s="67"/>
      <c r="BF3393" s="95"/>
    </row>
    <row r="3394" spans="42:58" x14ac:dyDescent="0.35">
      <c r="AP3394" s="93"/>
      <c r="AQ3394" s="31"/>
      <c r="AR3394" s="31"/>
      <c r="AS3394" s="94"/>
      <c r="AT3394" s="31"/>
      <c r="AU3394" s="31"/>
      <c r="AV3394" s="94"/>
      <c r="AW3394" s="32"/>
      <c r="AX3394" s="32"/>
      <c r="AY3394" s="32"/>
      <c r="AZ3394" s="32"/>
      <c r="BA3394" s="32"/>
      <c r="BB3394" s="31"/>
      <c r="BC3394" s="31"/>
      <c r="BD3394" s="31"/>
      <c r="BE3394" s="31"/>
      <c r="BF3394" s="96"/>
    </row>
    <row r="3395" spans="42:58" x14ac:dyDescent="0.35">
      <c r="AP3395" s="92"/>
      <c r="AQ3395" s="67"/>
      <c r="AR3395" s="67"/>
      <c r="AS3395" s="73"/>
      <c r="AT3395" s="67"/>
      <c r="AU3395" s="67"/>
      <c r="AV3395" s="73"/>
      <c r="AW3395" s="68"/>
      <c r="AX3395" s="68"/>
      <c r="AY3395" s="68"/>
      <c r="AZ3395" s="68"/>
      <c r="BA3395" s="68"/>
      <c r="BB3395" s="67"/>
      <c r="BC3395" s="67"/>
      <c r="BD3395" s="67"/>
      <c r="BE3395" s="67"/>
      <c r="BF3395" s="95"/>
    </row>
    <row r="3396" spans="42:58" x14ac:dyDescent="0.35">
      <c r="AP3396" s="93"/>
      <c r="AQ3396" s="31"/>
      <c r="AR3396" s="31"/>
      <c r="AS3396" s="94"/>
      <c r="AT3396" s="31"/>
      <c r="AU3396" s="31"/>
      <c r="AV3396" s="94"/>
      <c r="AW3396" s="32"/>
      <c r="AX3396" s="32"/>
      <c r="AY3396" s="32"/>
      <c r="AZ3396" s="32"/>
      <c r="BA3396" s="32"/>
      <c r="BB3396" s="31"/>
      <c r="BC3396" s="31"/>
      <c r="BD3396" s="31"/>
      <c r="BE3396" s="31"/>
      <c r="BF3396" s="96"/>
    </row>
    <row r="3397" spans="42:58" x14ac:dyDescent="0.35">
      <c r="AP3397" s="92"/>
      <c r="AQ3397" s="67"/>
      <c r="AR3397" s="67"/>
      <c r="AS3397" s="73"/>
      <c r="AT3397" s="67"/>
      <c r="AU3397" s="67"/>
      <c r="AV3397" s="73"/>
      <c r="AW3397" s="68"/>
      <c r="AX3397" s="68"/>
      <c r="AY3397" s="68"/>
      <c r="AZ3397" s="68"/>
      <c r="BA3397" s="68"/>
      <c r="BB3397" s="67"/>
      <c r="BC3397" s="67"/>
      <c r="BD3397" s="67"/>
      <c r="BE3397" s="67"/>
      <c r="BF3397" s="95"/>
    </row>
    <row r="3398" spans="42:58" x14ac:dyDescent="0.35">
      <c r="AP3398" s="93"/>
      <c r="AQ3398" s="31"/>
      <c r="AR3398" s="31"/>
      <c r="AS3398" s="94"/>
      <c r="AT3398" s="31"/>
      <c r="AU3398" s="31"/>
      <c r="AV3398" s="94"/>
      <c r="AW3398" s="32"/>
      <c r="AX3398" s="32"/>
      <c r="AY3398" s="32"/>
      <c r="AZ3398" s="32"/>
      <c r="BA3398" s="32"/>
      <c r="BB3398" s="31"/>
      <c r="BC3398" s="31"/>
      <c r="BD3398" s="31"/>
      <c r="BE3398" s="31"/>
      <c r="BF3398" s="96"/>
    </row>
    <row r="3399" spans="42:58" x14ac:dyDescent="0.35">
      <c r="AP3399" s="92"/>
      <c r="AQ3399" s="67"/>
      <c r="AR3399" s="67"/>
      <c r="AS3399" s="73"/>
      <c r="AT3399" s="67"/>
      <c r="AU3399" s="67"/>
      <c r="AV3399" s="73"/>
      <c r="AW3399" s="68"/>
      <c r="AX3399" s="68"/>
      <c r="AY3399" s="68"/>
      <c r="AZ3399" s="68"/>
      <c r="BA3399" s="68"/>
      <c r="BB3399" s="67"/>
      <c r="BC3399" s="67"/>
      <c r="BD3399" s="67"/>
      <c r="BE3399" s="67"/>
      <c r="BF3399" s="95"/>
    </row>
    <row r="3400" spans="42:58" x14ac:dyDescent="0.35">
      <c r="AP3400" s="93"/>
      <c r="AQ3400" s="31"/>
      <c r="AR3400" s="31"/>
      <c r="AS3400" s="94"/>
      <c r="AT3400" s="31"/>
      <c r="AU3400" s="31"/>
      <c r="AV3400" s="94"/>
      <c r="AW3400" s="32"/>
      <c r="AX3400" s="32"/>
      <c r="AY3400" s="32"/>
      <c r="AZ3400" s="32"/>
      <c r="BA3400" s="32"/>
      <c r="BB3400" s="31"/>
      <c r="BC3400" s="31"/>
      <c r="BD3400" s="31"/>
      <c r="BE3400" s="31"/>
      <c r="BF3400" s="96"/>
    </row>
    <row r="3401" spans="42:58" x14ac:dyDescent="0.35">
      <c r="AP3401" s="92"/>
      <c r="AQ3401" s="67"/>
      <c r="AR3401" s="67"/>
      <c r="AS3401" s="73"/>
      <c r="AT3401" s="67"/>
      <c r="AU3401" s="67"/>
      <c r="AV3401" s="73"/>
      <c r="AW3401" s="68"/>
      <c r="AX3401" s="68"/>
      <c r="AY3401" s="68"/>
      <c r="AZ3401" s="68"/>
      <c r="BA3401" s="68"/>
      <c r="BB3401" s="67"/>
      <c r="BC3401" s="67"/>
      <c r="BD3401" s="67"/>
      <c r="BE3401" s="67"/>
      <c r="BF3401" s="95"/>
    </row>
    <row r="3402" spans="42:58" x14ac:dyDescent="0.35">
      <c r="AP3402" s="93"/>
      <c r="AQ3402" s="31"/>
      <c r="AR3402" s="31"/>
      <c r="AS3402" s="94"/>
      <c r="AT3402" s="31"/>
      <c r="AU3402" s="31"/>
      <c r="AV3402" s="94"/>
      <c r="AW3402" s="32"/>
      <c r="AX3402" s="32"/>
      <c r="AY3402" s="32"/>
      <c r="AZ3402" s="32"/>
      <c r="BA3402" s="32"/>
      <c r="BB3402" s="31"/>
      <c r="BC3402" s="31"/>
      <c r="BD3402" s="31"/>
      <c r="BE3402" s="31"/>
      <c r="BF3402" s="96"/>
    </row>
    <row r="3403" spans="42:58" x14ac:dyDescent="0.35">
      <c r="AP3403" s="92"/>
      <c r="AQ3403" s="67"/>
      <c r="AR3403" s="67"/>
      <c r="AS3403" s="73"/>
      <c r="AT3403" s="67"/>
      <c r="AU3403" s="67"/>
      <c r="AV3403" s="73"/>
      <c r="AW3403" s="68"/>
      <c r="AX3403" s="68"/>
      <c r="AY3403" s="68"/>
      <c r="AZ3403" s="68"/>
      <c r="BA3403" s="68"/>
      <c r="BB3403" s="67"/>
      <c r="BC3403" s="67"/>
      <c r="BD3403" s="67"/>
      <c r="BE3403" s="67"/>
      <c r="BF3403" s="95"/>
    </row>
    <row r="3404" spans="42:58" x14ac:dyDescent="0.35">
      <c r="AP3404" s="93"/>
      <c r="AQ3404" s="31"/>
      <c r="AR3404" s="31"/>
      <c r="AS3404" s="94"/>
      <c r="AT3404" s="31"/>
      <c r="AU3404" s="31"/>
      <c r="AV3404" s="94"/>
      <c r="AW3404" s="32"/>
      <c r="AX3404" s="32"/>
      <c r="AY3404" s="32"/>
      <c r="AZ3404" s="32"/>
      <c r="BA3404" s="32"/>
      <c r="BB3404" s="31"/>
      <c r="BC3404" s="31"/>
      <c r="BD3404" s="31"/>
      <c r="BE3404" s="31"/>
      <c r="BF3404" s="96"/>
    </row>
    <row r="3405" spans="42:58" x14ac:dyDescent="0.35">
      <c r="AP3405" s="92"/>
      <c r="AQ3405" s="67"/>
      <c r="AR3405" s="67"/>
      <c r="AS3405" s="73"/>
      <c r="AT3405" s="67"/>
      <c r="AU3405" s="67"/>
      <c r="AV3405" s="73"/>
      <c r="AW3405" s="68"/>
      <c r="AX3405" s="68"/>
      <c r="AY3405" s="68"/>
      <c r="AZ3405" s="68"/>
      <c r="BA3405" s="68"/>
      <c r="BB3405" s="67"/>
      <c r="BC3405" s="67"/>
      <c r="BD3405" s="67"/>
      <c r="BE3405" s="67"/>
      <c r="BF3405" s="95"/>
    </row>
    <row r="3406" spans="42:58" x14ac:dyDescent="0.35">
      <c r="AP3406" s="93"/>
      <c r="AQ3406" s="31"/>
      <c r="AR3406" s="31"/>
      <c r="AS3406" s="94"/>
      <c r="AT3406" s="31"/>
      <c r="AU3406" s="31"/>
      <c r="AV3406" s="94"/>
      <c r="AW3406" s="32"/>
      <c r="AX3406" s="32"/>
      <c r="AY3406" s="32"/>
      <c r="AZ3406" s="32"/>
      <c r="BA3406" s="32"/>
      <c r="BB3406" s="31"/>
      <c r="BC3406" s="31"/>
      <c r="BD3406" s="31"/>
      <c r="BE3406" s="31"/>
      <c r="BF3406" s="96"/>
    </row>
    <row r="3407" spans="42:58" x14ac:dyDescent="0.35">
      <c r="AP3407" s="92"/>
      <c r="AQ3407" s="67"/>
      <c r="AR3407" s="67"/>
      <c r="AS3407" s="73"/>
      <c r="AT3407" s="67"/>
      <c r="AU3407" s="67"/>
      <c r="AV3407" s="73"/>
      <c r="AW3407" s="68"/>
      <c r="AX3407" s="68"/>
      <c r="AY3407" s="68"/>
      <c r="AZ3407" s="68"/>
      <c r="BA3407" s="68"/>
      <c r="BB3407" s="67"/>
      <c r="BC3407" s="67"/>
      <c r="BD3407" s="67"/>
      <c r="BE3407" s="67"/>
      <c r="BF3407" s="95"/>
    </row>
    <row r="3408" spans="42:58" x14ac:dyDescent="0.35">
      <c r="AP3408" s="93"/>
      <c r="AQ3408" s="31"/>
      <c r="AR3408" s="31"/>
      <c r="AS3408" s="94"/>
      <c r="AT3408" s="31"/>
      <c r="AU3408" s="31"/>
      <c r="AV3408" s="94"/>
      <c r="AW3408" s="32"/>
      <c r="AX3408" s="32"/>
      <c r="AY3408" s="32"/>
      <c r="AZ3408" s="32"/>
      <c r="BA3408" s="32"/>
      <c r="BB3408" s="31"/>
      <c r="BC3408" s="31"/>
      <c r="BD3408" s="31"/>
      <c r="BE3408" s="31"/>
      <c r="BF3408" s="96"/>
    </row>
    <row r="3409" spans="42:58" x14ac:dyDescent="0.35">
      <c r="AP3409" s="92"/>
      <c r="AQ3409" s="67"/>
      <c r="AR3409" s="67"/>
      <c r="AS3409" s="73"/>
      <c r="AT3409" s="67"/>
      <c r="AU3409" s="67"/>
      <c r="AV3409" s="73"/>
      <c r="AW3409" s="68"/>
      <c r="AX3409" s="68"/>
      <c r="AY3409" s="68"/>
      <c r="AZ3409" s="68"/>
      <c r="BA3409" s="68"/>
      <c r="BB3409" s="67"/>
      <c r="BC3409" s="67"/>
      <c r="BD3409" s="67"/>
      <c r="BE3409" s="67"/>
      <c r="BF3409" s="95"/>
    </row>
    <row r="3410" spans="42:58" x14ac:dyDescent="0.35">
      <c r="AP3410" s="93"/>
      <c r="AQ3410" s="31"/>
      <c r="AR3410" s="31"/>
      <c r="AS3410" s="94"/>
      <c r="AT3410" s="31"/>
      <c r="AU3410" s="31"/>
      <c r="AV3410" s="94"/>
      <c r="AW3410" s="32"/>
      <c r="AX3410" s="32"/>
      <c r="AY3410" s="32"/>
      <c r="AZ3410" s="32"/>
      <c r="BA3410" s="32"/>
      <c r="BB3410" s="31"/>
      <c r="BC3410" s="31"/>
      <c r="BD3410" s="31"/>
      <c r="BE3410" s="31"/>
      <c r="BF3410" s="96"/>
    </row>
    <row r="3411" spans="42:58" x14ac:dyDescent="0.35">
      <c r="AP3411" s="92"/>
      <c r="AQ3411" s="67"/>
      <c r="AR3411" s="67"/>
      <c r="AS3411" s="73"/>
      <c r="AT3411" s="67"/>
      <c r="AU3411" s="67"/>
      <c r="AV3411" s="73"/>
      <c r="AW3411" s="68"/>
      <c r="AX3411" s="68"/>
      <c r="AY3411" s="68"/>
      <c r="AZ3411" s="68"/>
      <c r="BA3411" s="68"/>
      <c r="BB3411" s="67"/>
      <c r="BC3411" s="67"/>
      <c r="BD3411" s="67"/>
      <c r="BE3411" s="67"/>
      <c r="BF3411" s="95"/>
    </row>
    <row r="3412" spans="42:58" x14ac:dyDescent="0.35">
      <c r="AP3412" s="93"/>
      <c r="AQ3412" s="31"/>
      <c r="AR3412" s="31"/>
      <c r="AS3412" s="94"/>
      <c r="AT3412" s="31"/>
      <c r="AU3412" s="31"/>
      <c r="AV3412" s="94"/>
      <c r="AW3412" s="32"/>
      <c r="AX3412" s="32"/>
      <c r="AY3412" s="32"/>
      <c r="AZ3412" s="32"/>
      <c r="BA3412" s="32"/>
      <c r="BB3412" s="31"/>
      <c r="BC3412" s="31"/>
      <c r="BD3412" s="31"/>
      <c r="BE3412" s="31"/>
      <c r="BF3412" s="96"/>
    </row>
    <row r="3413" spans="42:58" x14ac:dyDescent="0.35">
      <c r="AP3413" s="92"/>
      <c r="AQ3413" s="67"/>
      <c r="AR3413" s="67"/>
      <c r="AS3413" s="73"/>
      <c r="AT3413" s="67"/>
      <c r="AU3413" s="67"/>
      <c r="AV3413" s="73"/>
      <c r="AW3413" s="68"/>
      <c r="AX3413" s="68"/>
      <c r="AY3413" s="68"/>
      <c r="AZ3413" s="68"/>
      <c r="BA3413" s="68"/>
      <c r="BB3413" s="67"/>
      <c r="BC3413" s="67"/>
      <c r="BD3413" s="67"/>
      <c r="BE3413" s="67"/>
      <c r="BF3413" s="95"/>
    </row>
    <row r="3414" spans="42:58" x14ac:dyDescent="0.35">
      <c r="AP3414" s="93"/>
      <c r="AQ3414" s="31"/>
      <c r="AR3414" s="31"/>
      <c r="AS3414" s="94"/>
      <c r="AT3414" s="31"/>
      <c r="AU3414" s="31"/>
      <c r="AV3414" s="94"/>
      <c r="AW3414" s="32"/>
      <c r="AX3414" s="32"/>
      <c r="AY3414" s="32"/>
      <c r="AZ3414" s="32"/>
      <c r="BA3414" s="32"/>
      <c r="BB3414" s="31"/>
      <c r="BC3414" s="31"/>
      <c r="BD3414" s="31"/>
      <c r="BE3414" s="31"/>
      <c r="BF3414" s="96"/>
    </row>
    <row r="3415" spans="42:58" x14ac:dyDescent="0.35">
      <c r="AP3415" s="92"/>
      <c r="AQ3415" s="67"/>
      <c r="AR3415" s="67"/>
      <c r="AS3415" s="73"/>
      <c r="AT3415" s="67"/>
      <c r="AU3415" s="67"/>
      <c r="AV3415" s="73"/>
      <c r="AW3415" s="68"/>
      <c r="AX3415" s="68"/>
      <c r="AY3415" s="68"/>
      <c r="AZ3415" s="68"/>
      <c r="BA3415" s="68"/>
      <c r="BB3415" s="67"/>
      <c r="BC3415" s="67"/>
      <c r="BD3415" s="67"/>
      <c r="BE3415" s="67"/>
      <c r="BF3415" s="95"/>
    </row>
    <row r="3416" spans="42:58" x14ac:dyDescent="0.35">
      <c r="AP3416" s="93"/>
      <c r="AQ3416" s="31"/>
      <c r="AR3416" s="31"/>
      <c r="AS3416" s="94"/>
      <c r="AT3416" s="31"/>
      <c r="AU3416" s="31"/>
      <c r="AV3416" s="94"/>
      <c r="AW3416" s="32"/>
      <c r="AX3416" s="32"/>
      <c r="AY3416" s="32"/>
      <c r="AZ3416" s="32"/>
      <c r="BA3416" s="32"/>
      <c r="BB3416" s="31"/>
      <c r="BC3416" s="31"/>
      <c r="BD3416" s="31"/>
      <c r="BE3416" s="31"/>
      <c r="BF3416" s="96"/>
    </row>
    <row r="3417" spans="42:58" x14ac:dyDescent="0.35">
      <c r="AP3417" s="92"/>
      <c r="AQ3417" s="67"/>
      <c r="AR3417" s="67"/>
      <c r="AS3417" s="73"/>
      <c r="AT3417" s="67"/>
      <c r="AU3417" s="67"/>
      <c r="AV3417" s="73"/>
      <c r="AW3417" s="68"/>
      <c r="AX3417" s="68"/>
      <c r="AY3417" s="68"/>
      <c r="AZ3417" s="68"/>
      <c r="BA3417" s="68"/>
      <c r="BB3417" s="67"/>
      <c r="BC3417" s="67"/>
      <c r="BD3417" s="67"/>
      <c r="BE3417" s="67"/>
      <c r="BF3417" s="95"/>
    </row>
    <row r="3418" spans="42:58" x14ac:dyDescent="0.35">
      <c r="AP3418" s="93"/>
      <c r="AQ3418" s="31"/>
      <c r="AR3418" s="31"/>
      <c r="AS3418" s="94"/>
      <c r="AT3418" s="31"/>
      <c r="AU3418" s="31"/>
      <c r="AV3418" s="94"/>
      <c r="AW3418" s="32"/>
      <c r="AX3418" s="32"/>
      <c r="AY3418" s="32"/>
      <c r="AZ3418" s="32"/>
      <c r="BA3418" s="32"/>
      <c r="BB3418" s="31"/>
      <c r="BC3418" s="31"/>
      <c r="BD3418" s="31"/>
      <c r="BE3418" s="31"/>
      <c r="BF3418" s="96"/>
    </row>
    <row r="3419" spans="42:58" x14ac:dyDescent="0.35">
      <c r="AP3419" s="92"/>
      <c r="AQ3419" s="67"/>
      <c r="AR3419" s="67"/>
      <c r="AS3419" s="73"/>
      <c r="AT3419" s="67"/>
      <c r="AU3419" s="67"/>
      <c r="AV3419" s="73"/>
      <c r="AW3419" s="68"/>
      <c r="AX3419" s="68"/>
      <c r="AY3419" s="68"/>
      <c r="AZ3419" s="68"/>
      <c r="BA3419" s="68"/>
      <c r="BB3419" s="67"/>
      <c r="BC3419" s="67"/>
      <c r="BD3419" s="67"/>
      <c r="BE3419" s="67"/>
      <c r="BF3419" s="95"/>
    </row>
    <row r="3420" spans="42:58" x14ac:dyDescent="0.35">
      <c r="AP3420" s="93"/>
      <c r="AQ3420" s="31"/>
      <c r="AR3420" s="31"/>
      <c r="AS3420" s="94"/>
      <c r="AT3420" s="31"/>
      <c r="AU3420" s="31"/>
      <c r="AV3420" s="94"/>
      <c r="AW3420" s="32"/>
      <c r="AX3420" s="32"/>
      <c r="AY3420" s="32"/>
      <c r="AZ3420" s="32"/>
      <c r="BA3420" s="32"/>
      <c r="BB3420" s="31"/>
      <c r="BC3420" s="31"/>
      <c r="BD3420" s="31"/>
      <c r="BE3420" s="31"/>
      <c r="BF3420" s="96"/>
    </row>
    <row r="3421" spans="42:58" x14ac:dyDescent="0.35">
      <c r="AP3421" s="92"/>
      <c r="AQ3421" s="67"/>
      <c r="AR3421" s="67"/>
      <c r="AS3421" s="73"/>
      <c r="AT3421" s="67"/>
      <c r="AU3421" s="67"/>
      <c r="AV3421" s="73"/>
      <c r="AW3421" s="68"/>
      <c r="AX3421" s="68"/>
      <c r="AY3421" s="68"/>
      <c r="AZ3421" s="68"/>
      <c r="BA3421" s="68"/>
      <c r="BB3421" s="67"/>
      <c r="BC3421" s="67"/>
      <c r="BD3421" s="67"/>
      <c r="BE3421" s="67"/>
      <c r="BF3421" s="95"/>
    </row>
    <row r="3422" spans="42:58" x14ac:dyDescent="0.35">
      <c r="AP3422" s="93"/>
      <c r="AQ3422" s="31"/>
      <c r="AR3422" s="31"/>
      <c r="AS3422" s="94"/>
      <c r="AT3422" s="31"/>
      <c r="AU3422" s="31"/>
      <c r="AV3422" s="94"/>
      <c r="AW3422" s="32"/>
      <c r="AX3422" s="32"/>
      <c r="AY3422" s="32"/>
      <c r="AZ3422" s="32"/>
      <c r="BA3422" s="32"/>
      <c r="BB3422" s="31"/>
      <c r="BC3422" s="31"/>
      <c r="BD3422" s="31"/>
      <c r="BE3422" s="31"/>
      <c r="BF3422" s="96"/>
    </row>
    <row r="3423" spans="42:58" x14ac:dyDescent="0.35">
      <c r="AP3423" s="92"/>
      <c r="AQ3423" s="67"/>
      <c r="AR3423" s="67"/>
      <c r="AS3423" s="73"/>
      <c r="AT3423" s="67"/>
      <c r="AU3423" s="67"/>
      <c r="AV3423" s="73"/>
      <c r="AW3423" s="68"/>
      <c r="AX3423" s="68"/>
      <c r="AY3423" s="68"/>
      <c r="AZ3423" s="68"/>
      <c r="BA3423" s="68"/>
      <c r="BB3423" s="67"/>
      <c r="BC3423" s="67"/>
      <c r="BD3423" s="67"/>
      <c r="BE3423" s="67"/>
      <c r="BF3423" s="95"/>
    </row>
    <row r="3424" spans="42:58" x14ac:dyDescent="0.35">
      <c r="AP3424" s="93"/>
      <c r="AQ3424" s="31"/>
      <c r="AR3424" s="31"/>
      <c r="AS3424" s="94"/>
      <c r="AT3424" s="31"/>
      <c r="AU3424" s="31"/>
      <c r="AV3424" s="94"/>
      <c r="AW3424" s="32"/>
      <c r="AX3424" s="32"/>
      <c r="AY3424" s="32"/>
      <c r="AZ3424" s="32"/>
      <c r="BA3424" s="32"/>
      <c r="BB3424" s="31"/>
      <c r="BC3424" s="31"/>
      <c r="BD3424" s="31"/>
      <c r="BE3424" s="31"/>
      <c r="BF3424" s="96"/>
    </row>
    <row r="3425" spans="42:58" x14ac:dyDescent="0.35">
      <c r="AP3425" s="92"/>
      <c r="AQ3425" s="67"/>
      <c r="AR3425" s="67"/>
      <c r="AS3425" s="73"/>
      <c r="AT3425" s="67"/>
      <c r="AU3425" s="67"/>
      <c r="AV3425" s="73"/>
      <c r="AW3425" s="68"/>
      <c r="AX3425" s="68"/>
      <c r="AY3425" s="68"/>
      <c r="AZ3425" s="68"/>
      <c r="BA3425" s="68"/>
      <c r="BB3425" s="67"/>
      <c r="BC3425" s="67"/>
      <c r="BD3425" s="67"/>
      <c r="BE3425" s="67"/>
      <c r="BF3425" s="95"/>
    </row>
    <row r="3426" spans="42:58" x14ac:dyDescent="0.35">
      <c r="AP3426" s="93"/>
      <c r="AQ3426" s="31"/>
      <c r="AR3426" s="31"/>
      <c r="AS3426" s="94"/>
      <c r="AT3426" s="31"/>
      <c r="AU3426" s="31"/>
      <c r="AV3426" s="94"/>
      <c r="AW3426" s="32"/>
      <c r="AX3426" s="32"/>
      <c r="AY3426" s="32"/>
      <c r="AZ3426" s="32"/>
      <c r="BA3426" s="32"/>
      <c r="BB3426" s="31"/>
      <c r="BC3426" s="31"/>
      <c r="BD3426" s="31"/>
      <c r="BE3426" s="31"/>
      <c r="BF3426" s="96"/>
    </row>
    <row r="3427" spans="42:58" x14ac:dyDescent="0.35">
      <c r="AP3427" s="92"/>
      <c r="AQ3427" s="67"/>
      <c r="AR3427" s="67"/>
      <c r="AS3427" s="73"/>
      <c r="AT3427" s="67"/>
      <c r="AU3427" s="67"/>
      <c r="AV3427" s="73"/>
      <c r="AW3427" s="68"/>
      <c r="AX3427" s="68"/>
      <c r="AY3427" s="68"/>
      <c r="AZ3427" s="68"/>
      <c r="BA3427" s="68"/>
      <c r="BB3427" s="67"/>
      <c r="BC3427" s="67"/>
      <c r="BD3427" s="67"/>
      <c r="BE3427" s="67"/>
      <c r="BF3427" s="95"/>
    </row>
    <row r="3428" spans="42:58" x14ac:dyDescent="0.35">
      <c r="AP3428" s="93"/>
      <c r="AQ3428" s="31"/>
      <c r="AR3428" s="31"/>
      <c r="AS3428" s="94"/>
      <c r="AT3428" s="31"/>
      <c r="AU3428" s="31"/>
      <c r="AV3428" s="94"/>
      <c r="AW3428" s="32"/>
      <c r="AX3428" s="32"/>
      <c r="AY3428" s="32"/>
      <c r="AZ3428" s="32"/>
      <c r="BA3428" s="32"/>
      <c r="BB3428" s="31"/>
      <c r="BC3428" s="31"/>
      <c r="BD3428" s="31"/>
      <c r="BE3428" s="31"/>
      <c r="BF3428" s="96"/>
    </row>
    <row r="3429" spans="42:58" x14ac:dyDescent="0.35">
      <c r="AP3429" s="92"/>
      <c r="AQ3429" s="67"/>
      <c r="AR3429" s="67"/>
      <c r="AS3429" s="73"/>
      <c r="AT3429" s="67"/>
      <c r="AU3429" s="67"/>
      <c r="AV3429" s="73"/>
      <c r="AW3429" s="68"/>
      <c r="AX3429" s="68"/>
      <c r="AY3429" s="68"/>
      <c r="AZ3429" s="68"/>
      <c r="BA3429" s="68"/>
      <c r="BB3429" s="67"/>
      <c r="BC3429" s="67"/>
      <c r="BD3429" s="67"/>
      <c r="BE3429" s="67"/>
      <c r="BF3429" s="95"/>
    </row>
    <row r="3430" spans="42:58" x14ac:dyDescent="0.35">
      <c r="AP3430" s="93"/>
      <c r="AQ3430" s="31"/>
      <c r="AR3430" s="31"/>
      <c r="AS3430" s="94"/>
      <c r="AT3430" s="31"/>
      <c r="AU3430" s="31"/>
      <c r="AV3430" s="94"/>
      <c r="AW3430" s="32"/>
      <c r="AX3430" s="32"/>
      <c r="AY3430" s="32"/>
      <c r="AZ3430" s="32"/>
      <c r="BA3430" s="32"/>
      <c r="BB3430" s="31"/>
      <c r="BC3430" s="31"/>
      <c r="BD3430" s="31"/>
      <c r="BE3430" s="31"/>
      <c r="BF3430" s="96"/>
    </row>
    <row r="3431" spans="42:58" x14ac:dyDescent="0.35">
      <c r="AP3431" s="92"/>
      <c r="AQ3431" s="67"/>
      <c r="AR3431" s="67"/>
      <c r="AS3431" s="73"/>
      <c r="AT3431" s="67"/>
      <c r="AU3431" s="67"/>
      <c r="AV3431" s="73"/>
      <c r="AW3431" s="68"/>
      <c r="AX3431" s="68"/>
      <c r="AY3431" s="68"/>
      <c r="AZ3431" s="68"/>
      <c r="BA3431" s="68"/>
      <c r="BB3431" s="67"/>
      <c r="BC3431" s="67"/>
      <c r="BD3431" s="67"/>
      <c r="BE3431" s="67"/>
      <c r="BF3431" s="95"/>
    </row>
    <row r="3432" spans="42:58" x14ac:dyDescent="0.35">
      <c r="AP3432" s="93"/>
      <c r="AQ3432" s="31"/>
      <c r="AR3432" s="31"/>
      <c r="AS3432" s="94"/>
      <c r="AT3432" s="31"/>
      <c r="AU3432" s="31"/>
      <c r="AV3432" s="94"/>
      <c r="AW3432" s="32"/>
      <c r="AX3432" s="32"/>
      <c r="AY3432" s="32"/>
      <c r="AZ3432" s="32"/>
      <c r="BA3432" s="32"/>
      <c r="BB3432" s="31"/>
      <c r="BC3432" s="31"/>
      <c r="BD3432" s="31"/>
      <c r="BE3432" s="31"/>
      <c r="BF3432" s="96"/>
    </row>
    <row r="3433" spans="42:58" x14ac:dyDescent="0.35">
      <c r="AP3433" s="92"/>
      <c r="AQ3433" s="67"/>
      <c r="AR3433" s="67"/>
      <c r="AS3433" s="73"/>
      <c r="AT3433" s="67"/>
      <c r="AU3433" s="67"/>
      <c r="AV3433" s="73"/>
      <c r="AW3433" s="68"/>
      <c r="AX3433" s="68"/>
      <c r="AY3433" s="68"/>
      <c r="AZ3433" s="68"/>
      <c r="BA3433" s="68"/>
      <c r="BB3433" s="67"/>
      <c r="BC3433" s="67"/>
      <c r="BD3433" s="67"/>
      <c r="BE3433" s="67"/>
      <c r="BF3433" s="95"/>
    </row>
    <row r="3434" spans="42:58" x14ac:dyDescent="0.35">
      <c r="AP3434" s="93"/>
      <c r="AQ3434" s="31"/>
      <c r="AR3434" s="31"/>
      <c r="AS3434" s="94"/>
      <c r="AT3434" s="31"/>
      <c r="AU3434" s="31"/>
      <c r="AV3434" s="94"/>
      <c r="AW3434" s="32"/>
      <c r="AX3434" s="32"/>
      <c r="AY3434" s="32"/>
      <c r="AZ3434" s="32"/>
      <c r="BA3434" s="32"/>
      <c r="BB3434" s="31"/>
      <c r="BC3434" s="31"/>
      <c r="BD3434" s="31"/>
      <c r="BE3434" s="31"/>
      <c r="BF3434" s="96"/>
    </row>
    <row r="3435" spans="42:58" x14ac:dyDescent="0.35">
      <c r="AP3435" s="92"/>
      <c r="AQ3435" s="67"/>
      <c r="AR3435" s="67"/>
      <c r="AS3435" s="73"/>
      <c r="AT3435" s="67"/>
      <c r="AU3435" s="67"/>
      <c r="AV3435" s="73"/>
      <c r="AW3435" s="68"/>
      <c r="AX3435" s="68"/>
      <c r="AY3435" s="68"/>
      <c r="AZ3435" s="68"/>
      <c r="BA3435" s="68"/>
      <c r="BB3435" s="67"/>
      <c r="BC3435" s="67"/>
      <c r="BD3435" s="67"/>
      <c r="BE3435" s="67"/>
      <c r="BF3435" s="95"/>
    </row>
    <row r="3436" spans="42:58" x14ac:dyDescent="0.35">
      <c r="AP3436" s="93"/>
      <c r="AQ3436" s="31"/>
      <c r="AR3436" s="31"/>
      <c r="AS3436" s="94"/>
      <c r="AT3436" s="31"/>
      <c r="AU3436" s="31"/>
      <c r="AV3436" s="94"/>
      <c r="AW3436" s="32"/>
      <c r="AX3436" s="32"/>
      <c r="AY3436" s="32"/>
      <c r="AZ3436" s="32"/>
      <c r="BA3436" s="32"/>
      <c r="BB3436" s="31"/>
      <c r="BC3436" s="31"/>
      <c r="BD3436" s="31"/>
      <c r="BE3436" s="31"/>
      <c r="BF3436" s="96"/>
    </row>
    <row r="3437" spans="42:58" x14ac:dyDescent="0.35">
      <c r="AP3437" s="92"/>
      <c r="AQ3437" s="67"/>
      <c r="AR3437" s="67"/>
      <c r="AS3437" s="73"/>
      <c r="AT3437" s="67"/>
      <c r="AU3437" s="67"/>
      <c r="AV3437" s="73"/>
      <c r="AW3437" s="68"/>
      <c r="AX3437" s="68"/>
      <c r="AY3437" s="68"/>
      <c r="AZ3437" s="68"/>
      <c r="BA3437" s="68"/>
      <c r="BB3437" s="67"/>
      <c r="BC3437" s="67"/>
      <c r="BD3437" s="67"/>
      <c r="BE3437" s="67"/>
      <c r="BF3437" s="95"/>
    </row>
    <row r="3438" spans="42:58" x14ac:dyDescent="0.35">
      <c r="AP3438" s="93"/>
      <c r="AQ3438" s="31"/>
      <c r="AR3438" s="31"/>
      <c r="AS3438" s="94"/>
      <c r="AT3438" s="31"/>
      <c r="AU3438" s="31"/>
      <c r="AV3438" s="94"/>
      <c r="AW3438" s="32"/>
      <c r="AX3438" s="32"/>
      <c r="AY3438" s="32"/>
      <c r="AZ3438" s="32"/>
      <c r="BA3438" s="32"/>
      <c r="BB3438" s="31"/>
      <c r="BC3438" s="31"/>
      <c r="BD3438" s="31"/>
      <c r="BE3438" s="31"/>
      <c r="BF3438" s="96"/>
    </row>
    <row r="3439" spans="42:58" x14ac:dyDescent="0.35">
      <c r="AP3439" s="92"/>
      <c r="AQ3439" s="67"/>
      <c r="AR3439" s="67"/>
      <c r="AS3439" s="73"/>
      <c r="AT3439" s="67"/>
      <c r="AU3439" s="67"/>
      <c r="AV3439" s="73"/>
      <c r="AW3439" s="68"/>
      <c r="AX3439" s="68"/>
      <c r="AY3439" s="68"/>
      <c r="AZ3439" s="68"/>
      <c r="BA3439" s="68"/>
      <c r="BB3439" s="67"/>
      <c r="BC3439" s="67"/>
      <c r="BD3439" s="67"/>
      <c r="BE3439" s="67"/>
      <c r="BF3439" s="95"/>
    </row>
    <row r="3440" spans="42:58" x14ac:dyDescent="0.35">
      <c r="AP3440" s="93"/>
      <c r="AQ3440" s="31"/>
      <c r="AR3440" s="31"/>
      <c r="AS3440" s="94"/>
      <c r="AT3440" s="31"/>
      <c r="AU3440" s="31"/>
      <c r="AV3440" s="94"/>
      <c r="AW3440" s="32"/>
      <c r="AX3440" s="32"/>
      <c r="AY3440" s="32"/>
      <c r="AZ3440" s="32"/>
      <c r="BA3440" s="32"/>
      <c r="BB3440" s="31"/>
      <c r="BC3440" s="31"/>
      <c r="BD3440" s="31"/>
      <c r="BE3440" s="31"/>
      <c r="BF3440" s="96"/>
    </row>
    <row r="3441" spans="42:58" x14ac:dyDescent="0.35">
      <c r="AP3441" s="92"/>
      <c r="AQ3441" s="67"/>
      <c r="AR3441" s="67"/>
      <c r="AS3441" s="73"/>
      <c r="AT3441" s="67"/>
      <c r="AU3441" s="67"/>
      <c r="AV3441" s="73"/>
      <c r="AW3441" s="68"/>
      <c r="AX3441" s="68"/>
      <c r="AY3441" s="68"/>
      <c r="AZ3441" s="68"/>
      <c r="BA3441" s="68"/>
      <c r="BB3441" s="67"/>
      <c r="BC3441" s="67"/>
      <c r="BD3441" s="67"/>
      <c r="BE3441" s="67"/>
      <c r="BF3441" s="95"/>
    </row>
    <row r="3442" spans="42:58" x14ac:dyDescent="0.35">
      <c r="AP3442" s="93"/>
      <c r="AQ3442" s="31"/>
      <c r="AR3442" s="31"/>
      <c r="AS3442" s="94"/>
      <c r="AT3442" s="31"/>
      <c r="AU3442" s="31"/>
      <c r="AV3442" s="94"/>
      <c r="AW3442" s="32"/>
      <c r="AX3442" s="32"/>
      <c r="AY3442" s="32"/>
      <c r="AZ3442" s="32"/>
      <c r="BA3442" s="32"/>
      <c r="BB3442" s="31"/>
      <c r="BC3442" s="31"/>
      <c r="BD3442" s="31"/>
      <c r="BE3442" s="31"/>
      <c r="BF3442" s="96"/>
    </row>
    <row r="3443" spans="42:58" x14ac:dyDescent="0.35">
      <c r="AP3443" s="92"/>
      <c r="AQ3443" s="67"/>
      <c r="AR3443" s="67"/>
      <c r="AS3443" s="73"/>
      <c r="AT3443" s="67"/>
      <c r="AU3443" s="67"/>
      <c r="AV3443" s="73"/>
      <c r="AW3443" s="68"/>
      <c r="AX3443" s="68"/>
      <c r="AY3443" s="68"/>
      <c r="AZ3443" s="68"/>
      <c r="BA3443" s="68"/>
      <c r="BB3443" s="67"/>
      <c r="BC3443" s="67"/>
      <c r="BD3443" s="67"/>
      <c r="BE3443" s="67"/>
      <c r="BF3443" s="95"/>
    </row>
    <row r="3444" spans="42:58" x14ac:dyDescent="0.35">
      <c r="AP3444" s="93"/>
      <c r="AQ3444" s="31"/>
      <c r="AR3444" s="31"/>
      <c r="AS3444" s="94"/>
      <c r="AT3444" s="31"/>
      <c r="AU3444" s="31"/>
      <c r="AV3444" s="94"/>
      <c r="AW3444" s="32"/>
      <c r="AX3444" s="32"/>
      <c r="AY3444" s="32"/>
      <c r="AZ3444" s="32"/>
      <c r="BA3444" s="32"/>
      <c r="BB3444" s="31"/>
      <c r="BC3444" s="31"/>
      <c r="BD3444" s="31"/>
      <c r="BE3444" s="31"/>
      <c r="BF3444" s="96"/>
    </row>
    <row r="3445" spans="42:58" x14ac:dyDescent="0.35">
      <c r="AP3445" s="92"/>
      <c r="AQ3445" s="67"/>
      <c r="AR3445" s="67"/>
      <c r="AS3445" s="73"/>
      <c r="AT3445" s="67"/>
      <c r="AU3445" s="67"/>
      <c r="AV3445" s="73"/>
      <c r="AW3445" s="68"/>
      <c r="AX3445" s="68"/>
      <c r="AY3445" s="68"/>
      <c r="AZ3445" s="68"/>
      <c r="BA3445" s="68"/>
      <c r="BB3445" s="67"/>
      <c r="BC3445" s="67"/>
      <c r="BD3445" s="67"/>
      <c r="BE3445" s="67"/>
      <c r="BF3445" s="95"/>
    </row>
    <row r="3446" spans="42:58" x14ac:dyDescent="0.35">
      <c r="AP3446" s="93"/>
      <c r="AQ3446" s="31"/>
      <c r="AR3446" s="31"/>
      <c r="AS3446" s="94"/>
      <c r="AT3446" s="31"/>
      <c r="AU3446" s="31"/>
      <c r="AV3446" s="94"/>
      <c r="AW3446" s="32"/>
      <c r="AX3446" s="32"/>
      <c r="AY3446" s="32"/>
      <c r="AZ3446" s="32"/>
      <c r="BA3446" s="32"/>
      <c r="BB3446" s="31"/>
      <c r="BC3446" s="31"/>
      <c r="BD3446" s="31"/>
      <c r="BE3446" s="31"/>
      <c r="BF3446" s="96"/>
    </row>
    <row r="3447" spans="42:58" x14ac:dyDescent="0.35">
      <c r="AP3447" s="92"/>
      <c r="AQ3447" s="67"/>
      <c r="AR3447" s="67"/>
      <c r="AS3447" s="73"/>
      <c r="AT3447" s="67"/>
      <c r="AU3447" s="67"/>
      <c r="AV3447" s="73"/>
      <c r="AW3447" s="68"/>
      <c r="AX3447" s="68"/>
      <c r="AY3447" s="68"/>
      <c r="AZ3447" s="68"/>
      <c r="BA3447" s="68"/>
      <c r="BB3447" s="67"/>
      <c r="BC3447" s="67"/>
      <c r="BD3447" s="67"/>
      <c r="BE3447" s="67"/>
      <c r="BF3447" s="95"/>
    </row>
    <row r="3448" spans="42:58" x14ac:dyDescent="0.35">
      <c r="AP3448" s="93"/>
      <c r="AQ3448" s="31"/>
      <c r="AR3448" s="31"/>
      <c r="AS3448" s="94"/>
      <c r="AT3448" s="31"/>
      <c r="AU3448" s="31"/>
      <c r="AV3448" s="94"/>
      <c r="AW3448" s="32"/>
      <c r="AX3448" s="32"/>
      <c r="AY3448" s="32"/>
      <c r="AZ3448" s="32"/>
      <c r="BA3448" s="32"/>
      <c r="BB3448" s="31"/>
      <c r="BC3448" s="31"/>
      <c r="BD3448" s="31"/>
      <c r="BE3448" s="31"/>
      <c r="BF3448" s="96"/>
    </row>
    <row r="3449" spans="42:58" x14ac:dyDescent="0.35">
      <c r="AP3449" s="92"/>
      <c r="AQ3449" s="67"/>
      <c r="AR3449" s="67"/>
      <c r="AS3449" s="73"/>
      <c r="AT3449" s="67"/>
      <c r="AU3449" s="67"/>
      <c r="AV3449" s="73"/>
      <c r="AW3449" s="68"/>
      <c r="AX3449" s="68"/>
      <c r="AY3449" s="68"/>
      <c r="AZ3449" s="68"/>
      <c r="BA3449" s="68"/>
      <c r="BB3449" s="67"/>
      <c r="BC3449" s="67"/>
      <c r="BD3449" s="67"/>
      <c r="BE3449" s="67"/>
      <c r="BF3449" s="95"/>
    </row>
    <row r="3450" spans="42:58" x14ac:dyDescent="0.35">
      <c r="AP3450" s="93"/>
      <c r="AQ3450" s="31"/>
      <c r="AR3450" s="31"/>
      <c r="AS3450" s="94"/>
      <c r="AT3450" s="31"/>
      <c r="AU3450" s="31"/>
      <c r="AV3450" s="94"/>
      <c r="AW3450" s="32"/>
      <c r="AX3450" s="32"/>
      <c r="AY3450" s="32"/>
      <c r="AZ3450" s="32"/>
      <c r="BA3450" s="32"/>
      <c r="BB3450" s="31"/>
      <c r="BC3450" s="31"/>
      <c r="BD3450" s="31"/>
      <c r="BE3450" s="31"/>
      <c r="BF3450" s="96"/>
    </row>
    <row r="3451" spans="42:58" x14ac:dyDescent="0.35">
      <c r="AP3451" s="92"/>
      <c r="AQ3451" s="67"/>
      <c r="AR3451" s="67"/>
      <c r="AS3451" s="73"/>
      <c r="AT3451" s="67"/>
      <c r="AU3451" s="67"/>
      <c r="AV3451" s="73"/>
      <c r="AW3451" s="68"/>
      <c r="AX3451" s="68"/>
      <c r="AY3451" s="68"/>
      <c r="AZ3451" s="68"/>
      <c r="BA3451" s="68"/>
      <c r="BB3451" s="67"/>
      <c r="BC3451" s="67"/>
      <c r="BD3451" s="67"/>
      <c r="BE3451" s="67"/>
      <c r="BF3451" s="95"/>
    </row>
    <row r="3452" spans="42:58" x14ac:dyDescent="0.35">
      <c r="AP3452" s="93"/>
      <c r="AQ3452" s="31"/>
      <c r="AR3452" s="31"/>
      <c r="AS3452" s="94"/>
      <c r="AT3452" s="31"/>
      <c r="AU3452" s="31"/>
      <c r="AV3452" s="94"/>
      <c r="AW3452" s="32"/>
      <c r="AX3452" s="32"/>
      <c r="AY3452" s="32"/>
      <c r="AZ3452" s="32"/>
      <c r="BA3452" s="32"/>
      <c r="BB3452" s="31"/>
      <c r="BC3452" s="31"/>
      <c r="BD3452" s="31"/>
      <c r="BE3452" s="31"/>
      <c r="BF3452" s="96"/>
    </row>
    <row r="3453" spans="42:58" x14ac:dyDescent="0.35">
      <c r="AP3453" s="92"/>
      <c r="AQ3453" s="67"/>
      <c r="AR3453" s="67"/>
      <c r="AS3453" s="73"/>
      <c r="AT3453" s="67"/>
      <c r="AU3453" s="67"/>
      <c r="AV3453" s="73"/>
      <c r="AW3453" s="68"/>
      <c r="AX3453" s="68"/>
      <c r="AY3453" s="68"/>
      <c r="AZ3453" s="68"/>
      <c r="BA3453" s="68"/>
      <c r="BB3453" s="67"/>
      <c r="BC3453" s="67"/>
      <c r="BD3453" s="67"/>
      <c r="BE3453" s="67"/>
      <c r="BF3453" s="95"/>
    </row>
    <row r="3454" spans="42:58" x14ac:dyDescent="0.35">
      <c r="AP3454" s="93"/>
      <c r="AQ3454" s="31"/>
      <c r="AR3454" s="31"/>
      <c r="AS3454" s="94"/>
      <c r="AT3454" s="31"/>
      <c r="AU3454" s="31"/>
      <c r="AV3454" s="94"/>
      <c r="AW3454" s="32"/>
      <c r="AX3454" s="32"/>
      <c r="AY3454" s="32"/>
      <c r="AZ3454" s="32"/>
      <c r="BA3454" s="32"/>
      <c r="BB3454" s="31"/>
      <c r="BC3454" s="31"/>
      <c r="BD3454" s="31"/>
      <c r="BE3454" s="31"/>
      <c r="BF3454" s="96"/>
    </row>
    <row r="3455" spans="42:58" x14ac:dyDescent="0.35">
      <c r="AP3455" s="92"/>
      <c r="AQ3455" s="67"/>
      <c r="AR3455" s="67"/>
      <c r="AS3455" s="73"/>
      <c r="AT3455" s="67"/>
      <c r="AU3455" s="67"/>
      <c r="AV3455" s="73"/>
      <c r="AW3455" s="68"/>
      <c r="AX3455" s="68"/>
      <c r="AY3455" s="68"/>
      <c r="AZ3455" s="68"/>
      <c r="BA3455" s="68"/>
      <c r="BB3455" s="67"/>
      <c r="BC3455" s="67"/>
      <c r="BD3455" s="67"/>
      <c r="BE3455" s="67"/>
      <c r="BF3455" s="95"/>
    </row>
    <row r="3456" spans="42:58" x14ac:dyDescent="0.35">
      <c r="AP3456" s="93"/>
      <c r="AQ3456" s="31"/>
      <c r="AR3456" s="31"/>
      <c r="AS3456" s="94"/>
      <c r="AT3456" s="31"/>
      <c r="AU3456" s="31"/>
      <c r="AV3456" s="94"/>
      <c r="AW3456" s="32"/>
      <c r="AX3456" s="32"/>
      <c r="AY3456" s="32"/>
      <c r="AZ3456" s="32"/>
      <c r="BA3456" s="32"/>
      <c r="BB3456" s="31"/>
      <c r="BC3456" s="31"/>
      <c r="BD3456" s="31"/>
      <c r="BE3456" s="31"/>
      <c r="BF3456" s="96"/>
    </row>
    <row r="3457" spans="42:58" x14ac:dyDescent="0.35">
      <c r="AP3457" s="92"/>
      <c r="AQ3457" s="67"/>
      <c r="AR3457" s="67"/>
      <c r="AS3457" s="73"/>
      <c r="AT3457" s="67"/>
      <c r="AU3457" s="67"/>
      <c r="AV3457" s="73"/>
      <c r="AW3457" s="68"/>
      <c r="AX3457" s="68"/>
      <c r="AY3457" s="68"/>
      <c r="AZ3457" s="68"/>
      <c r="BA3457" s="68"/>
      <c r="BB3457" s="67"/>
      <c r="BC3457" s="67"/>
      <c r="BD3457" s="67"/>
      <c r="BE3457" s="67"/>
      <c r="BF3457" s="95"/>
    </row>
    <row r="3458" spans="42:58" x14ac:dyDescent="0.35">
      <c r="AP3458" s="93"/>
      <c r="AQ3458" s="31"/>
      <c r="AR3458" s="31"/>
      <c r="AS3458" s="94"/>
      <c r="AT3458" s="31"/>
      <c r="AU3458" s="31"/>
      <c r="AV3458" s="94"/>
      <c r="AW3458" s="32"/>
      <c r="AX3458" s="32"/>
      <c r="AY3458" s="32"/>
      <c r="AZ3458" s="32"/>
      <c r="BA3458" s="32"/>
      <c r="BB3458" s="31"/>
      <c r="BC3458" s="31"/>
      <c r="BD3458" s="31"/>
      <c r="BE3458" s="31"/>
      <c r="BF3458" s="96"/>
    </row>
    <row r="3459" spans="42:58" x14ac:dyDescent="0.35">
      <c r="AP3459" s="92"/>
      <c r="AQ3459" s="67"/>
      <c r="AR3459" s="67"/>
      <c r="AS3459" s="73"/>
      <c r="AT3459" s="67"/>
      <c r="AU3459" s="67"/>
      <c r="AV3459" s="73"/>
      <c r="AW3459" s="68"/>
      <c r="AX3459" s="68"/>
      <c r="AY3459" s="68"/>
      <c r="AZ3459" s="68"/>
      <c r="BA3459" s="68"/>
      <c r="BB3459" s="67"/>
      <c r="BC3459" s="67"/>
      <c r="BD3459" s="67"/>
      <c r="BE3459" s="67"/>
      <c r="BF3459" s="95"/>
    </row>
    <row r="3460" spans="42:58" x14ac:dyDescent="0.35">
      <c r="AP3460" s="93"/>
      <c r="AQ3460" s="31"/>
      <c r="AR3460" s="31"/>
      <c r="AS3460" s="94"/>
      <c r="AT3460" s="31"/>
      <c r="AU3460" s="31"/>
      <c r="AV3460" s="94"/>
      <c r="AW3460" s="32"/>
      <c r="AX3460" s="32"/>
      <c r="AY3460" s="32"/>
      <c r="AZ3460" s="32"/>
      <c r="BA3460" s="32"/>
      <c r="BB3460" s="31"/>
      <c r="BC3460" s="31"/>
      <c r="BD3460" s="31"/>
      <c r="BE3460" s="31"/>
      <c r="BF3460" s="96"/>
    </row>
    <row r="3461" spans="42:58" x14ac:dyDescent="0.35">
      <c r="AP3461" s="92"/>
      <c r="AQ3461" s="67"/>
      <c r="AR3461" s="67"/>
      <c r="AS3461" s="73"/>
      <c r="AT3461" s="67"/>
      <c r="AU3461" s="67"/>
      <c r="AV3461" s="73"/>
      <c r="AW3461" s="68"/>
      <c r="AX3461" s="68"/>
      <c r="AY3461" s="68"/>
      <c r="AZ3461" s="68"/>
      <c r="BA3461" s="68"/>
      <c r="BB3461" s="67"/>
      <c r="BC3461" s="67"/>
      <c r="BD3461" s="67"/>
      <c r="BE3461" s="67"/>
      <c r="BF3461" s="95"/>
    </row>
    <row r="3462" spans="42:58" x14ac:dyDescent="0.35">
      <c r="AP3462" s="93"/>
      <c r="AQ3462" s="31"/>
      <c r="AR3462" s="31"/>
      <c r="AS3462" s="94"/>
      <c r="AT3462" s="31"/>
      <c r="AU3462" s="31"/>
      <c r="AV3462" s="94"/>
      <c r="AW3462" s="32"/>
      <c r="AX3462" s="32"/>
      <c r="AY3462" s="32"/>
      <c r="AZ3462" s="32"/>
      <c r="BA3462" s="32"/>
      <c r="BB3462" s="31"/>
      <c r="BC3462" s="31"/>
      <c r="BD3462" s="31"/>
      <c r="BE3462" s="31"/>
      <c r="BF3462" s="96"/>
    </row>
    <row r="3463" spans="42:58" x14ac:dyDescent="0.35">
      <c r="AP3463" s="92"/>
      <c r="AQ3463" s="67"/>
      <c r="AR3463" s="67"/>
      <c r="AS3463" s="73"/>
      <c r="AT3463" s="67"/>
      <c r="AU3463" s="67"/>
      <c r="AV3463" s="73"/>
      <c r="AW3463" s="68"/>
      <c r="AX3463" s="68"/>
      <c r="AY3463" s="68"/>
      <c r="AZ3463" s="68"/>
      <c r="BA3463" s="68"/>
      <c r="BB3463" s="67"/>
      <c r="BC3463" s="67"/>
      <c r="BD3463" s="67"/>
      <c r="BE3463" s="67"/>
      <c r="BF3463" s="95"/>
    </row>
    <row r="3464" spans="42:58" x14ac:dyDescent="0.35">
      <c r="AP3464" s="93"/>
      <c r="AQ3464" s="31"/>
      <c r="AR3464" s="31"/>
      <c r="AS3464" s="94"/>
      <c r="AT3464" s="31"/>
      <c r="AU3464" s="31"/>
      <c r="AV3464" s="94"/>
      <c r="AW3464" s="32"/>
      <c r="AX3464" s="32"/>
      <c r="AY3464" s="32"/>
      <c r="AZ3464" s="32"/>
      <c r="BA3464" s="32"/>
      <c r="BB3464" s="31"/>
      <c r="BC3464" s="31"/>
      <c r="BD3464" s="31"/>
      <c r="BE3464" s="31"/>
      <c r="BF3464" s="96"/>
    </row>
    <row r="3465" spans="42:58" x14ac:dyDescent="0.35">
      <c r="AP3465" s="92"/>
      <c r="AQ3465" s="67"/>
      <c r="AR3465" s="67"/>
      <c r="AS3465" s="73"/>
      <c r="AT3465" s="67"/>
      <c r="AU3465" s="67"/>
      <c r="AV3465" s="73"/>
      <c r="AW3465" s="68"/>
      <c r="AX3465" s="68"/>
      <c r="AY3465" s="68"/>
      <c r="AZ3465" s="68"/>
      <c r="BA3465" s="68"/>
      <c r="BB3465" s="67"/>
      <c r="BC3465" s="67"/>
      <c r="BD3465" s="67"/>
      <c r="BE3465" s="67"/>
      <c r="BF3465" s="95"/>
    </row>
    <row r="3466" spans="42:58" x14ac:dyDescent="0.35">
      <c r="AP3466" s="93"/>
      <c r="AQ3466" s="31"/>
      <c r="AR3466" s="31"/>
      <c r="AS3466" s="94"/>
      <c r="AT3466" s="31"/>
      <c r="AU3466" s="31"/>
      <c r="AV3466" s="94"/>
      <c r="AW3466" s="32"/>
      <c r="AX3466" s="32"/>
      <c r="AY3466" s="32"/>
      <c r="AZ3466" s="32"/>
      <c r="BA3466" s="32"/>
      <c r="BB3466" s="31"/>
      <c r="BC3466" s="31"/>
      <c r="BD3466" s="31"/>
      <c r="BE3466" s="31"/>
      <c r="BF3466" s="96"/>
    </row>
    <row r="3467" spans="42:58" x14ac:dyDescent="0.35">
      <c r="AP3467" s="92"/>
      <c r="AQ3467" s="67"/>
      <c r="AR3467" s="67"/>
      <c r="AS3467" s="73"/>
      <c r="AT3467" s="67"/>
      <c r="AU3467" s="67"/>
      <c r="AV3467" s="73"/>
      <c r="AW3467" s="68"/>
      <c r="AX3467" s="68"/>
      <c r="AY3467" s="68"/>
      <c r="AZ3467" s="68"/>
      <c r="BA3467" s="68"/>
      <c r="BB3467" s="67"/>
      <c r="BC3467" s="67"/>
      <c r="BD3467" s="67"/>
      <c r="BE3467" s="67"/>
      <c r="BF3467" s="95"/>
    </row>
    <row r="3468" spans="42:58" x14ac:dyDescent="0.35">
      <c r="AP3468" s="93"/>
      <c r="AQ3468" s="31"/>
      <c r="AR3468" s="31"/>
      <c r="AS3468" s="94"/>
      <c r="AT3468" s="31"/>
      <c r="AU3468" s="31"/>
      <c r="AV3468" s="94"/>
      <c r="AW3468" s="32"/>
      <c r="AX3468" s="32"/>
      <c r="AY3468" s="32"/>
      <c r="AZ3468" s="32"/>
      <c r="BA3468" s="32"/>
      <c r="BB3468" s="31"/>
      <c r="BC3468" s="31"/>
      <c r="BD3468" s="31"/>
      <c r="BE3468" s="31"/>
      <c r="BF3468" s="96"/>
    </row>
    <row r="3469" spans="42:58" x14ac:dyDescent="0.35">
      <c r="AP3469" s="92"/>
      <c r="AQ3469" s="67"/>
      <c r="AR3469" s="67"/>
      <c r="AS3469" s="73"/>
      <c r="AT3469" s="67"/>
      <c r="AU3469" s="67"/>
      <c r="AV3469" s="73"/>
      <c r="AW3469" s="68"/>
      <c r="AX3469" s="68"/>
      <c r="AY3469" s="68"/>
      <c r="AZ3469" s="68"/>
      <c r="BA3469" s="68"/>
      <c r="BB3469" s="67"/>
      <c r="BC3469" s="67"/>
      <c r="BD3469" s="67"/>
      <c r="BE3469" s="67"/>
      <c r="BF3469" s="95"/>
    </row>
    <row r="3470" spans="42:58" x14ac:dyDescent="0.35">
      <c r="AP3470" s="93"/>
      <c r="AQ3470" s="31"/>
      <c r="AR3470" s="31"/>
      <c r="AS3470" s="94"/>
      <c r="AT3470" s="31"/>
      <c r="AU3470" s="31"/>
      <c r="AV3470" s="94"/>
      <c r="AW3470" s="32"/>
      <c r="AX3470" s="32"/>
      <c r="AY3470" s="32"/>
      <c r="AZ3470" s="32"/>
      <c r="BA3470" s="32"/>
      <c r="BB3470" s="31"/>
      <c r="BC3470" s="31"/>
      <c r="BD3470" s="31"/>
      <c r="BE3470" s="31"/>
      <c r="BF3470" s="96"/>
    </row>
    <row r="3471" spans="42:58" x14ac:dyDescent="0.35">
      <c r="AP3471" s="92"/>
      <c r="AQ3471" s="67"/>
      <c r="AR3471" s="67"/>
      <c r="AS3471" s="73"/>
      <c r="AT3471" s="67"/>
      <c r="AU3471" s="67"/>
      <c r="AV3471" s="73"/>
      <c r="AW3471" s="68"/>
      <c r="AX3471" s="68"/>
      <c r="AY3471" s="68"/>
      <c r="AZ3471" s="68"/>
      <c r="BA3471" s="68"/>
      <c r="BB3471" s="67"/>
      <c r="BC3471" s="67"/>
      <c r="BD3471" s="67"/>
      <c r="BE3471" s="67"/>
      <c r="BF3471" s="95"/>
    </row>
    <row r="3472" spans="42:58" x14ac:dyDescent="0.35">
      <c r="AP3472" s="93"/>
      <c r="AQ3472" s="31"/>
      <c r="AR3472" s="31"/>
      <c r="AS3472" s="94"/>
      <c r="AT3472" s="31"/>
      <c r="AU3472" s="31"/>
      <c r="AV3472" s="94"/>
      <c r="AW3472" s="32"/>
      <c r="AX3472" s="32"/>
      <c r="AY3472" s="32"/>
      <c r="AZ3472" s="32"/>
      <c r="BA3472" s="32"/>
      <c r="BB3472" s="31"/>
      <c r="BC3472" s="31"/>
      <c r="BD3472" s="31"/>
      <c r="BE3472" s="31"/>
      <c r="BF3472" s="96"/>
    </row>
    <row r="3473" spans="42:58" x14ac:dyDescent="0.35">
      <c r="AP3473" s="92"/>
      <c r="AQ3473" s="67"/>
      <c r="AR3473" s="67"/>
      <c r="AS3473" s="73"/>
      <c r="AT3473" s="67"/>
      <c r="AU3473" s="67"/>
      <c r="AV3473" s="73"/>
      <c r="AW3473" s="68"/>
      <c r="AX3473" s="68"/>
      <c r="AY3473" s="68"/>
      <c r="AZ3473" s="68"/>
      <c r="BA3473" s="68"/>
      <c r="BB3473" s="67"/>
      <c r="BC3473" s="67"/>
      <c r="BD3473" s="67"/>
      <c r="BE3473" s="67"/>
      <c r="BF3473" s="95"/>
    </row>
    <row r="3474" spans="42:58" x14ac:dyDescent="0.35">
      <c r="AP3474" s="93"/>
      <c r="AQ3474" s="31"/>
      <c r="AR3474" s="31"/>
      <c r="AS3474" s="94"/>
      <c r="AT3474" s="31"/>
      <c r="AU3474" s="31"/>
      <c r="AV3474" s="94"/>
      <c r="AW3474" s="32"/>
      <c r="AX3474" s="32"/>
      <c r="AY3474" s="32"/>
      <c r="AZ3474" s="32"/>
      <c r="BA3474" s="32"/>
      <c r="BB3474" s="31"/>
      <c r="BC3474" s="31"/>
      <c r="BD3474" s="31"/>
      <c r="BE3474" s="31"/>
      <c r="BF3474" s="96"/>
    </row>
    <row r="3475" spans="42:58" x14ac:dyDescent="0.35">
      <c r="AP3475" s="92"/>
      <c r="AQ3475" s="67"/>
      <c r="AR3475" s="67"/>
      <c r="AS3475" s="73"/>
      <c r="AT3475" s="67"/>
      <c r="AU3475" s="67"/>
      <c r="AV3475" s="73"/>
      <c r="AW3475" s="68"/>
      <c r="AX3475" s="68"/>
      <c r="AY3475" s="68"/>
      <c r="AZ3475" s="68"/>
      <c r="BA3475" s="68"/>
      <c r="BB3475" s="67"/>
      <c r="BC3475" s="67"/>
      <c r="BD3475" s="67"/>
      <c r="BE3475" s="67"/>
      <c r="BF3475" s="95"/>
    </row>
    <row r="3476" spans="42:58" x14ac:dyDescent="0.35">
      <c r="AP3476" s="93"/>
      <c r="AQ3476" s="31"/>
      <c r="AR3476" s="31"/>
      <c r="AS3476" s="94"/>
      <c r="AT3476" s="31"/>
      <c r="AU3476" s="31"/>
      <c r="AV3476" s="94"/>
      <c r="AW3476" s="32"/>
      <c r="AX3476" s="32"/>
      <c r="AY3476" s="32"/>
      <c r="AZ3476" s="32"/>
      <c r="BA3476" s="32"/>
      <c r="BB3476" s="31"/>
      <c r="BC3476" s="31"/>
      <c r="BD3476" s="31"/>
      <c r="BE3476" s="31"/>
      <c r="BF3476" s="96"/>
    </row>
    <row r="3477" spans="42:58" x14ac:dyDescent="0.35">
      <c r="AP3477" s="92"/>
      <c r="AQ3477" s="67"/>
      <c r="AR3477" s="67"/>
      <c r="AS3477" s="73"/>
      <c r="AT3477" s="67"/>
      <c r="AU3477" s="67"/>
      <c r="AV3477" s="73"/>
      <c r="AW3477" s="68"/>
      <c r="AX3477" s="68"/>
      <c r="AY3477" s="68"/>
      <c r="AZ3477" s="68"/>
      <c r="BA3477" s="68"/>
      <c r="BB3477" s="67"/>
      <c r="BC3477" s="67"/>
      <c r="BD3477" s="67"/>
      <c r="BE3477" s="67"/>
      <c r="BF3477" s="95"/>
    </row>
    <row r="3478" spans="42:58" x14ac:dyDescent="0.35">
      <c r="AP3478" s="93"/>
      <c r="AQ3478" s="31"/>
      <c r="AR3478" s="31"/>
      <c r="AS3478" s="94"/>
      <c r="AT3478" s="31"/>
      <c r="AU3478" s="31"/>
      <c r="AV3478" s="94"/>
      <c r="AW3478" s="32"/>
      <c r="AX3478" s="32"/>
      <c r="AY3478" s="32"/>
      <c r="AZ3478" s="32"/>
      <c r="BA3478" s="32"/>
      <c r="BB3478" s="31"/>
      <c r="BC3478" s="31"/>
      <c r="BD3478" s="31"/>
      <c r="BE3478" s="31"/>
      <c r="BF3478" s="96"/>
    </row>
    <row r="3479" spans="42:58" x14ac:dyDescent="0.35">
      <c r="AP3479" s="92"/>
      <c r="AQ3479" s="67"/>
      <c r="AR3479" s="67"/>
      <c r="AS3479" s="73"/>
      <c r="AT3479" s="67"/>
      <c r="AU3479" s="67"/>
      <c r="AV3479" s="73"/>
      <c r="AW3479" s="68"/>
      <c r="AX3479" s="68"/>
      <c r="AY3479" s="68"/>
      <c r="AZ3479" s="68"/>
      <c r="BA3479" s="68"/>
      <c r="BB3479" s="67"/>
      <c r="BC3479" s="67"/>
      <c r="BD3479" s="67"/>
      <c r="BE3479" s="67"/>
      <c r="BF3479" s="95"/>
    </row>
    <row r="3480" spans="42:58" x14ac:dyDescent="0.35">
      <c r="AP3480" s="93"/>
      <c r="AQ3480" s="31"/>
      <c r="AR3480" s="31"/>
      <c r="AS3480" s="94"/>
      <c r="AT3480" s="31"/>
      <c r="AU3480" s="31"/>
      <c r="AV3480" s="94"/>
      <c r="AW3480" s="32"/>
      <c r="AX3480" s="32"/>
      <c r="AY3480" s="32"/>
      <c r="AZ3480" s="32"/>
      <c r="BA3480" s="32"/>
      <c r="BB3480" s="31"/>
      <c r="BC3480" s="31"/>
      <c r="BD3480" s="31"/>
      <c r="BE3480" s="31"/>
      <c r="BF3480" s="96"/>
    </row>
    <row r="3481" spans="42:58" x14ac:dyDescent="0.35">
      <c r="AP3481" s="92"/>
      <c r="AQ3481" s="67"/>
      <c r="AR3481" s="67"/>
      <c r="AS3481" s="73"/>
      <c r="AT3481" s="67"/>
      <c r="AU3481" s="67"/>
      <c r="AV3481" s="73"/>
      <c r="AW3481" s="68"/>
      <c r="AX3481" s="68"/>
      <c r="AY3481" s="68"/>
      <c r="AZ3481" s="68"/>
      <c r="BA3481" s="68"/>
      <c r="BB3481" s="67"/>
      <c r="BC3481" s="67"/>
      <c r="BD3481" s="67"/>
      <c r="BE3481" s="67"/>
      <c r="BF3481" s="95"/>
    </row>
    <row r="3482" spans="42:58" x14ac:dyDescent="0.35">
      <c r="AP3482" s="93"/>
      <c r="AQ3482" s="31"/>
      <c r="AR3482" s="31"/>
      <c r="AS3482" s="94"/>
      <c r="AT3482" s="31"/>
      <c r="AU3482" s="31"/>
      <c r="AV3482" s="94"/>
      <c r="AW3482" s="32"/>
      <c r="AX3482" s="32"/>
      <c r="AY3482" s="32"/>
      <c r="AZ3482" s="32"/>
      <c r="BA3482" s="32"/>
      <c r="BB3482" s="31"/>
      <c r="BC3482" s="31"/>
      <c r="BD3482" s="31"/>
      <c r="BE3482" s="31"/>
      <c r="BF3482" s="96"/>
    </row>
    <row r="3483" spans="42:58" x14ac:dyDescent="0.35">
      <c r="AP3483" s="92"/>
      <c r="AQ3483" s="67"/>
      <c r="AR3483" s="67"/>
      <c r="AS3483" s="73"/>
      <c r="AT3483" s="67"/>
      <c r="AU3483" s="67"/>
      <c r="AV3483" s="73"/>
      <c r="AW3483" s="68"/>
      <c r="AX3483" s="68"/>
      <c r="AY3483" s="68"/>
      <c r="AZ3483" s="68"/>
      <c r="BA3483" s="68"/>
      <c r="BB3483" s="67"/>
      <c r="BC3483" s="67"/>
      <c r="BD3483" s="67"/>
      <c r="BE3483" s="67"/>
      <c r="BF3483" s="95"/>
    </row>
    <row r="3484" spans="42:58" x14ac:dyDescent="0.35">
      <c r="AP3484" s="93"/>
      <c r="AQ3484" s="31"/>
      <c r="AR3484" s="31"/>
      <c r="AS3484" s="94"/>
      <c r="AT3484" s="31"/>
      <c r="AU3484" s="31"/>
      <c r="AV3484" s="94"/>
      <c r="AW3484" s="32"/>
      <c r="AX3484" s="32"/>
      <c r="AY3484" s="32"/>
      <c r="AZ3484" s="32"/>
      <c r="BA3484" s="32"/>
      <c r="BB3484" s="31"/>
      <c r="BC3484" s="31"/>
      <c r="BD3484" s="31"/>
      <c r="BE3484" s="31"/>
      <c r="BF3484" s="96"/>
    </row>
    <row r="3485" spans="42:58" x14ac:dyDescent="0.35">
      <c r="AP3485" s="92"/>
      <c r="AQ3485" s="67"/>
      <c r="AR3485" s="67"/>
      <c r="AS3485" s="73"/>
      <c r="AT3485" s="67"/>
      <c r="AU3485" s="67"/>
      <c r="AV3485" s="73"/>
      <c r="AW3485" s="68"/>
      <c r="AX3485" s="68"/>
      <c r="AY3485" s="68"/>
      <c r="AZ3485" s="68"/>
      <c r="BA3485" s="68"/>
      <c r="BB3485" s="67"/>
      <c r="BC3485" s="67"/>
      <c r="BD3485" s="67"/>
      <c r="BE3485" s="67"/>
      <c r="BF3485" s="95"/>
    </row>
    <row r="3486" spans="42:58" x14ac:dyDescent="0.35">
      <c r="AP3486" s="93"/>
      <c r="AQ3486" s="31"/>
      <c r="AR3486" s="31"/>
      <c r="AS3486" s="94"/>
      <c r="AT3486" s="31"/>
      <c r="AU3486" s="31"/>
      <c r="AV3486" s="94"/>
      <c r="AW3486" s="32"/>
      <c r="AX3486" s="32"/>
      <c r="AY3486" s="32"/>
      <c r="AZ3486" s="32"/>
      <c r="BA3486" s="32"/>
      <c r="BB3486" s="31"/>
      <c r="BC3486" s="31"/>
      <c r="BD3486" s="31"/>
      <c r="BE3486" s="31"/>
      <c r="BF3486" s="96"/>
    </row>
    <row r="3487" spans="42:58" x14ac:dyDescent="0.35">
      <c r="AP3487" s="92"/>
      <c r="AQ3487" s="67"/>
      <c r="AR3487" s="67"/>
      <c r="AS3487" s="73"/>
      <c r="AT3487" s="67"/>
      <c r="AU3487" s="67"/>
      <c r="AV3487" s="73"/>
      <c r="AW3487" s="68"/>
      <c r="AX3487" s="68"/>
      <c r="AY3487" s="68"/>
      <c r="AZ3487" s="68"/>
      <c r="BA3487" s="68"/>
      <c r="BB3487" s="67"/>
      <c r="BC3487" s="67"/>
      <c r="BD3487" s="67"/>
      <c r="BE3487" s="67"/>
      <c r="BF3487" s="95"/>
    </row>
    <row r="3488" spans="42:58" x14ac:dyDescent="0.35">
      <c r="AP3488" s="93"/>
      <c r="AQ3488" s="31"/>
      <c r="AR3488" s="31"/>
      <c r="AS3488" s="94"/>
      <c r="AT3488" s="31"/>
      <c r="AU3488" s="31"/>
      <c r="AV3488" s="94"/>
      <c r="AW3488" s="32"/>
      <c r="AX3488" s="32"/>
      <c r="AY3488" s="32"/>
      <c r="AZ3488" s="32"/>
      <c r="BA3488" s="32"/>
      <c r="BB3488" s="31"/>
      <c r="BC3488" s="31"/>
      <c r="BD3488" s="31"/>
      <c r="BE3488" s="31"/>
      <c r="BF3488" s="96"/>
    </row>
    <row r="3489" spans="42:58" x14ac:dyDescent="0.35">
      <c r="AP3489" s="92"/>
      <c r="AQ3489" s="67"/>
      <c r="AR3489" s="67"/>
      <c r="AS3489" s="73"/>
      <c r="AT3489" s="67"/>
      <c r="AU3489" s="67"/>
      <c r="AV3489" s="73"/>
      <c r="AW3489" s="68"/>
      <c r="AX3489" s="68"/>
      <c r="AY3489" s="68"/>
      <c r="AZ3489" s="68"/>
      <c r="BA3489" s="68"/>
      <c r="BB3489" s="67"/>
      <c r="BC3489" s="67"/>
      <c r="BD3489" s="67"/>
      <c r="BE3489" s="67"/>
      <c r="BF3489" s="95"/>
    </row>
    <row r="3490" spans="42:58" x14ac:dyDescent="0.35">
      <c r="AP3490" s="93"/>
      <c r="AQ3490" s="31"/>
      <c r="AR3490" s="31"/>
      <c r="AS3490" s="94"/>
      <c r="AT3490" s="31"/>
      <c r="AU3490" s="31"/>
      <c r="AV3490" s="94"/>
      <c r="AW3490" s="32"/>
      <c r="AX3490" s="32"/>
      <c r="AY3490" s="32"/>
      <c r="AZ3490" s="32"/>
      <c r="BA3490" s="32"/>
      <c r="BB3490" s="31"/>
      <c r="BC3490" s="31"/>
      <c r="BD3490" s="31"/>
      <c r="BE3490" s="31"/>
      <c r="BF3490" s="96"/>
    </row>
    <row r="3491" spans="42:58" x14ac:dyDescent="0.35">
      <c r="AP3491" s="92"/>
      <c r="AQ3491" s="67"/>
      <c r="AR3491" s="67"/>
      <c r="AS3491" s="73"/>
      <c r="AT3491" s="67"/>
      <c r="AU3491" s="67"/>
      <c r="AV3491" s="73"/>
      <c r="AW3491" s="68"/>
      <c r="AX3491" s="68"/>
      <c r="AY3491" s="68"/>
      <c r="AZ3491" s="68"/>
      <c r="BA3491" s="68"/>
      <c r="BB3491" s="67"/>
      <c r="BC3491" s="67"/>
      <c r="BD3491" s="67"/>
      <c r="BE3491" s="67"/>
      <c r="BF3491" s="95"/>
    </row>
    <row r="3492" spans="42:58" x14ac:dyDescent="0.35">
      <c r="AP3492" s="93"/>
      <c r="AQ3492" s="31"/>
      <c r="AR3492" s="31"/>
      <c r="AS3492" s="94"/>
      <c r="AT3492" s="31"/>
      <c r="AU3492" s="31"/>
      <c r="AV3492" s="94"/>
      <c r="AW3492" s="32"/>
      <c r="AX3492" s="32"/>
      <c r="AY3492" s="32"/>
      <c r="AZ3492" s="32"/>
      <c r="BA3492" s="32"/>
      <c r="BB3492" s="31"/>
      <c r="BC3492" s="31"/>
      <c r="BD3492" s="31"/>
      <c r="BE3492" s="31"/>
      <c r="BF3492" s="96"/>
    </row>
    <row r="3493" spans="42:58" x14ac:dyDescent="0.35">
      <c r="AP3493" s="92"/>
      <c r="AQ3493" s="67"/>
      <c r="AR3493" s="67"/>
      <c r="AS3493" s="73"/>
      <c r="AT3493" s="67"/>
      <c r="AU3493" s="67"/>
      <c r="AV3493" s="73"/>
      <c r="AW3493" s="68"/>
      <c r="AX3493" s="68"/>
      <c r="AY3493" s="68"/>
      <c r="AZ3493" s="68"/>
      <c r="BA3493" s="68"/>
      <c r="BB3493" s="67"/>
      <c r="BC3493" s="67"/>
      <c r="BD3493" s="67"/>
      <c r="BE3493" s="67"/>
      <c r="BF3493" s="95"/>
    </row>
    <row r="3494" spans="42:58" x14ac:dyDescent="0.35">
      <c r="AP3494" s="93"/>
      <c r="AQ3494" s="31"/>
      <c r="AR3494" s="31"/>
      <c r="AS3494" s="94"/>
      <c r="AT3494" s="31"/>
      <c r="AU3494" s="31"/>
      <c r="AV3494" s="94"/>
      <c r="AW3494" s="32"/>
      <c r="AX3494" s="32"/>
      <c r="AY3494" s="32"/>
      <c r="AZ3494" s="32"/>
      <c r="BA3494" s="32"/>
      <c r="BB3494" s="31"/>
      <c r="BC3494" s="31"/>
      <c r="BD3494" s="31"/>
      <c r="BE3494" s="31"/>
      <c r="BF3494" s="96"/>
    </row>
    <row r="3495" spans="42:58" x14ac:dyDescent="0.35">
      <c r="AP3495" s="92"/>
      <c r="AQ3495" s="67"/>
      <c r="AR3495" s="67"/>
      <c r="AS3495" s="73"/>
      <c r="AT3495" s="67"/>
      <c r="AU3495" s="67"/>
      <c r="AV3495" s="73"/>
      <c r="AW3495" s="68"/>
      <c r="AX3495" s="68"/>
      <c r="AY3495" s="68"/>
      <c r="AZ3495" s="68"/>
      <c r="BA3495" s="68"/>
      <c r="BB3495" s="67"/>
      <c r="BC3495" s="67"/>
      <c r="BD3495" s="67"/>
      <c r="BE3495" s="67"/>
      <c r="BF3495" s="95"/>
    </row>
    <row r="3496" spans="42:58" x14ac:dyDescent="0.35">
      <c r="AP3496" s="93"/>
      <c r="AQ3496" s="31"/>
      <c r="AR3496" s="31"/>
      <c r="AS3496" s="94"/>
      <c r="AT3496" s="31"/>
      <c r="AU3496" s="31"/>
      <c r="AV3496" s="94"/>
      <c r="AW3496" s="32"/>
      <c r="AX3496" s="32"/>
      <c r="AY3496" s="32"/>
      <c r="AZ3496" s="32"/>
      <c r="BA3496" s="32"/>
      <c r="BB3496" s="31"/>
      <c r="BC3496" s="31"/>
      <c r="BD3496" s="31"/>
      <c r="BE3496" s="31"/>
      <c r="BF3496" s="96"/>
    </row>
    <row r="3497" spans="42:58" x14ac:dyDescent="0.35">
      <c r="AP3497" s="92"/>
      <c r="AQ3497" s="67"/>
      <c r="AR3497" s="67"/>
      <c r="AS3497" s="73"/>
      <c r="AT3497" s="67"/>
      <c r="AU3497" s="67"/>
      <c r="AV3497" s="73"/>
      <c r="AW3497" s="68"/>
      <c r="AX3497" s="68"/>
      <c r="AY3497" s="68"/>
      <c r="AZ3497" s="68"/>
      <c r="BA3497" s="68"/>
      <c r="BB3497" s="67"/>
      <c r="BC3497" s="67"/>
      <c r="BD3497" s="67"/>
      <c r="BE3497" s="67"/>
      <c r="BF3497" s="95"/>
    </row>
    <row r="3498" spans="42:58" x14ac:dyDescent="0.35">
      <c r="AP3498" s="93"/>
      <c r="AQ3498" s="31"/>
      <c r="AR3498" s="31"/>
      <c r="AS3498" s="94"/>
      <c r="AT3498" s="31"/>
      <c r="AU3498" s="31"/>
      <c r="AV3498" s="94"/>
      <c r="AW3498" s="32"/>
      <c r="AX3498" s="32"/>
      <c r="AY3498" s="32"/>
      <c r="AZ3498" s="32"/>
      <c r="BA3498" s="32"/>
      <c r="BB3498" s="31"/>
      <c r="BC3498" s="31"/>
      <c r="BD3498" s="31"/>
      <c r="BE3498" s="31"/>
      <c r="BF3498" s="96"/>
    </row>
    <row r="3499" spans="42:58" x14ac:dyDescent="0.35">
      <c r="AP3499" s="92"/>
      <c r="AQ3499" s="67"/>
      <c r="AR3499" s="67"/>
      <c r="AS3499" s="73"/>
      <c r="AT3499" s="67"/>
      <c r="AU3499" s="67"/>
      <c r="AV3499" s="73"/>
      <c r="AW3499" s="68"/>
      <c r="AX3499" s="68"/>
      <c r="AY3499" s="68"/>
      <c r="AZ3499" s="68"/>
      <c r="BA3499" s="68"/>
      <c r="BB3499" s="67"/>
      <c r="BC3499" s="67"/>
      <c r="BD3499" s="67"/>
      <c r="BE3499" s="67"/>
      <c r="BF3499" s="95"/>
    </row>
    <row r="3500" spans="42:58" x14ac:dyDescent="0.35">
      <c r="AP3500" s="93"/>
      <c r="AQ3500" s="31"/>
      <c r="AR3500" s="31"/>
      <c r="AS3500" s="94"/>
      <c r="AT3500" s="31"/>
      <c r="AU3500" s="31"/>
      <c r="AV3500" s="94"/>
      <c r="AW3500" s="32"/>
      <c r="AX3500" s="32"/>
      <c r="AY3500" s="32"/>
      <c r="AZ3500" s="32"/>
      <c r="BA3500" s="32"/>
      <c r="BB3500" s="31"/>
      <c r="BC3500" s="31"/>
      <c r="BD3500" s="31"/>
      <c r="BE3500" s="31"/>
      <c r="BF3500" s="96"/>
    </row>
    <row r="3501" spans="42:58" x14ac:dyDescent="0.35">
      <c r="AP3501" s="92"/>
      <c r="AQ3501" s="67"/>
      <c r="AR3501" s="67"/>
      <c r="AS3501" s="73"/>
      <c r="AT3501" s="67"/>
      <c r="AU3501" s="67"/>
      <c r="AV3501" s="73"/>
      <c r="AW3501" s="68"/>
      <c r="AX3501" s="68"/>
      <c r="AY3501" s="68"/>
      <c r="AZ3501" s="68"/>
      <c r="BA3501" s="68"/>
      <c r="BB3501" s="67"/>
      <c r="BC3501" s="67"/>
      <c r="BD3501" s="67"/>
      <c r="BE3501" s="67"/>
      <c r="BF3501" s="95"/>
    </row>
    <row r="3502" spans="42:58" x14ac:dyDescent="0.35">
      <c r="AP3502" s="93"/>
      <c r="AQ3502" s="31"/>
      <c r="AR3502" s="31"/>
      <c r="AS3502" s="94"/>
      <c r="AT3502" s="31"/>
      <c r="AU3502" s="31"/>
      <c r="AV3502" s="94"/>
      <c r="AW3502" s="32"/>
      <c r="AX3502" s="32"/>
      <c r="AY3502" s="32"/>
      <c r="AZ3502" s="32"/>
      <c r="BA3502" s="32"/>
      <c r="BB3502" s="31"/>
      <c r="BC3502" s="31"/>
      <c r="BD3502" s="31"/>
      <c r="BE3502" s="31"/>
      <c r="BF3502" s="96"/>
    </row>
    <row r="3503" spans="42:58" x14ac:dyDescent="0.35">
      <c r="AP3503" s="92"/>
      <c r="AQ3503" s="67"/>
      <c r="AR3503" s="67"/>
      <c r="AS3503" s="73"/>
      <c r="AT3503" s="67"/>
      <c r="AU3503" s="67"/>
      <c r="AV3503" s="73"/>
      <c r="AW3503" s="68"/>
      <c r="AX3503" s="68"/>
      <c r="AY3503" s="68"/>
      <c r="AZ3503" s="68"/>
      <c r="BA3503" s="68"/>
      <c r="BB3503" s="67"/>
      <c r="BC3503" s="67"/>
      <c r="BD3503" s="67"/>
      <c r="BE3503" s="67"/>
      <c r="BF3503" s="95"/>
    </row>
    <row r="3504" spans="42:58" x14ac:dyDescent="0.35">
      <c r="AP3504" s="93"/>
      <c r="AQ3504" s="31"/>
      <c r="AR3504" s="31"/>
      <c r="AS3504" s="94"/>
      <c r="AT3504" s="31"/>
      <c r="AU3504" s="31"/>
      <c r="AV3504" s="94"/>
      <c r="AW3504" s="32"/>
      <c r="AX3504" s="32"/>
      <c r="AY3504" s="32"/>
      <c r="AZ3504" s="32"/>
      <c r="BA3504" s="32"/>
      <c r="BB3504" s="31"/>
      <c r="BC3504" s="31"/>
      <c r="BD3504" s="31"/>
      <c r="BE3504" s="31"/>
      <c r="BF3504" s="96"/>
    </row>
    <row r="3505" spans="42:58" x14ac:dyDescent="0.35">
      <c r="AP3505" s="92"/>
      <c r="AQ3505" s="67"/>
      <c r="AR3505" s="67"/>
      <c r="AS3505" s="73"/>
      <c r="AT3505" s="67"/>
      <c r="AU3505" s="67"/>
      <c r="AV3505" s="73"/>
      <c r="AW3505" s="68"/>
      <c r="AX3505" s="68"/>
      <c r="AY3505" s="68"/>
      <c r="AZ3505" s="68"/>
      <c r="BA3505" s="68"/>
      <c r="BB3505" s="67"/>
      <c r="BC3505" s="67"/>
      <c r="BD3505" s="67"/>
      <c r="BE3505" s="67"/>
      <c r="BF3505" s="95"/>
    </row>
    <row r="3506" spans="42:58" x14ac:dyDescent="0.35">
      <c r="AP3506" s="93"/>
      <c r="AQ3506" s="31"/>
      <c r="AR3506" s="31"/>
      <c r="AS3506" s="94"/>
      <c r="AT3506" s="31"/>
      <c r="AU3506" s="31"/>
      <c r="AV3506" s="94"/>
      <c r="AW3506" s="32"/>
      <c r="AX3506" s="32"/>
      <c r="AY3506" s="32"/>
      <c r="AZ3506" s="32"/>
      <c r="BA3506" s="32"/>
      <c r="BB3506" s="31"/>
      <c r="BC3506" s="31"/>
      <c r="BD3506" s="31"/>
      <c r="BE3506" s="31"/>
      <c r="BF3506" s="96"/>
    </row>
    <row r="3507" spans="42:58" x14ac:dyDescent="0.35">
      <c r="AP3507" s="92"/>
      <c r="AQ3507" s="67"/>
      <c r="AR3507" s="67"/>
      <c r="AS3507" s="73"/>
      <c r="AT3507" s="67"/>
      <c r="AU3507" s="67"/>
      <c r="AV3507" s="73"/>
      <c r="AW3507" s="68"/>
      <c r="AX3507" s="68"/>
      <c r="AY3507" s="68"/>
      <c r="AZ3507" s="68"/>
      <c r="BA3507" s="68"/>
      <c r="BB3507" s="67"/>
      <c r="BC3507" s="67"/>
      <c r="BD3507" s="67"/>
      <c r="BE3507" s="67"/>
      <c r="BF3507" s="95"/>
    </row>
    <row r="3508" spans="42:58" x14ac:dyDescent="0.35">
      <c r="AP3508" s="93"/>
      <c r="AQ3508" s="31"/>
      <c r="AR3508" s="31"/>
      <c r="AS3508" s="94"/>
      <c r="AT3508" s="31"/>
      <c r="AU3508" s="31"/>
      <c r="AV3508" s="94"/>
      <c r="AW3508" s="32"/>
      <c r="AX3508" s="32"/>
      <c r="AY3508" s="32"/>
      <c r="AZ3508" s="32"/>
      <c r="BA3508" s="32"/>
      <c r="BB3508" s="31"/>
      <c r="BC3508" s="31"/>
      <c r="BD3508" s="31"/>
      <c r="BE3508" s="31"/>
      <c r="BF3508" s="96"/>
    </row>
    <row r="3509" spans="42:58" x14ac:dyDescent="0.35">
      <c r="AP3509" s="92"/>
      <c r="AQ3509" s="67"/>
      <c r="AR3509" s="67"/>
      <c r="AS3509" s="73"/>
      <c r="AT3509" s="67"/>
      <c r="AU3509" s="67"/>
      <c r="AV3509" s="73"/>
      <c r="AW3509" s="68"/>
      <c r="AX3509" s="68"/>
      <c r="AY3509" s="68"/>
      <c r="AZ3509" s="68"/>
      <c r="BA3509" s="68"/>
      <c r="BB3509" s="67"/>
      <c r="BC3509" s="67"/>
      <c r="BD3509" s="67"/>
      <c r="BE3509" s="67"/>
      <c r="BF3509" s="95"/>
    </row>
    <row r="3510" spans="42:58" x14ac:dyDescent="0.35">
      <c r="AP3510" s="93"/>
      <c r="AQ3510" s="31"/>
      <c r="AR3510" s="31"/>
      <c r="AS3510" s="94"/>
      <c r="AT3510" s="31"/>
      <c r="AU3510" s="31"/>
      <c r="AV3510" s="94"/>
      <c r="AW3510" s="32"/>
      <c r="AX3510" s="32"/>
      <c r="AY3510" s="32"/>
      <c r="AZ3510" s="32"/>
      <c r="BA3510" s="32"/>
      <c r="BB3510" s="31"/>
      <c r="BC3510" s="31"/>
      <c r="BD3510" s="31"/>
      <c r="BE3510" s="31"/>
      <c r="BF3510" s="96"/>
    </row>
    <row r="3511" spans="42:58" x14ac:dyDescent="0.35">
      <c r="AP3511" s="92"/>
      <c r="AQ3511" s="67"/>
      <c r="AR3511" s="67"/>
      <c r="AS3511" s="73"/>
      <c r="AT3511" s="67"/>
      <c r="AU3511" s="67"/>
      <c r="AV3511" s="73"/>
      <c r="AW3511" s="68"/>
      <c r="AX3511" s="68"/>
      <c r="AY3511" s="68"/>
      <c r="AZ3511" s="68"/>
      <c r="BA3511" s="68"/>
      <c r="BB3511" s="67"/>
      <c r="BC3511" s="67"/>
      <c r="BD3511" s="67"/>
      <c r="BE3511" s="67"/>
      <c r="BF3511" s="95"/>
    </row>
    <row r="3512" spans="42:58" x14ac:dyDescent="0.35">
      <c r="AP3512" s="93"/>
      <c r="AQ3512" s="31"/>
      <c r="AR3512" s="31"/>
      <c r="AS3512" s="94"/>
      <c r="AT3512" s="31"/>
      <c r="AU3512" s="31"/>
      <c r="AV3512" s="94"/>
      <c r="AW3512" s="32"/>
      <c r="AX3512" s="32"/>
      <c r="AY3512" s="32"/>
      <c r="AZ3512" s="32"/>
      <c r="BA3512" s="32"/>
      <c r="BB3512" s="31"/>
      <c r="BC3512" s="31"/>
      <c r="BD3512" s="31"/>
      <c r="BE3512" s="31"/>
      <c r="BF3512" s="96"/>
    </row>
    <row r="3513" spans="42:58" x14ac:dyDescent="0.35">
      <c r="AP3513" s="92"/>
      <c r="AQ3513" s="67"/>
      <c r="AR3513" s="67"/>
      <c r="AS3513" s="73"/>
      <c r="AT3513" s="67"/>
      <c r="AU3513" s="67"/>
      <c r="AV3513" s="73"/>
      <c r="AW3513" s="68"/>
      <c r="AX3513" s="68"/>
      <c r="AY3513" s="68"/>
      <c r="AZ3513" s="68"/>
      <c r="BA3513" s="68"/>
      <c r="BB3513" s="67"/>
      <c r="BC3513" s="67"/>
      <c r="BD3513" s="67"/>
      <c r="BE3513" s="67"/>
      <c r="BF3513" s="95"/>
    </row>
    <row r="3514" spans="42:58" x14ac:dyDescent="0.35">
      <c r="AP3514" s="93"/>
      <c r="AQ3514" s="31"/>
      <c r="AR3514" s="31"/>
      <c r="AS3514" s="94"/>
      <c r="AT3514" s="31"/>
      <c r="AU3514" s="31"/>
      <c r="AV3514" s="94"/>
      <c r="AW3514" s="32"/>
      <c r="AX3514" s="32"/>
      <c r="AY3514" s="32"/>
      <c r="AZ3514" s="32"/>
      <c r="BA3514" s="32"/>
      <c r="BB3514" s="31"/>
      <c r="BC3514" s="31"/>
      <c r="BD3514" s="31"/>
      <c r="BE3514" s="31"/>
      <c r="BF3514" s="96"/>
    </row>
    <row r="3515" spans="42:58" x14ac:dyDescent="0.35">
      <c r="AP3515" s="92"/>
      <c r="AQ3515" s="67"/>
      <c r="AR3515" s="67"/>
      <c r="AS3515" s="73"/>
      <c r="AT3515" s="67"/>
      <c r="AU3515" s="67"/>
      <c r="AV3515" s="73"/>
      <c r="AW3515" s="68"/>
      <c r="AX3515" s="68"/>
      <c r="AY3515" s="68"/>
      <c r="AZ3515" s="68"/>
      <c r="BA3515" s="68"/>
      <c r="BB3515" s="67"/>
      <c r="BC3515" s="67"/>
      <c r="BD3515" s="67"/>
      <c r="BE3515" s="67"/>
      <c r="BF3515" s="95"/>
    </row>
    <row r="3516" spans="42:58" x14ac:dyDescent="0.35">
      <c r="AP3516" s="93"/>
      <c r="AQ3516" s="31"/>
      <c r="AR3516" s="31"/>
      <c r="AS3516" s="94"/>
      <c r="AT3516" s="31"/>
      <c r="AU3516" s="31"/>
      <c r="AV3516" s="94"/>
      <c r="AW3516" s="32"/>
      <c r="AX3516" s="32"/>
      <c r="AY3516" s="32"/>
      <c r="AZ3516" s="32"/>
      <c r="BA3516" s="32"/>
      <c r="BB3516" s="31"/>
      <c r="BC3516" s="31"/>
      <c r="BD3516" s="31"/>
      <c r="BE3516" s="31"/>
      <c r="BF3516" s="96"/>
    </row>
    <row r="3517" spans="42:58" x14ac:dyDescent="0.35">
      <c r="AP3517" s="92"/>
      <c r="AQ3517" s="67"/>
      <c r="AR3517" s="67"/>
      <c r="AS3517" s="73"/>
      <c r="AT3517" s="67"/>
      <c r="AU3517" s="67"/>
      <c r="AV3517" s="73"/>
      <c r="AW3517" s="68"/>
      <c r="AX3517" s="68"/>
      <c r="AY3517" s="68"/>
      <c r="AZ3517" s="68"/>
      <c r="BA3517" s="68"/>
      <c r="BB3517" s="67"/>
      <c r="BC3517" s="67"/>
      <c r="BD3517" s="67"/>
      <c r="BE3517" s="67"/>
      <c r="BF3517" s="95"/>
    </row>
    <row r="3518" spans="42:58" x14ac:dyDescent="0.35">
      <c r="AP3518" s="93"/>
      <c r="AQ3518" s="31"/>
      <c r="AR3518" s="31"/>
      <c r="AS3518" s="94"/>
      <c r="AT3518" s="31"/>
      <c r="AU3518" s="31"/>
      <c r="AV3518" s="94"/>
      <c r="AW3518" s="32"/>
      <c r="AX3518" s="32"/>
      <c r="AY3518" s="32"/>
      <c r="AZ3518" s="32"/>
      <c r="BA3518" s="32"/>
      <c r="BB3518" s="31"/>
      <c r="BC3518" s="31"/>
      <c r="BD3518" s="31"/>
      <c r="BE3518" s="31"/>
      <c r="BF3518" s="96"/>
    </row>
    <row r="3519" spans="42:58" x14ac:dyDescent="0.35">
      <c r="AP3519" s="92"/>
      <c r="AQ3519" s="67"/>
      <c r="AR3519" s="67"/>
      <c r="AS3519" s="73"/>
      <c r="AT3519" s="67"/>
      <c r="AU3519" s="67"/>
      <c r="AV3519" s="73"/>
      <c r="AW3519" s="68"/>
      <c r="AX3519" s="68"/>
      <c r="AY3519" s="68"/>
      <c r="AZ3519" s="68"/>
      <c r="BA3519" s="68"/>
      <c r="BB3519" s="67"/>
      <c r="BC3519" s="67"/>
      <c r="BD3519" s="67"/>
      <c r="BE3519" s="67"/>
      <c r="BF3519" s="95"/>
    </row>
    <row r="3520" spans="42:58" x14ac:dyDescent="0.35">
      <c r="AP3520" s="93"/>
      <c r="AQ3520" s="31"/>
      <c r="AR3520" s="31"/>
      <c r="AS3520" s="94"/>
      <c r="AT3520" s="31"/>
      <c r="AU3520" s="31"/>
      <c r="AV3520" s="94"/>
      <c r="AW3520" s="32"/>
      <c r="AX3520" s="32"/>
      <c r="AY3520" s="32"/>
      <c r="AZ3520" s="32"/>
      <c r="BA3520" s="32"/>
      <c r="BB3520" s="31"/>
      <c r="BC3520" s="31"/>
      <c r="BD3520" s="31"/>
      <c r="BE3520" s="31"/>
      <c r="BF3520" s="96"/>
    </row>
    <row r="3521" spans="42:58" x14ac:dyDescent="0.35">
      <c r="AP3521" s="92"/>
      <c r="AQ3521" s="67"/>
      <c r="AR3521" s="67"/>
      <c r="AS3521" s="73"/>
      <c r="AT3521" s="67"/>
      <c r="AU3521" s="67"/>
      <c r="AV3521" s="73"/>
      <c r="AW3521" s="68"/>
      <c r="AX3521" s="68"/>
      <c r="AY3521" s="68"/>
      <c r="AZ3521" s="68"/>
      <c r="BA3521" s="68"/>
      <c r="BB3521" s="67"/>
      <c r="BC3521" s="67"/>
      <c r="BD3521" s="67"/>
      <c r="BE3521" s="67"/>
      <c r="BF3521" s="95"/>
    </row>
    <row r="3522" spans="42:58" x14ac:dyDescent="0.35">
      <c r="AP3522" s="93"/>
      <c r="AQ3522" s="31"/>
      <c r="AR3522" s="31"/>
      <c r="AS3522" s="94"/>
      <c r="AT3522" s="31"/>
      <c r="AU3522" s="31"/>
      <c r="AV3522" s="94"/>
      <c r="AW3522" s="32"/>
      <c r="AX3522" s="32"/>
      <c r="AY3522" s="32"/>
      <c r="AZ3522" s="32"/>
      <c r="BA3522" s="32"/>
      <c r="BB3522" s="31"/>
      <c r="BC3522" s="31"/>
      <c r="BD3522" s="31"/>
      <c r="BE3522" s="31"/>
      <c r="BF3522" s="96"/>
    </row>
    <row r="3523" spans="42:58" x14ac:dyDescent="0.35">
      <c r="AP3523" s="92"/>
      <c r="AQ3523" s="67"/>
      <c r="AR3523" s="67"/>
      <c r="AS3523" s="73"/>
      <c r="AT3523" s="67"/>
      <c r="AU3523" s="67"/>
      <c r="AV3523" s="73"/>
      <c r="AW3523" s="68"/>
      <c r="AX3523" s="68"/>
      <c r="AY3523" s="68"/>
      <c r="AZ3523" s="68"/>
      <c r="BA3523" s="68"/>
      <c r="BB3523" s="67"/>
      <c r="BC3523" s="67"/>
      <c r="BD3523" s="67"/>
      <c r="BE3523" s="67"/>
      <c r="BF3523" s="95"/>
    </row>
    <row r="3524" spans="42:58" x14ac:dyDescent="0.35">
      <c r="AP3524" s="93"/>
      <c r="AQ3524" s="31"/>
      <c r="AR3524" s="31"/>
      <c r="AS3524" s="94"/>
      <c r="AT3524" s="31"/>
      <c r="AU3524" s="31"/>
      <c r="AV3524" s="94"/>
      <c r="AW3524" s="32"/>
      <c r="AX3524" s="32"/>
      <c r="AY3524" s="32"/>
      <c r="AZ3524" s="32"/>
      <c r="BA3524" s="32"/>
      <c r="BB3524" s="31"/>
      <c r="BC3524" s="31"/>
      <c r="BD3524" s="31"/>
      <c r="BE3524" s="31"/>
      <c r="BF3524" s="96"/>
    </row>
    <row r="3525" spans="42:58" x14ac:dyDescent="0.35">
      <c r="AP3525" s="92"/>
      <c r="AQ3525" s="67"/>
      <c r="AR3525" s="67"/>
      <c r="AS3525" s="73"/>
      <c r="AT3525" s="67"/>
      <c r="AU3525" s="67"/>
      <c r="AV3525" s="73"/>
      <c r="AW3525" s="68"/>
      <c r="AX3525" s="68"/>
      <c r="AY3525" s="68"/>
      <c r="AZ3525" s="68"/>
      <c r="BA3525" s="68"/>
      <c r="BB3525" s="67"/>
      <c r="BC3525" s="67"/>
      <c r="BD3525" s="67"/>
      <c r="BE3525" s="67"/>
      <c r="BF3525" s="95"/>
    </row>
    <row r="3526" spans="42:58" x14ac:dyDescent="0.35">
      <c r="AP3526" s="93"/>
      <c r="AQ3526" s="31"/>
      <c r="AR3526" s="31"/>
      <c r="AS3526" s="94"/>
      <c r="AT3526" s="31"/>
      <c r="AU3526" s="31"/>
      <c r="AV3526" s="94"/>
      <c r="AW3526" s="32"/>
      <c r="AX3526" s="32"/>
      <c r="AY3526" s="32"/>
      <c r="AZ3526" s="32"/>
      <c r="BA3526" s="32"/>
      <c r="BB3526" s="31"/>
      <c r="BC3526" s="31"/>
      <c r="BD3526" s="31"/>
      <c r="BE3526" s="31"/>
      <c r="BF3526" s="96"/>
    </row>
    <row r="3527" spans="42:58" x14ac:dyDescent="0.35">
      <c r="AP3527" s="92"/>
      <c r="AQ3527" s="67"/>
      <c r="AR3527" s="67"/>
      <c r="AS3527" s="73"/>
      <c r="AT3527" s="67"/>
      <c r="AU3527" s="67"/>
      <c r="AV3527" s="73"/>
      <c r="AW3527" s="68"/>
      <c r="AX3527" s="68"/>
      <c r="AY3527" s="68"/>
      <c r="AZ3527" s="68"/>
      <c r="BA3527" s="68"/>
      <c r="BB3527" s="67"/>
      <c r="BC3527" s="67"/>
      <c r="BD3527" s="67"/>
      <c r="BE3527" s="67"/>
      <c r="BF3527" s="95"/>
    </row>
    <row r="3528" spans="42:58" x14ac:dyDescent="0.35">
      <c r="AP3528" s="93"/>
      <c r="AQ3528" s="31"/>
      <c r="AR3528" s="31"/>
      <c r="AS3528" s="94"/>
      <c r="AT3528" s="31"/>
      <c r="AU3528" s="31"/>
      <c r="AV3528" s="94"/>
      <c r="AW3528" s="32"/>
      <c r="AX3528" s="32"/>
      <c r="AY3528" s="32"/>
      <c r="AZ3528" s="32"/>
      <c r="BA3528" s="32"/>
      <c r="BB3528" s="31"/>
      <c r="BC3528" s="31"/>
      <c r="BD3528" s="31"/>
      <c r="BE3528" s="31"/>
      <c r="BF3528" s="96"/>
    </row>
    <row r="3529" spans="42:58" x14ac:dyDescent="0.35">
      <c r="AP3529" s="92"/>
      <c r="AQ3529" s="67"/>
      <c r="AR3529" s="67"/>
      <c r="AS3529" s="73"/>
      <c r="AT3529" s="67"/>
      <c r="AU3529" s="67"/>
      <c r="AV3529" s="73"/>
      <c r="AW3529" s="68"/>
      <c r="AX3529" s="68"/>
      <c r="AY3529" s="68"/>
      <c r="AZ3529" s="68"/>
      <c r="BA3529" s="68"/>
      <c r="BB3529" s="67"/>
      <c r="BC3529" s="67"/>
      <c r="BD3529" s="67"/>
      <c r="BE3529" s="67"/>
      <c r="BF3529" s="95"/>
    </row>
    <row r="3530" spans="42:58" x14ac:dyDescent="0.35">
      <c r="AP3530" s="93"/>
      <c r="AQ3530" s="31"/>
      <c r="AR3530" s="31"/>
      <c r="AS3530" s="94"/>
      <c r="AT3530" s="31"/>
      <c r="AU3530" s="31"/>
      <c r="AV3530" s="94"/>
      <c r="AW3530" s="32"/>
      <c r="AX3530" s="32"/>
      <c r="AY3530" s="32"/>
      <c r="AZ3530" s="32"/>
      <c r="BA3530" s="32"/>
      <c r="BB3530" s="31"/>
      <c r="BC3530" s="31"/>
      <c r="BD3530" s="31"/>
      <c r="BE3530" s="31"/>
      <c r="BF3530" s="96"/>
    </row>
    <row r="3531" spans="42:58" x14ac:dyDescent="0.35">
      <c r="AP3531" s="92"/>
      <c r="AQ3531" s="67"/>
      <c r="AR3531" s="67"/>
      <c r="AS3531" s="73"/>
      <c r="AT3531" s="67"/>
      <c r="AU3531" s="67"/>
      <c r="AV3531" s="73"/>
      <c r="AW3531" s="68"/>
      <c r="AX3531" s="68"/>
      <c r="AY3531" s="68"/>
      <c r="AZ3531" s="68"/>
      <c r="BA3531" s="68"/>
      <c r="BB3531" s="67"/>
      <c r="BC3531" s="67"/>
      <c r="BD3531" s="67"/>
      <c r="BE3531" s="67"/>
      <c r="BF3531" s="95"/>
    </row>
    <row r="3532" spans="42:58" x14ac:dyDescent="0.35">
      <c r="AP3532" s="93"/>
      <c r="AQ3532" s="31"/>
      <c r="AR3532" s="31"/>
      <c r="AS3532" s="94"/>
      <c r="AT3532" s="31"/>
      <c r="AU3532" s="31"/>
      <c r="AV3532" s="94"/>
      <c r="AW3532" s="32"/>
      <c r="AX3532" s="32"/>
      <c r="AY3532" s="32"/>
      <c r="AZ3532" s="32"/>
      <c r="BA3532" s="32"/>
      <c r="BB3532" s="31"/>
      <c r="BC3532" s="31"/>
      <c r="BD3532" s="31"/>
      <c r="BE3532" s="31"/>
      <c r="BF3532" s="96"/>
    </row>
    <row r="3533" spans="42:58" x14ac:dyDescent="0.35">
      <c r="AP3533" s="92"/>
      <c r="AQ3533" s="67"/>
      <c r="AR3533" s="67"/>
      <c r="AS3533" s="73"/>
      <c r="AT3533" s="67"/>
      <c r="AU3533" s="67"/>
      <c r="AV3533" s="73"/>
      <c r="AW3533" s="68"/>
      <c r="AX3533" s="68"/>
      <c r="AY3533" s="68"/>
      <c r="AZ3533" s="68"/>
      <c r="BA3533" s="68"/>
      <c r="BB3533" s="67"/>
      <c r="BC3533" s="67"/>
      <c r="BD3533" s="67"/>
      <c r="BE3533" s="67"/>
      <c r="BF3533" s="95"/>
    </row>
    <row r="3534" spans="42:58" x14ac:dyDescent="0.35">
      <c r="AP3534" s="93"/>
      <c r="AQ3534" s="31"/>
      <c r="AR3534" s="31"/>
      <c r="AS3534" s="94"/>
      <c r="AT3534" s="31"/>
      <c r="AU3534" s="31"/>
      <c r="AV3534" s="94"/>
      <c r="AW3534" s="32"/>
      <c r="AX3534" s="32"/>
      <c r="AY3534" s="32"/>
      <c r="AZ3534" s="32"/>
      <c r="BA3534" s="32"/>
      <c r="BB3534" s="31"/>
      <c r="BC3534" s="31"/>
      <c r="BD3534" s="31"/>
      <c r="BE3534" s="31"/>
      <c r="BF3534" s="96"/>
    </row>
    <row r="3535" spans="42:58" x14ac:dyDescent="0.35">
      <c r="AP3535" s="92"/>
      <c r="AQ3535" s="67"/>
      <c r="AR3535" s="67"/>
      <c r="AS3535" s="73"/>
      <c r="AT3535" s="67"/>
      <c r="AU3535" s="67"/>
      <c r="AV3535" s="73"/>
      <c r="AW3535" s="68"/>
      <c r="AX3535" s="68"/>
      <c r="AY3535" s="68"/>
      <c r="AZ3535" s="68"/>
      <c r="BA3535" s="68"/>
      <c r="BB3535" s="67"/>
      <c r="BC3535" s="67"/>
      <c r="BD3535" s="67"/>
      <c r="BE3535" s="67"/>
      <c r="BF3535" s="95"/>
    </row>
    <row r="3536" spans="42:58" x14ac:dyDescent="0.35">
      <c r="AP3536" s="93"/>
      <c r="AQ3536" s="31"/>
      <c r="AR3536" s="31"/>
      <c r="AS3536" s="94"/>
      <c r="AT3536" s="31"/>
      <c r="AU3536" s="31"/>
      <c r="AV3536" s="94"/>
      <c r="AW3536" s="32"/>
      <c r="AX3536" s="32"/>
      <c r="AY3536" s="32"/>
      <c r="AZ3536" s="32"/>
      <c r="BA3536" s="32"/>
      <c r="BB3536" s="31"/>
      <c r="BC3536" s="31"/>
      <c r="BD3536" s="31"/>
      <c r="BE3536" s="31"/>
      <c r="BF3536" s="96"/>
    </row>
    <row r="3537" spans="42:58" x14ac:dyDescent="0.35">
      <c r="AP3537" s="92"/>
      <c r="AQ3537" s="67"/>
      <c r="AR3537" s="67"/>
      <c r="AS3537" s="73"/>
      <c r="AT3537" s="67"/>
      <c r="AU3537" s="67"/>
      <c r="AV3537" s="73"/>
      <c r="AW3537" s="68"/>
      <c r="AX3537" s="68"/>
      <c r="AY3537" s="68"/>
      <c r="AZ3537" s="68"/>
      <c r="BA3537" s="68"/>
      <c r="BB3537" s="67"/>
      <c r="BC3537" s="67"/>
      <c r="BD3537" s="67"/>
      <c r="BE3537" s="67"/>
      <c r="BF3537" s="95"/>
    </row>
    <row r="3538" spans="42:58" x14ac:dyDescent="0.35">
      <c r="AP3538" s="93"/>
      <c r="AQ3538" s="31"/>
      <c r="AR3538" s="31"/>
      <c r="AS3538" s="94"/>
      <c r="AT3538" s="31"/>
      <c r="AU3538" s="31"/>
      <c r="AV3538" s="94"/>
      <c r="AW3538" s="32"/>
      <c r="AX3538" s="32"/>
      <c r="AY3538" s="32"/>
      <c r="AZ3538" s="32"/>
      <c r="BA3538" s="32"/>
      <c r="BB3538" s="31"/>
      <c r="BC3538" s="31"/>
      <c r="BD3538" s="31"/>
      <c r="BE3538" s="31"/>
      <c r="BF3538" s="96"/>
    </row>
    <row r="3539" spans="42:58" x14ac:dyDescent="0.35">
      <c r="AP3539" s="92"/>
      <c r="AQ3539" s="67"/>
      <c r="AR3539" s="67"/>
      <c r="AS3539" s="73"/>
      <c r="AT3539" s="67"/>
      <c r="AU3539" s="67"/>
      <c r="AV3539" s="73"/>
      <c r="AW3539" s="68"/>
      <c r="AX3539" s="68"/>
      <c r="AY3539" s="68"/>
      <c r="AZ3539" s="68"/>
      <c r="BA3539" s="68"/>
      <c r="BB3539" s="67"/>
      <c r="BC3539" s="67"/>
      <c r="BD3539" s="67"/>
      <c r="BE3539" s="67"/>
      <c r="BF3539" s="95"/>
    </row>
    <row r="3540" spans="42:58" x14ac:dyDescent="0.35">
      <c r="AP3540" s="93"/>
      <c r="AQ3540" s="31"/>
      <c r="AR3540" s="31"/>
      <c r="AS3540" s="94"/>
      <c r="AT3540" s="31"/>
      <c r="AU3540" s="31"/>
      <c r="AV3540" s="94"/>
      <c r="AW3540" s="32"/>
      <c r="AX3540" s="32"/>
      <c r="AY3540" s="32"/>
      <c r="AZ3540" s="32"/>
      <c r="BA3540" s="32"/>
      <c r="BB3540" s="31"/>
      <c r="BC3540" s="31"/>
      <c r="BD3540" s="31"/>
      <c r="BE3540" s="31"/>
      <c r="BF3540" s="96"/>
    </row>
    <row r="3541" spans="42:58" x14ac:dyDescent="0.35">
      <c r="AP3541" s="92"/>
      <c r="AQ3541" s="67"/>
      <c r="AR3541" s="67"/>
      <c r="AS3541" s="73"/>
      <c r="AT3541" s="67"/>
      <c r="AU3541" s="67"/>
      <c r="AV3541" s="73"/>
      <c r="AW3541" s="68"/>
      <c r="AX3541" s="68"/>
      <c r="AY3541" s="68"/>
      <c r="AZ3541" s="68"/>
      <c r="BA3541" s="68"/>
      <c r="BB3541" s="67"/>
      <c r="BC3541" s="67"/>
      <c r="BD3541" s="67"/>
      <c r="BE3541" s="67"/>
      <c r="BF3541" s="95"/>
    </row>
    <row r="3542" spans="42:58" x14ac:dyDescent="0.35">
      <c r="AP3542" s="93"/>
      <c r="AQ3542" s="31"/>
      <c r="AR3542" s="31"/>
      <c r="AS3542" s="94"/>
      <c r="AT3542" s="31"/>
      <c r="AU3542" s="31"/>
      <c r="AV3542" s="94"/>
      <c r="AW3542" s="32"/>
      <c r="AX3542" s="32"/>
      <c r="AY3542" s="32"/>
      <c r="AZ3542" s="32"/>
      <c r="BA3542" s="32"/>
      <c r="BB3542" s="31"/>
      <c r="BC3542" s="31"/>
      <c r="BD3542" s="31"/>
      <c r="BE3542" s="31"/>
      <c r="BF3542" s="96"/>
    </row>
    <row r="3543" spans="42:58" x14ac:dyDescent="0.35">
      <c r="AP3543" s="92"/>
      <c r="AQ3543" s="67"/>
      <c r="AR3543" s="67"/>
      <c r="AS3543" s="73"/>
      <c r="AT3543" s="67"/>
      <c r="AU3543" s="67"/>
      <c r="AV3543" s="73"/>
      <c r="AW3543" s="68"/>
      <c r="AX3543" s="68"/>
      <c r="AY3543" s="68"/>
      <c r="AZ3543" s="68"/>
      <c r="BA3543" s="68"/>
      <c r="BB3543" s="67"/>
      <c r="BC3543" s="67"/>
      <c r="BD3543" s="67"/>
      <c r="BE3543" s="67"/>
      <c r="BF3543" s="95"/>
    </row>
    <row r="3544" spans="42:58" x14ac:dyDescent="0.35">
      <c r="AP3544" s="93"/>
      <c r="AQ3544" s="31"/>
      <c r="AR3544" s="31"/>
      <c r="AS3544" s="94"/>
      <c r="AT3544" s="31"/>
      <c r="AU3544" s="31"/>
      <c r="AV3544" s="94"/>
      <c r="AW3544" s="32"/>
      <c r="AX3544" s="32"/>
      <c r="AY3544" s="32"/>
      <c r="AZ3544" s="32"/>
      <c r="BA3544" s="32"/>
      <c r="BB3544" s="31"/>
      <c r="BC3544" s="31"/>
      <c r="BD3544" s="31"/>
      <c r="BE3544" s="31"/>
      <c r="BF3544" s="96"/>
    </row>
    <row r="3545" spans="42:58" x14ac:dyDescent="0.35">
      <c r="AP3545" s="92"/>
      <c r="AQ3545" s="67"/>
      <c r="AR3545" s="67"/>
      <c r="AS3545" s="73"/>
      <c r="AT3545" s="67"/>
      <c r="AU3545" s="67"/>
      <c r="AV3545" s="73"/>
      <c r="AW3545" s="68"/>
      <c r="AX3545" s="68"/>
      <c r="AY3545" s="68"/>
      <c r="AZ3545" s="68"/>
      <c r="BA3545" s="68"/>
      <c r="BB3545" s="67"/>
      <c r="BC3545" s="67"/>
      <c r="BD3545" s="67"/>
      <c r="BE3545" s="67"/>
      <c r="BF3545" s="95"/>
    </row>
    <row r="3546" spans="42:58" x14ac:dyDescent="0.35">
      <c r="AP3546" s="93"/>
      <c r="AQ3546" s="31"/>
      <c r="AR3546" s="31"/>
      <c r="AS3546" s="94"/>
      <c r="AT3546" s="31"/>
      <c r="AU3546" s="31"/>
      <c r="AV3546" s="94"/>
      <c r="AW3546" s="32"/>
      <c r="AX3546" s="32"/>
      <c r="AY3546" s="32"/>
      <c r="AZ3546" s="32"/>
      <c r="BA3546" s="32"/>
      <c r="BB3546" s="31"/>
      <c r="BC3546" s="31"/>
      <c r="BD3546" s="31"/>
      <c r="BE3546" s="31"/>
      <c r="BF3546" s="96"/>
    </row>
    <row r="3547" spans="42:58" x14ac:dyDescent="0.35">
      <c r="AP3547" s="92"/>
      <c r="AQ3547" s="67"/>
      <c r="AR3547" s="67"/>
      <c r="AS3547" s="73"/>
      <c r="AT3547" s="67"/>
      <c r="AU3547" s="67"/>
      <c r="AV3547" s="73"/>
      <c r="AW3547" s="68"/>
      <c r="AX3547" s="68"/>
      <c r="AY3547" s="68"/>
      <c r="AZ3547" s="68"/>
      <c r="BA3547" s="68"/>
      <c r="BB3547" s="67"/>
      <c r="BC3547" s="67"/>
      <c r="BD3547" s="67"/>
      <c r="BE3547" s="67"/>
      <c r="BF3547" s="95"/>
    </row>
    <row r="3548" spans="42:58" x14ac:dyDescent="0.35">
      <c r="AP3548" s="93"/>
      <c r="AQ3548" s="31"/>
      <c r="AR3548" s="31"/>
      <c r="AS3548" s="94"/>
      <c r="AT3548" s="31"/>
      <c r="AU3548" s="31"/>
      <c r="AV3548" s="94"/>
      <c r="AW3548" s="32"/>
      <c r="AX3548" s="32"/>
      <c r="AY3548" s="32"/>
      <c r="AZ3548" s="32"/>
      <c r="BA3548" s="32"/>
      <c r="BB3548" s="31"/>
      <c r="BC3548" s="31"/>
      <c r="BD3548" s="31"/>
      <c r="BE3548" s="31"/>
      <c r="BF3548" s="96"/>
    </row>
    <row r="3549" spans="42:58" x14ac:dyDescent="0.35">
      <c r="AP3549" s="92"/>
      <c r="AQ3549" s="67"/>
      <c r="AR3549" s="67"/>
      <c r="AS3549" s="73"/>
      <c r="AT3549" s="67"/>
      <c r="AU3549" s="67"/>
      <c r="AV3549" s="73"/>
      <c r="AW3549" s="68"/>
      <c r="AX3549" s="68"/>
      <c r="AY3549" s="68"/>
      <c r="AZ3549" s="68"/>
      <c r="BA3549" s="68"/>
      <c r="BB3549" s="67"/>
      <c r="BC3549" s="67"/>
      <c r="BD3549" s="67"/>
      <c r="BE3549" s="67"/>
      <c r="BF3549" s="95"/>
    </row>
    <row r="3550" spans="42:58" x14ac:dyDescent="0.35">
      <c r="AP3550" s="93"/>
      <c r="AQ3550" s="31"/>
      <c r="AR3550" s="31"/>
      <c r="AS3550" s="94"/>
      <c r="AT3550" s="31"/>
      <c r="AU3550" s="31"/>
      <c r="AV3550" s="94"/>
      <c r="AW3550" s="32"/>
      <c r="AX3550" s="32"/>
      <c r="AY3550" s="32"/>
      <c r="AZ3550" s="32"/>
      <c r="BA3550" s="32"/>
      <c r="BB3550" s="31"/>
      <c r="BC3550" s="31"/>
      <c r="BD3550" s="31"/>
      <c r="BE3550" s="31"/>
      <c r="BF3550" s="96"/>
    </row>
    <row r="3551" spans="42:58" x14ac:dyDescent="0.35">
      <c r="AP3551" s="92"/>
      <c r="AQ3551" s="67"/>
      <c r="AR3551" s="67"/>
      <c r="AS3551" s="73"/>
      <c r="AT3551" s="67"/>
      <c r="AU3551" s="67"/>
      <c r="AV3551" s="73"/>
      <c r="AW3551" s="68"/>
      <c r="AX3551" s="68"/>
      <c r="AY3551" s="68"/>
      <c r="AZ3551" s="68"/>
      <c r="BA3551" s="68"/>
      <c r="BB3551" s="67"/>
      <c r="BC3551" s="67"/>
      <c r="BD3551" s="67"/>
      <c r="BE3551" s="67"/>
      <c r="BF3551" s="95"/>
    </row>
    <row r="3552" spans="42:58" x14ac:dyDescent="0.35">
      <c r="AP3552" s="93"/>
      <c r="AQ3552" s="31"/>
      <c r="AR3552" s="31"/>
      <c r="AS3552" s="94"/>
      <c r="AT3552" s="31"/>
      <c r="AU3552" s="31"/>
      <c r="AV3552" s="94"/>
      <c r="AW3552" s="32"/>
      <c r="AX3552" s="32"/>
      <c r="AY3552" s="32"/>
      <c r="AZ3552" s="32"/>
      <c r="BA3552" s="32"/>
      <c r="BB3552" s="31"/>
      <c r="BC3552" s="31"/>
      <c r="BD3552" s="31"/>
      <c r="BE3552" s="31"/>
      <c r="BF3552" s="96"/>
    </row>
    <row r="3553" spans="42:58" x14ac:dyDescent="0.35">
      <c r="AP3553" s="92"/>
      <c r="AQ3553" s="67"/>
      <c r="AR3553" s="67"/>
      <c r="AS3553" s="73"/>
      <c r="AT3553" s="67"/>
      <c r="AU3553" s="67"/>
      <c r="AV3553" s="73"/>
      <c r="AW3553" s="68"/>
      <c r="AX3553" s="68"/>
      <c r="AY3553" s="68"/>
      <c r="AZ3553" s="68"/>
      <c r="BA3553" s="68"/>
      <c r="BB3553" s="67"/>
      <c r="BC3553" s="67"/>
      <c r="BD3553" s="67"/>
      <c r="BE3553" s="67"/>
      <c r="BF3553" s="95"/>
    </row>
    <row r="3554" spans="42:58" x14ac:dyDescent="0.35">
      <c r="AP3554" s="93"/>
      <c r="AQ3554" s="31"/>
      <c r="AR3554" s="31"/>
      <c r="AS3554" s="94"/>
      <c r="AT3554" s="31"/>
      <c r="AU3554" s="31"/>
      <c r="AV3554" s="94"/>
      <c r="AW3554" s="32"/>
      <c r="AX3554" s="32"/>
      <c r="AY3554" s="32"/>
      <c r="AZ3554" s="32"/>
      <c r="BA3554" s="32"/>
      <c r="BB3554" s="31"/>
      <c r="BC3554" s="31"/>
      <c r="BD3554" s="31"/>
      <c r="BE3554" s="31"/>
      <c r="BF3554" s="96"/>
    </row>
    <row r="3555" spans="42:58" x14ac:dyDescent="0.35">
      <c r="AP3555" s="92"/>
      <c r="AQ3555" s="67"/>
      <c r="AR3555" s="67"/>
      <c r="AS3555" s="73"/>
      <c r="AT3555" s="67"/>
      <c r="AU3555" s="67"/>
      <c r="AV3555" s="73"/>
      <c r="AW3555" s="68"/>
      <c r="AX3555" s="68"/>
      <c r="AY3555" s="68"/>
      <c r="AZ3555" s="68"/>
      <c r="BA3555" s="68"/>
      <c r="BB3555" s="67"/>
      <c r="BC3555" s="67"/>
      <c r="BD3555" s="67"/>
      <c r="BE3555" s="67"/>
      <c r="BF3555" s="95"/>
    </row>
    <row r="3556" spans="42:58" x14ac:dyDescent="0.35">
      <c r="AP3556" s="93"/>
      <c r="AQ3556" s="31"/>
      <c r="AR3556" s="31"/>
      <c r="AS3556" s="94"/>
      <c r="AT3556" s="31"/>
      <c r="AU3556" s="31"/>
      <c r="AV3556" s="94"/>
      <c r="AW3556" s="32"/>
      <c r="AX3556" s="32"/>
      <c r="AY3556" s="32"/>
      <c r="AZ3556" s="32"/>
      <c r="BA3556" s="32"/>
      <c r="BB3556" s="31"/>
      <c r="BC3556" s="31"/>
      <c r="BD3556" s="31"/>
      <c r="BE3556" s="31"/>
      <c r="BF3556" s="96"/>
    </row>
    <row r="3557" spans="42:58" x14ac:dyDescent="0.35">
      <c r="AP3557" s="92"/>
      <c r="AQ3557" s="67"/>
      <c r="AR3557" s="67"/>
      <c r="AS3557" s="73"/>
      <c r="AT3557" s="67"/>
      <c r="AU3557" s="67"/>
      <c r="AV3557" s="73"/>
      <c r="AW3557" s="68"/>
      <c r="AX3557" s="68"/>
      <c r="AY3557" s="68"/>
      <c r="AZ3557" s="68"/>
      <c r="BA3557" s="68"/>
      <c r="BB3557" s="67"/>
      <c r="BC3557" s="67"/>
      <c r="BD3557" s="67"/>
      <c r="BE3557" s="67"/>
      <c r="BF3557" s="95"/>
    </row>
    <row r="3558" spans="42:58" x14ac:dyDescent="0.35">
      <c r="AP3558" s="93"/>
      <c r="AQ3558" s="31"/>
      <c r="AR3558" s="31"/>
      <c r="AS3558" s="94"/>
      <c r="AT3558" s="31"/>
      <c r="AU3558" s="31"/>
      <c r="AV3558" s="94"/>
      <c r="AW3558" s="32"/>
      <c r="AX3558" s="32"/>
      <c r="AY3558" s="32"/>
      <c r="AZ3558" s="32"/>
      <c r="BA3558" s="32"/>
      <c r="BB3558" s="31"/>
      <c r="BC3558" s="31"/>
      <c r="BD3558" s="31"/>
      <c r="BE3558" s="31"/>
      <c r="BF3558" s="96"/>
    </row>
    <row r="3559" spans="42:58" x14ac:dyDescent="0.35">
      <c r="AP3559" s="92"/>
      <c r="AQ3559" s="67"/>
      <c r="AR3559" s="67"/>
      <c r="AS3559" s="73"/>
      <c r="AT3559" s="67"/>
      <c r="AU3559" s="67"/>
      <c r="AV3559" s="73"/>
      <c r="AW3559" s="68"/>
      <c r="AX3559" s="68"/>
      <c r="AY3559" s="68"/>
      <c r="AZ3559" s="68"/>
      <c r="BA3559" s="68"/>
      <c r="BB3559" s="67"/>
      <c r="BC3559" s="67"/>
      <c r="BD3559" s="67"/>
      <c r="BE3559" s="67"/>
      <c r="BF3559" s="95"/>
    </row>
    <row r="3560" spans="42:58" x14ac:dyDescent="0.35">
      <c r="AP3560" s="93"/>
      <c r="AQ3560" s="31"/>
      <c r="AR3560" s="31"/>
      <c r="AS3560" s="94"/>
      <c r="AT3560" s="31"/>
      <c r="AU3560" s="31"/>
      <c r="AV3560" s="94"/>
      <c r="AW3560" s="32"/>
      <c r="AX3560" s="32"/>
      <c r="AY3560" s="32"/>
      <c r="AZ3560" s="32"/>
      <c r="BA3560" s="32"/>
      <c r="BB3560" s="31"/>
      <c r="BC3560" s="31"/>
      <c r="BD3560" s="31"/>
      <c r="BE3560" s="31"/>
      <c r="BF3560" s="96"/>
    </row>
    <row r="3561" spans="42:58" x14ac:dyDescent="0.35">
      <c r="AP3561" s="92"/>
      <c r="AQ3561" s="67"/>
      <c r="AR3561" s="67"/>
      <c r="AS3561" s="73"/>
      <c r="AT3561" s="67"/>
      <c r="AU3561" s="67"/>
      <c r="AV3561" s="73"/>
      <c r="AW3561" s="68"/>
      <c r="AX3561" s="68"/>
      <c r="AY3561" s="68"/>
      <c r="AZ3561" s="68"/>
      <c r="BA3561" s="68"/>
      <c r="BB3561" s="67"/>
      <c r="BC3561" s="67"/>
      <c r="BD3561" s="67"/>
      <c r="BE3561" s="67"/>
      <c r="BF3561" s="95"/>
    </row>
    <row r="3562" spans="42:58" x14ac:dyDescent="0.35">
      <c r="AP3562" s="93"/>
      <c r="AQ3562" s="31"/>
      <c r="AR3562" s="31"/>
      <c r="AS3562" s="94"/>
      <c r="AT3562" s="31"/>
      <c r="AU3562" s="31"/>
      <c r="AV3562" s="94"/>
      <c r="AW3562" s="32"/>
      <c r="AX3562" s="32"/>
      <c r="AY3562" s="32"/>
      <c r="AZ3562" s="32"/>
      <c r="BA3562" s="32"/>
      <c r="BB3562" s="31"/>
      <c r="BC3562" s="31"/>
      <c r="BD3562" s="31"/>
      <c r="BE3562" s="31"/>
      <c r="BF3562" s="96"/>
    </row>
    <row r="3563" spans="42:58" x14ac:dyDescent="0.35">
      <c r="AP3563" s="92"/>
      <c r="AQ3563" s="67"/>
      <c r="AR3563" s="67"/>
      <c r="AS3563" s="73"/>
      <c r="AT3563" s="67"/>
      <c r="AU3563" s="67"/>
      <c r="AV3563" s="73"/>
      <c r="AW3563" s="68"/>
      <c r="AX3563" s="68"/>
      <c r="AY3563" s="68"/>
      <c r="AZ3563" s="68"/>
      <c r="BA3563" s="68"/>
      <c r="BB3563" s="67"/>
      <c r="BC3563" s="67"/>
      <c r="BD3563" s="67"/>
      <c r="BE3563" s="67"/>
      <c r="BF3563" s="95"/>
    </row>
    <row r="3564" spans="42:58" x14ac:dyDescent="0.35">
      <c r="AP3564" s="93"/>
      <c r="AQ3564" s="31"/>
      <c r="AR3564" s="31"/>
      <c r="AS3564" s="94"/>
      <c r="AT3564" s="31"/>
      <c r="AU3564" s="31"/>
      <c r="AV3564" s="94"/>
      <c r="AW3564" s="32"/>
      <c r="AX3564" s="32"/>
      <c r="AY3564" s="32"/>
      <c r="AZ3564" s="32"/>
      <c r="BA3564" s="32"/>
      <c r="BB3564" s="31"/>
      <c r="BC3564" s="31"/>
      <c r="BD3564" s="31"/>
      <c r="BE3564" s="31"/>
      <c r="BF3564" s="96"/>
    </row>
    <row r="3565" spans="42:58" x14ac:dyDescent="0.35">
      <c r="AP3565" s="92"/>
      <c r="AQ3565" s="67"/>
      <c r="AR3565" s="67"/>
      <c r="AS3565" s="73"/>
      <c r="AT3565" s="67"/>
      <c r="AU3565" s="67"/>
      <c r="AV3565" s="73"/>
      <c r="AW3565" s="68"/>
      <c r="AX3565" s="68"/>
      <c r="AY3565" s="68"/>
      <c r="AZ3565" s="68"/>
      <c r="BA3565" s="68"/>
      <c r="BB3565" s="67"/>
      <c r="BC3565" s="67"/>
      <c r="BD3565" s="67"/>
      <c r="BE3565" s="67"/>
      <c r="BF3565" s="95"/>
    </row>
    <row r="3566" spans="42:58" x14ac:dyDescent="0.35">
      <c r="AP3566" s="93"/>
      <c r="AQ3566" s="31"/>
      <c r="AR3566" s="31"/>
      <c r="AS3566" s="94"/>
      <c r="AT3566" s="31"/>
      <c r="AU3566" s="31"/>
      <c r="AV3566" s="94"/>
      <c r="AW3566" s="32"/>
      <c r="AX3566" s="32"/>
      <c r="AY3566" s="32"/>
      <c r="AZ3566" s="32"/>
      <c r="BA3566" s="32"/>
      <c r="BB3566" s="31"/>
      <c r="BC3566" s="31"/>
      <c r="BD3566" s="31"/>
      <c r="BE3566" s="31"/>
      <c r="BF3566" s="96"/>
    </row>
    <row r="3567" spans="42:58" x14ac:dyDescent="0.35">
      <c r="AP3567" s="92"/>
      <c r="AQ3567" s="67"/>
      <c r="AR3567" s="67"/>
      <c r="AS3567" s="73"/>
      <c r="AT3567" s="67"/>
      <c r="AU3567" s="67"/>
      <c r="AV3567" s="73"/>
      <c r="AW3567" s="68"/>
      <c r="AX3567" s="68"/>
      <c r="AY3567" s="68"/>
      <c r="AZ3567" s="68"/>
      <c r="BA3567" s="68"/>
      <c r="BB3567" s="67"/>
      <c r="BC3567" s="67"/>
      <c r="BD3567" s="67"/>
      <c r="BE3567" s="67"/>
      <c r="BF3567" s="95"/>
    </row>
    <row r="3568" spans="42:58" x14ac:dyDescent="0.35">
      <c r="AP3568" s="93"/>
      <c r="AQ3568" s="31"/>
      <c r="AR3568" s="31"/>
      <c r="AS3568" s="94"/>
      <c r="AT3568" s="31"/>
      <c r="AU3568" s="31"/>
      <c r="AV3568" s="94"/>
      <c r="AW3568" s="32"/>
      <c r="AX3568" s="32"/>
      <c r="AY3568" s="32"/>
      <c r="AZ3568" s="32"/>
      <c r="BA3568" s="32"/>
      <c r="BB3568" s="31"/>
      <c r="BC3568" s="31"/>
      <c r="BD3568" s="31"/>
      <c r="BE3568" s="31"/>
      <c r="BF3568" s="96"/>
    </row>
    <row r="3569" spans="42:58" x14ac:dyDescent="0.35">
      <c r="AP3569" s="92"/>
      <c r="AQ3569" s="67"/>
      <c r="AR3569" s="67"/>
      <c r="AS3569" s="73"/>
      <c r="AT3569" s="67"/>
      <c r="AU3569" s="67"/>
      <c r="AV3569" s="73"/>
      <c r="AW3569" s="68"/>
      <c r="AX3569" s="68"/>
      <c r="AY3569" s="68"/>
      <c r="AZ3569" s="68"/>
      <c r="BA3569" s="68"/>
      <c r="BB3569" s="67"/>
      <c r="BC3569" s="67"/>
      <c r="BD3569" s="67"/>
      <c r="BE3569" s="67"/>
      <c r="BF3569" s="95"/>
    </row>
    <row r="3570" spans="42:58" x14ac:dyDescent="0.35">
      <c r="AP3570" s="93"/>
      <c r="AQ3570" s="31"/>
      <c r="AR3570" s="31"/>
      <c r="AS3570" s="94"/>
      <c r="AT3570" s="31"/>
      <c r="AU3570" s="31"/>
      <c r="AV3570" s="94"/>
      <c r="AW3570" s="32"/>
      <c r="AX3570" s="32"/>
      <c r="AY3570" s="32"/>
      <c r="AZ3570" s="32"/>
      <c r="BA3570" s="32"/>
      <c r="BB3570" s="31"/>
      <c r="BC3570" s="31"/>
      <c r="BD3570" s="31"/>
      <c r="BE3570" s="31"/>
      <c r="BF3570" s="96"/>
    </row>
    <row r="3571" spans="42:58" x14ac:dyDescent="0.35">
      <c r="AP3571" s="92"/>
      <c r="AQ3571" s="67"/>
      <c r="AR3571" s="67"/>
      <c r="AS3571" s="73"/>
      <c r="AT3571" s="67"/>
      <c r="AU3571" s="67"/>
      <c r="AV3571" s="73"/>
      <c r="AW3571" s="68"/>
      <c r="AX3571" s="68"/>
      <c r="AY3571" s="68"/>
      <c r="AZ3571" s="68"/>
      <c r="BA3571" s="68"/>
      <c r="BB3571" s="67"/>
      <c r="BC3571" s="67"/>
      <c r="BD3571" s="67"/>
      <c r="BE3571" s="67"/>
      <c r="BF3571" s="95"/>
    </row>
    <row r="3572" spans="42:58" x14ac:dyDescent="0.35">
      <c r="AP3572" s="93"/>
      <c r="AQ3572" s="31"/>
      <c r="AR3572" s="31"/>
      <c r="AS3572" s="94"/>
      <c r="AT3572" s="31"/>
      <c r="AU3572" s="31"/>
      <c r="AV3572" s="94"/>
      <c r="AW3572" s="32"/>
      <c r="AX3572" s="32"/>
      <c r="AY3572" s="32"/>
      <c r="AZ3572" s="32"/>
      <c r="BA3572" s="32"/>
      <c r="BB3572" s="31"/>
      <c r="BC3572" s="31"/>
      <c r="BD3572" s="31"/>
      <c r="BE3572" s="31"/>
      <c r="BF3572" s="96"/>
    </row>
    <row r="3573" spans="42:58" x14ac:dyDescent="0.35">
      <c r="AP3573" s="92"/>
      <c r="AQ3573" s="67"/>
      <c r="AR3573" s="67"/>
      <c r="AS3573" s="73"/>
      <c r="AT3573" s="67"/>
      <c r="AU3573" s="67"/>
      <c r="AV3573" s="73"/>
      <c r="AW3573" s="68"/>
      <c r="AX3573" s="68"/>
      <c r="AY3573" s="68"/>
      <c r="AZ3573" s="68"/>
      <c r="BA3573" s="68"/>
      <c r="BB3573" s="67"/>
      <c r="BC3573" s="67"/>
      <c r="BD3573" s="67"/>
      <c r="BE3573" s="67"/>
      <c r="BF3573" s="95"/>
    </row>
    <row r="3574" spans="42:58" x14ac:dyDescent="0.35">
      <c r="AP3574" s="93"/>
      <c r="AQ3574" s="31"/>
      <c r="AR3574" s="31"/>
      <c r="AS3574" s="94"/>
      <c r="AT3574" s="31"/>
      <c r="AU3574" s="31"/>
      <c r="AV3574" s="94"/>
      <c r="AW3574" s="32"/>
      <c r="AX3574" s="32"/>
      <c r="AY3574" s="32"/>
      <c r="AZ3574" s="32"/>
      <c r="BA3574" s="32"/>
      <c r="BB3574" s="31"/>
      <c r="BC3574" s="31"/>
      <c r="BD3574" s="31"/>
      <c r="BE3574" s="31"/>
      <c r="BF3574" s="96"/>
    </row>
    <row r="3575" spans="42:58" x14ac:dyDescent="0.35">
      <c r="AP3575" s="92"/>
      <c r="AQ3575" s="67"/>
      <c r="AR3575" s="67"/>
      <c r="AS3575" s="73"/>
      <c r="AT3575" s="67"/>
      <c r="AU3575" s="67"/>
      <c r="AV3575" s="73"/>
      <c r="AW3575" s="68"/>
      <c r="AX3575" s="68"/>
      <c r="AY3575" s="68"/>
      <c r="AZ3575" s="68"/>
      <c r="BA3575" s="68"/>
      <c r="BB3575" s="67"/>
      <c r="BC3575" s="67"/>
      <c r="BD3575" s="67"/>
      <c r="BE3575" s="67"/>
      <c r="BF3575" s="95"/>
    </row>
    <row r="3576" spans="42:58" x14ac:dyDescent="0.35">
      <c r="AP3576" s="93"/>
      <c r="AQ3576" s="31"/>
      <c r="AR3576" s="31"/>
      <c r="AS3576" s="94"/>
      <c r="AT3576" s="31"/>
      <c r="AU3576" s="31"/>
      <c r="AV3576" s="94"/>
      <c r="AW3576" s="32"/>
      <c r="AX3576" s="32"/>
      <c r="AY3576" s="32"/>
      <c r="AZ3576" s="32"/>
      <c r="BA3576" s="32"/>
      <c r="BB3576" s="31"/>
      <c r="BC3576" s="31"/>
      <c r="BD3576" s="31"/>
      <c r="BE3576" s="31"/>
      <c r="BF3576" s="96"/>
    </row>
    <row r="3577" spans="42:58" x14ac:dyDescent="0.35">
      <c r="AP3577" s="92"/>
      <c r="AQ3577" s="67"/>
      <c r="AR3577" s="67"/>
      <c r="AS3577" s="73"/>
      <c r="AT3577" s="67"/>
      <c r="AU3577" s="67"/>
      <c r="AV3577" s="73"/>
      <c r="AW3577" s="68"/>
      <c r="AX3577" s="68"/>
      <c r="AY3577" s="68"/>
      <c r="AZ3577" s="68"/>
      <c r="BA3577" s="68"/>
      <c r="BB3577" s="67"/>
      <c r="BC3577" s="67"/>
      <c r="BD3577" s="67"/>
      <c r="BE3577" s="67"/>
      <c r="BF3577" s="95"/>
    </row>
    <row r="3578" spans="42:58" x14ac:dyDescent="0.35">
      <c r="AP3578" s="93"/>
      <c r="AQ3578" s="31"/>
      <c r="AR3578" s="31"/>
      <c r="AS3578" s="94"/>
      <c r="AT3578" s="31"/>
      <c r="AU3578" s="31"/>
      <c r="AV3578" s="94"/>
      <c r="AW3578" s="32"/>
      <c r="AX3578" s="32"/>
      <c r="AY3578" s="32"/>
      <c r="AZ3578" s="32"/>
      <c r="BA3578" s="32"/>
      <c r="BB3578" s="31"/>
      <c r="BC3578" s="31"/>
      <c r="BD3578" s="31"/>
      <c r="BE3578" s="31"/>
      <c r="BF3578" s="96"/>
    </row>
    <row r="3579" spans="42:58" x14ac:dyDescent="0.35">
      <c r="AP3579" s="92"/>
      <c r="AQ3579" s="67"/>
      <c r="AR3579" s="67"/>
      <c r="AS3579" s="73"/>
      <c r="AT3579" s="67"/>
      <c r="AU3579" s="67"/>
      <c r="AV3579" s="73"/>
      <c r="AW3579" s="68"/>
      <c r="AX3579" s="68"/>
      <c r="AY3579" s="68"/>
      <c r="AZ3579" s="68"/>
      <c r="BA3579" s="68"/>
      <c r="BB3579" s="67"/>
      <c r="BC3579" s="67"/>
      <c r="BD3579" s="67"/>
      <c r="BE3579" s="67"/>
      <c r="BF3579" s="95"/>
    </row>
    <row r="3580" spans="42:58" x14ac:dyDescent="0.35">
      <c r="AP3580" s="93"/>
      <c r="AQ3580" s="31"/>
      <c r="AR3580" s="31"/>
      <c r="AS3580" s="94"/>
      <c r="AT3580" s="31"/>
      <c r="AU3580" s="31"/>
      <c r="AV3580" s="94"/>
      <c r="AW3580" s="32"/>
      <c r="AX3580" s="32"/>
      <c r="AY3580" s="32"/>
      <c r="AZ3580" s="32"/>
      <c r="BA3580" s="32"/>
      <c r="BB3580" s="31"/>
      <c r="BC3580" s="31"/>
      <c r="BD3580" s="31"/>
      <c r="BE3580" s="31"/>
      <c r="BF3580" s="96"/>
    </row>
    <row r="3581" spans="42:58" x14ac:dyDescent="0.35">
      <c r="AP3581" s="92"/>
      <c r="AQ3581" s="67"/>
      <c r="AR3581" s="67"/>
      <c r="AS3581" s="73"/>
      <c r="AT3581" s="67"/>
      <c r="AU3581" s="67"/>
      <c r="AV3581" s="73"/>
      <c r="AW3581" s="68"/>
      <c r="AX3581" s="68"/>
      <c r="AY3581" s="68"/>
      <c r="AZ3581" s="68"/>
      <c r="BA3581" s="68"/>
      <c r="BB3581" s="67"/>
      <c r="BC3581" s="67"/>
      <c r="BD3581" s="67"/>
      <c r="BE3581" s="67"/>
      <c r="BF3581" s="95"/>
    </row>
    <row r="3582" spans="42:58" x14ac:dyDescent="0.35">
      <c r="AP3582" s="93"/>
      <c r="AQ3582" s="31"/>
      <c r="AR3582" s="31"/>
      <c r="AS3582" s="94"/>
      <c r="AT3582" s="31"/>
      <c r="AU3582" s="31"/>
      <c r="AV3582" s="94"/>
      <c r="AW3582" s="32"/>
      <c r="AX3582" s="32"/>
      <c r="AY3582" s="32"/>
      <c r="AZ3582" s="32"/>
      <c r="BA3582" s="32"/>
      <c r="BB3582" s="31"/>
      <c r="BC3582" s="31"/>
      <c r="BD3582" s="31"/>
      <c r="BE3582" s="31"/>
      <c r="BF3582" s="96"/>
    </row>
    <row r="3583" spans="42:58" x14ac:dyDescent="0.35">
      <c r="AP3583" s="92"/>
      <c r="AQ3583" s="67"/>
      <c r="AR3583" s="67"/>
      <c r="AS3583" s="73"/>
      <c r="AT3583" s="67"/>
      <c r="AU3583" s="67"/>
      <c r="AV3583" s="73"/>
      <c r="AW3583" s="68"/>
      <c r="AX3583" s="68"/>
      <c r="AY3583" s="68"/>
      <c r="AZ3583" s="68"/>
      <c r="BA3583" s="68"/>
      <c r="BB3583" s="67"/>
      <c r="BC3583" s="67"/>
      <c r="BD3583" s="67"/>
      <c r="BE3583" s="67"/>
      <c r="BF3583" s="95"/>
    </row>
    <row r="3584" spans="42:58" x14ac:dyDescent="0.35">
      <c r="AP3584" s="93"/>
      <c r="AQ3584" s="31"/>
      <c r="AR3584" s="31"/>
      <c r="AS3584" s="94"/>
      <c r="AT3584" s="31"/>
      <c r="AU3584" s="31"/>
      <c r="AV3584" s="94"/>
      <c r="AW3584" s="32"/>
      <c r="AX3584" s="32"/>
      <c r="AY3584" s="32"/>
      <c r="AZ3584" s="32"/>
      <c r="BA3584" s="32"/>
      <c r="BB3584" s="31"/>
      <c r="BC3584" s="31"/>
      <c r="BD3584" s="31"/>
      <c r="BE3584" s="31"/>
      <c r="BF3584" s="96"/>
    </row>
    <row r="3585" spans="42:58" x14ac:dyDescent="0.35">
      <c r="AP3585" s="92"/>
      <c r="AQ3585" s="67"/>
      <c r="AR3585" s="67"/>
      <c r="AS3585" s="73"/>
      <c r="AT3585" s="67"/>
      <c r="AU3585" s="67"/>
      <c r="AV3585" s="73"/>
      <c r="AW3585" s="68"/>
      <c r="AX3585" s="68"/>
      <c r="AY3585" s="68"/>
      <c r="AZ3585" s="68"/>
      <c r="BA3585" s="68"/>
      <c r="BB3585" s="67"/>
      <c r="BC3585" s="67"/>
      <c r="BD3585" s="67"/>
      <c r="BE3585" s="67"/>
      <c r="BF3585" s="95"/>
    </row>
    <row r="3586" spans="42:58" x14ac:dyDescent="0.35">
      <c r="AP3586" s="93"/>
      <c r="AQ3586" s="31"/>
      <c r="AR3586" s="31"/>
      <c r="AS3586" s="94"/>
      <c r="AT3586" s="31"/>
      <c r="AU3586" s="31"/>
      <c r="AV3586" s="94"/>
      <c r="AW3586" s="32"/>
      <c r="AX3586" s="32"/>
      <c r="AY3586" s="32"/>
      <c r="AZ3586" s="32"/>
      <c r="BA3586" s="32"/>
      <c r="BB3586" s="31"/>
      <c r="BC3586" s="31"/>
      <c r="BD3586" s="31"/>
      <c r="BE3586" s="31"/>
      <c r="BF3586" s="96"/>
    </row>
    <row r="3587" spans="42:58" x14ac:dyDescent="0.35">
      <c r="AP3587" s="92"/>
      <c r="AQ3587" s="67"/>
      <c r="AR3587" s="67"/>
      <c r="AS3587" s="73"/>
      <c r="AT3587" s="67"/>
      <c r="AU3587" s="67"/>
      <c r="AV3587" s="73"/>
      <c r="AW3587" s="68"/>
      <c r="AX3587" s="68"/>
      <c r="AY3587" s="68"/>
      <c r="AZ3587" s="68"/>
      <c r="BA3587" s="68"/>
      <c r="BB3587" s="67"/>
      <c r="BC3587" s="67"/>
      <c r="BD3587" s="67"/>
      <c r="BE3587" s="67"/>
      <c r="BF3587" s="95"/>
    </row>
    <row r="3588" spans="42:58" x14ac:dyDescent="0.35">
      <c r="AP3588" s="93"/>
      <c r="AQ3588" s="31"/>
      <c r="AR3588" s="31"/>
      <c r="AS3588" s="94"/>
      <c r="AT3588" s="31"/>
      <c r="AU3588" s="31"/>
      <c r="AV3588" s="94"/>
      <c r="AW3588" s="32"/>
      <c r="AX3588" s="32"/>
      <c r="AY3588" s="32"/>
      <c r="AZ3588" s="32"/>
      <c r="BA3588" s="32"/>
      <c r="BB3588" s="31"/>
      <c r="BC3588" s="31"/>
      <c r="BD3588" s="31"/>
      <c r="BE3588" s="31"/>
      <c r="BF3588" s="96"/>
    </row>
    <row r="3589" spans="42:58" x14ac:dyDescent="0.35">
      <c r="AP3589" s="92"/>
      <c r="AQ3589" s="67"/>
      <c r="AR3589" s="67"/>
      <c r="AS3589" s="73"/>
      <c r="AT3589" s="67"/>
      <c r="AU3589" s="67"/>
      <c r="AV3589" s="73"/>
      <c r="AW3589" s="68"/>
      <c r="AX3589" s="68"/>
      <c r="AY3589" s="68"/>
      <c r="AZ3589" s="68"/>
      <c r="BA3589" s="68"/>
      <c r="BB3589" s="67"/>
      <c r="BC3589" s="67"/>
      <c r="BD3589" s="67"/>
      <c r="BE3589" s="67"/>
      <c r="BF3589" s="95"/>
    </row>
    <row r="3590" spans="42:58" x14ac:dyDescent="0.35">
      <c r="AP3590" s="93"/>
      <c r="AQ3590" s="31"/>
      <c r="AR3590" s="31"/>
      <c r="AS3590" s="94"/>
      <c r="AT3590" s="31"/>
      <c r="AU3590" s="31"/>
      <c r="AV3590" s="94"/>
      <c r="AW3590" s="32"/>
      <c r="AX3590" s="32"/>
      <c r="AY3590" s="32"/>
      <c r="AZ3590" s="32"/>
      <c r="BA3590" s="32"/>
      <c r="BB3590" s="31"/>
      <c r="BC3590" s="31"/>
      <c r="BD3590" s="31"/>
      <c r="BE3590" s="31"/>
      <c r="BF3590" s="96"/>
    </row>
    <row r="3591" spans="42:58" x14ac:dyDescent="0.35">
      <c r="AP3591" s="92"/>
      <c r="AQ3591" s="67"/>
      <c r="AR3591" s="67"/>
      <c r="AS3591" s="73"/>
      <c r="AT3591" s="67"/>
      <c r="AU3591" s="67"/>
      <c r="AV3591" s="73"/>
      <c r="AW3591" s="68"/>
      <c r="AX3591" s="68"/>
      <c r="AY3591" s="68"/>
      <c r="AZ3591" s="68"/>
      <c r="BA3591" s="68"/>
      <c r="BB3591" s="67"/>
      <c r="BC3591" s="67"/>
      <c r="BD3591" s="67"/>
      <c r="BE3591" s="67"/>
      <c r="BF3591" s="95"/>
    </row>
    <row r="3592" spans="42:58" x14ac:dyDescent="0.35">
      <c r="AP3592" s="93"/>
      <c r="AQ3592" s="31"/>
      <c r="AR3592" s="31"/>
      <c r="AS3592" s="94"/>
      <c r="AT3592" s="31"/>
      <c r="AU3592" s="31"/>
      <c r="AV3592" s="94"/>
      <c r="AW3592" s="32"/>
      <c r="AX3592" s="32"/>
      <c r="AY3592" s="32"/>
      <c r="AZ3592" s="32"/>
      <c r="BA3592" s="32"/>
      <c r="BB3592" s="31"/>
      <c r="BC3592" s="31"/>
      <c r="BD3592" s="31"/>
      <c r="BE3592" s="31"/>
      <c r="BF3592" s="96"/>
    </row>
    <row r="3593" spans="42:58" x14ac:dyDescent="0.35">
      <c r="AP3593" s="92"/>
      <c r="AQ3593" s="67"/>
      <c r="AR3593" s="67"/>
      <c r="AS3593" s="73"/>
      <c r="AT3593" s="67"/>
      <c r="AU3593" s="67"/>
      <c r="AV3593" s="73"/>
      <c r="AW3593" s="68"/>
      <c r="AX3593" s="68"/>
      <c r="AY3593" s="68"/>
      <c r="AZ3593" s="68"/>
      <c r="BA3593" s="68"/>
      <c r="BB3593" s="67"/>
      <c r="BC3593" s="67"/>
      <c r="BD3593" s="67"/>
      <c r="BE3593" s="67"/>
      <c r="BF3593" s="95"/>
    </row>
    <row r="3594" spans="42:58" x14ac:dyDescent="0.35">
      <c r="AP3594" s="93"/>
      <c r="AQ3594" s="31"/>
      <c r="AR3594" s="31"/>
      <c r="AS3594" s="94"/>
      <c r="AT3594" s="31"/>
      <c r="AU3594" s="31"/>
      <c r="AV3594" s="94"/>
      <c r="AW3594" s="32"/>
      <c r="AX3594" s="32"/>
      <c r="AY3594" s="32"/>
      <c r="AZ3594" s="32"/>
      <c r="BA3594" s="32"/>
      <c r="BB3594" s="31"/>
      <c r="BC3594" s="31"/>
      <c r="BD3594" s="31"/>
      <c r="BE3594" s="31"/>
      <c r="BF3594" s="96"/>
    </row>
    <row r="3595" spans="42:58" x14ac:dyDescent="0.35">
      <c r="AP3595" s="92"/>
      <c r="AQ3595" s="67"/>
      <c r="AR3595" s="67"/>
      <c r="AS3595" s="73"/>
      <c r="AT3595" s="67"/>
      <c r="AU3595" s="67"/>
      <c r="AV3595" s="73"/>
      <c r="AW3595" s="68"/>
      <c r="AX3595" s="68"/>
      <c r="AY3595" s="68"/>
      <c r="AZ3595" s="68"/>
      <c r="BA3595" s="68"/>
      <c r="BB3595" s="67"/>
      <c r="BC3595" s="67"/>
      <c r="BD3595" s="67"/>
      <c r="BE3595" s="67"/>
      <c r="BF3595" s="95"/>
    </row>
    <row r="3596" spans="42:58" x14ac:dyDescent="0.35">
      <c r="AP3596" s="93"/>
      <c r="AQ3596" s="31"/>
      <c r="AR3596" s="31"/>
      <c r="AS3596" s="94"/>
      <c r="AT3596" s="31"/>
      <c r="AU3596" s="31"/>
      <c r="AV3596" s="94"/>
      <c r="AW3596" s="32"/>
      <c r="AX3596" s="32"/>
      <c r="AY3596" s="32"/>
      <c r="AZ3596" s="32"/>
      <c r="BA3596" s="32"/>
      <c r="BB3596" s="31"/>
      <c r="BC3596" s="31"/>
      <c r="BD3596" s="31"/>
      <c r="BE3596" s="31"/>
      <c r="BF3596" s="96"/>
    </row>
    <row r="3597" spans="42:58" x14ac:dyDescent="0.35">
      <c r="AP3597" s="92"/>
      <c r="AQ3597" s="67"/>
      <c r="AR3597" s="67"/>
      <c r="AS3597" s="73"/>
      <c r="AT3597" s="67"/>
      <c r="AU3597" s="67"/>
      <c r="AV3597" s="73"/>
      <c r="AW3597" s="68"/>
      <c r="AX3597" s="68"/>
      <c r="AY3597" s="68"/>
      <c r="AZ3597" s="68"/>
      <c r="BA3597" s="68"/>
      <c r="BB3597" s="67"/>
      <c r="BC3597" s="67"/>
      <c r="BD3597" s="67"/>
      <c r="BE3597" s="67"/>
      <c r="BF3597" s="95"/>
    </row>
    <row r="3598" spans="42:58" x14ac:dyDescent="0.35">
      <c r="AP3598" s="93"/>
      <c r="AQ3598" s="31"/>
      <c r="AR3598" s="31"/>
      <c r="AS3598" s="94"/>
      <c r="AT3598" s="31"/>
      <c r="AU3598" s="31"/>
      <c r="AV3598" s="94"/>
      <c r="AW3598" s="32"/>
      <c r="AX3598" s="32"/>
      <c r="AY3598" s="32"/>
      <c r="AZ3598" s="32"/>
      <c r="BA3598" s="32"/>
      <c r="BB3598" s="31"/>
      <c r="BC3598" s="31"/>
      <c r="BD3598" s="31"/>
      <c r="BE3598" s="31"/>
      <c r="BF3598" s="96"/>
    </row>
    <row r="3599" spans="42:58" x14ac:dyDescent="0.35">
      <c r="AP3599" s="92"/>
      <c r="AQ3599" s="67"/>
      <c r="AR3599" s="67"/>
      <c r="AS3599" s="73"/>
      <c r="AT3599" s="67"/>
      <c r="AU3599" s="67"/>
      <c r="AV3599" s="73"/>
      <c r="AW3599" s="68"/>
      <c r="AX3599" s="68"/>
      <c r="AY3599" s="68"/>
      <c r="AZ3599" s="68"/>
      <c r="BA3599" s="68"/>
      <c r="BB3599" s="67"/>
      <c r="BC3599" s="67"/>
      <c r="BD3599" s="67"/>
      <c r="BE3599" s="67"/>
      <c r="BF3599" s="95"/>
    </row>
    <row r="3600" spans="42:58" x14ac:dyDescent="0.35">
      <c r="AP3600" s="93"/>
      <c r="AQ3600" s="31"/>
      <c r="AR3600" s="31"/>
      <c r="AS3600" s="94"/>
      <c r="AT3600" s="31"/>
      <c r="AU3600" s="31"/>
      <c r="AV3600" s="94"/>
      <c r="AW3600" s="32"/>
      <c r="AX3600" s="32"/>
      <c r="AY3600" s="32"/>
      <c r="AZ3600" s="32"/>
      <c r="BA3600" s="32"/>
      <c r="BB3600" s="31"/>
      <c r="BC3600" s="31"/>
      <c r="BD3600" s="31"/>
      <c r="BE3600" s="31"/>
      <c r="BF3600" s="96"/>
    </row>
    <row r="3601" spans="42:58" x14ac:dyDescent="0.35">
      <c r="AP3601" s="92"/>
      <c r="AQ3601" s="67"/>
      <c r="AR3601" s="67"/>
      <c r="AS3601" s="73"/>
      <c r="AT3601" s="67"/>
      <c r="AU3601" s="67"/>
      <c r="AV3601" s="73"/>
      <c r="AW3601" s="68"/>
      <c r="AX3601" s="68"/>
      <c r="AY3601" s="68"/>
      <c r="AZ3601" s="68"/>
      <c r="BA3601" s="68"/>
      <c r="BB3601" s="67"/>
      <c r="BC3601" s="67"/>
      <c r="BD3601" s="67"/>
      <c r="BE3601" s="67"/>
      <c r="BF3601" s="95"/>
    </row>
    <row r="3602" spans="42:58" x14ac:dyDescent="0.35">
      <c r="AP3602" s="93"/>
      <c r="AQ3602" s="31"/>
      <c r="AR3602" s="31"/>
      <c r="AS3602" s="94"/>
      <c r="AT3602" s="31"/>
      <c r="AU3602" s="31"/>
      <c r="AV3602" s="94"/>
      <c r="AW3602" s="32"/>
      <c r="AX3602" s="32"/>
      <c r="AY3602" s="32"/>
      <c r="AZ3602" s="32"/>
      <c r="BA3602" s="32"/>
      <c r="BB3602" s="31"/>
      <c r="BC3602" s="31"/>
      <c r="BD3602" s="31"/>
      <c r="BE3602" s="31"/>
      <c r="BF3602" s="96"/>
    </row>
    <row r="3603" spans="42:58" x14ac:dyDescent="0.35">
      <c r="AP3603" s="92"/>
      <c r="AQ3603" s="67"/>
      <c r="AR3603" s="67"/>
      <c r="AS3603" s="73"/>
      <c r="AT3603" s="67"/>
      <c r="AU3603" s="67"/>
      <c r="AV3603" s="73"/>
      <c r="AW3603" s="68"/>
      <c r="AX3603" s="68"/>
      <c r="AY3603" s="68"/>
      <c r="AZ3603" s="68"/>
      <c r="BA3603" s="68"/>
      <c r="BB3603" s="67"/>
      <c r="BC3603" s="67"/>
      <c r="BD3603" s="67"/>
      <c r="BE3603" s="67"/>
      <c r="BF3603" s="95"/>
    </row>
    <row r="3604" spans="42:58" x14ac:dyDescent="0.35">
      <c r="AP3604" s="93"/>
      <c r="AQ3604" s="31"/>
      <c r="AR3604" s="31"/>
      <c r="AS3604" s="94"/>
      <c r="AT3604" s="31"/>
      <c r="AU3604" s="31"/>
      <c r="AV3604" s="94"/>
      <c r="AW3604" s="32"/>
      <c r="AX3604" s="32"/>
      <c r="AY3604" s="32"/>
      <c r="AZ3604" s="32"/>
      <c r="BA3604" s="32"/>
      <c r="BB3604" s="31"/>
      <c r="BC3604" s="31"/>
      <c r="BD3604" s="31"/>
      <c r="BE3604" s="31"/>
      <c r="BF3604" s="96"/>
    </row>
    <row r="3605" spans="42:58" x14ac:dyDescent="0.35">
      <c r="AP3605" s="92"/>
      <c r="AQ3605" s="67"/>
      <c r="AR3605" s="67"/>
      <c r="AS3605" s="73"/>
      <c r="AT3605" s="67"/>
      <c r="AU3605" s="67"/>
      <c r="AV3605" s="73"/>
      <c r="AW3605" s="68"/>
      <c r="AX3605" s="68"/>
      <c r="AY3605" s="68"/>
      <c r="AZ3605" s="68"/>
      <c r="BA3605" s="68"/>
      <c r="BB3605" s="67"/>
      <c r="BC3605" s="67"/>
      <c r="BD3605" s="67"/>
      <c r="BE3605" s="67"/>
      <c r="BF3605" s="95"/>
    </row>
    <row r="3606" spans="42:58" x14ac:dyDescent="0.35">
      <c r="AP3606" s="93"/>
      <c r="AQ3606" s="31"/>
      <c r="AR3606" s="31"/>
      <c r="AS3606" s="94"/>
      <c r="AT3606" s="31"/>
      <c r="AU3606" s="31"/>
      <c r="AV3606" s="94"/>
      <c r="AW3606" s="32"/>
      <c r="AX3606" s="32"/>
      <c r="AY3606" s="32"/>
      <c r="AZ3606" s="32"/>
      <c r="BA3606" s="32"/>
      <c r="BB3606" s="31"/>
      <c r="BC3606" s="31"/>
      <c r="BD3606" s="31"/>
      <c r="BE3606" s="31"/>
      <c r="BF3606" s="96"/>
    </row>
    <row r="3607" spans="42:58" x14ac:dyDescent="0.35">
      <c r="AP3607" s="92"/>
      <c r="AQ3607" s="67"/>
      <c r="AR3607" s="67"/>
      <c r="AS3607" s="73"/>
      <c r="AT3607" s="67"/>
      <c r="AU3607" s="67"/>
      <c r="AV3607" s="73"/>
      <c r="AW3607" s="68"/>
      <c r="AX3607" s="68"/>
      <c r="AY3607" s="68"/>
      <c r="AZ3607" s="68"/>
      <c r="BA3607" s="68"/>
      <c r="BB3607" s="67"/>
      <c r="BC3607" s="67"/>
      <c r="BD3607" s="67"/>
      <c r="BE3607" s="67"/>
      <c r="BF3607" s="95"/>
    </row>
    <row r="3608" spans="42:58" x14ac:dyDescent="0.35">
      <c r="AP3608" s="93"/>
      <c r="AQ3608" s="31"/>
      <c r="AR3608" s="31"/>
      <c r="AS3608" s="94"/>
      <c r="AT3608" s="31"/>
      <c r="AU3608" s="31"/>
      <c r="AV3608" s="94"/>
      <c r="AW3608" s="32"/>
      <c r="AX3608" s="32"/>
      <c r="AY3608" s="32"/>
      <c r="AZ3608" s="32"/>
      <c r="BA3608" s="32"/>
      <c r="BB3608" s="31"/>
      <c r="BC3608" s="31"/>
      <c r="BD3608" s="31"/>
      <c r="BE3608" s="31"/>
      <c r="BF3608" s="96"/>
    </row>
    <row r="3609" spans="42:58" x14ac:dyDescent="0.35">
      <c r="AP3609" s="92"/>
      <c r="AQ3609" s="67"/>
      <c r="AR3609" s="67"/>
      <c r="AS3609" s="73"/>
      <c r="AT3609" s="67"/>
      <c r="AU3609" s="67"/>
      <c r="AV3609" s="73"/>
      <c r="AW3609" s="68"/>
      <c r="AX3609" s="68"/>
      <c r="AY3609" s="68"/>
      <c r="AZ3609" s="68"/>
      <c r="BA3609" s="68"/>
      <c r="BB3609" s="67"/>
      <c r="BC3609" s="67"/>
      <c r="BD3609" s="67"/>
      <c r="BE3609" s="67"/>
      <c r="BF3609" s="95"/>
    </row>
    <row r="3610" spans="42:58" x14ac:dyDescent="0.35">
      <c r="AP3610" s="93"/>
      <c r="AQ3610" s="31"/>
      <c r="AR3610" s="31"/>
      <c r="AS3610" s="94"/>
      <c r="AT3610" s="31"/>
      <c r="AU3610" s="31"/>
      <c r="AV3610" s="94"/>
      <c r="AW3610" s="32"/>
      <c r="AX3610" s="32"/>
      <c r="AY3610" s="32"/>
      <c r="AZ3610" s="32"/>
      <c r="BA3610" s="32"/>
      <c r="BB3610" s="31"/>
      <c r="BC3610" s="31"/>
      <c r="BD3610" s="31"/>
      <c r="BE3610" s="31"/>
      <c r="BF3610" s="96"/>
    </row>
    <row r="3611" spans="42:58" x14ac:dyDescent="0.35">
      <c r="AP3611" s="92"/>
      <c r="AQ3611" s="67"/>
      <c r="AR3611" s="67"/>
      <c r="AS3611" s="73"/>
      <c r="AT3611" s="67"/>
      <c r="AU3611" s="67"/>
      <c r="AV3611" s="73"/>
      <c r="AW3611" s="68"/>
      <c r="AX3611" s="68"/>
      <c r="AY3611" s="68"/>
      <c r="AZ3611" s="68"/>
      <c r="BA3611" s="68"/>
      <c r="BB3611" s="67"/>
      <c r="BC3611" s="67"/>
      <c r="BD3611" s="67"/>
      <c r="BE3611" s="67"/>
      <c r="BF3611" s="95"/>
    </row>
    <row r="3612" spans="42:58" x14ac:dyDescent="0.35">
      <c r="AP3612" s="93"/>
      <c r="AQ3612" s="31"/>
      <c r="AR3612" s="31"/>
      <c r="AS3612" s="94"/>
      <c r="AT3612" s="31"/>
      <c r="AU3612" s="31"/>
      <c r="AV3612" s="94"/>
      <c r="AW3612" s="32"/>
      <c r="AX3612" s="32"/>
      <c r="AY3612" s="32"/>
      <c r="AZ3612" s="32"/>
      <c r="BA3612" s="32"/>
      <c r="BB3612" s="31"/>
      <c r="BC3612" s="31"/>
      <c r="BD3612" s="31"/>
      <c r="BE3612" s="31"/>
      <c r="BF3612" s="96"/>
    </row>
    <row r="3613" spans="42:58" x14ac:dyDescent="0.35">
      <c r="AP3613" s="92"/>
      <c r="AQ3613" s="67"/>
      <c r="AR3613" s="67"/>
      <c r="AS3613" s="73"/>
      <c r="AT3613" s="67"/>
      <c r="AU3613" s="67"/>
      <c r="AV3613" s="73"/>
      <c r="AW3613" s="68"/>
      <c r="AX3613" s="68"/>
      <c r="AY3613" s="68"/>
      <c r="AZ3613" s="68"/>
      <c r="BA3613" s="68"/>
      <c r="BB3613" s="67"/>
      <c r="BC3613" s="67"/>
      <c r="BD3613" s="67"/>
      <c r="BE3613" s="67"/>
      <c r="BF3613" s="95"/>
    </row>
    <row r="3614" spans="42:58" x14ac:dyDescent="0.35">
      <c r="AP3614" s="93"/>
      <c r="AQ3614" s="31"/>
      <c r="AR3614" s="31"/>
      <c r="AS3614" s="94"/>
      <c r="AT3614" s="31"/>
      <c r="AU3614" s="31"/>
      <c r="AV3614" s="94"/>
      <c r="AW3614" s="32"/>
      <c r="AX3614" s="32"/>
      <c r="AY3614" s="32"/>
      <c r="AZ3614" s="32"/>
      <c r="BA3614" s="32"/>
      <c r="BB3614" s="31"/>
      <c r="BC3614" s="31"/>
      <c r="BD3614" s="31"/>
      <c r="BE3614" s="31"/>
      <c r="BF3614" s="96"/>
    </row>
    <row r="3615" spans="42:58" x14ac:dyDescent="0.35">
      <c r="AP3615" s="92"/>
      <c r="AQ3615" s="67"/>
      <c r="AR3615" s="67"/>
      <c r="AS3615" s="73"/>
      <c r="AT3615" s="67"/>
      <c r="AU3615" s="67"/>
      <c r="AV3615" s="73"/>
      <c r="AW3615" s="68"/>
      <c r="AX3615" s="68"/>
      <c r="AY3615" s="68"/>
      <c r="AZ3615" s="68"/>
      <c r="BA3615" s="68"/>
      <c r="BB3615" s="67"/>
      <c r="BC3615" s="67"/>
      <c r="BD3615" s="67"/>
      <c r="BE3615" s="67"/>
      <c r="BF3615" s="95"/>
    </row>
    <row r="3616" spans="42:58" x14ac:dyDescent="0.35">
      <c r="AP3616" s="93"/>
      <c r="AQ3616" s="31"/>
      <c r="AR3616" s="31"/>
      <c r="AS3616" s="94"/>
      <c r="AT3616" s="31"/>
      <c r="AU3616" s="31"/>
      <c r="AV3616" s="94"/>
      <c r="AW3616" s="32"/>
      <c r="AX3616" s="32"/>
      <c r="AY3616" s="32"/>
      <c r="AZ3616" s="32"/>
      <c r="BA3616" s="32"/>
      <c r="BB3616" s="31"/>
      <c r="BC3616" s="31"/>
      <c r="BD3616" s="31"/>
      <c r="BE3616" s="31"/>
      <c r="BF3616" s="96"/>
    </row>
    <row r="3617" spans="42:58" x14ac:dyDescent="0.35">
      <c r="AP3617" s="92"/>
      <c r="AQ3617" s="67"/>
      <c r="AR3617" s="67"/>
      <c r="AS3617" s="73"/>
      <c r="AT3617" s="67"/>
      <c r="AU3617" s="67"/>
      <c r="AV3617" s="73"/>
      <c r="AW3617" s="68"/>
      <c r="AX3617" s="68"/>
      <c r="AY3617" s="68"/>
      <c r="AZ3617" s="68"/>
      <c r="BA3617" s="68"/>
      <c r="BB3617" s="67"/>
      <c r="BC3617" s="67"/>
      <c r="BD3617" s="67"/>
      <c r="BE3617" s="67"/>
      <c r="BF3617" s="95"/>
    </row>
    <row r="3618" spans="42:58" x14ac:dyDescent="0.35">
      <c r="AP3618" s="93"/>
      <c r="AQ3618" s="31"/>
      <c r="AR3618" s="31"/>
      <c r="AS3618" s="94"/>
      <c r="AT3618" s="31"/>
      <c r="AU3618" s="31"/>
      <c r="AV3618" s="94"/>
      <c r="AW3618" s="32"/>
      <c r="AX3618" s="32"/>
      <c r="AY3618" s="32"/>
      <c r="AZ3618" s="32"/>
      <c r="BA3618" s="32"/>
      <c r="BB3618" s="31"/>
      <c r="BC3618" s="31"/>
      <c r="BD3618" s="31"/>
      <c r="BE3618" s="31"/>
      <c r="BF3618" s="96"/>
    </row>
    <row r="3619" spans="42:58" x14ac:dyDescent="0.35">
      <c r="AP3619" s="92"/>
      <c r="AQ3619" s="67"/>
      <c r="AR3619" s="67"/>
      <c r="AS3619" s="73"/>
      <c r="AT3619" s="67"/>
      <c r="AU3619" s="67"/>
      <c r="AV3619" s="73"/>
      <c r="AW3619" s="68"/>
      <c r="AX3619" s="68"/>
      <c r="AY3619" s="68"/>
      <c r="AZ3619" s="68"/>
      <c r="BA3619" s="68"/>
      <c r="BB3619" s="67"/>
      <c r="BC3619" s="67"/>
      <c r="BD3619" s="67"/>
      <c r="BE3619" s="67"/>
      <c r="BF3619" s="95"/>
    </row>
    <row r="3620" spans="42:58" x14ac:dyDescent="0.35">
      <c r="AP3620" s="93"/>
      <c r="AQ3620" s="31"/>
      <c r="AR3620" s="31"/>
      <c r="AS3620" s="94"/>
      <c r="AT3620" s="31"/>
      <c r="AU3620" s="31"/>
      <c r="AV3620" s="94"/>
      <c r="AW3620" s="32"/>
      <c r="AX3620" s="32"/>
      <c r="AY3620" s="32"/>
      <c r="AZ3620" s="32"/>
      <c r="BA3620" s="32"/>
      <c r="BB3620" s="31"/>
      <c r="BC3620" s="31"/>
      <c r="BD3620" s="31"/>
      <c r="BE3620" s="31"/>
      <c r="BF3620" s="96"/>
    </row>
    <row r="3621" spans="42:58" x14ac:dyDescent="0.35">
      <c r="AP3621" s="92"/>
      <c r="AQ3621" s="67"/>
      <c r="AR3621" s="67"/>
      <c r="AS3621" s="73"/>
      <c r="AT3621" s="67"/>
      <c r="AU3621" s="67"/>
      <c r="AV3621" s="73"/>
      <c r="AW3621" s="68"/>
      <c r="AX3621" s="68"/>
      <c r="AY3621" s="68"/>
      <c r="AZ3621" s="68"/>
      <c r="BA3621" s="68"/>
      <c r="BB3621" s="67"/>
      <c r="BC3621" s="67"/>
      <c r="BD3621" s="67"/>
      <c r="BE3621" s="67"/>
      <c r="BF3621" s="95"/>
    </row>
    <row r="3622" spans="42:58" x14ac:dyDescent="0.35">
      <c r="AP3622" s="93"/>
      <c r="AQ3622" s="31"/>
      <c r="AR3622" s="31"/>
      <c r="AS3622" s="94"/>
      <c r="AT3622" s="31"/>
      <c r="AU3622" s="31"/>
      <c r="AV3622" s="94"/>
      <c r="AW3622" s="32"/>
      <c r="AX3622" s="32"/>
      <c r="AY3622" s="32"/>
      <c r="AZ3622" s="32"/>
      <c r="BA3622" s="32"/>
      <c r="BB3622" s="31"/>
      <c r="BC3622" s="31"/>
      <c r="BD3622" s="31"/>
      <c r="BE3622" s="31"/>
      <c r="BF3622" s="96"/>
    </row>
    <row r="3623" spans="42:58" x14ac:dyDescent="0.35">
      <c r="AP3623" s="92"/>
      <c r="AQ3623" s="67"/>
      <c r="AR3623" s="67"/>
      <c r="AS3623" s="73"/>
      <c r="AT3623" s="67"/>
      <c r="AU3623" s="67"/>
      <c r="AV3623" s="73"/>
      <c r="AW3623" s="68"/>
      <c r="AX3623" s="68"/>
      <c r="AY3623" s="68"/>
      <c r="AZ3623" s="68"/>
      <c r="BA3623" s="68"/>
      <c r="BB3623" s="67"/>
      <c r="BC3623" s="67"/>
      <c r="BD3623" s="67"/>
      <c r="BE3623" s="67"/>
      <c r="BF3623" s="95"/>
    </row>
    <row r="3624" spans="42:58" x14ac:dyDescent="0.35">
      <c r="AP3624" s="93"/>
      <c r="AQ3624" s="31"/>
      <c r="AR3624" s="31"/>
      <c r="AS3624" s="94"/>
      <c r="AT3624" s="31"/>
      <c r="AU3624" s="31"/>
      <c r="AV3624" s="94"/>
      <c r="AW3624" s="32"/>
      <c r="AX3624" s="32"/>
      <c r="AY3624" s="32"/>
      <c r="AZ3624" s="32"/>
      <c r="BA3624" s="32"/>
      <c r="BB3624" s="31"/>
      <c r="BC3624" s="31"/>
      <c r="BD3624" s="31"/>
      <c r="BE3624" s="31"/>
      <c r="BF3624" s="96"/>
    </row>
    <row r="3625" spans="42:58" x14ac:dyDescent="0.35">
      <c r="AP3625" s="92"/>
      <c r="AQ3625" s="67"/>
      <c r="AR3625" s="67"/>
      <c r="AS3625" s="73"/>
      <c r="AT3625" s="67"/>
      <c r="AU3625" s="67"/>
      <c r="AV3625" s="73"/>
      <c r="AW3625" s="68"/>
      <c r="AX3625" s="68"/>
      <c r="AY3625" s="68"/>
      <c r="AZ3625" s="68"/>
      <c r="BA3625" s="68"/>
      <c r="BB3625" s="67"/>
      <c r="BC3625" s="67"/>
      <c r="BD3625" s="67"/>
      <c r="BE3625" s="67"/>
      <c r="BF3625" s="95"/>
    </row>
    <row r="3626" spans="42:58" x14ac:dyDescent="0.35">
      <c r="AP3626" s="93"/>
      <c r="AQ3626" s="31"/>
      <c r="AR3626" s="31"/>
      <c r="AS3626" s="94"/>
      <c r="AT3626" s="31"/>
      <c r="AU3626" s="31"/>
      <c r="AV3626" s="94"/>
      <c r="AW3626" s="32"/>
      <c r="AX3626" s="32"/>
      <c r="AY3626" s="32"/>
      <c r="AZ3626" s="32"/>
      <c r="BA3626" s="32"/>
      <c r="BB3626" s="31"/>
      <c r="BC3626" s="31"/>
      <c r="BD3626" s="31"/>
      <c r="BE3626" s="31"/>
      <c r="BF3626" s="96"/>
    </row>
    <row r="3627" spans="42:58" x14ac:dyDescent="0.35">
      <c r="AP3627" s="92"/>
      <c r="AQ3627" s="67"/>
      <c r="AR3627" s="67"/>
      <c r="AS3627" s="73"/>
      <c r="AT3627" s="67"/>
      <c r="AU3627" s="67"/>
      <c r="AV3627" s="73"/>
      <c r="AW3627" s="68"/>
      <c r="AX3627" s="68"/>
      <c r="AY3627" s="68"/>
      <c r="AZ3627" s="68"/>
      <c r="BA3627" s="68"/>
      <c r="BB3627" s="67"/>
      <c r="BC3627" s="67"/>
      <c r="BD3627" s="67"/>
      <c r="BE3627" s="67"/>
      <c r="BF3627" s="95"/>
    </row>
    <row r="3628" spans="42:58" x14ac:dyDescent="0.35">
      <c r="AP3628" s="93"/>
      <c r="AQ3628" s="31"/>
      <c r="AR3628" s="31"/>
      <c r="AS3628" s="94"/>
      <c r="AT3628" s="31"/>
      <c r="AU3628" s="31"/>
      <c r="AV3628" s="94"/>
      <c r="AW3628" s="32"/>
      <c r="AX3628" s="32"/>
      <c r="AY3628" s="32"/>
      <c r="AZ3628" s="32"/>
      <c r="BA3628" s="32"/>
      <c r="BB3628" s="31"/>
      <c r="BC3628" s="31"/>
      <c r="BD3628" s="31"/>
      <c r="BE3628" s="31"/>
      <c r="BF3628" s="96"/>
    </row>
    <row r="3629" spans="42:58" x14ac:dyDescent="0.35">
      <c r="AP3629" s="92"/>
      <c r="AQ3629" s="67"/>
      <c r="AR3629" s="67"/>
      <c r="AS3629" s="73"/>
      <c r="AT3629" s="67"/>
      <c r="AU3629" s="67"/>
      <c r="AV3629" s="73"/>
      <c r="AW3629" s="68"/>
      <c r="AX3629" s="68"/>
      <c r="AY3629" s="68"/>
      <c r="AZ3629" s="68"/>
      <c r="BA3629" s="68"/>
      <c r="BB3629" s="67"/>
      <c r="BC3629" s="67"/>
      <c r="BD3629" s="67"/>
      <c r="BE3629" s="67"/>
      <c r="BF3629" s="95"/>
    </row>
    <row r="3630" spans="42:58" x14ac:dyDescent="0.35">
      <c r="AP3630" s="93"/>
      <c r="AQ3630" s="31"/>
      <c r="AR3630" s="31"/>
      <c r="AS3630" s="94"/>
      <c r="AT3630" s="31"/>
      <c r="AU3630" s="31"/>
      <c r="AV3630" s="94"/>
      <c r="AW3630" s="32"/>
      <c r="AX3630" s="32"/>
      <c r="AY3630" s="32"/>
      <c r="AZ3630" s="32"/>
      <c r="BA3630" s="32"/>
      <c r="BB3630" s="31"/>
      <c r="BC3630" s="31"/>
      <c r="BD3630" s="31"/>
      <c r="BE3630" s="31"/>
      <c r="BF3630" s="96"/>
    </row>
    <row r="3631" spans="42:58" x14ac:dyDescent="0.35">
      <c r="AP3631" s="92"/>
      <c r="AQ3631" s="67"/>
      <c r="AR3631" s="67"/>
      <c r="AS3631" s="73"/>
      <c r="AT3631" s="67"/>
      <c r="AU3631" s="67"/>
      <c r="AV3631" s="73"/>
      <c r="AW3631" s="68"/>
      <c r="AX3631" s="68"/>
      <c r="AY3631" s="68"/>
      <c r="AZ3631" s="68"/>
      <c r="BA3631" s="68"/>
      <c r="BB3631" s="67"/>
      <c r="BC3631" s="67"/>
      <c r="BD3631" s="67"/>
      <c r="BE3631" s="67"/>
      <c r="BF3631" s="95"/>
    </row>
    <row r="3632" spans="42:58" x14ac:dyDescent="0.35">
      <c r="AP3632" s="93"/>
      <c r="AQ3632" s="31"/>
      <c r="AR3632" s="31"/>
      <c r="AS3632" s="94"/>
      <c r="AT3632" s="31"/>
      <c r="AU3632" s="31"/>
      <c r="AV3632" s="94"/>
      <c r="AW3632" s="32"/>
      <c r="AX3632" s="32"/>
      <c r="AY3632" s="32"/>
      <c r="AZ3632" s="32"/>
      <c r="BA3632" s="32"/>
      <c r="BB3632" s="31"/>
      <c r="BC3632" s="31"/>
      <c r="BD3632" s="31"/>
      <c r="BE3632" s="31"/>
      <c r="BF3632" s="96"/>
    </row>
    <row r="3633" spans="42:58" x14ac:dyDescent="0.35">
      <c r="AP3633" s="92"/>
      <c r="AQ3633" s="67"/>
      <c r="AR3633" s="67"/>
      <c r="AS3633" s="73"/>
      <c r="AT3633" s="67"/>
      <c r="AU3633" s="67"/>
      <c r="AV3633" s="73"/>
      <c r="AW3633" s="68"/>
      <c r="AX3633" s="68"/>
      <c r="AY3633" s="68"/>
      <c r="AZ3633" s="68"/>
      <c r="BA3633" s="68"/>
      <c r="BB3633" s="67"/>
      <c r="BC3633" s="67"/>
      <c r="BD3633" s="67"/>
      <c r="BE3633" s="67"/>
      <c r="BF3633" s="95"/>
    </row>
    <row r="3634" spans="42:58" x14ac:dyDescent="0.35">
      <c r="AP3634" s="93"/>
      <c r="AQ3634" s="31"/>
      <c r="AR3634" s="31"/>
      <c r="AS3634" s="94"/>
      <c r="AT3634" s="31"/>
      <c r="AU3634" s="31"/>
      <c r="AV3634" s="94"/>
      <c r="AW3634" s="32"/>
      <c r="AX3634" s="32"/>
      <c r="AY3634" s="32"/>
      <c r="AZ3634" s="32"/>
      <c r="BA3634" s="32"/>
      <c r="BB3634" s="31"/>
      <c r="BC3634" s="31"/>
      <c r="BD3634" s="31"/>
      <c r="BE3634" s="31"/>
      <c r="BF3634" s="96"/>
    </row>
    <row r="3635" spans="42:58" x14ac:dyDescent="0.35">
      <c r="AP3635" s="92"/>
      <c r="AQ3635" s="67"/>
      <c r="AR3635" s="67"/>
      <c r="AS3635" s="73"/>
      <c r="AT3635" s="67"/>
      <c r="AU3635" s="67"/>
      <c r="AV3635" s="73"/>
      <c r="AW3635" s="68"/>
      <c r="AX3635" s="68"/>
      <c r="AY3635" s="68"/>
      <c r="AZ3635" s="68"/>
      <c r="BA3635" s="68"/>
      <c r="BB3635" s="67"/>
      <c r="BC3635" s="67"/>
      <c r="BD3635" s="67"/>
      <c r="BE3635" s="67"/>
      <c r="BF3635" s="95"/>
    </row>
    <row r="3636" spans="42:58" x14ac:dyDescent="0.35">
      <c r="AP3636" s="93"/>
      <c r="AQ3636" s="31"/>
      <c r="AR3636" s="31"/>
      <c r="AS3636" s="94"/>
      <c r="AT3636" s="31"/>
      <c r="AU3636" s="31"/>
      <c r="AV3636" s="94"/>
      <c r="AW3636" s="32"/>
      <c r="AX3636" s="32"/>
      <c r="AY3636" s="32"/>
      <c r="AZ3636" s="32"/>
      <c r="BA3636" s="32"/>
      <c r="BB3636" s="31"/>
      <c r="BC3636" s="31"/>
      <c r="BD3636" s="31"/>
      <c r="BE3636" s="31"/>
      <c r="BF3636" s="96"/>
    </row>
    <row r="3637" spans="42:58" x14ac:dyDescent="0.35">
      <c r="AP3637" s="92"/>
      <c r="AQ3637" s="67"/>
      <c r="AR3637" s="67"/>
      <c r="AS3637" s="73"/>
      <c r="AT3637" s="67"/>
      <c r="AU3637" s="67"/>
      <c r="AV3637" s="73"/>
      <c r="AW3637" s="68"/>
      <c r="AX3637" s="68"/>
      <c r="AY3637" s="68"/>
      <c r="AZ3637" s="68"/>
      <c r="BA3637" s="68"/>
      <c r="BB3637" s="67"/>
      <c r="BC3637" s="67"/>
      <c r="BD3637" s="67"/>
      <c r="BE3637" s="67"/>
      <c r="BF3637" s="95"/>
    </row>
    <row r="3638" spans="42:58" x14ac:dyDescent="0.35">
      <c r="AP3638" s="93"/>
      <c r="AQ3638" s="31"/>
      <c r="AR3638" s="31"/>
      <c r="AS3638" s="94"/>
      <c r="AT3638" s="31"/>
      <c r="AU3638" s="31"/>
      <c r="AV3638" s="94"/>
      <c r="AW3638" s="32"/>
      <c r="AX3638" s="32"/>
      <c r="AY3638" s="32"/>
      <c r="AZ3638" s="32"/>
      <c r="BA3638" s="32"/>
      <c r="BB3638" s="31"/>
      <c r="BC3638" s="31"/>
      <c r="BD3638" s="31"/>
      <c r="BE3638" s="31"/>
      <c r="BF3638" s="96"/>
    </row>
    <row r="3639" spans="42:58" x14ac:dyDescent="0.35">
      <c r="AP3639" s="92"/>
      <c r="AQ3639" s="67"/>
      <c r="AR3639" s="67"/>
      <c r="AS3639" s="73"/>
      <c r="AT3639" s="67"/>
      <c r="AU3639" s="67"/>
      <c r="AV3639" s="73"/>
      <c r="AW3639" s="68"/>
      <c r="AX3639" s="68"/>
      <c r="AY3639" s="68"/>
      <c r="AZ3639" s="68"/>
      <c r="BA3639" s="68"/>
      <c r="BB3639" s="67"/>
      <c r="BC3639" s="67"/>
      <c r="BD3639" s="67"/>
      <c r="BE3639" s="67"/>
      <c r="BF3639" s="95"/>
    </row>
    <row r="3640" spans="42:58" x14ac:dyDescent="0.35">
      <c r="AP3640" s="93"/>
      <c r="AQ3640" s="31"/>
      <c r="AR3640" s="31"/>
      <c r="AS3640" s="94"/>
      <c r="AT3640" s="31"/>
      <c r="AU3640" s="31"/>
      <c r="AV3640" s="94"/>
      <c r="AW3640" s="32"/>
      <c r="AX3640" s="32"/>
      <c r="AY3640" s="32"/>
      <c r="AZ3640" s="32"/>
      <c r="BA3640" s="32"/>
      <c r="BB3640" s="31"/>
      <c r="BC3640" s="31"/>
      <c r="BD3640" s="31"/>
      <c r="BE3640" s="31"/>
      <c r="BF3640" s="96"/>
    </row>
    <row r="3641" spans="42:58" x14ac:dyDescent="0.35">
      <c r="AP3641" s="92"/>
      <c r="AQ3641" s="67"/>
      <c r="AR3641" s="67"/>
      <c r="AS3641" s="73"/>
      <c r="AT3641" s="67"/>
      <c r="AU3641" s="67"/>
      <c r="AV3641" s="73"/>
      <c r="AW3641" s="68"/>
      <c r="AX3641" s="68"/>
      <c r="AY3641" s="68"/>
      <c r="AZ3641" s="68"/>
      <c r="BA3641" s="68"/>
      <c r="BB3641" s="67"/>
      <c r="BC3641" s="67"/>
      <c r="BD3641" s="67"/>
      <c r="BE3641" s="67"/>
      <c r="BF3641" s="95"/>
    </row>
    <row r="3642" spans="42:58" x14ac:dyDescent="0.35">
      <c r="AP3642" s="93"/>
      <c r="AQ3642" s="31"/>
      <c r="AR3642" s="31"/>
      <c r="AS3642" s="94"/>
      <c r="AT3642" s="31"/>
      <c r="AU3642" s="31"/>
      <c r="AV3642" s="94"/>
      <c r="AW3642" s="32"/>
      <c r="AX3642" s="32"/>
      <c r="AY3642" s="32"/>
      <c r="AZ3642" s="32"/>
      <c r="BA3642" s="32"/>
      <c r="BB3642" s="31"/>
      <c r="BC3642" s="31"/>
      <c r="BD3642" s="31"/>
      <c r="BE3642" s="31"/>
      <c r="BF3642" s="96"/>
    </row>
    <row r="3643" spans="42:58" x14ac:dyDescent="0.35">
      <c r="AP3643" s="92"/>
      <c r="AQ3643" s="67"/>
      <c r="AR3643" s="67"/>
      <c r="AS3643" s="73"/>
      <c r="AT3643" s="67"/>
      <c r="AU3643" s="67"/>
      <c r="AV3643" s="73"/>
      <c r="AW3643" s="68"/>
      <c r="AX3643" s="68"/>
      <c r="AY3643" s="68"/>
      <c r="AZ3643" s="68"/>
      <c r="BA3643" s="68"/>
      <c r="BB3643" s="67"/>
      <c r="BC3643" s="67"/>
      <c r="BD3643" s="67"/>
      <c r="BE3643" s="67"/>
      <c r="BF3643" s="95"/>
    </row>
    <row r="3644" spans="42:58" x14ac:dyDescent="0.35">
      <c r="AP3644" s="93"/>
      <c r="AQ3644" s="31"/>
      <c r="AR3644" s="31"/>
      <c r="AS3644" s="94"/>
      <c r="AT3644" s="31"/>
      <c r="AU3644" s="31"/>
      <c r="AV3644" s="94"/>
      <c r="AW3644" s="32"/>
      <c r="AX3644" s="32"/>
      <c r="AY3644" s="32"/>
      <c r="AZ3644" s="32"/>
      <c r="BA3644" s="32"/>
      <c r="BB3644" s="31"/>
      <c r="BC3644" s="31"/>
      <c r="BD3644" s="31"/>
      <c r="BE3644" s="31"/>
      <c r="BF3644" s="96"/>
    </row>
    <row r="3645" spans="42:58" x14ac:dyDescent="0.35">
      <c r="AP3645" s="92"/>
      <c r="AQ3645" s="67"/>
      <c r="AR3645" s="67"/>
      <c r="AS3645" s="73"/>
      <c r="AT3645" s="67"/>
      <c r="AU3645" s="67"/>
      <c r="AV3645" s="73"/>
      <c r="AW3645" s="68"/>
      <c r="AX3645" s="68"/>
      <c r="AY3645" s="68"/>
      <c r="AZ3645" s="68"/>
      <c r="BA3645" s="68"/>
      <c r="BB3645" s="67"/>
      <c r="BC3645" s="67"/>
      <c r="BD3645" s="67"/>
      <c r="BE3645" s="67"/>
      <c r="BF3645" s="95"/>
    </row>
    <row r="3646" spans="42:58" x14ac:dyDescent="0.35">
      <c r="AP3646" s="93"/>
      <c r="AQ3646" s="31"/>
      <c r="AR3646" s="31"/>
      <c r="AS3646" s="94"/>
      <c r="AT3646" s="31"/>
      <c r="AU3646" s="31"/>
      <c r="AV3646" s="94"/>
      <c r="AW3646" s="32"/>
      <c r="AX3646" s="32"/>
      <c r="AY3646" s="32"/>
      <c r="AZ3646" s="32"/>
      <c r="BA3646" s="32"/>
      <c r="BB3646" s="31"/>
      <c r="BC3646" s="31"/>
      <c r="BD3646" s="31"/>
      <c r="BE3646" s="31"/>
      <c r="BF3646" s="96"/>
    </row>
    <row r="3647" spans="42:58" x14ac:dyDescent="0.35">
      <c r="AP3647" s="92"/>
      <c r="AQ3647" s="67"/>
      <c r="AR3647" s="67"/>
      <c r="AS3647" s="73"/>
      <c r="AT3647" s="67"/>
      <c r="AU3647" s="67"/>
      <c r="AV3647" s="73"/>
      <c r="AW3647" s="68"/>
      <c r="AX3647" s="68"/>
      <c r="AY3647" s="68"/>
      <c r="AZ3647" s="68"/>
      <c r="BA3647" s="68"/>
      <c r="BB3647" s="67"/>
      <c r="BC3647" s="67"/>
      <c r="BD3647" s="67"/>
      <c r="BE3647" s="67"/>
      <c r="BF3647" s="95"/>
    </row>
    <row r="3648" spans="42:58" x14ac:dyDescent="0.35">
      <c r="AP3648" s="93"/>
      <c r="AQ3648" s="31"/>
      <c r="AR3648" s="31"/>
      <c r="AS3648" s="94"/>
      <c r="AT3648" s="31"/>
      <c r="AU3648" s="31"/>
      <c r="AV3648" s="94"/>
      <c r="AW3648" s="32"/>
      <c r="AX3648" s="32"/>
      <c r="AY3648" s="32"/>
      <c r="AZ3648" s="32"/>
      <c r="BA3648" s="32"/>
      <c r="BB3648" s="31"/>
      <c r="BC3648" s="31"/>
      <c r="BD3648" s="31"/>
      <c r="BE3648" s="31"/>
      <c r="BF3648" s="96"/>
    </row>
    <row r="3649" spans="42:58" x14ac:dyDescent="0.35">
      <c r="AP3649" s="92"/>
      <c r="AQ3649" s="67"/>
      <c r="AR3649" s="67"/>
      <c r="AS3649" s="73"/>
      <c r="AT3649" s="67"/>
      <c r="AU3649" s="67"/>
      <c r="AV3649" s="73"/>
      <c r="AW3649" s="68"/>
      <c r="AX3649" s="68"/>
      <c r="AY3649" s="68"/>
      <c r="AZ3649" s="68"/>
      <c r="BA3649" s="68"/>
      <c r="BB3649" s="67"/>
      <c r="BC3649" s="67"/>
      <c r="BD3649" s="67"/>
      <c r="BE3649" s="67"/>
      <c r="BF3649" s="95"/>
    </row>
    <row r="3650" spans="42:58" x14ac:dyDescent="0.35">
      <c r="AP3650" s="93"/>
      <c r="AQ3650" s="31"/>
      <c r="AR3650" s="31"/>
      <c r="AS3650" s="94"/>
      <c r="AT3650" s="31"/>
      <c r="AU3650" s="31"/>
      <c r="AV3650" s="94"/>
      <c r="AW3650" s="32"/>
      <c r="AX3650" s="32"/>
      <c r="AY3650" s="32"/>
      <c r="AZ3650" s="32"/>
      <c r="BA3650" s="32"/>
      <c r="BB3650" s="31"/>
      <c r="BC3650" s="31"/>
      <c r="BD3650" s="31"/>
      <c r="BE3650" s="31"/>
      <c r="BF3650" s="96"/>
    </row>
    <row r="3651" spans="42:58" x14ac:dyDescent="0.35">
      <c r="AP3651" s="92"/>
      <c r="AQ3651" s="67"/>
      <c r="AR3651" s="67"/>
      <c r="AS3651" s="73"/>
      <c r="AT3651" s="67"/>
      <c r="AU3651" s="67"/>
      <c r="AV3651" s="73"/>
      <c r="AW3651" s="68"/>
      <c r="AX3651" s="68"/>
      <c r="AY3651" s="68"/>
      <c r="AZ3651" s="68"/>
      <c r="BA3651" s="68"/>
      <c r="BB3651" s="67"/>
      <c r="BC3651" s="67"/>
      <c r="BD3651" s="67"/>
      <c r="BE3651" s="67"/>
      <c r="BF3651" s="95"/>
    </row>
    <row r="3652" spans="42:58" x14ac:dyDescent="0.35">
      <c r="AP3652" s="93"/>
      <c r="AQ3652" s="31"/>
      <c r="AR3652" s="31"/>
      <c r="AS3652" s="94"/>
      <c r="AT3652" s="31"/>
      <c r="AU3652" s="31"/>
      <c r="AV3652" s="94"/>
      <c r="AW3652" s="32"/>
      <c r="AX3652" s="32"/>
      <c r="AY3652" s="32"/>
      <c r="AZ3652" s="32"/>
      <c r="BA3652" s="32"/>
      <c r="BB3652" s="31"/>
      <c r="BC3652" s="31"/>
      <c r="BD3652" s="31"/>
      <c r="BE3652" s="31"/>
      <c r="BF3652" s="96"/>
    </row>
    <row r="3653" spans="42:58" x14ac:dyDescent="0.35">
      <c r="AP3653" s="92"/>
      <c r="AQ3653" s="67"/>
      <c r="AR3653" s="67"/>
      <c r="AS3653" s="73"/>
      <c r="AT3653" s="67"/>
      <c r="AU3653" s="67"/>
      <c r="AV3653" s="73"/>
      <c r="AW3653" s="68"/>
      <c r="AX3653" s="68"/>
      <c r="AY3653" s="68"/>
      <c r="AZ3653" s="68"/>
      <c r="BA3653" s="68"/>
      <c r="BB3653" s="67"/>
      <c r="BC3653" s="67"/>
      <c r="BD3653" s="67"/>
      <c r="BE3653" s="67"/>
      <c r="BF3653" s="95"/>
    </row>
    <row r="3654" spans="42:58" x14ac:dyDescent="0.35">
      <c r="AP3654" s="93"/>
      <c r="AQ3654" s="31"/>
      <c r="AR3654" s="31"/>
      <c r="AS3654" s="94"/>
      <c r="AT3654" s="31"/>
      <c r="AU3654" s="31"/>
      <c r="AV3654" s="94"/>
      <c r="AW3654" s="32"/>
      <c r="AX3654" s="32"/>
      <c r="AY3654" s="32"/>
      <c r="AZ3654" s="32"/>
      <c r="BA3654" s="32"/>
      <c r="BB3654" s="31"/>
      <c r="BC3654" s="31"/>
      <c r="BD3654" s="31"/>
      <c r="BE3654" s="31"/>
      <c r="BF3654" s="96"/>
    </row>
    <row r="3655" spans="42:58" x14ac:dyDescent="0.35">
      <c r="AP3655" s="92"/>
      <c r="AQ3655" s="67"/>
      <c r="AR3655" s="67"/>
      <c r="AS3655" s="73"/>
      <c r="AT3655" s="67"/>
      <c r="AU3655" s="67"/>
      <c r="AV3655" s="73"/>
      <c r="AW3655" s="68"/>
      <c r="AX3655" s="68"/>
      <c r="AY3655" s="68"/>
      <c r="AZ3655" s="68"/>
      <c r="BA3655" s="68"/>
      <c r="BB3655" s="67"/>
      <c r="BC3655" s="67"/>
      <c r="BD3655" s="67"/>
      <c r="BE3655" s="67"/>
      <c r="BF3655" s="95"/>
    </row>
    <row r="3656" spans="42:58" x14ac:dyDescent="0.35">
      <c r="AP3656" s="93"/>
      <c r="AQ3656" s="31"/>
      <c r="AR3656" s="31"/>
      <c r="AS3656" s="94"/>
      <c r="AT3656" s="31"/>
      <c r="AU3656" s="31"/>
      <c r="AV3656" s="94"/>
      <c r="AW3656" s="32"/>
      <c r="AX3656" s="32"/>
      <c r="AY3656" s="32"/>
      <c r="AZ3656" s="32"/>
      <c r="BA3656" s="32"/>
      <c r="BB3656" s="31"/>
      <c r="BC3656" s="31"/>
      <c r="BD3656" s="31"/>
      <c r="BE3656" s="31"/>
      <c r="BF3656" s="96"/>
    </row>
    <row r="3657" spans="42:58" x14ac:dyDescent="0.35">
      <c r="AP3657" s="92"/>
      <c r="AQ3657" s="67"/>
      <c r="AR3657" s="67"/>
      <c r="AS3657" s="73"/>
      <c r="AT3657" s="67"/>
      <c r="AU3657" s="67"/>
      <c r="AV3657" s="73"/>
      <c r="AW3657" s="68"/>
      <c r="AX3657" s="68"/>
      <c r="AY3657" s="68"/>
      <c r="AZ3657" s="68"/>
      <c r="BA3657" s="68"/>
      <c r="BB3657" s="67"/>
      <c r="BC3657" s="67"/>
      <c r="BD3657" s="67"/>
      <c r="BE3657" s="67"/>
      <c r="BF3657" s="95"/>
    </row>
    <row r="3658" spans="42:58" x14ac:dyDescent="0.35">
      <c r="AP3658" s="93"/>
      <c r="AQ3658" s="31"/>
      <c r="AR3658" s="31"/>
      <c r="AS3658" s="94"/>
      <c r="AT3658" s="31"/>
      <c r="AU3658" s="31"/>
      <c r="AV3658" s="94"/>
      <c r="AW3658" s="32"/>
      <c r="AX3658" s="32"/>
      <c r="AY3658" s="32"/>
      <c r="AZ3658" s="32"/>
      <c r="BA3658" s="32"/>
      <c r="BB3658" s="31"/>
      <c r="BC3658" s="31"/>
      <c r="BD3658" s="31"/>
      <c r="BE3658" s="31"/>
      <c r="BF3658" s="96"/>
    </row>
    <row r="3659" spans="42:58" x14ac:dyDescent="0.35">
      <c r="AP3659" s="92"/>
      <c r="AQ3659" s="67"/>
      <c r="AR3659" s="67"/>
      <c r="AS3659" s="73"/>
      <c r="AT3659" s="67"/>
      <c r="AU3659" s="67"/>
      <c r="AV3659" s="73"/>
      <c r="AW3659" s="68"/>
      <c r="AX3659" s="68"/>
      <c r="AY3659" s="68"/>
      <c r="AZ3659" s="68"/>
      <c r="BA3659" s="68"/>
      <c r="BB3659" s="67"/>
      <c r="BC3659" s="67"/>
      <c r="BD3659" s="67"/>
      <c r="BE3659" s="67"/>
      <c r="BF3659" s="95"/>
    </row>
    <row r="3660" spans="42:58" x14ac:dyDescent="0.35">
      <c r="AP3660" s="93"/>
      <c r="AQ3660" s="31"/>
      <c r="AR3660" s="31"/>
      <c r="AS3660" s="94"/>
      <c r="AT3660" s="31"/>
      <c r="AU3660" s="31"/>
      <c r="AV3660" s="94"/>
      <c r="AW3660" s="32"/>
      <c r="AX3660" s="32"/>
      <c r="AY3660" s="32"/>
      <c r="AZ3660" s="32"/>
      <c r="BA3660" s="32"/>
      <c r="BB3660" s="31"/>
      <c r="BC3660" s="31"/>
      <c r="BD3660" s="31"/>
      <c r="BE3660" s="31"/>
      <c r="BF3660" s="96"/>
    </row>
    <row r="3661" spans="42:58" x14ac:dyDescent="0.35">
      <c r="AP3661" s="92"/>
      <c r="AQ3661" s="67"/>
      <c r="AR3661" s="67"/>
      <c r="AS3661" s="73"/>
      <c r="AT3661" s="67"/>
      <c r="AU3661" s="67"/>
      <c r="AV3661" s="73"/>
      <c r="AW3661" s="68"/>
      <c r="AX3661" s="68"/>
      <c r="AY3661" s="68"/>
      <c r="AZ3661" s="68"/>
      <c r="BA3661" s="68"/>
      <c r="BB3661" s="67"/>
      <c r="BC3661" s="67"/>
      <c r="BD3661" s="67"/>
      <c r="BE3661" s="67"/>
      <c r="BF3661" s="95"/>
    </row>
    <row r="3662" spans="42:58" x14ac:dyDescent="0.35">
      <c r="AP3662" s="93"/>
      <c r="AQ3662" s="31"/>
      <c r="AR3662" s="31"/>
      <c r="AS3662" s="94"/>
      <c r="AT3662" s="31"/>
      <c r="AU3662" s="31"/>
      <c r="AV3662" s="94"/>
      <c r="AW3662" s="32"/>
      <c r="AX3662" s="32"/>
      <c r="AY3662" s="32"/>
      <c r="AZ3662" s="32"/>
      <c r="BA3662" s="32"/>
      <c r="BB3662" s="31"/>
      <c r="BC3662" s="31"/>
      <c r="BD3662" s="31"/>
      <c r="BE3662" s="31"/>
      <c r="BF3662" s="96"/>
    </row>
    <row r="3663" spans="42:58" x14ac:dyDescent="0.35">
      <c r="AP3663" s="92"/>
      <c r="AQ3663" s="67"/>
      <c r="AR3663" s="67"/>
      <c r="AS3663" s="73"/>
      <c r="AT3663" s="67"/>
      <c r="AU3663" s="67"/>
      <c r="AV3663" s="73"/>
      <c r="AW3663" s="68"/>
      <c r="AX3663" s="68"/>
      <c r="AY3663" s="68"/>
      <c r="AZ3663" s="68"/>
      <c r="BA3663" s="68"/>
      <c r="BB3663" s="67"/>
      <c r="BC3663" s="67"/>
      <c r="BD3663" s="67"/>
      <c r="BE3663" s="67"/>
      <c r="BF3663" s="95"/>
    </row>
    <row r="3664" spans="42:58" x14ac:dyDescent="0.35">
      <c r="AP3664" s="93"/>
      <c r="AQ3664" s="31"/>
      <c r="AR3664" s="31"/>
      <c r="AS3664" s="94"/>
      <c r="AT3664" s="31"/>
      <c r="AU3664" s="31"/>
      <c r="AV3664" s="94"/>
      <c r="AW3664" s="32"/>
      <c r="AX3664" s="32"/>
      <c r="AY3664" s="32"/>
      <c r="AZ3664" s="32"/>
      <c r="BA3664" s="32"/>
      <c r="BB3664" s="31"/>
      <c r="BC3664" s="31"/>
      <c r="BD3664" s="31"/>
      <c r="BE3664" s="31"/>
      <c r="BF3664" s="96"/>
    </row>
    <row r="3665" spans="42:58" x14ac:dyDescent="0.35">
      <c r="AP3665" s="92"/>
      <c r="AQ3665" s="67"/>
      <c r="AR3665" s="67"/>
      <c r="AS3665" s="73"/>
      <c r="AT3665" s="67"/>
      <c r="AU3665" s="67"/>
      <c r="AV3665" s="73"/>
      <c r="AW3665" s="68"/>
      <c r="AX3665" s="68"/>
      <c r="AY3665" s="68"/>
      <c r="AZ3665" s="68"/>
      <c r="BA3665" s="68"/>
      <c r="BB3665" s="67"/>
      <c r="BC3665" s="67"/>
      <c r="BD3665" s="67"/>
      <c r="BE3665" s="67"/>
      <c r="BF3665" s="95"/>
    </row>
    <row r="3666" spans="42:58" x14ac:dyDescent="0.35">
      <c r="AP3666" s="93"/>
      <c r="AQ3666" s="31"/>
      <c r="AR3666" s="31"/>
      <c r="AS3666" s="94"/>
      <c r="AT3666" s="31"/>
      <c r="AU3666" s="31"/>
      <c r="AV3666" s="94"/>
      <c r="AW3666" s="32"/>
      <c r="AX3666" s="32"/>
      <c r="AY3666" s="32"/>
      <c r="AZ3666" s="32"/>
      <c r="BA3666" s="32"/>
      <c r="BB3666" s="31"/>
      <c r="BC3666" s="31"/>
      <c r="BD3666" s="31"/>
      <c r="BE3666" s="31"/>
      <c r="BF3666" s="96"/>
    </row>
    <row r="3667" spans="42:58" x14ac:dyDescent="0.35">
      <c r="AP3667" s="92"/>
      <c r="AQ3667" s="67"/>
      <c r="AR3667" s="67"/>
      <c r="AS3667" s="73"/>
      <c r="AT3667" s="67"/>
      <c r="AU3667" s="67"/>
      <c r="AV3667" s="73"/>
      <c r="AW3667" s="68"/>
      <c r="AX3667" s="68"/>
      <c r="AY3667" s="68"/>
      <c r="AZ3667" s="68"/>
      <c r="BA3667" s="68"/>
      <c r="BB3667" s="67"/>
      <c r="BC3667" s="67"/>
      <c r="BD3667" s="67"/>
      <c r="BE3667" s="67"/>
      <c r="BF3667" s="95"/>
    </row>
    <row r="3668" spans="42:58" x14ac:dyDescent="0.35">
      <c r="AP3668" s="93"/>
      <c r="AQ3668" s="31"/>
      <c r="AR3668" s="31"/>
      <c r="AS3668" s="94"/>
      <c r="AT3668" s="31"/>
      <c r="AU3668" s="31"/>
      <c r="AV3668" s="94"/>
      <c r="AW3668" s="32"/>
      <c r="AX3668" s="32"/>
      <c r="AY3668" s="32"/>
      <c r="AZ3668" s="32"/>
      <c r="BA3668" s="32"/>
      <c r="BB3668" s="31"/>
      <c r="BC3668" s="31"/>
      <c r="BD3668" s="31"/>
      <c r="BE3668" s="31"/>
      <c r="BF3668" s="96"/>
    </row>
    <row r="3669" spans="42:58" x14ac:dyDescent="0.35">
      <c r="AP3669" s="92"/>
      <c r="AQ3669" s="67"/>
      <c r="AR3669" s="67"/>
      <c r="AS3669" s="73"/>
      <c r="AT3669" s="67"/>
      <c r="AU3669" s="67"/>
      <c r="AV3669" s="73"/>
      <c r="AW3669" s="68"/>
      <c r="AX3669" s="68"/>
      <c r="AY3669" s="68"/>
      <c r="AZ3669" s="68"/>
      <c r="BA3669" s="68"/>
      <c r="BB3669" s="67"/>
      <c r="BC3669" s="67"/>
      <c r="BD3669" s="67"/>
      <c r="BE3669" s="67"/>
      <c r="BF3669" s="95"/>
    </row>
    <row r="3670" spans="42:58" x14ac:dyDescent="0.35">
      <c r="AP3670" s="93"/>
      <c r="AQ3670" s="31"/>
      <c r="AR3670" s="31"/>
      <c r="AS3670" s="94"/>
      <c r="AT3670" s="31"/>
      <c r="AU3670" s="31"/>
      <c r="AV3670" s="94"/>
      <c r="AW3670" s="32"/>
      <c r="AX3670" s="32"/>
      <c r="AY3670" s="32"/>
      <c r="AZ3670" s="32"/>
      <c r="BA3670" s="32"/>
      <c r="BB3670" s="31"/>
      <c r="BC3670" s="31"/>
      <c r="BD3670" s="31"/>
      <c r="BE3670" s="31"/>
      <c r="BF3670" s="96"/>
    </row>
    <row r="3671" spans="42:58" x14ac:dyDescent="0.35">
      <c r="AP3671" s="92"/>
      <c r="AQ3671" s="67"/>
      <c r="AR3671" s="67"/>
      <c r="AS3671" s="73"/>
      <c r="AT3671" s="67"/>
      <c r="AU3671" s="67"/>
      <c r="AV3671" s="73"/>
      <c r="AW3671" s="68"/>
      <c r="AX3671" s="68"/>
      <c r="AY3671" s="68"/>
      <c r="AZ3671" s="68"/>
      <c r="BA3671" s="68"/>
      <c r="BB3671" s="67"/>
      <c r="BC3671" s="67"/>
      <c r="BD3671" s="67"/>
      <c r="BE3671" s="67"/>
      <c r="BF3671" s="95"/>
    </row>
    <row r="3672" spans="42:58" x14ac:dyDescent="0.35">
      <c r="AP3672" s="93"/>
      <c r="AQ3672" s="31"/>
      <c r="AR3672" s="31"/>
      <c r="AS3672" s="94"/>
      <c r="AT3672" s="31"/>
      <c r="AU3672" s="31"/>
      <c r="AV3672" s="94"/>
      <c r="AW3672" s="32"/>
      <c r="AX3672" s="32"/>
      <c r="AY3672" s="32"/>
      <c r="AZ3672" s="32"/>
      <c r="BA3672" s="32"/>
      <c r="BB3672" s="31"/>
      <c r="BC3672" s="31"/>
      <c r="BD3672" s="31"/>
      <c r="BE3672" s="31"/>
      <c r="BF3672" s="96"/>
    </row>
    <row r="3673" spans="42:58" x14ac:dyDescent="0.35">
      <c r="AP3673" s="92"/>
      <c r="AQ3673" s="67"/>
      <c r="AR3673" s="67"/>
      <c r="AS3673" s="73"/>
      <c r="AT3673" s="67"/>
      <c r="AU3673" s="67"/>
      <c r="AV3673" s="73"/>
      <c r="AW3673" s="68"/>
      <c r="AX3673" s="68"/>
      <c r="AY3673" s="68"/>
      <c r="AZ3673" s="68"/>
      <c r="BA3673" s="68"/>
      <c r="BB3673" s="67"/>
      <c r="BC3673" s="67"/>
      <c r="BD3673" s="67"/>
      <c r="BE3673" s="67"/>
      <c r="BF3673" s="95"/>
    </row>
    <row r="3674" spans="42:58" x14ac:dyDescent="0.35">
      <c r="AP3674" s="93"/>
      <c r="AQ3674" s="31"/>
      <c r="AR3674" s="31"/>
      <c r="AS3674" s="94"/>
      <c r="AT3674" s="31"/>
      <c r="AU3674" s="31"/>
      <c r="AV3674" s="94"/>
      <c r="AW3674" s="32"/>
      <c r="AX3674" s="32"/>
      <c r="AY3674" s="32"/>
      <c r="AZ3674" s="32"/>
      <c r="BA3674" s="32"/>
      <c r="BB3674" s="31"/>
      <c r="BC3674" s="31"/>
      <c r="BD3674" s="31"/>
      <c r="BE3674" s="31"/>
      <c r="BF3674" s="96"/>
    </row>
    <row r="3675" spans="42:58" x14ac:dyDescent="0.35">
      <c r="AP3675" s="92"/>
      <c r="AQ3675" s="67"/>
      <c r="AR3675" s="67"/>
      <c r="AS3675" s="73"/>
      <c r="AT3675" s="67"/>
      <c r="AU3675" s="67"/>
      <c r="AV3675" s="73"/>
      <c r="AW3675" s="68"/>
      <c r="AX3675" s="68"/>
      <c r="AY3675" s="68"/>
      <c r="AZ3675" s="68"/>
      <c r="BA3675" s="68"/>
      <c r="BB3675" s="67"/>
      <c r="BC3675" s="67"/>
      <c r="BD3675" s="67"/>
      <c r="BE3675" s="67"/>
      <c r="BF3675" s="95"/>
    </row>
    <row r="3676" spans="42:58" x14ac:dyDescent="0.35">
      <c r="AP3676" s="93"/>
      <c r="AQ3676" s="31"/>
      <c r="AR3676" s="31"/>
      <c r="AS3676" s="94"/>
      <c r="AT3676" s="31"/>
      <c r="AU3676" s="31"/>
      <c r="AV3676" s="94"/>
      <c r="AW3676" s="32"/>
      <c r="AX3676" s="32"/>
      <c r="AY3676" s="32"/>
      <c r="AZ3676" s="32"/>
      <c r="BA3676" s="32"/>
      <c r="BB3676" s="31"/>
      <c r="BC3676" s="31"/>
      <c r="BD3676" s="31"/>
      <c r="BE3676" s="31"/>
      <c r="BF3676" s="96"/>
    </row>
    <row r="3677" spans="42:58" x14ac:dyDescent="0.35">
      <c r="AP3677" s="92"/>
      <c r="AQ3677" s="67"/>
      <c r="AR3677" s="67"/>
      <c r="AS3677" s="73"/>
      <c r="AT3677" s="67"/>
      <c r="AU3677" s="67"/>
      <c r="AV3677" s="73"/>
      <c r="AW3677" s="68"/>
      <c r="AX3677" s="68"/>
      <c r="AY3677" s="68"/>
      <c r="AZ3677" s="68"/>
      <c r="BA3677" s="68"/>
      <c r="BB3677" s="67"/>
      <c r="BC3677" s="67"/>
      <c r="BD3677" s="67"/>
      <c r="BE3677" s="67"/>
      <c r="BF3677" s="95"/>
    </row>
    <row r="3678" spans="42:58" x14ac:dyDescent="0.35">
      <c r="AP3678" s="93"/>
      <c r="AQ3678" s="31"/>
      <c r="AR3678" s="31"/>
      <c r="AS3678" s="94"/>
      <c r="AT3678" s="31"/>
      <c r="AU3678" s="31"/>
      <c r="AV3678" s="94"/>
      <c r="AW3678" s="32"/>
      <c r="AX3678" s="32"/>
      <c r="AY3678" s="32"/>
      <c r="AZ3678" s="32"/>
      <c r="BA3678" s="32"/>
      <c r="BB3678" s="31"/>
      <c r="BC3678" s="31"/>
      <c r="BD3678" s="31"/>
      <c r="BE3678" s="31"/>
      <c r="BF3678" s="96"/>
    </row>
    <row r="3679" spans="42:58" x14ac:dyDescent="0.35">
      <c r="AP3679" s="92"/>
      <c r="AQ3679" s="67"/>
      <c r="AR3679" s="67"/>
      <c r="AS3679" s="73"/>
      <c r="AT3679" s="67"/>
      <c r="AU3679" s="67"/>
      <c r="AV3679" s="73"/>
      <c r="AW3679" s="68"/>
      <c r="AX3679" s="68"/>
      <c r="AY3679" s="68"/>
      <c r="AZ3679" s="68"/>
      <c r="BA3679" s="68"/>
      <c r="BB3679" s="67"/>
      <c r="BC3679" s="67"/>
      <c r="BD3679" s="67"/>
      <c r="BE3679" s="67"/>
      <c r="BF3679" s="95"/>
    </row>
    <row r="3680" spans="42:58" x14ac:dyDescent="0.35">
      <c r="AP3680" s="93"/>
      <c r="AQ3680" s="31"/>
      <c r="AR3680" s="31"/>
      <c r="AS3680" s="94"/>
      <c r="AT3680" s="31"/>
      <c r="AU3680" s="31"/>
      <c r="AV3680" s="94"/>
      <c r="AW3680" s="32"/>
      <c r="AX3680" s="32"/>
      <c r="AY3680" s="32"/>
      <c r="AZ3680" s="32"/>
      <c r="BA3680" s="32"/>
      <c r="BB3680" s="31"/>
      <c r="BC3680" s="31"/>
      <c r="BD3680" s="31"/>
      <c r="BE3680" s="31"/>
      <c r="BF3680" s="96"/>
    </row>
    <row r="3681" spans="42:58" x14ac:dyDescent="0.35">
      <c r="AP3681" s="92"/>
      <c r="AQ3681" s="67"/>
      <c r="AR3681" s="67"/>
      <c r="AS3681" s="73"/>
      <c r="AT3681" s="67"/>
      <c r="AU3681" s="67"/>
      <c r="AV3681" s="73"/>
      <c r="AW3681" s="68"/>
      <c r="AX3681" s="68"/>
      <c r="AY3681" s="68"/>
      <c r="AZ3681" s="68"/>
      <c r="BA3681" s="68"/>
      <c r="BB3681" s="67"/>
      <c r="BC3681" s="67"/>
      <c r="BD3681" s="67"/>
      <c r="BE3681" s="67"/>
      <c r="BF3681" s="95"/>
    </row>
    <row r="3682" spans="42:58" x14ac:dyDescent="0.35">
      <c r="AP3682" s="93"/>
      <c r="AQ3682" s="31"/>
      <c r="AR3682" s="31"/>
      <c r="AS3682" s="94"/>
      <c r="AT3682" s="31"/>
      <c r="AU3682" s="31"/>
      <c r="AV3682" s="94"/>
      <c r="AW3682" s="32"/>
      <c r="AX3682" s="32"/>
      <c r="AY3682" s="32"/>
      <c r="AZ3682" s="32"/>
      <c r="BA3682" s="32"/>
      <c r="BB3682" s="31"/>
      <c r="BC3682" s="31"/>
      <c r="BD3682" s="31"/>
      <c r="BE3682" s="31"/>
      <c r="BF3682" s="96"/>
    </row>
    <row r="3683" spans="42:58" x14ac:dyDescent="0.35">
      <c r="AP3683" s="92"/>
      <c r="AQ3683" s="67"/>
      <c r="AR3683" s="67"/>
      <c r="AS3683" s="73"/>
      <c r="AT3683" s="67"/>
      <c r="AU3683" s="67"/>
      <c r="AV3683" s="73"/>
      <c r="AW3683" s="68"/>
      <c r="AX3683" s="68"/>
      <c r="AY3683" s="68"/>
      <c r="AZ3683" s="68"/>
      <c r="BA3683" s="68"/>
      <c r="BB3683" s="67"/>
      <c r="BC3683" s="67"/>
      <c r="BD3683" s="67"/>
      <c r="BE3683" s="67"/>
      <c r="BF3683" s="95"/>
    </row>
    <row r="3684" spans="42:58" x14ac:dyDescent="0.35">
      <c r="AP3684" s="93"/>
      <c r="AQ3684" s="31"/>
      <c r="AR3684" s="31"/>
      <c r="AS3684" s="94"/>
      <c r="AT3684" s="31"/>
      <c r="AU3684" s="31"/>
      <c r="AV3684" s="94"/>
      <c r="AW3684" s="32"/>
      <c r="AX3684" s="32"/>
      <c r="AY3684" s="32"/>
      <c r="AZ3684" s="32"/>
      <c r="BA3684" s="32"/>
      <c r="BB3684" s="31"/>
      <c r="BC3684" s="31"/>
      <c r="BD3684" s="31"/>
      <c r="BE3684" s="31"/>
      <c r="BF3684" s="96"/>
    </row>
    <row r="3685" spans="42:58" x14ac:dyDescent="0.35">
      <c r="AP3685" s="92"/>
      <c r="AQ3685" s="67"/>
      <c r="AR3685" s="67"/>
      <c r="AS3685" s="73"/>
      <c r="AT3685" s="67"/>
      <c r="AU3685" s="67"/>
      <c r="AV3685" s="73"/>
      <c r="AW3685" s="68"/>
      <c r="AX3685" s="68"/>
      <c r="AY3685" s="68"/>
      <c r="AZ3685" s="68"/>
      <c r="BA3685" s="68"/>
      <c r="BB3685" s="67"/>
      <c r="BC3685" s="67"/>
      <c r="BD3685" s="67"/>
      <c r="BE3685" s="67"/>
      <c r="BF3685" s="95"/>
    </row>
    <row r="3686" spans="42:58" x14ac:dyDescent="0.35">
      <c r="AP3686" s="93"/>
      <c r="AQ3686" s="31"/>
      <c r="AR3686" s="31"/>
      <c r="AS3686" s="94"/>
      <c r="AT3686" s="31"/>
      <c r="AU3686" s="31"/>
      <c r="AV3686" s="94"/>
      <c r="AW3686" s="32"/>
      <c r="AX3686" s="32"/>
      <c r="AY3686" s="32"/>
      <c r="AZ3686" s="32"/>
      <c r="BA3686" s="32"/>
      <c r="BB3686" s="31"/>
      <c r="BC3686" s="31"/>
      <c r="BD3686" s="31"/>
      <c r="BE3686" s="31"/>
      <c r="BF3686" s="96"/>
    </row>
    <row r="3687" spans="42:58" x14ac:dyDescent="0.35">
      <c r="AP3687" s="92"/>
      <c r="AQ3687" s="67"/>
      <c r="AR3687" s="67"/>
      <c r="AS3687" s="73"/>
      <c r="AT3687" s="67"/>
      <c r="AU3687" s="67"/>
      <c r="AV3687" s="73"/>
      <c r="AW3687" s="68"/>
      <c r="AX3687" s="68"/>
      <c r="AY3687" s="68"/>
      <c r="AZ3687" s="68"/>
      <c r="BA3687" s="68"/>
      <c r="BB3687" s="67"/>
      <c r="BC3687" s="67"/>
      <c r="BD3687" s="67"/>
      <c r="BE3687" s="67"/>
      <c r="BF3687" s="95"/>
    </row>
    <row r="3688" spans="42:58" x14ac:dyDescent="0.35">
      <c r="AP3688" s="93"/>
      <c r="AQ3688" s="31"/>
      <c r="AR3688" s="31"/>
      <c r="AS3688" s="94"/>
      <c r="AT3688" s="31"/>
      <c r="AU3688" s="31"/>
      <c r="AV3688" s="94"/>
      <c r="AW3688" s="32"/>
      <c r="AX3688" s="32"/>
      <c r="AY3688" s="32"/>
      <c r="AZ3688" s="32"/>
      <c r="BA3688" s="32"/>
      <c r="BB3688" s="31"/>
      <c r="BC3688" s="31"/>
      <c r="BD3688" s="31"/>
      <c r="BE3688" s="31"/>
      <c r="BF3688" s="96"/>
    </row>
    <row r="3689" spans="42:58" x14ac:dyDescent="0.35">
      <c r="AP3689" s="92"/>
      <c r="AQ3689" s="67"/>
      <c r="AR3689" s="67"/>
      <c r="AS3689" s="73"/>
      <c r="AT3689" s="67"/>
      <c r="AU3689" s="67"/>
      <c r="AV3689" s="73"/>
      <c r="AW3689" s="68"/>
      <c r="AX3689" s="68"/>
      <c r="AY3689" s="68"/>
      <c r="AZ3689" s="68"/>
      <c r="BA3689" s="68"/>
      <c r="BB3689" s="67"/>
      <c r="BC3689" s="67"/>
      <c r="BD3689" s="67"/>
      <c r="BE3689" s="67"/>
      <c r="BF3689" s="95"/>
    </row>
    <row r="3690" spans="42:58" x14ac:dyDescent="0.35">
      <c r="AP3690" s="93"/>
      <c r="AQ3690" s="31"/>
      <c r="AR3690" s="31"/>
      <c r="AS3690" s="94"/>
      <c r="AT3690" s="31"/>
      <c r="AU3690" s="31"/>
      <c r="AV3690" s="94"/>
      <c r="AW3690" s="32"/>
      <c r="AX3690" s="32"/>
      <c r="AY3690" s="32"/>
      <c r="AZ3690" s="32"/>
      <c r="BA3690" s="32"/>
      <c r="BB3690" s="31"/>
      <c r="BC3690" s="31"/>
      <c r="BD3690" s="31"/>
      <c r="BE3690" s="31"/>
      <c r="BF3690" s="96"/>
    </row>
    <row r="3691" spans="42:58" x14ac:dyDescent="0.35">
      <c r="AP3691" s="92"/>
      <c r="AQ3691" s="67"/>
      <c r="AR3691" s="67"/>
      <c r="AS3691" s="73"/>
      <c r="AT3691" s="67"/>
      <c r="AU3691" s="67"/>
      <c r="AV3691" s="73"/>
      <c r="AW3691" s="68"/>
      <c r="AX3691" s="68"/>
      <c r="AY3691" s="68"/>
      <c r="AZ3691" s="68"/>
      <c r="BA3691" s="68"/>
      <c r="BB3691" s="67"/>
      <c r="BC3691" s="67"/>
      <c r="BD3691" s="67"/>
      <c r="BE3691" s="67"/>
      <c r="BF3691" s="95"/>
    </row>
    <row r="3692" spans="42:58" x14ac:dyDescent="0.35">
      <c r="AP3692" s="93"/>
      <c r="AQ3692" s="31"/>
      <c r="AR3692" s="31"/>
      <c r="AS3692" s="94"/>
      <c r="AT3692" s="31"/>
      <c r="AU3692" s="31"/>
      <c r="AV3692" s="94"/>
      <c r="AW3692" s="32"/>
      <c r="AX3692" s="32"/>
      <c r="AY3692" s="32"/>
      <c r="AZ3692" s="32"/>
      <c r="BA3692" s="32"/>
      <c r="BB3692" s="31"/>
      <c r="BC3692" s="31"/>
      <c r="BD3692" s="31"/>
      <c r="BE3692" s="31"/>
      <c r="BF3692" s="96"/>
    </row>
    <row r="3693" spans="42:58" x14ac:dyDescent="0.35">
      <c r="AP3693" s="92"/>
      <c r="AQ3693" s="67"/>
      <c r="AR3693" s="67"/>
      <c r="AS3693" s="73"/>
      <c r="AT3693" s="67"/>
      <c r="AU3693" s="67"/>
      <c r="AV3693" s="73"/>
      <c r="AW3693" s="68"/>
      <c r="AX3693" s="68"/>
      <c r="AY3693" s="68"/>
      <c r="AZ3693" s="68"/>
      <c r="BA3693" s="68"/>
      <c r="BB3693" s="67"/>
      <c r="BC3693" s="67"/>
      <c r="BD3693" s="67"/>
      <c r="BE3693" s="67"/>
      <c r="BF3693" s="95"/>
    </row>
    <row r="3694" spans="42:58" x14ac:dyDescent="0.35">
      <c r="AP3694" s="93"/>
      <c r="AQ3694" s="31"/>
      <c r="AR3694" s="31"/>
      <c r="AS3694" s="94"/>
      <c r="AT3694" s="31"/>
      <c r="AU3694" s="31"/>
      <c r="AV3694" s="94"/>
      <c r="AW3694" s="32"/>
      <c r="AX3694" s="32"/>
      <c r="AY3694" s="32"/>
      <c r="AZ3694" s="32"/>
      <c r="BA3694" s="32"/>
      <c r="BB3694" s="31"/>
      <c r="BC3694" s="31"/>
      <c r="BD3694" s="31"/>
      <c r="BE3694" s="31"/>
      <c r="BF3694" s="96"/>
    </row>
    <row r="3695" spans="42:58" x14ac:dyDescent="0.35">
      <c r="AP3695" s="92"/>
      <c r="AQ3695" s="67"/>
      <c r="AR3695" s="67"/>
      <c r="AS3695" s="73"/>
      <c r="AT3695" s="67"/>
      <c r="AU3695" s="67"/>
      <c r="AV3695" s="73"/>
      <c r="AW3695" s="68"/>
      <c r="AX3695" s="68"/>
      <c r="AY3695" s="68"/>
      <c r="AZ3695" s="68"/>
      <c r="BA3695" s="68"/>
      <c r="BB3695" s="67"/>
      <c r="BC3695" s="67"/>
      <c r="BD3695" s="67"/>
      <c r="BE3695" s="67"/>
      <c r="BF3695" s="95"/>
    </row>
    <row r="3696" spans="42:58" x14ac:dyDescent="0.35">
      <c r="AP3696" s="93"/>
      <c r="AQ3696" s="31"/>
      <c r="AR3696" s="31"/>
      <c r="AS3696" s="94"/>
      <c r="AT3696" s="31"/>
      <c r="AU3696" s="31"/>
      <c r="AV3696" s="94"/>
      <c r="AW3696" s="32"/>
      <c r="AX3696" s="32"/>
      <c r="AY3696" s="32"/>
      <c r="AZ3696" s="32"/>
      <c r="BA3696" s="32"/>
      <c r="BB3696" s="31"/>
      <c r="BC3696" s="31"/>
      <c r="BD3696" s="31"/>
      <c r="BE3696" s="31"/>
      <c r="BF3696" s="96"/>
    </row>
    <row r="3697" spans="42:58" x14ac:dyDescent="0.35">
      <c r="AP3697" s="92"/>
      <c r="AQ3697" s="67"/>
      <c r="AR3697" s="67"/>
      <c r="AS3697" s="73"/>
      <c r="AT3697" s="67"/>
      <c r="AU3697" s="67"/>
      <c r="AV3697" s="73"/>
      <c r="AW3697" s="68"/>
      <c r="AX3697" s="68"/>
      <c r="AY3697" s="68"/>
      <c r="AZ3697" s="68"/>
      <c r="BA3697" s="68"/>
      <c r="BB3697" s="67"/>
      <c r="BC3697" s="67"/>
      <c r="BD3697" s="67"/>
      <c r="BE3697" s="67"/>
      <c r="BF3697" s="95"/>
    </row>
    <row r="3698" spans="42:58" x14ac:dyDescent="0.35">
      <c r="AP3698" s="93"/>
      <c r="AQ3698" s="31"/>
      <c r="AR3698" s="31"/>
      <c r="AS3698" s="94"/>
      <c r="AT3698" s="31"/>
      <c r="AU3698" s="31"/>
      <c r="AV3698" s="94"/>
      <c r="AW3698" s="32"/>
      <c r="AX3698" s="32"/>
      <c r="AY3698" s="32"/>
      <c r="AZ3698" s="32"/>
      <c r="BA3698" s="32"/>
      <c r="BB3698" s="31"/>
      <c r="BC3698" s="31"/>
      <c r="BD3698" s="31"/>
      <c r="BE3698" s="31"/>
      <c r="BF3698" s="96"/>
    </row>
    <row r="3699" spans="42:58" x14ac:dyDescent="0.35">
      <c r="AP3699" s="92"/>
      <c r="AQ3699" s="67"/>
      <c r="AR3699" s="67"/>
      <c r="AS3699" s="73"/>
      <c r="AT3699" s="67"/>
      <c r="AU3699" s="67"/>
      <c r="AV3699" s="73"/>
      <c r="AW3699" s="68"/>
      <c r="AX3699" s="68"/>
      <c r="AY3699" s="68"/>
      <c r="AZ3699" s="68"/>
      <c r="BA3699" s="68"/>
      <c r="BB3699" s="67"/>
      <c r="BC3699" s="67"/>
      <c r="BD3699" s="67"/>
      <c r="BE3699" s="67"/>
      <c r="BF3699" s="95"/>
    </row>
    <row r="3700" spans="42:58" x14ac:dyDescent="0.35">
      <c r="AP3700" s="93"/>
      <c r="AQ3700" s="31"/>
      <c r="AR3700" s="31"/>
      <c r="AS3700" s="94"/>
      <c r="AT3700" s="31"/>
      <c r="AU3700" s="31"/>
      <c r="AV3700" s="94"/>
      <c r="AW3700" s="32"/>
      <c r="AX3700" s="32"/>
      <c r="AY3700" s="32"/>
      <c r="AZ3700" s="32"/>
      <c r="BA3700" s="32"/>
      <c r="BB3700" s="31"/>
      <c r="BC3700" s="31"/>
      <c r="BD3700" s="31"/>
      <c r="BE3700" s="31"/>
      <c r="BF3700" s="96"/>
    </row>
    <row r="3701" spans="42:58" x14ac:dyDescent="0.35">
      <c r="AP3701" s="92"/>
      <c r="AQ3701" s="67"/>
      <c r="AR3701" s="67"/>
      <c r="AS3701" s="73"/>
      <c r="AT3701" s="67"/>
      <c r="AU3701" s="67"/>
      <c r="AV3701" s="73"/>
      <c r="AW3701" s="68"/>
      <c r="AX3701" s="68"/>
      <c r="AY3701" s="68"/>
      <c r="AZ3701" s="68"/>
      <c r="BA3701" s="68"/>
      <c r="BB3701" s="67"/>
      <c r="BC3701" s="67"/>
      <c r="BD3701" s="67"/>
      <c r="BE3701" s="67"/>
      <c r="BF3701" s="95"/>
    </row>
    <row r="3702" spans="42:58" x14ac:dyDescent="0.35">
      <c r="AP3702" s="93"/>
      <c r="AQ3702" s="31"/>
      <c r="AR3702" s="31"/>
      <c r="AS3702" s="94"/>
      <c r="AT3702" s="31"/>
      <c r="AU3702" s="31"/>
      <c r="AV3702" s="94"/>
      <c r="AW3702" s="32"/>
      <c r="AX3702" s="32"/>
      <c r="AY3702" s="32"/>
      <c r="AZ3702" s="32"/>
      <c r="BA3702" s="32"/>
      <c r="BB3702" s="31"/>
      <c r="BC3702" s="31"/>
      <c r="BD3702" s="31"/>
      <c r="BE3702" s="31"/>
      <c r="BF3702" s="96"/>
    </row>
    <row r="3703" spans="42:58" x14ac:dyDescent="0.35">
      <c r="AP3703" s="92"/>
      <c r="AQ3703" s="67"/>
      <c r="AR3703" s="67"/>
      <c r="AS3703" s="73"/>
      <c r="AT3703" s="67"/>
      <c r="AU3703" s="67"/>
      <c r="AV3703" s="73"/>
      <c r="AW3703" s="68"/>
      <c r="AX3703" s="68"/>
      <c r="AY3703" s="68"/>
      <c r="AZ3703" s="68"/>
      <c r="BA3703" s="68"/>
      <c r="BB3703" s="67"/>
      <c r="BC3703" s="67"/>
      <c r="BD3703" s="67"/>
      <c r="BE3703" s="67"/>
      <c r="BF3703" s="95"/>
    </row>
    <row r="3704" spans="42:58" x14ac:dyDescent="0.35">
      <c r="AP3704" s="93"/>
      <c r="AQ3704" s="31"/>
      <c r="AR3704" s="31"/>
      <c r="AS3704" s="94"/>
      <c r="AT3704" s="31"/>
      <c r="AU3704" s="31"/>
      <c r="AV3704" s="94"/>
      <c r="AW3704" s="32"/>
      <c r="AX3704" s="32"/>
      <c r="AY3704" s="32"/>
      <c r="AZ3704" s="32"/>
      <c r="BA3704" s="32"/>
      <c r="BB3704" s="31"/>
      <c r="BC3704" s="31"/>
      <c r="BD3704" s="31"/>
      <c r="BE3704" s="31"/>
      <c r="BF3704" s="96"/>
    </row>
    <row r="3705" spans="42:58" x14ac:dyDescent="0.35">
      <c r="AP3705" s="92"/>
      <c r="AQ3705" s="67"/>
      <c r="AR3705" s="67"/>
      <c r="AS3705" s="73"/>
      <c r="AT3705" s="67"/>
      <c r="AU3705" s="67"/>
      <c r="AV3705" s="73"/>
      <c r="AW3705" s="68"/>
      <c r="AX3705" s="68"/>
      <c r="AY3705" s="68"/>
      <c r="AZ3705" s="68"/>
      <c r="BA3705" s="68"/>
      <c r="BB3705" s="67"/>
      <c r="BC3705" s="67"/>
      <c r="BD3705" s="67"/>
      <c r="BE3705" s="67"/>
      <c r="BF3705" s="95"/>
    </row>
    <row r="3706" spans="42:58" x14ac:dyDescent="0.35">
      <c r="AP3706" s="93"/>
      <c r="AQ3706" s="31"/>
      <c r="AR3706" s="31"/>
      <c r="AS3706" s="94"/>
      <c r="AT3706" s="31"/>
      <c r="AU3706" s="31"/>
      <c r="AV3706" s="94"/>
      <c r="AW3706" s="32"/>
      <c r="AX3706" s="32"/>
      <c r="AY3706" s="32"/>
      <c r="AZ3706" s="32"/>
      <c r="BA3706" s="32"/>
      <c r="BB3706" s="31"/>
      <c r="BC3706" s="31"/>
      <c r="BD3706" s="31"/>
      <c r="BE3706" s="31"/>
      <c r="BF3706" s="96"/>
    </row>
    <row r="3707" spans="42:58" x14ac:dyDescent="0.35">
      <c r="AP3707" s="92"/>
      <c r="AQ3707" s="67"/>
      <c r="AR3707" s="67"/>
      <c r="AS3707" s="73"/>
      <c r="AT3707" s="67"/>
      <c r="AU3707" s="67"/>
      <c r="AV3707" s="73"/>
      <c r="AW3707" s="68"/>
      <c r="AX3707" s="68"/>
      <c r="AY3707" s="68"/>
      <c r="AZ3707" s="68"/>
      <c r="BA3707" s="68"/>
      <c r="BB3707" s="67"/>
      <c r="BC3707" s="67"/>
      <c r="BD3707" s="67"/>
      <c r="BE3707" s="67"/>
      <c r="BF3707" s="95"/>
    </row>
    <row r="3708" spans="42:58" x14ac:dyDescent="0.35">
      <c r="AP3708" s="93"/>
      <c r="AQ3708" s="31"/>
      <c r="AR3708" s="31"/>
      <c r="AS3708" s="94"/>
      <c r="AT3708" s="31"/>
      <c r="AU3708" s="31"/>
      <c r="AV3708" s="94"/>
      <c r="AW3708" s="32"/>
      <c r="AX3708" s="32"/>
      <c r="AY3708" s="32"/>
      <c r="AZ3708" s="32"/>
      <c r="BA3708" s="32"/>
      <c r="BB3708" s="31"/>
      <c r="BC3708" s="31"/>
      <c r="BD3708" s="31"/>
      <c r="BE3708" s="31"/>
      <c r="BF3708" s="96"/>
    </row>
    <row r="3709" spans="42:58" x14ac:dyDescent="0.35">
      <c r="AP3709" s="92"/>
      <c r="AQ3709" s="67"/>
      <c r="AR3709" s="67"/>
      <c r="AS3709" s="73"/>
      <c r="AT3709" s="67"/>
      <c r="AU3709" s="67"/>
      <c r="AV3709" s="73"/>
      <c r="AW3709" s="68"/>
      <c r="AX3709" s="68"/>
      <c r="AY3709" s="68"/>
      <c r="AZ3709" s="68"/>
      <c r="BA3709" s="68"/>
      <c r="BB3709" s="67"/>
      <c r="BC3709" s="67"/>
      <c r="BD3709" s="67"/>
      <c r="BE3709" s="67"/>
      <c r="BF3709" s="95"/>
    </row>
    <row r="3710" spans="42:58" x14ac:dyDescent="0.35">
      <c r="AP3710" s="93"/>
      <c r="AQ3710" s="31"/>
      <c r="AR3710" s="31"/>
      <c r="AS3710" s="94"/>
      <c r="AT3710" s="31"/>
      <c r="AU3710" s="31"/>
      <c r="AV3710" s="94"/>
      <c r="AW3710" s="32"/>
      <c r="AX3710" s="32"/>
      <c r="AY3710" s="32"/>
      <c r="AZ3710" s="32"/>
      <c r="BA3710" s="32"/>
      <c r="BB3710" s="31"/>
      <c r="BC3710" s="31"/>
      <c r="BD3710" s="31"/>
      <c r="BE3710" s="31"/>
      <c r="BF3710" s="96"/>
    </row>
    <row r="3711" spans="42:58" x14ac:dyDescent="0.35">
      <c r="AP3711" s="92"/>
      <c r="AQ3711" s="67"/>
      <c r="AR3711" s="67"/>
      <c r="AS3711" s="73"/>
      <c r="AT3711" s="67"/>
      <c r="AU3711" s="67"/>
      <c r="AV3711" s="73"/>
      <c r="AW3711" s="68"/>
      <c r="AX3711" s="68"/>
      <c r="AY3711" s="68"/>
      <c r="AZ3711" s="68"/>
      <c r="BA3711" s="68"/>
      <c r="BB3711" s="67"/>
      <c r="BC3711" s="67"/>
      <c r="BD3711" s="67"/>
      <c r="BE3711" s="67"/>
      <c r="BF3711" s="95"/>
    </row>
    <row r="3712" spans="42:58" x14ac:dyDescent="0.35">
      <c r="AP3712" s="93"/>
      <c r="AQ3712" s="31"/>
      <c r="AR3712" s="31"/>
      <c r="AS3712" s="94"/>
      <c r="AT3712" s="31"/>
      <c r="AU3712" s="31"/>
      <c r="AV3712" s="94"/>
      <c r="AW3712" s="32"/>
      <c r="AX3712" s="32"/>
      <c r="AY3712" s="32"/>
      <c r="AZ3712" s="32"/>
      <c r="BA3712" s="32"/>
      <c r="BB3712" s="31"/>
      <c r="BC3712" s="31"/>
      <c r="BD3712" s="31"/>
      <c r="BE3712" s="31"/>
      <c r="BF3712" s="96"/>
    </row>
    <row r="3713" spans="42:58" x14ac:dyDescent="0.35">
      <c r="AP3713" s="92"/>
      <c r="AQ3713" s="67"/>
      <c r="AR3713" s="67"/>
      <c r="AS3713" s="73"/>
      <c r="AT3713" s="67"/>
      <c r="AU3713" s="67"/>
      <c r="AV3713" s="73"/>
      <c r="AW3713" s="68"/>
      <c r="AX3713" s="68"/>
      <c r="AY3713" s="68"/>
      <c r="AZ3713" s="68"/>
      <c r="BA3713" s="68"/>
      <c r="BB3713" s="67"/>
      <c r="BC3713" s="67"/>
      <c r="BD3713" s="67"/>
      <c r="BE3713" s="67"/>
      <c r="BF3713" s="95"/>
    </row>
    <row r="3714" spans="42:58" x14ac:dyDescent="0.35">
      <c r="AP3714" s="93"/>
      <c r="AQ3714" s="31"/>
      <c r="AR3714" s="31"/>
      <c r="AS3714" s="94"/>
      <c r="AT3714" s="31"/>
      <c r="AU3714" s="31"/>
      <c r="AV3714" s="94"/>
      <c r="AW3714" s="32"/>
      <c r="AX3714" s="32"/>
      <c r="AY3714" s="32"/>
      <c r="AZ3714" s="32"/>
      <c r="BA3714" s="32"/>
      <c r="BB3714" s="31"/>
      <c r="BC3714" s="31"/>
      <c r="BD3714" s="31"/>
      <c r="BE3714" s="31"/>
      <c r="BF3714" s="96"/>
    </row>
    <row r="3715" spans="42:58" x14ac:dyDescent="0.35">
      <c r="AP3715" s="92"/>
      <c r="AQ3715" s="67"/>
      <c r="AR3715" s="67"/>
      <c r="AS3715" s="73"/>
      <c r="AT3715" s="67"/>
      <c r="AU3715" s="67"/>
      <c r="AV3715" s="73"/>
      <c r="AW3715" s="68"/>
      <c r="AX3715" s="68"/>
      <c r="AY3715" s="68"/>
      <c r="AZ3715" s="68"/>
      <c r="BA3715" s="68"/>
      <c r="BB3715" s="67"/>
      <c r="BC3715" s="67"/>
      <c r="BD3715" s="67"/>
      <c r="BE3715" s="67"/>
      <c r="BF3715" s="95"/>
    </row>
    <row r="3716" spans="42:58" x14ac:dyDescent="0.35">
      <c r="AP3716" s="93"/>
      <c r="AQ3716" s="31"/>
      <c r="AR3716" s="31"/>
      <c r="AS3716" s="94"/>
      <c r="AT3716" s="31"/>
      <c r="AU3716" s="31"/>
      <c r="AV3716" s="94"/>
      <c r="AW3716" s="32"/>
      <c r="AX3716" s="32"/>
      <c r="AY3716" s="32"/>
      <c r="AZ3716" s="32"/>
      <c r="BA3716" s="32"/>
      <c r="BB3716" s="31"/>
      <c r="BC3716" s="31"/>
      <c r="BD3716" s="31"/>
      <c r="BE3716" s="31"/>
      <c r="BF3716" s="96"/>
    </row>
    <row r="3717" spans="42:58" x14ac:dyDescent="0.35">
      <c r="AP3717" s="92"/>
      <c r="AQ3717" s="67"/>
      <c r="AR3717" s="67"/>
      <c r="AS3717" s="73"/>
      <c r="AT3717" s="67"/>
      <c r="AU3717" s="67"/>
      <c r="AV3717" s="73"/>
      <c r="AW3717" s="68"/>
      <c r="AX3717" s="68"/>
      <c r="AY3717" s="68"/>
      <c r="AZ3717" s="68"/>
      <c r="BA3717" s="68"/>
      <c r="BB3717" s="67"/>
      <c r="BC3717" s="67"/>
      <c r="BD3717" s="67"/>
      <c r="BE3717" s="67"/>
      <c r="BF3717" s="95"/>
    </row>
    <row r="3718" spans="42:58" x14ac:dyDescent="0.35">
      <c r="AP3718" s="93"/>
      <c r="AQ3718" s="31"/>
      <c r="AR3718" s="31"/>
      <c r="AS3718" s="94"/>
      <c r="AT3718" s="31"/>
      <c r="AU3718" s="31"/>
      <c r="AV3718" s="94"/>
      <c r="AW3718" s="32"/>
      <c r="AX3718" s="32"/>
      <c r="AY3718" s="32"/>
      <c r="AZ3718" s="32"/>
      <c r="BA3718" s="32"/>
      <c r="BB3718" s="31"/>
      <c r="BC3718" s="31"/>
      <c r="BD3718" s="31"/>
      <c r="BE3718" s="31"/>
      <c r="BF3718" s="96"/>
    </row>
    <row r="3719" spans="42:58" x14ac:dyDescent="0.35">
      <c r="AP3719" s="92"/>
      <c r="AQ3719" s="67"/>
      <c r="AR3719" s="67"/>
      <c r="AS3719" s="73"/>
      <c r="AT3719" s="67"/>
      <c r="AU3719" s="67"/>
      <c r="AV3719" s="73"/>
      <c r="AW3719" s="68"/>
      <c r="AX3719" s="68"/>
      <c r="AY3719" s="68"/>
      <c r="AZ3719" s="68"/>
      <c r="BA3719" s="68"/>
      <c r="BB3719" s="67"/>
      <c r="BC3719" s="67"/>
      <c r="BD3719" s="67"/>
      <c r="BE3719" s="67"/>
      <c r="BF3719" s="95"/>
    </row>
    <row r="3720" spans="42:58" x14ac:dyDescent="0.35">
      <c r="AP3720" s="93"/>
      <c r="AQ3720" s="31"/>
      <c r="AR3720" s="31"/>
      <c r="AS3720" s="94"/>
      <c r="AT3720" s="31"/>
      <c r="AU3720" s="31"/>
      <c r="AV3720" s="94"/>
      <c r="AW3720" s="32"/>
      <c r="AX3720" s="32"/>
      <c r="AY3720" s="32"/>
      <c r="AZ3720" s="32"/>
      <c r="BA3720" s="32"/>
      <c r="BB3720" s="31"/>
      <c r="BC3720" s="31"/>
      <c r="BD3720" s="31"/>
      <c r="BE3720" s="31"/>
      <c r="BF3720" s="96"/>
    </row>
    <row r="3721" spans="42:58" x14ac:dyDescent="0.35">
      <c r="AP3721" s="92"/>
      <c r="AQ3721" s="67"/>
      <c r="AR3721" s="67"/>
      <c r="AS3721" s="73"/>
      <c r="AT3721" s="67"/>
      <c r="AU3721" s="67"/>
      <c r="AV3721" s="73"/>
      <c r="AW3721" s="68"/>
      <c r="AX3721" s="68"/>
      <c r="AY3721" s="68"/>
      <c r="AZ3721" s="68"/>
      <c r="BA3721" s="68"/>
      <c r="BB3721" s="67"/>
      <c r="BC3721" s="67"/>
      <c r="BD3721" s="67"/>
      <c r="BE3721" s="67"/>
      <c r="BF3721" s="95"/>
    </row>
    <row r="3722" spans="42:58" x14ac:dyDescent="0.35">
      <c r="AP3722" s="93"/>
      <c r="AQ3722" s="31"/>
      <c r="AR3722" s="31"/>
      <c r="AS3722" s="94"/>
      <c r="AT3722" s="31"/>
      <c r="AU3722" s="31"/>
      <c r="AV3722" s="94"/>
      <c r="AW3722" s="32"/>
      <c r="AX3722" s="32"/>
      <c r="AY3722" s="32"/>
      <c r="AZ3722" s="32"/>
      <c r="BA3722" s="32"/>
      <c r="BB3722" s="31"/>
      <c r="BC3722" s="31"/>
      <c r="BD3722" s="31"/>
      <c r="BE3722" s="31"/>
      <c r="BF3722" s="96"/>
    </row>
    <row r="3723" spans="42:58" x14ac:dyDescent="0.35">
      <c r="AP3723" s="92"/>
      <c r="AQ3723" s="67"/>
      <c r="AR3723" s="67"/>
      <c r="AS3723" s="73"/>
      <c r="AT3723" s="67"/>
      <c r="AU3723" s="67"/>
      <c r="AV3723" s="73"/>
      <c r="AW3723" s="68"/>
      <c r="AX3723" s="68"/>
      <c r="AY3723" s="68"/>
      <c r="AZ3723" s="68"/>
      <c r="BA3723" s="68"/>
      <c r="BB3723" s="67"/>
      <c r="BC3723" s="67"/>
      <c r="BD3723" s="67"/>
      <c r="BE3723" s="67"/>
      <c r="BF3723" s="95"/>
    </row>
    <row r="3724" spans="42:58" x14ac:dyDescent="0.35">
      <c r="AP3724" s="93"/>
      <c r="AQ3724" s="31"/>
      <c r="AR3724" s="31"/>
      <c r="AS3724" s="94"/>
      <c r="AT3724" s="31"/>
      <c r="AU3724" s="31"/>
      <c r="AV3724" s="94"/>
      <c r="AW3724" s="32"/>
      <c r="AX3724" s="32"/>
      <c r="AY3724" s="32"/>
      <c r="AZ3724" s="32"/>
      <c r="BA3724" s="32"/>
      <c r="BB3724" s="31"/>
      <c r="BC3724" s="31"/>
      <c r="BD3724" s="31"/>
      <c r="BE3724" s="31"/>
      <c r="BF3724" s="96"/>
    </row>
    <row r="3725" spans="42:58" x14ac:dyDescent="0.35">
      <c r="AP3725" s="92"/>
      <c r="AQ3725" s="67"/>
      <c r="AR3725" s="67"/>
      <c r="AS3725" s="73"/>
      <c r="AT3725" s="67"/>
      <c r="AU3725" s="67"/>
      <c r="AV3725" s="73"/>
      <c r="AW3725" s="68"/>
      <c r="AX3725" s="68"/>
      <c r="AY3725" s="68"/>
      <c r="AZ3725" s="68"/>
      <c r="BA3725" s="68"/>
      <c r="BB3725" s="67"/>
      <c r="BC3725" s="67"/>
      <c r="BD3725" s="67"/>
      <c r="BE3725" s="67"/>
      <c r="BF3725" s="95"/>
    </row>
    <row r="3726" spans="42:58" x14ac:dyDescent="0.35">
      <c r="AP3726" s="93"/>
      <c r="AQ3726" s="31"/>
      <c r="AR3726" s="31"/>
      <c r="AS3726" s="94"/>
      <c r="AT3726" s="31"/>
      <c r="AU3726" s="31"/>
      <c r="AV3726" s="94"/>
      <c r="AW3726" s="32"/>
      <c r="AX3726" s="32"/>
      <c r="AY3726" s="32"/>
      <c r="AZ3726" s="32"/>
      <c r="BA3726" s="32"/>
      <c r="BB3726" s="31"/>
      <c r="BC3726" s="31"/>
      <c r="BD3726" s="31"/>
      <c r="BE3726" s="31"/>
      <c r="BF3726" s="96"/>
    </row>
    <row r="3727" spans="42:58" x14ac:dyDescent="0.35">
      <c r="AP3727" s="92"/>
      <c r="AQ3727" s="67"/>
      <c r="AR3727" s="67"/>
      <c r="AS3727" s="73"/>
      <c r="AT3727" s="67"/>
      <c r="AU3727" s="67"/>
      <c r="AV3727" s="73"/>
      <c r="AW3727" s="68"/>
      <c r="AX3727" s="68"/>
      <c r="AY3727" s="68"/>
      <c r="AZ3727" s="68"/>
      <c r="BA3727" s="68"/>
      <c r="BB3727" s="67"/>
      <c r="BC3727" s="67"/>
      <c r="BD3727" s="67"/>
      <c r="BE3727" s="67"/>
      <c r="BF3727" s="95"/>
    </row>
    <row r="3728" spans="42:58" x14ac:dyDescent="0.35">
      <c r="AP3728" s="93"/>
      <c r="AQ3728" s="31"/>
      <c r="AR3728" s="31"/>
      <c r="AS3728" s="94"/>
      <c r="AT3728" s="31"/>
      <c r="AU3728" s="31"/>
      <c r="AV3728" s="94"/>
      <c r="AW3728" s="32"/>
      <c r="AX3728" s="32"/>
      <c r="AY3728" s="32"/>
      <c r="AZ3728" s="32"/>
      <c r="BA3728" s="32"/>
      <c r="BB3728" s="31"/>
      <c r="BC3728" s="31"/>
      <c r="BD3728" s="31"/>
      <c r="BE3728" s="31"/>
      <c r="BF3728" s="96"/>
    </row>
    <row r="3729" spans="42:58" x14ac:dyDescent="0.35">
      <c r="AP3729" s="92"/>
      <c r="AQ3729" s="67"/>
      <c r="AR3729" s="67"/>
      <c r="AS3729" s="73"/>
      <c r="AT3729" s="67"/>
      <c r="AU3729" s="67"/>
      <c r="AV3729" s="73"/>
      <c r="AW3729" s="68"/>
      <c r="AX3729" s="68"/>
      <c r="AY3729" s="68"/>
      <c r="AZ3729" s="68"/>
      <c r="BA3729" s="68"/>
      <c r="BB3729" s="67"/>
      <c r="BC3729" s="67"/>
      <c r="BD3729" s="67"/>
      <c r="BE3729" s="67"/>
      <c r="BF3729" s="95"/>
    </row>
    <row r="3730" spans="42:58" x14ac:dyDescent="0.35">
      <c r="AP3730" s="93"/>
      <c r="AQ3730" s="31"/>
      <c r="AR3730" s="31"/>
      <c r="AS3730" s="94"/>
      <c r="AT3730" s="31"/>
      <c r="AU3730" s="31"/>
      <c r="AV3730" s="94"/>
      <c r="AW3730" s="32"/>
      <c r="AX3730" s="32"/>
      <c r="AY3730" s="32"/>
      <c r="AZ3730" s="32"/>
      <c r="BA3730" s="32"/>
      <c r="BB3730" s="31"/>
      <c r="BC3730" s="31"/>
      <c r="BD3730" s="31"/>
      <c r="BE3730" s="31"/>
      <c r="BF3730" s="96"/>
    </row>
    <row r="3731" spans="42:58" x14ac:dyDescent="0.35">
      <c r="AP3731" s="92"/>
      <c r="AQ3731" s="67"/>
      <c r="AR3731" s="67"/>
      <c r="AS3731" s="73"/>
      <c r="AT3731" s="67"/>
      <c r="AU3731" s="67"/>
      <c r="AV3731" s="73"/>
      <c r="AW3731" s="68"/>
      <c r="AX3731" s="68"/>
      <c r="AY3731" s="68"/>
      <c r="AZ3731" s="68"/>
      <c r="BA3731" s="68"/>
      <c r="BB3731" s="67"/>
      <c r="BC3731" s="67"/>
      <c r="BD3731" s="67"/>
      <c r="BE3731" s="67"/>
      <c r="BF3731" s="95"/>
    </row>
    <row r="3732" spans="42:58" x14ac:dyDescent="0.35">
      <c r="AP3732" s="93"/>
      <c r="AQ3732" s="31"/>
      <c r="AR3732" s="31"/>
      <c r="AS3732" s="94"/>
      <c r="AT3732" s="31"/>
      <c r="AU3732" s="31"/>
      <c r="AV3732" s="94"/>
      <c r="AW3732" s="32"/>
      <c r="AX3732" s="32"/>
      <c r="AY3732" s="32"/>
      <c r="AZ3732" s="32"/>
      <c r="BA3732" s="32"/>
      <c r="BB3732" s="31"/>
      <c r="BC3732" s="31"/>
      <c r="BD3732" s="31"/>
      <c r="BE3732" s="31"/>
      <c r="BF3732" s="96"/>
    </row>
    <row r="3733" spans="42:58" x14ac:dyDescent="0.35">
      <c r="AP3733" s="92"/>
      <c r="AQ3733" s="67"/>
      <c r="AR3733" s="67"/>
      <c r="AS3733" s="73"/>
      <c r="AT3733" s="67"/>
      <c r="AU3733" s="67"/>
      <c r="AV3733" s="73"/>
      <c r="AW3733" s="68"/>
      <c r="AX3733" s="68"/>
      <c r="AY3733" s="68"/>
      <c r="AZ3733" s="68"/>
      <c r="BA3733" s="68"/>
      <c r="BB3733" s="67"/>
      <c r="BC3733" s="67"/>
      <c r="BD3733" s="67"/>
      <c r="BE3733" s="67"/>
      <c r="BF3733" s="95"/>
    </row>
    <row r="3734" spans="42:58" x14ac:dyDescent="0.35">
      <c r="AP3734" s="93"/>
      <c r="AQ3734" s="31"/>
      <c r="AR3734" s="31"/>
      <c r="AS3734" s="94"/>
      <c r="AT3734" s="31"/>
      <c r="AU3734" s="31"/>
      <c r="AV3734" s="94"/>
      <c r="AW3734" s="32"/>
      <c r="AX3734" s="32"/>
      <c r="AY3734" s="32"/>
      <c r="AZ3734" s="32"/>
      <c r="BA3734" s="32"/>
      <c r="BB3734" s="31"/>
      <c r="BC3734" s="31"/>
      <c r="BD3734" s="31"/>
      <c r="BE3734" s="31"/>
      <c r="BF3734" s="96"/>
    </row>
    <row r="3735" spans="42:58" x14ac:dyDescent="0.35">
      <c r="AP3735" s="92"/>
      <c r="AQ3735" s="67"/>
      <c r="AR3735" s="67"/>
      <c r="AS3735" s="73"/>
      <c r="AT3735" s="67"/>
      <c r="AU3735" s="67"/>
      <c r="AV3735" s="73"/>
      <c r="AW3735" s="68"/>
      <c r="AX3735" s="68"/>
      <c r="AY3735" s="68"/>
      <c r="AZ3735" s="68"/>
      <c r="BA3735" s="68"/>
      <c r="BB3735" s="67"/>
      <c r="BC3735" s="67"/>
      <c r="BD3735" s="67"/>
      <c r="BE3735" s="67"/>
      <c r="BF3735" s="95"/>
    </row>
    <row r="3736" spans="42:58" x14ac:dyDescent="0.35">
      <c r="AP3736" s="93"/>
      <c r="AQ3736" s="31"/>
      <c r="AR3736" s="31"/>
      <c r="AS3736" s="94"/>
      <c r="AT3736" s="31"/>
      <c r="AU3736" s="31"/>
      <c r="AV3736" s="94"/>
      <c r="AW3736" s="32"/>
      <c r="AX3736" s="32"/>
      <c r="AY3736" s="32"/>
      <c r="AZ3736" s="32"/>
      <c r="BA3736" s="32"/>
      <c r="BB3736" s="31"/>
      <c r="BC3736" s="31"/>
      <c r="BD3736" s="31"/>
      <c r="BE3736" s="31"/>
      <c r="BF3736" s="96"/>
    </row>
    <row r="3737" spans="42:58" x14ac:dyDescent="0.35">
      <c r="AP3737" s="92"/>
      <c r="AQ3737" s="67"/>
      <c r="AR3737" s="67"/>
      <c r="AS3737" s="73"/>
      <c r="AT3737" s="67"/>
      <c r="AU3737" s="67"/>
      <c r="AV3737" s="73"/>
      <c r="AW3737" s="68"/>
      <c r="AX3737" s="68"/>
      <c r="AY3737" s="68"/>
      <c r="AZ3737" s="68"/>
      <c r="BA3737" s="68"/>
      <c r="BB3737" s="67"/>
      <c r="BC3737" s="67"/>
      <c r="BD3737" s="67"/>
      <c r="BE3737" s="67"/>
      <c r="BF3737" s="95"/>
    </row>
    <row r="3738" spans="42:58" x14ac:dyDescent="0.35">
      <c r="AP3738" s="93"/>
      <c r="AQ3738" s="31"/>
      <c r="AR3738" s="31"/>
      <c r="AS3738" s="94"/>
      <c r="AT3738" s="31"/>
      <c r="AU3738" s="31"/>
      <c r="AV3738" s="94"/>
      <c r="AW3738" s="32"/>
      <c r="AX3738" s="32"/>
      <c r="AY3738" s="32"/>
      <c r="AZ3738" s="32"/>
      <c r="BA3738" s="32"/>
      <c r="BB3738" s="31"/>
      <c r="BC3738" s="31"/>
      <c r="BD3738" s="31"/>
      <c r="BE3738" s="31"/>
      <c r="BF3738" s="96"/>
    </row>
    <row r="3739" spans="42:58" x14ac:dyDescent="0.35">
      <c r="AP3739" s="92"/>
      <c r="AQ3739" s="67"/>
      <c r="AR3739" s="67"/>
      <c r="AS3739" s="73"/>
      <c r="AT3739" s="67"/>
      <c r="AU3739" s="67"/>
      <c r="AV3739" s="73"/>
      <c r="AW3739" s="68"/>
      <c r="AX3739" s="68"/>
      <c r="AY3739" s="68"/>
      <c r="AZ3739" s="68"/>
      <c r="BA3739" s="68"/>
      <c r="BB3739" s="67"/>
      <c r="BC3739" s="67"/>
      <c r="BD3739" s="67"/>
      <c r="BE3739" s="67"/>
      <c r="BF3739" s="95"/>
    </row>
    <row r="3740" spans="42:58" x14ac:dyDescent="0.35">
      <c r="AP3740" s="93"/>
      <c r="AQ3740" s="31"/>
      <c r="AR3740" s="31"/>
      <c r="AS3740" s="94"/>
      <c r="AT3740" s="31"/>
      <c r="AU3740" s="31"/>
      <c r="AV3740" s="94"/>
      <c r="AW3740" s="32"/>
      <c r="AX3740" s="32"/>
      <c r="AY3740" s="32"/>
      <c r="AZ3740" s="32"/>
      <c r="BA3740" s="32"/>
      <c r="BB3740" s="31"/>
      <c r="BC3740" s="31"/>
      <c r="BD3740" s="31"/>
      <c r="BE3740" s="31"/>
      <c r="BF3740" s="96"/>
    </row>
    <row r="3741" spans="42:58" x14ac:dyDescent="0.35">
      <c r="AP3741" s="92"/>
      <c r="AQ3741" s="67"/>
      <c r="AR3741" s="67"/>
      <c r="AS3741" s="73"/>
      <c r="AT3741" s="67"/>
      <c r="AU3741" s="67"/>
      <c r="AV3741" s="73"/>
      <c r="AW3741" s="68"/>
      <c r="AX3741" s="68"/>
      <c r="AY3741" s="68"/>
      <c r="AZ3741" s="68"/>
      <c r="BA3741" s="68"/>
      <c r="BB3741" s="67"/>
      <c r="BC3741" s="67"/>
      <c r="BD3741" s="67"/>
      <c r="BE3741" s="67"/>
      <c r="BF3741" s="95"/>
    </row>
    <row r="3742" spans="42:58" x14ac:dyDescent="0.35">
      <c r="AP3742" s="93"/>
      <c r="AQ3742" s="31"/>
      <c r="AR3742" s="31"/>
      <c r="AS3742" s="94"/>
      <c r="AT3742" s="31"/>
      <c r="AU3742" s="31"/>
      <c r="AV3742" s="94"/>
      <c r="AW3742" s="32"/>
      <c r="AX3742" s="32"/>
      <c r="AY3742" s="32"/>
      <c r="AZ3742" s="32"/>
      <c r="BA3742" s="32"/>
      <c r="BB3742" s="31"/>
      <c r="BC3742" s="31"/>
      <c r="BD3742" s="31"/>
      <c r="BE3742" s="31"/>
      <c r="BF3742" s="96"/>
    </row>
    <row r="3743" spans="42:58" x14ac:dyDescent="0.35">
      <c r="AP3743" s="92"/>
      <c r="AQ3743" s="67"/>
      <c r="AR3743" s="67"/>
      <c r="AS3743" s="73"/>
      <c r="AT3743" s="67"/>
      <c r="AU3743" s="67"/>
      <c r="AV3743" s="73"/>
      <c r="AW3743" s="68"/>
      <c r="AX3743" s="68"/>
      <c r="AY3743" s="68"/>
      <c r="AZ3743" s="68"/>
      <c r="BA3743" s="68"/>
      <c r="BB3743" s="67"/>
      <c r="BC3743" s="67"/>
      <c r="BD3743" s="67"/>
      <c r="BE3743" s="67"/>
      <c r="BF3743" s="95"/>
    </row>
    <row r="3744" spans="42:58" x14ac:dyDescent="0.35">
      <c r="AP3744" s="93"/>
      <c r="AQ3744" s="31"/>
      <c r="AR3744" s="31"/>
      <c r="AS3744" s="94"/>
      <c r="AT3744" s="31"/>
      <c r="AU3744" s="31"/>
      <c r="AV3744" s="94"/>
      <c r="AW3744" s="32"/>
      <c r="AX3744" s="32"/>
      <c r="AY3744" s="32"/>
      <c r="AZ3744" s="32"/>
      <c r="BA3744" s="32"/>
      <c r="BB3744" s="31"/>
      <c r="BC3744" s="31"/>
      <c r="BD3744" s="31"/>
      <c r="BE3744" s="31"/>
      <c r="BF3744" s="96"/>
    </row>
    <row r="3745" spans="42:58" x14ac:dyDescent="0.35">
      <c r="AP3745" s="92"/>
      <c r="AQ3745" s="67"/>
      <c r="AR3745" s="67"/>
      <c r="AS3745" s="73"/>
      <c r="AT3745" s="67"/>
      <c r="AU3745" s="67"/>
      <c r="AV3745" s="73"/>
      <c r="AW3745" s="68"/>
      <c r="AX3745" s="68"/>
      <c r="AY3745" s="68"/>
      <c r="AZ3745" s="68"/>
      <c r="BA3745" s="68"/>
      <c r="BB3745" s="67"/>
      <c r="BC3745" s="67"/>
      <c r="BD3745" s="67"/>
      <c r="BE3745" s="67"/>
      <c r="BF3745" s="95"/>
    </row>
    <row r="3746" spans="42:58" x14ac:dyDescent="0.35">
      <c r="AP3746" s="93"/>
      <c r="AQ3746" s="31"/>
      <c r="AR3746" s="31"/>
      <c r="AS3746" s="94"/>
      <c r="AT3746" s="31"/>
      <c r="AU3746" s="31"/>
      <c r="AV3746" s="94"/>
      <c r="AW3746" s="32"/>
      <c r="AX3746" s="32"/>
      <c r="AY3746" s="32"/>
      <c r="AZ3746" s="32"/>
      <c r="BA3746" s="32"/>
      <c r="BB3746" s="31"/>
      <c r="BC3746" s="31"/>
      <c r="BD3746" s="31"/>
      <c r="BE3746" s="31"/>
      <c r="BF3746" s="96"/>
    </row>
    <row r="3747" spans="42:58" x14ac:dyDescent="0.35">
      <c r="AP3747" s="92"/>
      <c r="AQ3747" s="67"/>
      <c r="AR3747" s="67"/>
      <c r="AS3747" s="73"/>
      <c r="AT3747" s="67"/>
      <c r="AU3747" s="67"/>
      <c r="AV3747" s="73"/>
      <c r="AW3747" s="68"/>
      <c r="AX3747" s="68"/>
      <c r="AY3747" s="68"/>
      <c r="AZ3747" s="68"/>
      <c r="BA3747" s="68"/>
      <c r="BB3747" s="67"/>
      <c r="BC3747" s="67"/>
      <c r="BD3747" s="67"/>
      <c r="BE3747" s="67"/>
      <c r="BF3747" s="95"/>
    </row>
    <row r="3748" spans="42:58" x14ac:dyDescent="0.35">
      <c r="AP3748" s="93"/>
      <c r="AQ3748" s="31"/>
      <c r="AR3748" s="31"/>
      <c r="AS3748" s="94"/>
      <c r="AT3748" s="31"/>
      <c r="AU3748" s="31"/>
      <c r="AV3748" s="94"/>
      <c r="AW3748" s="32"/>
      <c r="AX3748" s="32"/>
      <c r="AY3748" s="32"/>
      <c r="AZ3748" s="32"/>
      <c r="BA3748" s="32"/>
      <c r="BB3748" s="31"/>
      <c r="BC3748" s="31"/>
      <c r="BD3748" s="31"/>
      <c r="BE3748" s="31"/>
      <c r="BF3748" s="96"/>
    </row>
    <row r="3749" spans="42:58" x14ac:dyDescent="0.35">
      <c r="AP3749" s="92"/>
      <c r="AQ3749" s="67"/>
      <c r="AR3749" s="67"/>
      <c r="AS3749" s="73"/>
      <c r="AT3749" s="67"/>
      <c r="AU3749" s="67"/>
      <c r="AV3749" s="73"/>
      <c r="AW3749" s="68"/>
      <c r="AX3749" s="68"/>
      <c r="AY3749" s="68"/>
      <c r="AZ3749" s="68"/>
      <c r="BA3749" s="68"/>
      <c r="BB3749" s="67"/>
      <c r="BC3749" s="67"/>
      <c r="BD3749" s="67"/>
      <c r="BE3749" s="67"/>
      <c r="BF3749" s="95"/>
    </row>
    <row r="3750" spans="42:58" x14ac:dyDescent="0.35">
      <c r="AP3750" s="93"/>
      <c r="AQ3750" s="31"/>
      <c r="AR3750" s="31"/>
      <c r="AS3750" s="94"/>
      <c r="AT3750" s="31"/>
      <c r="AU3750" s="31"/>
      <c r="AV3750" s="94"/>
      <c r="AW3750" s="32"/>
      <c r="AX3750" s="32"/>
      <c r="AY3750" s="32"/>
      <c r="AZ3750" s="32"/>
      <c r="BA3750" s="32"/>
      <c r="BB3750" s="31"/>
      <c r="BC3750" s="31"/>
      <c r="BD3750" s="31"/>
      <c r="BE3750" s="31"/>
      <c r="BF3750" s="96"/>
    </row>
    <row r="3751" spans="42:58" x14ac:dyDescent="0.35">
      <c r="AP3751" s="92"/>
      <c r="AQ3751" s="67"/>
      <c r="AR3751" s="67"/>
      <c r="AS3751" s="73"/>
      <c r="AT3751" s="67"/>
      <c r="AU3751" s="67"/>
      <c r="AV3751" s="73"/>
      <c r="AW3751" s="68"/>
      <c r="AX3751" s="68"/>
      <c r="AY3751" s="68"/>
      <c r="AZ3751" s="68"/>
      <c r="BA3751" s="68"/>
      <c r="BB3751" s="67"/>
      <c r="BC3751" s="67"/>
      <c r="BD3751" s="67"/>
      <c r="BE3751" s="67"/>
      <c r="BF3751" s="95"/>
    </row>
    <row r="3752" spans="42:58" x14ac:dyDescent="0.35">
      <c r="AP3752" s="93"/>
      <c r="AQ3752" s="31"/>
      <c r="AR3752" s="31"/>
      <c r="AS3752" s="94"/>
      <c r="AT3752" s="31"/>
      <c r="AU3752" s="31"/>
      <c r="AV3752" s="94"/>
      <c r="AW3752" s="32"/>
      <c r="AX3752" s="32"/>
      <c r="AY3752" s="32"/>
      <c r="AZ3752" s="32"/>
      <c r="BA3752" s="32"/>
      <c r="BB3752" s="31"/>
      <c r="BC3752" s="31"/>
      <c r="BD3752" s="31"/>
      <c r="BE3752" s="31"/>
      <c r="BF3752" s="96"/>
    </row>
    <row r="3753" spans="42:58" x14ac:dyDescent="0.35">
      <c r="AP3753" s="92"/>
      <c r="AQ3753" s="67"/>
      <c r="AR3753" s="67"/>
      <c r="AS3753" s="73"/>
      <c r="AT3753" s="67"/>
      <c r="AU3753" s="67"/>
      <c r="AV3753" s="73"/>
      <c r="AW3753" s="68"/>
      <c r="AX3753" s="68"/>
      <c r="AY3753" s="68"/>
      <c r="AZ3753" s="68"/>
      <c r="BA3753" s="68"/>
      <c r="BB3753" s="67"/>
      <c r="BC3753" s="67"/>
      <c r="BD3753" s="67"/>
      <c r="BE3753" s="67"/>
      <c r="BF3753" s="95"/>
    </row>
    <row r="3754" spans="42:58" x14ac:dyDescent="0.35">
      <c r="AP3754" s="93"/>
      <c r="AQ3754" s="31"/>
      <c r="AR3754" s="31"/>
      <c r="AS3754" s="94"/>
      <c r="AT3754" s="31"/>
      <c r="AU3754" s="31"/>
      <c r="AV3754" s="94"/>
      <c r="AW3754" s="32"/>
      <c r="AX3754" s="32"/>
      <c r="AY3754" s="32"/>
      <c r="AZ3754" s="32"/>
      <c r="BA3754" s="32"/>
      <c r="BB3754" s="31"/>
      <c r="BC3754" s="31"/>
      <c r="BD3754" s="31"/>
      <c r="BE3754" s="31"/>
      <c r="BF3754" s="96"/>
    </row>
    <row r="3755" spans="42:58" x14ac:dyDescent="0.35">
      <c r="AP3755" s="92"/>
      <c r="AQ3755" s="67"/>
      <c r="AR3755" s="67"/>
      <c r="AS3755" s="73"/>
      <c r="AT3755" s="67"/>
      <c r="AU3755" s="67"/>
      <c r="AV3755" s="73"/>
      <c r="AW3755" s="68"/>
      <c r="AX3755" s="68"/>
      <c r="AY3755" s="68"/>
      <c r="AZ3755" s="68"/>
      <c r="BA3755" s="68"/>
      <c r="BB3755" s="67"/>
      <c r="BC3755" s="67"/>
      <c r="BD3755" s="67"/>
      <c r="BE3755" s="67"/>
      <c r="BF3755" s="95"/>
    </row>
    <row r="3756" spans="42:58" x14ac:dyDescent="0.35">
      <c r="AP3756" s="93"/>
      <c r="AQ3756" s="31"/>
      <c r="AR3756" s="31"/>
      <c r="AS3756" s="94"/>
      <c r="AT3756" s="31"/>
      <c r="AU3756" s="31"/>
      <c r="AV3756" s="94"/>
      <c r="AW3756" s="32"/>
      <c r="AX3756" s="32"/>
      <c r="AY3756" s="32"/>
      <c r="AZ3756" s="32"/>
      <c r="BA3756" s="32"/>
      <c r="BB3756" s="31"/>
      <c r="BC3756" s="31"/>
      <c r="BD3756" s="31"/>
      <c r="BE3756" s="31"/>
      <c r="BF3756" s="96"/>
    </row>
    <row r="3757" spans="42:58" x14ac:dyDescent="0.35">
      <c r="AP3757" s="92"/>
      <c r="AQ3757" s="67"/>
      <c r="AR3757" s="67"/>
      <c r="AS3757" s="73"/>
      <c r="AT3757" s="67"/>
      <c r="AU3757" s="67"/>
      <c r="AV3757" s="73"/>
      <c r="AW3757" s="68"/>
      <c r="AX3757" s="68"/>
      <c r="AY3757" s="68"/>
      <c r="AZ3757" s="68"/>
      <c r="BA3757" s="68"/>
      <c r="BB3757" s="67"/>
      <c r="BC3757" s="67"/>
      <c r="BD3757" s="67"/>
      <c r="BE3757" s="67"/>
      <c r="BF3757" s="95"/>
    </row>
    <row r="3758" spans="42:58" x14ac:dyDescent="0.35">
      <c r="AP3758" s="93"/>
      <c r="AQ3758" s="31"/>
      <c r="AR3758" s="31"/>
      <c r="AS3758" s="94"/>
      <c r="AT3758" s="31"/>
      <c r="AU3758" s="31"/>
      <c r="AV3758" s="94"/>
      <c r="AW3758" s="32"/>
      <c r="AX3758" s="32"/>
      <c r="AY3758" s="32"/>
      <c r="AZ3758" s="32"/>
      <c r="BA3758" s="32"/>
      <c r="BB3758" s="31"/>
      <c r="BC3758" s="31"/>
      <c r="BD3758" s="31"/>
      <c r="BE3758" s="31"/>
      <c r="BF3758" s="96"/>
    </row>
    <row r="3759" spans="42:58" x14ac:dyDescent="0.35">
      <c r="AP3759" s="92"/>
      <c r="AQ3759" s="67"/>
      <c r="AR3759" s="67"/>
      <c r="AS3759" s="73"/>
      <c r="AT3759" s="67"/>
      <c r="AU3759" s="67"/>
      <c r="AV3759" s="73"/>
      <c r="AW3759" s="68"/>
      <c r="AX3759" s="68"/>
      <c r="AY3759" s="68"/>
      <c r="AZ3759" s="68"/>
      <c r="BA3759" s="68"/>
      <c r="BB3759" s="67"/>
      <c r="BC3759" s="67"/>
      <c r="BD3759" s="67"/>
      <c r="BE3759" s="67"/>
      <c r="BF3759" s="95"/>
    </row>
    <row r="3760" spans="42:58" x14ac:dyDescent="0.35">
      <c r="AP3760" s="93"/>
      <c r="AQ3760" s="31"/>
      <c r="AR3760" s="31"/>
      <c r="AS3760" s="94"/>
      <c r="AT3760" s="31"/>
      <c r="AU3760" s="31"/>
      <c r="AV3760" s="94"/>
      <c r="AW3760" s="32"/>
      <c r="AX3760" s="32"/>
      <c r="AY3760" s="32"/>
      <c r="AZ3760" s="32"/>
      <c r="BA3760" s="32"/>
      <c r="BB3760" s="31"/>
      <c r="BC3760" s="31"/>
      <c r="BD3760" s="31"/>
      <c r="BE3760" s="31"/>
      <c r="BF3760" s="96"/>
    </row>
    <row r="3761" spans="42:58" x14ac:dyDescent="0.35">
      <c r="AP3761" s="92"/>
      <c r="AQ3761" s="67"/>
      <c r="AR3761" s="67"/>
      <c r="AS3761" s="73"/>
      <c r="AT3761" s="67"/>
      <c r="AU3761" s="67"/>
      <c r="AV3761" s="73"/>
      <c r="AW3761" s="68"/>
      <c r="AX3761" s="68"/>
      <c r="AY3761" s="68"/>
      <c r="AZ3761" s="68"/>
      <c r="BA3761" s="68"/>
      <c r="BB3761" s="67"/>
      <c r="BC3761" s="67"/>
      <c r="BD3761" s="67"/>
      <c r="BE3761" s="67"/>
      <c r="BF3761" s="95"/>
    </row>
    <row r="3762" spans="42:58" x14ac:dyDescent="0.35">
      <c r="AP3762" s="93"/>
      <c r="AQ3762" s="31"/>
      <c r="AR3762" s="31"/>
      <c r="AS3762" s="94"/>
      <c r="AT3762" s="31"/>
      <c r="AU3762" s="31"/>
      <c r="AV3762" s="94"/>
      <c r="AW3762" s="32"/>
      <c r="AX3762" s="32"/>
      <c r="AY3762" s="32"/>
      <c r="AZ3762" s="32"/>
      <c r="BA3762" s="32"/>
      <c r="BB3762" s="31"/>
      <c r="BC3762" s="31"/>
      <c r="BD3762" s="31"/>
      <c r="BE3762" s="31"/>
      <c r="BF3762" s="96"/>
    </row>
    <row r="3763" spans="42:58" x14ac:dyDescent="0.35">
      <c r="AP3763" s="92"/>
      <c r="AQ3763" s="67"/>
      <c r="AR3763" s="67"/>
      <c r="AS3763" s="73"/>
      <c r="AT3763" s="67"/>
      <c r="AU3763" s="67"/>
      <c r="AV3763" s="73"/>
      <c r="AW3763" s="68"/>
      <c r="AX3763" s="68"/>
      <c r="AY3763" s="68"/>
      <c r="AZ3763" s="68"/>
      <c r="BA3763" s="68"/>
      <c r="BB3763" s="67"/>
      <c r="BC3763" s="67"/>
      <c r="BD3763" s="67"/>
      <c r="BE3763" s="67"/>
      <c r="BF3763" s="95"/>
    </row>
    <row r="3764" spans="42:58" x14ac:dyDescent="0.35">
      <c r="AP3764" s="93"/>
      <c r="AQ3764" s="31"/>
      <c r="AR3764" s="31"/>
      <c r="AS3764" s="94"/>
      <c r="AT3764" s="31"/>
      <c r="AU3764" s="31"/>
      <c r="AV3764" s="94"/>
      <c r="AW3764" s="32"/>
      <c r="AX3764" s="32"/>
      <c r="AY3764" s="32"/>
      <c r="AZ3764" s="32"/>
      <c r="BA3764" s="32"/>
      <c r="BB3764" s="31"/>
      <c r="BC3764" s="31"/>
      <c r="BD3764" s="31"/>
      <c r="BE3764" s="31"/>
      <c r="BF3764" s="96"/>
    </row>
    <row r="3765" spans="42:58" x14ac:dyDescent="0.35">
      <c r="AP3765" s="92"/>
      <c r="AQ3765" s="67"/>
      <c r="AR3765" s="67"/>
      <c r="AS3765" s="73"/>
      <c r="AT3765" s="67"/>
      <c r="AU3765" s="67"/>
      <c r="AV3765" s="73"/>
      <c r="AW3765" s="68"/>
      <c r="AX3765" s="68"/>
      <c r="AY3765" s="68"/>
      <c r="AZ3765" s="68"/>
      <c r="BA3765" s="68"/>
      <c r="BB3765" s="67"/>
      <c r="BC3765" s="67"/>
      <c r="BD3765" s="67"/>
      <c r="BE3765" s="67"/>
      <c r="BF3765" s="95"/>
    </row>
    <row r="3766" spans="42:58" x14ac:dyDescent="0.35">
      <c r="AP3766" s="93"/>
      <c r="AQ3766" s="31"/>
      <c r="AR3766" s="31"/>
      <c r="AS3766" s="94"/>
      <c r="AT3766" s="31"/>
      <c r="AU3766" s="31"/>
      <c r="AV3766" s="94"/>
      <c r="AW3766" s="32"/>
      <c r="AX3766" s="32"/>
      <c r="AY3766" s="32"/>
      <c r="AZ3766" s="32"/>
      <c r="BA3766" s="32"/>
      <c r="BB3766" s="31"/>
      <c r="BC3766" s="31"/>
      <c r="BD3766" s="31"/>
      <c r="BE3766" s="31"/>
      <c r="BF3766" s="96"/>
    </row>
    <row r="3767" spans="42:58" x14ac:dyDescent="0.35">
      <c r="AP3767" s="92"/>
      <c r="AQ3767" s="67"/>
      <c r="AR3767" s="67"/>
      <c r="AS3767" s="73"/>
      <c r="AT3767" s="67"/>
      <c r="AU3767" s="67"/>
      <c r="AV3767" s="73"/>
      <c r="AW3767" s="68"/>
      <c r="AX3767" s="68"/>
      <c r="AY3767" s="68"/>
      <c r="AZ3767" s="68"/>
      <c r="BA3767" s="68"/>
      <c r="BB3767" s="67"/>
      <c r="BC3767" s="67"/>
      <c r="BD3767" s="67"/>
      <c r="BE3767" s="67"/>
      <c r="BF3767" s="95"/>
    </row>
    <row r="3768" spans="42:58" x14ac:dyDescent="0.35">
      <c r="AP3768" s="93"/>
      <c r="AQ3768" s="31"/>
      <c r="AR3768" s="31"/>
      <c r="AS3768" s="94"/>
      <c r="AT3768" s="31"/>
      <c r="AU3768" s="31"/>
      <c r="AV3768" s="94"/>
      <c r="AW3768" s="32"/>
      <c r="AX3768" s="32"/>
      <c r="AY3768" s="32"/>
      <c r="AZ3768" s="32"/>
      <c r="BA3768" s="32"/>
      <c r="BB3768" s="31"/>
      <c r="BC3768" s="31"/>
      <c r="BD3768" s="31"/>
      <c r="BE3768" s="31"/>
      <c r="BF3768" s="96"/>
    </row>
    <row r="3769" spans="42:58" x14ac:dyDescent="0.35">
      <c r="AP3769" s="92"/>
      <c r="AQ3769" s="67"/>
      <c r="AR3769" s="67"/>
      <c r="AS3769" s="73"/>
      <c r="AT3769" s="67"/>
      <c r="AU3769" s="67"/>
      <c r="AV3769" s="73"/>
      <c r="AW3769" s="68"/>
      <c r="AX3769" s="68"/>
      <c r="AY3769" s="68"/>
      <c r="AZ3769" s="68"/>
      <c r="BA3769" s="68"/>
      <c r="BB3769" s="67"/>
      <c r="BC3769" s="67"/>
      <c r="BD3769" s="67"/>
      <c r="BE3769" s="67"/>
      <c r="BF3769" s="95"/>
    </row>
    <row r="3770" spans="42:58" x14ac:dyDescent="0.35">
      <c r="AP3770" s="93"/>
      <c r="AQ3770" s="31"/>
      <c r="AR3770" s="31"/>
      <c r="AS3770" s="94"/>
      <c r="AT3770" s="31"/>
      <c r="AU3770" s="31"/>
      <c r="AV3770" s="94"/>
      <c r="AW3770" s="32"/>
      <c r="AX3770" s="32"/>
      <c r="AY3770" s="32"/>
      <c r="AZ3770" s="32"/>
      <c r="BA3770" s="32"/>
      <c r="BB3770" s="31"/>
      <c r="BC3770" s="31"/>
      <c r="BD3770" s="31"/>
      <c r="BE3770" s="31"/>
      <c r="BF3770" s="96"/>
    </row>
    <row r="3771" spans="42:58" x14ac:dyDescent="0.35">
      <c r="AP3771" s="92"/>
      <c r="AQ3771" s="67"/>
      <c r="AR3771" s="67"/>
      <c r="AS3771" s="73"/>
      <c r="AT3771" s="67"/>
      <c r="AU3771" s="67"/>
      <c r="AV3771" s="73"/>
      <c r="AW3771" s="68"/>
      <c r="AX3771" s="68"/>
      <c r="AY3771" s="68"/>
      <c r="AZ3771" s="68"/>
      <c r="BA3771" s="68"/>
      <c r="BB3771" s="67"/>
      <c r="BC3771" s="67"/>
      <c r="BD3771" s="67"/>
      <c r="BE3771" s="67"/>
      <c r="BF3771" s="95"/>
    </row>
    <row r="3772" spans="42:58" x14ac:dyDescent="0.35">
      <c r="AP3772" s="93"/>
      <c r="AQ3772" s="31"/>
      <c r="AR3772" s="31"/>
      <c r="AS3772" s="94"/>
      <c r="AT3772" s="31"/>
      <c r="AU3772" s="31"/>
      <c r="AV3772" s="94"/>
      <c r="AW3772" s="32"/>
      <c r="AX3772" s="32"/>
      <c r="AY3772" s="32"/>
      <c r="AZ3772" s="32"/>
      <c r="BA3772" s="32"/>
      <c r="BB3772" s="31"/>
      <c r="BC3772" s="31"/>
      <c r="BD3772" s="31"/>
      <c r="BE3772" s="31"/>
      <c r="BF3772" s="96"/>
    </row>
    <row r="3773" spans="42:58" x14ac:dyDescent="0.35">
      <c r="AP3773" s="92"/>
      <c r="AQ3773" s="67"/>
      <c r="AR3773" s="67"/>
      <c r="AS3773" s="73"/>
      <c r="AT3773" s="67"/>
      <c r="AU3773" s="67"/>
      <c r="AV3773" s="73"/>
      <c r="AW3773" s="68"/>
      <c r="AX3773" s="68"/>
      <c r="AY3773" s="68"/>
      <c r="AZ3773" s="68"/>
      <c r="BA3773" s="68"/>
      <c r="BB3773" s="67"/>
      <c r="BC3773" s="67"/>
      <c r="BD3773" s="67"/>
      <c r="BE3773" s="67"/>
      <c r="BF3773" s="95"/>
    </row>
    <row r="3774" spans="42:58" x14ac:dyDescent="0.35">
      <c r="AP3774" s="93"/>
      <c r="AQ3774" s="31"/>
      <c r="AR3774" s="31"/>
      <c r="AS3774" s="94"/>
      <c r="AT3774" s="31"/>
      <c r="AU3774" s="31"/>
      <c r="AV3774" s="94"/>
      <c r="AW3774" s="32"/>
      <c r="AX3774" s="32"/>
      <c r="AY3774" s="32"/>
      <c r="AZ3774" s="32"/>
      <c r="BA3774" s="32"/>
      <c r="BB3774" s="31"/>
      <c r="BC3774" s="31"/>
      <c r="BD3774" s="31"/>
      <c r="BE3774" s="31"/>
      <c r="BF3774" s="96"/>
    </row>
    <row r="3775" spans="42:58" x14ac:dyDescent="0.35">
      <c r="AP3775" s="92"/>
      <c r="AQ3775" s="67"/>
      <c r="AR3775" s="67"/>
      <c r="AS3775" s="73"/>
      <c r="AT3775" s="67"/>
      <c r="AU3775" s="67"/>
      <c r="AV3775" s="73"/>
      <c r="AW3775" s="68"/>
      <c r="AX3775" s="68"/>
      <c r="AY3775" s="68"/>
      <c r="AZ3775" s="68"/>
      <c r="BA3775" s="68"/>
      <c r="BB3775" s="67"/>
      <c r="BC3775" s="67"/>
      <c r="BD3775" s="67"/>
      <c r="BE3775" s="67"/>
      <c r="BF3775" s="95"/>
    </row>
    <row r="3776" spans="42:58" x14ac:dyDescent="0.35">
      <c r="AP3776" s="93"/>
      <c r="AQ3776" s="31"/>
      <c r="AR3776" s="31"/>
      <c r="AS3776" s="94"/>
      <c r="AT3776" s="31"/>
      <c r="AU3776" s="31"/>
      <c r="AV3776" s="94"/>
      <c r="AW3776" s="32"/>
      <c r="AX3776" s="32"/>
      <c r="AY3776" s="32"/>
      <c r="AZ3776" s="32"/>
      <c r="BA3776" s="32"/>
      <c r="BB3776" s="31"/>
      <c r="BC3776" s="31"/>
      <c r="BD3776" s="31"/>
      <c r="BE3776" s="31"/>
      <c r="BF3776" s="96"/>
    </row>
    <row r="3777" spans="42:58" x14ac:dyDescent="0.35">
      <c r="AP3777" s="92"/>
      <c r="AQ3777" s="67"/>
      <c r="AR3777" s="67"/>
      <c r="AS3777" s="73"/>
      <c r="AT3777" s="67"/>
      <c r="AU3777" s="67"/>
      <c r="AV3777" s="73"/>
      <c r="AW3777" s="68"/>
      <c r="AX3777" s="68"/>
      <c r="AY3777" s="68"/>
      <c r="AZ3777" s="68"/>
      <c r="BA3777" s="68"/>
      <c r="BB3777" s="67"/>
      <c r="BC3777" s="67"/>
      <c r="BD3777" s="67"/>
      <c r="BE3777" s="67"/>
      <c r="BF3777" s="95"/>
    </row>
    <row r="3778" spans="42:58" x14ac:dyDescent="0.35">
      <c r="AP3778" s="93"/>
      <c r="AQ3778" s="31"/>
      <c r="AR3778" s="31"/>
      <c r="AS3778" s="94"/>
      <c r="AT3778" s="31"/>
      <c r="AU3778" s="31"/>
      <c r="AV3778" s="94"/>
      <c r="AW3778" s="32"/>
      <c r="AX3778" s="32"/>
      <c r="AY3778" s="32"/>
      <c r="AZ3778" s="32"/>
      <c r="BA3778" s="32"/>
      <c r="BB3778" s="31"/>
      <c r="BC3778" s="31"/>
      <c r="BD3778" s="31"/>
      <c r="BE3778" s="31"/>
      <c r="BF3778" s="96"/>
    </row>
    <row r="3779" spans="42:58" x14ac:dyDescent="0.35">
      <c r="AP3779" s="92"/>
      <c r="AQ3779" s="67"/>
      <c r="AR3779" s="67"/>
      <c r="AS3779" s="73"/>
      <c r="AT3779" s="67"/>
      <c r="AU3779" s="67"/>
      <c r="AV3779" s="73"/>
      <c r="AW3779" s="68"/>
      <c r="AX3779" s="68"/>
      <c r="AY3779" s="68"/>
      <c r="AZ3779" s="68"/>
      <c r="BA3779" s="68"/>
      <c r="BB3779" s="67"/>
      <c r="BC3779" s="67"/>
      <c r="BD3779" s="67"/>
      <c r="BE3779" s="67"/>
      <c r="BF3779" s="95"/>
    </row>
    <row r="3780" spans="42:58" x14ac:dyDescent="0.35">
      <c r="AP3780" s="93"/>
      <c r="AQ3780" s="31"/>
      <c r="AR3780" s="31"/>
      <c r="AS3780" s="94"/>
      <c r="AT3780" s="31"/>
      <c r="AU3780" s="31"/>
      <c r="AV3780" s="94"/>
      <c r="AW3780" s="32"/>
      <c r="AX3780" s="32"/>
      <c r="AY3780" s="32"/>
      <c r="AZ3780" s="32"/>
      <c r="BA3780" s="32"/>
      <c r="BB3780" s="31"/>
      <c r="BC3780" s="31"/>
      <c r="BD3780" s="31"/>
      <c r="BE3780" s="31"/>
      <c r="BF3780" s="96"/>
    </row>
    <row r="3781" spans="42:58" x14ac:dyDescent="0.35">
      <c r="AP3781" s="92"/>
      <c r="AQ3781" s="67"/>
      <c r="AR3781" s="67"/>
      <c r="AS3781" s="73"/>
      <c r="AT3781" s="67"/>
      <c r="AU3781" s="67"/>
      <c r="AV3781" s="73"/>
      <c r="AW3781" s="68"/>
      <c r="AX3781" s="68"/>
      <c r="AY3781" s="68"/>
      <c r="AZ3781" s="68"/>
      <c r="BA3781" s="68"/>
      <c r="BB3781" s="67"/>
      <c r="BC3781" s="67"/>
      <c r="BD3781" s="67"/>
      <c r="BE3781" s="67"/>
      <c r="BF3781" s="95"/>
    </row>
    <row r="3782" spans="42:58" x14ac:dyDescent="0.35">
      <c r="AP3782" s="93"/>
      <c r="AQ3782" s="31"/>
      <c r="AR3782" s="31"/>
      <c r="AS3782" s="94"/>
      <c r="AT3782" s="31"/>
      <c r="AU3782" s="31"/>
      <c r="AV3782" s="94"/>
      <c r="AW3782" s="32"/>
      <c r="AX3782" s="32"/>
      <c r="AY3782" s="32"/>
      <c r="AZ3782" s="32"/>
      <c r="BA3782" s="32"/>
      <c r="BB3782" s="31"/>
      <c r="BC3782" s="31"/>
      <c r="BD3782" s="31"/>
      <c r="BE3782" s="31"/>
      <c r="BF3782" s="96"/>
    </row>
    <row r="3783" spans="42:58" x14ac:dyDescent="0.35">
      <c r="AP3783" s="92"/>
      <c r="AQ3783" s="67"/>
      <c r="AR3783" s="67"/>
      <c r="AS3783" s="73"/>
      <c r="AT3783" s="67"/>
      <c r="AU3783" s="67"/>
      <c r="AV3783" s="73"/>
      <c r="AW3783" s="68"/>
      <c r="AX3783" s="68"/>
      <c r="AY3783" s="68"/>
      <c r="AZ3783" s="68"/>
      <c r="BA3783" s="68"/>
      <c r="BB3783" s="67"/>
      <c r="BC3783" s="67"/>
      <c r="BD3783" s="67"/>
      <c r="BE3783" s="67"/>
      <c r="BF3783" s="95"/>
    </row>
    <row r="3784" spans="42:58" x14ac:dyDescent="0.35">
      <c r="AP3784" s="93"/>
      <c r="AQ3784" s="31"/>
      <c r="AR3784" s="31"/>
      <c r="AS3784" s="94"/>
      <c r="AT3784" s="31"/>
      <c r="AU3784" s="31"/>
      <c r="AV3784" s="94"/>
      <c r="AW3784" s="32"/>
      <c r="AX3784" s="32"/>
      <c r="AY3784" s="32"/>
      <c r="AZ3784" s="32"/>
      <c r="BA3784" s="32"/>
      <c r="BB3784" s="31"/>
      <c r="BC3784" s="31"/>
      <c r="BD3784" s="31"/>
      <c r="BE3784" s="31"/>
      <c r="BF3784" s="96"/>
    </row>
    <row r="3785" spans="42:58" x14ac:dyDescent="0.35">
      <c r="AP3785" s="92"/>
      <c r="AQ3785" s="67"/>
      <c r="AR3785" s="67"/>
      <c r="AS3785" s="73"/>
      <c r="AT3785" s="67"/>
      <c r="AU3785" s="67"/>
      <c r="AV3785" s="73"/>
      <c r="AW3785" s="68"/>
      <c r="AX3785" s="68"/>
      <c r="AY3785" s="68"/>
      <c r="AZ3785" s="68"/>
      <c r="BA3785" s="68"/>
      <c r="BB3785" s="67"/>
      <c r="BC3785" s="67"/>
      <c r="BD3785" s="67"/>
      <c r="BE3785" s="67"/>
      <c r="BF3785" s="95"/>
    </row>
    <row r="3786" spans="42:58" x14ac:dyDescent="0.35">
      <c r="AP3786" s="93"/>
      <c r="AQ3786" s="31"/>
      <c r="AR3786" s="31"/>
      <c r="AS3786" s="94"/>
      <c r="AT3786" s="31"/>
      <c r="AU3786" s="31"/>
      <c r="AV3786" s="94"/>
      <c r="AW3786" s="32"/>
      <c r="AX3786" s="32"/>
      <c r="AY3786" s="32"/>
      <c r="AZ3786" s="32"/>
      <c r="BA3786" s="32"/>
      <c r="BB3786" s="31"/>
      <c r="BC3786" s="31"/>
      <c r="BD3786" s="31"/>
      <c r="BE3786" s="31"/>
      <c r="BF3786" s="96"/>
    </row>
    <row r="3787" spans="42:58" x14ac:dyDescent="0.35">
      <c r="AP3787" s="92"/>
      <c r="AQ3787" s="67"/>
      <c r="AR3787" s="67"/>
      <c r="AS3787" s="73"/>
      <c r="AT3787" s="67"/>
      <c r="AU3787" s="67"/>
      <c r="AV3787" s="73"/>
      <c r="AW3787" s="68"/>
      <c r="AX3787" s="68"/>
      <c r="AY3787" s="68"/>
      <c r="AZ3787" s="68"/>
      <c r="BA3787" s="68"/>
      <c r="BB3787" s="67"/>
      <c r="BC3787" s="67"/>
      <c r="BD3787" s="67"/>
      <c r="BE3787" s="67"/>
      <c r="BF3787" s="95"/>
    </row>
    <row r="3788" spans="42:58" x14ac:dyDescent="0.35">
      <c r="AP3788" s="93"/>
      <c r="AQ3788" s="31"/>
      <c r="AR3788" s="31"/>
      <c r="AS3788" s="94"/>
      <c r="AT3788" s="31"/>
      <c r="AU3788" s="31"/>
      <c r="AV3788" s="94"/>
      <c r="AW3788" s="32"/>
      <c r="AX3788" s="32"/>
      <c r="AY3788" s="32"/>
      <c r="AZ3788" s="32"/>
      <c r="BA3788" s="32"/>
      <c r="BB3788" s="31"/>
      <c r="BC3788" s="31"/>
      <c r="BD3788" s="31"/>
      <c r="BE3788" s="31"/>
      <c r="BF3788" s="96"/>
    </row>
    <row r="3789" spans="42:58" x14ac:dyDescent="0.35">
      <c r="AP3789" s="92"/>
      <c r="AQ3789" s="67"/>
      <c r="AR3789" s="67"/>
      <c r="AS3789" s="73"/>
      <c r="AT3789" s="67"/>
      <c r="AU3789" s="67"/>
      <c r="AV3789" s="73"/>
      <c r="AW3789" s="68"/>
      <c r="AX3789" s="68"/>
      <c r="AY3789" s="68"/>
      <c r="AZ3789" s="68"/>
      <c r="BA3789" s="68"/>
      <c r="BB3789" s="67"/>
      <c r="BC3789" s="67"/>
      <c r="BD3789" s="67"/>
      <c r="BE3789" s="67"/>
      <c r="BF3789" s="95"/>
    </row>
    <row r="3790" spans="42:58" x14ac:dyDescent="0.35">
      <c r="AP3790" s="93"/>
      <c r="AQ3790" s="31"/>
      <c r="AR3790" s="31"/>
      <c r="AS3790" s="94"/>
      <c r="AT3790" s="31"/>
      <c r="AU3790" s="31"/>
      <c r="AV3790" s="94"/>
      <c r="AW3790" s="32"/>
      <c r="AX3790" s="32"/>
      <c r="AY3790" s="32"/>
      <c r="AZ3790" s="32"/>
      <c r="BA3790" s="32"/>
      <c r="BB3790" s="31"/>
      <c r="BC3790" s="31"/>
      <c r="BD3790" s="31"/>
      <c r="BE3790" s="31"/>
      <c r="BF3790" s="96"/>
    </row>
    <row r="3791" spans="42:58" x14ac:dyDescent="0.35">
      <c r="AP3791" s="92"/>
      <c r="AQ3791" s="67"/>
      <c r="AR3791" s="67"/>
      <c r="AS3791" s="73"/>
      <c r="AT3791" s="67"/>
      <c r="AU3791" s="67"/>
      <c r="AV3791" s="73"/>
      <c r="AW3791" s="68"/>
      <c r="AX3791" s="68"/>
      <c r="AY3791" s="68"/>
      <c r="AZ3791" s="68"/>
      <c r="BA3791" s="68"/>
      <c r="BB3791" s="67"/>
      <c r="BC3791" s="67"/>
      <c r="BD3791" s="67"/>
      <c r="BE3791" s="67"/>
      <c r="BF3791" s="95"/>
    </row>
    <row r="3792" spans="42:58" x14ac:dyDescent="0.35">
      <c r="AP3792" s="93"/>
      <c r="AQ3792" s="31"/>
      <c r="AR3792" s="31"/>
      <c r="AS3792" s="94"/>
      <c r="AT3792" s="31"/>
      <c r="AU3792" s="31"/>
      <c r="AV3792" s="94"/>
      <c r="AW3792" s="32"/>
      <c r="AX3792" s="32"/>
      <c r="AY3792" s="32"/>
      <c r="AZ3792" s="32"/>
      <c r="BA3792" s="32"/>
      <c r="BB3792" s="31"/>
      <c r="BC3792" s="31"/>
      <c r="BD3792" s="31"/>
      <c r="BE3792" s="31"/>
      <c r="BF3792" s="96"/>
    </row>
    <row r="3793" spans="42:58" x14ac:dyDescent="0.35">
      <c r="AP3793" s="92"/>
      <c r="AQ3793" s="67"/>
      <c r="AR3793" s="67"/>
      <c r="AS3793" s="73"/>
      <c r="AT3793" s="67"/>
      <c r="AU3793" s="67"/>
      <c r="AV3793" s="73"/>
      <c r="AW3793" s="68"/>
      <c r="AX3793" s="68"/>
      <c r="AY3793" s="68"/>
      <c r="AZ3793" s="68"/>
      <c r="BA3793" s="68"/>
      <c r="BB3793" s="67"/>
      <c r="BC3793" s="67"/>
      <c r="BD3793" s="67"/>
      <c r="BE3793" s="67"/>
      <c r="BF3793" s="95"/>
    </row>
    <row r="3794" spans="42:58" x14ac:dyDescent="0.35">
      <c r="AP3794" s="93"/>
      <c r="AQ3794" s="31"/>
      <c r="AR3794" s="31"/>
      <c r="AS3794" s="94"/>
      <c r="AT3794" s="31"/>
      <c r="AU3794" s="31"/>
      <c r="AV3794" s="94"/>
      <c r="AW3794" s="32"/>
      <c r="AX3794" s="32"/>
      <c r="AY3794" s="32"/>
      <c r="AZ3794" s="32"/>
      <c r="BA3794" s="32"/>
      <c r="BB3794" s="31"/>
      <c r="BC3794" s="31"/>
      <c r="BD3794" s="31"/>
      <c r="BE3794" s="31"/>
      <c r="BF3794" s="96"/>
    </row>
    <row r="3795" spans="42:58" x14ac:dyDescent="0.35">
      <c r="AP3795" s="92"/>
      <c r="AQ3795" s="67"/>
      <c r="AR3795" s="67"/>
      <c r="AS3795" s="73"/>
      <c r="AT3795" s="67"/>
      <c r="AU3795" s="67"/>
      <c r="AV3795" s="73"/>
      <c r="AW3795" s="68"/>
      <c r="AX3795" s="68"/>
      <c r="AY3795" s="68"/>
      <c r="AZ3795" s="68"/>
      <c r="BA3795" s="68"/>
      <c r="BB3795" s="67"/>
      <c r="BC3795" s="67"/>
      <c r="BD3795" s="67"/>
      <c r="BE3795" s="67"/>
      <c r="BF3795" s="95"/>
    </row>
    <row r="3796" spans="42:58" x14ac:dyDescent="0.35">
      <c r="AP3796" s="93"/>
      <c r="AQ3796" s="31"/>
      <c r="AR3796" s="31"/>
      <c r="AS3796" s="94"/>
      <c r="AT3796" s="31"/>
      <c r="AU3796" s="31"/>
      <c r="AV3796" s="94"/>
      <c r="AW3796" s="32"/>
      <c r="AX3796" s="32"/>
      <c r="AY3796" s="32"/>
      <c r="AZ3796" s="32"/>
      <c r="BA3796" s="32"/>
      <c r="BB3796" s="31"/>
      <c r="BC3796" s="31"/>
      <c r="BD3796" s="31"/>
      <c r="BE3796" s="31"/>
      <c r="BF3796" s="96"/>
    </row>
    <row r="3797" spans="42:58" x14ac:dyDescent="0.35">
      <c r="AP3797" s="92"/>
      <c r="AQ3797" s="67"/>
      <c r="AR3797" s="67"/>
      <c r="AS3797" s="73"/>
      <c r="AT3797" s="67"/>
      <c r="AU3797" s="67"/>
      <c r="AV3797" s="73"/>
      <c r="AW3797" s="68"/>
      <c r="AX3797" s="68"/>
      <c r="AY3797" s="68"/>
      <c r="AZ3797" s="68"/>
      <c r="BA3797" s="68"/>
      <c r="BB3797" s="67"/>
      <c r="BC3797" s="67"/>
      <c r="BD3797" s="67"/>
      <c r="BE3797" s="67"/>
      <c r="BF3797" s="95"/>
    </row>
    <row r="3798" spans="42:58" x14ac:dyDescent="0.35">
      <c r="AP3798" s="93"/>
      <c r="AQ3798" s="31"/>
      <c r="AR3798" s="31"/>
      <c r="AS3798" s="94"/>
      <c r="AT3798" s="31"/>
      <c r="AU3798" s="31"/>
      <c r="AV3798" s="94"/>
      <c r="AW3798" s="32"/>
      <c r="AX3798" s="32"/>
      <c r="AY3798" s="32"/>
      <c r="AZ3798" s="32"/>
      <c r="BA3798" s="32"/>
      <c r="BB3798" s="31"/>
      <c r="BC3798" s="31"/>
      <c r="BD3798" s="31"/>
      <c r="BE3798" s="31"/>
      <c r="BF3798" s="96"/>
    </row>
    <row r="3799" spans="42:58" x14ac:dyDescent="0.35">
      <c r="AP3799" s="92"/>
      <c r="AQ3799" s="67"/>
      <c r="AR3799" s="67"/>
      <c r="AS3799" s="73"/>
      <c r="AT3799" s="67"/>
      <c r="AU3799" s="67"/>
      <c r="AV3799" s="73"/>
      <c r="AW3799" s="68"/>
      <c r="AX3799" s="68"/>
      <c r="AY3799" s="68"/>
      <c r="AZ3799" s="68"/>
      <c r="BA3799" s="68"/>
      <c r="BB3799" s="67"/>
      <c r="BC3799" s="67"/>
      <c r="BD3799" s="67"/>
      <c r="BE3799" s="67"/>
      <c r="BF3799" s="95"/>
    </row>
    <row r="3800" spans="42:58" x14ac:dyDescent="0.35">
      <c r="AP3800" s="93"/>
      <c r="AQ3800" s="31"/>
      <c r="AR3800" s="31"/>
      <c r="AS3800" s="94"/>
      <c r="AT3800" s="31"/>
      <c r="AU3800" s="31"/>
      <c r="AV3800" s="94"/>
      <c r="AW3800" s="32"/>
      <c r="AX3800" s="32"/>
      <c r="AY3800" s="32"/>
      <c r="AZ3800" s="32"/>
      <c r="BA3800" s="32"/>
      <c r="BB3800" s="31"/>
      <c r="BC3800" s="31"/>
      <c r="BD3800" s="31"/>
      <c r="BE3800" s="31"/>
      <c r="BF3800" s="96"/>
    </row>
    <row r="3801" spans="42:58" x14ac:dyDescent="0.35">
      <c r="AP3801" s="92"/>
      <c r="AQ3801" s="67"/>
      <c r="AR3801" s="67"/>
      <c r="AS3801" s="73"/>
      <c r="AT3801" s="67"/>
      <c r="AU3801" s="67"/>
      <c r="AV3801" s="73"/>
      <c r="AW3801" s="68"/>
      <c r="AX3801" s="68"/>
      <c r="AY3801" s="68"/>
      <c r="AZ3801" s="68"/>
      <c r="BA3801" s="68"/>
      <c r="BB3801" s="67"/>
      <c r="BC3801" s="67"/>
      <c r="BD3801" s="67"/>
      <c r="BE3801" s="67"/>
      <c r="BF3801" s="95"/>
    </row>
    <row r="3802" spans="42:58" x14ac:dyDescent="0.35">
      <c r="AP3802" s="93"/>
      <c r="AQ3802" s="31"/>
      <c r="AR3802" s="31"/>
      <c r="AS3802" s="94"/>
      <c r="AT3802" s="31"/>
      <c r="AU3802" s="31"/>
      <c r="AV3802" s="94"/>
      <c r="AW3802" s="32"/>
      <c r="AX3802" s="32"/>
      <c r="AY3802" s="32"/>
      <c r="AZ3802" s="32"/>
      <c r="BA3802" s="32"/>
      <c r="BB3802" s="31"/>
      <c r="BC3802" s="31"/>
      <c r="BD3802" s="31"/>
      <c r="BE3802" s="31"/>
      <c r="BF3802" s="96"/>
    </row>
    <row r="3803" spans="42:58" x14ac:dyDescent="0.35">
      <c r="AP3803" s="92"/>
      <c r="AQ3803" s="67"/>
      <c r="AR3803" s="67"/>
      <c r="AS3803" s="73"/>
      <c r="AT3803" s="67"/>
      <c r="AU3803" s="67"/>
      <c r="AV3803" s="73"/>
      <c r="AW3803" s="68"/>
      <c r="AX3803" s="68"/>
      <c r="AY3803" s="68"/>
      <c r="AZ3803" s="68"/>
      <c r="BA3803" s="68"/>
      <c r="BB3803" s="67"/>
      <c r="BC3803" s="67"/>
      <c r="BD3803" s="67"/>
      <c r="BE3803" s="67"/>
      <c r="BF3803" s="95"/>
    </row>
    <row r="3804" spans="42:58" x14ac:dyDescent="0.35">
      <c r="AP3804" s="93"/>
      <c r="AQ3804" s="31"/>
      <c r="AR3804" s="31"/>
      <c r="AS3804" s="94"/>
      <c r="AT3804" s="31"/>
      <c r="AU3804" s="31"/>
      <c r="AV3804" s="94"/>
      <c r="AW3804" s="32"/>
      <c r="AX3804" s="32"/>
      <c r="AY3804" s="32"/>
      <c r="AZ3804" s="32"/>
      <c r="BA3804" s="32"/>
      <c r="BB3804" s="31"/>
      <c r="BC3804" s="31"/>
      <c r="BD3804" s="31"/>
      <c r="BE3804" s="31"/>
      <c r="BF3804" s="96"/>
    </row>
    <row r="3805" spans="42:58" x14ac:dyDescent="0.35">
      <c r="AP3805" s="92"/>
      <c r="AQ3805" s="67"/>
      <c r="AR3805" s="67"/>
      <c r="AS3805" s="73"/>
      <c r="AT3805" s="67"/>
      <c r="AU3805" s="67"/>
      <c r="AV3805" s="73"/>
      <c r="AW3805" s="68"/>
      <c r="AX3805" s="68"/>
      <c r="AY3805" s="68"/>
      <c r="AZ3805" s="68"/>
      <c r="BA3805" s="68"/>
      <c r="BB3805" s="67"/>
      <c r="BC3805" s="67"/>
      <c r="BD3805" s="67"/>
      <c r="BE3805" s="67"/>
      <c r="BF3805" s="95"/>
    </row>
    <row r="3806" spans="42:58" x14ac:dyDescent="0.35">
      <c r="AP3806" s="93"/>
      <c r="AQ3806" s="31"/>
      <c r="AR3806" s="31"/>
      <c r="AS3806" s="94"/>
      <c r="AT3806" s="31"/>
      <c r="AU3806" s="31"/>
      <c r="AV3806" s="94"/>
      <c r="AW3806" s="32"/>
      <c r="AX3806" s="32"/>
      <c r="AY3806" s="32"/>
      <c r="AZ3806" s="32"/>
      <c r="BA3806" s="32"/>
      <c r="BB3806" s="31"/>
      <c r="BC3806" s="31"/>
      <c r="BD3806" s="31"/>
      <c r="BE3806" s="31"/>
      <c r="BF3806" s="96"/>
    </row>
    <row r="3807" spans="42:58" x14ac:dyDescent="0.35">
      <c r="AP3807" s="92"/>
      <c r="AQ3807" s="67"/>
      <c r="AR3807" s="67"/>
      <c r="AS3807" s="73"/>
      <c r="AT3807" s="67"/>
      <c r="AU3807" s="67"/>
      <c r="AV3807" s="73"/>
      <c r="AW3807" s="68"/>
      <c r="AX3807" s="68"/>
      <c r="AY3807" s="68"/>
      <c r="AZ3807" s="68"/>
      <c r="BA3807" s="68"/>
      <c r="BB3807" s="67"/>
      <c r="BC3807" s="67"/>
      <c r="BD3807" s="67"/>
      <c r="BE3807" s="67"/>
      <c r="BF3807" s="95"/>
    </row>
    <row r="3808" spans="42:58" x14ac:dyDescent="0.35">
      <c r="AP3808" s="93"/>
      <c r="AQ3808" s="31"/>
      <c r="AR3808" s="31"/>
      <c r="AS3808" s="94"/>
      <c r="AT3808" s="31"/>
      <c r="AU3808" s="31"/>
      <c r="AV3808" s="94"/>
      <c r="AW3808" s="32"/>
      <c r="AX3808" s="32"/>
      <c r="AY3808" s="32"/>
      <c r="AZ3808" s="32"/>
      <c r="BA3808" s="32"/>
      <c r="BB3808" s="31"/>
      <c r="BC3808" s="31"/>
      <c r="BD3808" s="31"/>
      <c r="BE3808" s="31"/>
      <c r="BF3808" s="96"/>
    </row>
    <row r="3809" spans="42:58" x14ac:dyDescent="0.35">
      <c r="AP3809" s="92"/>
      <c r="AQ3809" s="67"/>
      <c r="AR3809" s="67"/>
      <c r="AS3809" s="73"/>
      <c r="AT3809" s="67"/>
      <c r="AU3809" s="67"/>
      <c r="AV3809" s="73"/>
      <c r="AW3809" s="68"/>
      <c r="AX3809" s="68"/>
      <c r="AY3809" s="68"/>
      <c r="AZ3809" s="68"/>
      <c r="BA3809" s="68"/>
      <c r="BB3809" s="67"/>
      <c r="BC3809" s="67"/>
      <c r="BD3809" s="67"/>
      <c r="BE3809" s="67"/>
      <c r="BF3809" s="95"/>
    </row>
    <row r="3810" spans="42:58" x14ac:dyDescent="0.35">
      <c r="AP3810" s="93"/>
      <c r="AQ3810" s="31"/>
      <c r="AR3810" s="31"/>
      <c r="AS3810" s="94"/>
      <c r="AT3810" s="31"/>
      <c r="AU3810" s="31"/>
      <c r="AV3810" s="94"/>
      <c r="AW3810" s="32"/>
      <c r="AX3810" s="32"/>
      <c r="AY3810" s="32"/>
      <c r="AZ3810" s="32"/>
      <c r="BA3810" s="32"/>
      <c r="BB3810" s="31"/>
      <c r="BC3810" s="31"/>
      <c r="BD3810" s="31"/>
      <c r="BE3810" s="31"/>
      <c r="BF3810" s="96"/>
    </row>
    <row r="3811" spans="42:58" x14ac:dyDescent="0.35">
      <c r="AP3811" s="92"/>
      <c r="AQ3811" s="67"/>
      <c r="AR3811" s="67"/>
      <c r="AS3811" s="73"/>
      <c r="AT3811" s="67"/>
      <c r="AU3811" s="67"/>
      <c r="AV3811" s="73"/>
      <c r="AW3811" s="68"/>
      <c r="AX3811" s="68"/>
      <c r="AY3811" s="68"/>
      <c r="AZ3811" s="68"/>
      <c r="BA3811" s="68"/>
      <c r="BB3811" s="67"/>
      <c r="BC3811" s="67"/>
      <c r="BD3811" s="67"/>
      <c r="BE3811" s="67"/>
      <c r="BF3811" s="95"/>
    </row>
    <row r="3812" spans="42:58" x14ac:dyDescent="0.35">
      <c r="AP3812" s="93"/>
      <c r="AQ3812" s="31"/>
      <c r="AR3812" s="31"/>
      <c r="AS3812" s="94"/>
      <c r="AT3812" s="31"/>
      <c r="AU3812" s="31"/>
      <c r="AV3812" s="94"/>
      <c r="AW3812" s="32"/>
      <c r="AX3812" s="32"/>
      <c r="AY3812" s="32"/>
      <c r="AZ3812" s="32"/>
      <c r="BA3812" s="32"/>
      <c r="BB3812" s="31"/>
      <c r="BC3812" s="31"/>
      <c r="BD3812" s="31"/>
      <c r="BE3812" s="31"/>
      <c r="BF3812" s="96"/>
    </row>
    <row r="3813" spans="42:58" x14ac:dyDescent="0.35">
      <c r="AP3813" s="92"/>
      <c r="AQ3813" s="67"/>
      <c r="AR3813" s="67"/>
      <c r="AS3813" s="73"/>
      <c r="AT3813" s="67"/>
      <c r="AU3813" s="67"/>
      <c r="AV3813" s="73"/>
      <c r="AW3813" s="68"/>
      <c r="AX3813" s="68"/>
      <c r="AY3813" s="68"/>
      <c r="AZ3813" s="68"/>
      <c r="BA3813" s="68"/>
      <c r="BB3813" s="67"/>
      <c r="BC3813" s="67"/>
      <c r="BD3813" s="67"/>
      <c r="BE3813" s="67"/>
      <c r="BF3813" s="95"/>
    </row>
    <row r="3814" spans="42:58" x14ac:dyDescent="0.35">
      <c r="AP3814" s="93"/>
      <c r="AQ3814" s="31"/>
      <c r="AR3814" s="31"/>
      <c r="AS3814" s="94"/>
      <c r="AT3814" s="31"/>
      <c r="AU3814" s="31"/>
      <c r="AV3814" s="94"/>
      <c r="AW3814" s="32"/>
      <c r="AX3814" s="32"/>
      <c r="AY3814" s="32"/>
      <c r="AZ3814" s="32"/>
      <c r="BA3814" s="32"/>
      <c r="BB3814" s="31"/>
      <c r="BC3814" s="31"/>
      <c r="BD3814" s="31"/>
      <c r="BE3814" s="31"/>
      <c r="BF3814" s="96"/>
    </row>
    <row r="3815" spans="42:58" x14ac:dyDescent="0.35">
      <c r="AP3815" s="92"/>
      <c r="AQ3815" s="67"/>
      <c r="AR3815" s="67"/>
      <c r="AS3815" s="73"/>
      <c r="AT3815" s="67"/>
      <c r="AU3815" s="67"/>
      <c r="AV3815" s="73"/>
      <c r="AW3815" s="68"/>
      <c r="AX3815" s="68"/>
      <c r="AY3815" s="68"/>
      <c r="AZ3815" s="68"/>
      <c r="BA3815" s="68"/>
      <c r="BB3815" s="67"/>
      <c r="BC3815" s="67"/>
      <c r="BD3815" s="67"/>
      <c r="BE3815" s="67"/>
      <c r="BF3815" s="95"/>
    </row>
    <row r="3816" spans="42:58" x14ac:dyDescent="0.35">
      <c r="AP3816" s="93"/>
      <c r="AQ3816" s="31"/>
      <c r="AR3816" s="31"/>
      <c r="AS3816" s="94"/>
      <c r="AT3816" s="31"/>
      <c r="AU3816" s="31"/>
      <c r="AV3816" s="94"/>
      <c r="AW3816" s="32"/>
      <c r="AX3816" s="32"/>
      <c r="AY3816" s="32"/>
      <c r="AZ3816" s="32"/>
      <c r="BA3816" s="32"/>
      <c r="BB3816" s="31"/>
      <c r="BC3816" s="31"/>
      <c r="BD3816" s="31"/>
      <c r="BE3816" s="31"/>
      <c r="BF3816" s="96"/>
    </row>
    <row r="3817" spans="42:58" x14ac:dyDescent="0.35">
      <c r="AP3817" s="92"/>
      <c r="AQ3817" s="67"/>
      <c r="AR3817" s="67"/>
      <c r="AS3817" s="73"/>
      <c r="AT3817" s="67"/>
      <c r="AU3817" s="67"/>
      <c r="AV3817" s="73"/>
      <c r="AW3817" s="68"/>
      <c r="AX3817" s="68"/>
      <c r="AY3817" s="68"/>
      <c r="AZ3817" s="68"/>
      <c r="BA3817" s="68"/>
      <c r="BB3817" s="67"/>
      <c r="BC3817" s="67"/>
      <c r="BD3817" s="67"/>
      <c r="BE3817" s="67"/>
      <c r="BF3817" s="95"/>
    </row>
    <row r="3818" spans="42:58" x14ac:dyDescent="0.35">
      <c r="AP3818" s="93"/>
      <c r="AQ3818" s="31"/>
      <c r="AR3818" s="31"/>
      <c r="AS3818" s="94"/>
      <c r="AT3818" s="31"/>
      <c r="AU3818" s="31"/>
      <c r="AV3818" s="94"/>
      <c r="AW3818" s="32"/>
      <c r="AX3818" s="32"/>
      <c r="AY3818" s="32"/>
      <c r="AZ3818" s="32"/>
      <c r="BA3818" s="32"/>
      <c r="BB3818" s="31"/>
      <c r="BC3818" s="31"/>
      <c r="BD3818" s="31"/>
      <c r="BE3818" s="31"/>
      <c r="BF3818" s="96"/>
    </row>
    <row r="3819" spans="42:58" x14ac:dyDescent="0.35">
      <c r="AP3819" s="92"/>
      <c r="AQ3819" s="67"/>
      <c r="AR3819" s="67"/>
      <c r="AS3819" s="73"/>
      <c r="AT3819" s="67"/>
      <c r="AU3819" s="67"/>
      <c r="AV3819" s="73"/>
      <c r="AW3819" s="68"/>
      <c r="AX3819" s="68"/>
      <c r="AY3819" s="68"/>
      <c r="AZ3819" s="68"/>
      <c r="BA3819" s="68"/>
      <c r="BB3819" s="67"/>
      <c r="BC3819" s="67"/>
      <c r="BD3819" s="67"/>
      <c r="BE3819" s="67"/>
      <c r="BF3819" s="95"/>
    </row>
    <row r="3820" spans="42:58" x14ac:dyDescent="0.35">
      <c r="AP3820" s="93"/>
      <c r="AQ3820" s="31"/>
      <c r="AR3820" s="31"/>
      <c r="AS3820" s="94"/>
      <c r="AT3820" s="31"/>
      <c r="AU3820" s="31"/>
      <c r="AV3820" s="94"/>
      <c r="AW3820" s="32"/>
      <c r="AX3820" s="32"/>
      <c r="AY3820" s="32"/>
      <c r="AZ3820" s="32"/>
      <c r="BA3820" s="32"/>
      <c r="BB3820" s="31"/>
      <c r="BC3820" s="31"/>
      <c r="BD3820" s="31"/>
      <c r="BE3820" s="31"/>
      <c r="BF3820" s="96"/>
    </row>
    <row r="3821" spans="42:58" x14ac:dyDescent="0.35">
      <c r="AP3821" s="92"/>
      <c r="AQ3821" s="67"/>
      <c r="AR3821" s="67"/>
      <c r="AS3821" s="73"/>
      <c r="AT3821" s="67"/>
      <c r="AU3821" s="67"/>
      <c r="AV3821" s="73"/>
      <c r="AW3821" s="68"/>
      <c r="AX3821" s="68"/>
      <c r="AY3821" s="68"/>
      <c r="AZ3821" s="68"/>
      <c r="BA3821" s="68"/>
      <c r="BB3821" s="67"/>
      <c r="BC3821" s="67"/>
      <c r="BD3821" s="67"/>
      <c r="BE3821" s="67"/>
      <c r="BF3821" s="95"/>
    </row>
    <row r="3822" spans="42:58" x14ac:dyDescent="0.35">
      <c r="AP3822" s="93"/>
      <c r="AQ3822" s="31"/>
      <c r="AR3822" s="31"/>
      <c r="AS3822" s="94"/>
      <c r="AT3822" s="31"/>
      <c r="AU3822" s="31"/>
      <c r="AV3822" s="94"/>
      <c r="AW3822" s="32"/>
      <c r="AX3822" s="32"/>
      <c r="AY3822" s="32"/>
      <c r="AZ3822" s="32"/>
      <c r="BA3822" s="32"/>
      <c r="BB3822" s="31"/>
      <c r="BC3822" s="31"/>
      <c r="BD3822" s="31"/>
      <c r="BE3822" s="31"/>
      <c r="BF3822" s="96"/>
    </row>
    <row r="3823" spans="42:58" x14ac:dyDescent="0.35">
      <c r="AP3823" s="92"/>
      <c r="AQ3823" s="67"/>
      <c r="AR3823" s="67"/>
      <c r="AS3823" s="73"/>
      <c r="AT3823" s="67"/>
      <c r="AU3823" s="67"/>
      <c r="AV3823" s="73"/>
      <c r="AW3823" s="68"/>
      <c r="AX3823" s="68"/>
      <c r="AY3823" s="68"/>
      <c r="AZ3823" s="68"/>
      <c r="BA3823" s="68"/>
      <c r="BB3823" s="67"/>
      <c r="BC3823" s="67"/>
      <c r="BD3823" s="67"/>
      <c r="BE3823" s="67"/>
      <c r="BF3823" s="95"/>
    </row>
    <row r="3824" spans="42:58" x14ac:dyDescent="0.35">
      <c r="AP3824" s="93"/>
      <c r="AQ3824" s="31"/>
      <c r="AR3824" s="31"/>
      <c r="AS3824" s="94"/>
      <c r="AT3824" s="31"/>
      <c r="AU3824" s="31"/>
      <c r="AV3824" s="94"/>
      <c r="AW3824" s="32"/>
      <c r="AX3824" s="32"/>
      <c r="AY3824" s="32"/>
      <c r="AZ3824" s="32"/>
      <c r="BA3824" s="32"/>
      <c r="BB3824" s="31"/>
      <c r="BC3824" s="31"/>
      <c r="BD3824" s="31"/>
      <c r="BE3824" s="31"/>
      <c r="BF3824" s="96"/>
    </row>
    <row r="3825" spans="42:58" x14ac:dyDescent="0.35">
      <c r="AP3825" s="92"/>
      <c r="AQ3825" s="67"/>
      <c r="AR3825" s="67"/>
      <c r="AS3825" s="73"/>
      <c r="AT3825" s="67"/>
      <c r="AU3825" s="67"/>
      <c r="AV3825" s="73"/>
      <c r="AW3825" s="68"/>
      <c r="AX3825" s="68"/>
      <c r="AY3825" s="68"/>
      <c r="AZ3825" s="68"/>
      <c r="BA3825" s="68"/>
      <c r="BB3825" s="67"/>
      <c r="BC3825" s="67"/>
      <c r="BD3825" s="67"/>
      <c r="BE3825" s="67"/>
      <c r="BF3825" s="95"/>
    </row>
    <row r="3826" spans="42:58" x14ac:dyDescent="0.35">
      <c r="AP3826" s="93"/>
      <c r="AQ3826" s="31"/>
      <c r="AR3826" s="31"/>
      <c r="AS3826" s="94"/>
      <c r="AT3826" s="31"/>
      <c r="AU3826" s="31"/>
      <c r="AV3826" s="94"/>
      <c r="AW3826" s="32"/>
      <c r="AX3826" s="32"/>
      <c r="AY3826" s="32"/>
      <c r="AZ3826" s="32"/>
      <c r="BA3826" s="32"/>
      <c r="BB3826" s="31"/>
      <c r="BC3826" s="31"/>
      <c r="BD3826" s="31"/>
      <c r="BE3826" s="31"/>
      <c r="BF3826" s="96"/>
    </row>
    <row r="3827" spans="42:58" x14ac:dyDescent="0.35">
      <c r="AP3827" s="92"/>
      <c r="AQ3827" s="67"/>
      <c r="AR3827" s="67"/>
      <c r="AS3827" s="73"/>
      <c r="AT3827" s="67"/>
      <c r="AU3827" s="67"/>
      <c r="AV3827" s="73"/>
      <c r="AW3827" s="68"/>
      <c r="AX3827" s="68"/>
      <c r="AY3827" s="68"/>
      <c r="AZ3827" s="68"/>
      <c r="BA3827" s="68"/>
      <c r="BB3827" s="67"/>
      <c r="BC3827" s="67"/>
      <c r="BD3827" s="67"/>
      <c r="BE3827" s="67"/>
      <c r="BF3827" s="95"/>
    </row>
    <row r="3828" spans="42:58" x14ac:dyDescent="0.35">
      <c r="AP3828" s="93"/>
      <c r="AQ3828" s="31"/>
      <c r="AR3828" s="31"/>
      <c r="AS3828" s="94"/>
      <c r="AT3828" s="31"/>
      <c r="AU3828" s="31"/>
      <c r="AV3828" s="94"/>
      <c r="AW3828" s="32"/>
      <c r="AX3828" s="32"/>
      <c r="AY3828" s="32"/>
      <c r="AZ3828" s="32"/>
      <c r="BA3828" s="32"/>
      <c r="BB3828" s="31"/>
      <c r="BC3828" s="31"/>
      <c r="BD3828" s="31"/>
      <c r="BE3828" s="31"/>
      <c r="BF3828" s="96"/>
    </row>
    <row r="3829" spans="42:58" x14ac:dyDescent="0.35">
      <c r="AP3829" s="92"/>
      <c r="AQ3829" s="67"/>
      <c r="AR3829" s="67"/>
      <c r="AS3829" s="73"/>
      <c r="AT3829" s="67"/>
      <c r="AU3829" s="67"/>
      <c r="AV3829" s="73"/>
      <c r="AW3829" s="68"/>
      <c r="AX3829" s="68"/>
      <c r="AY3829" s="68"/>
      <c r="AZ3829" s="68"/>
      <c r="BA3829" s="68"/>
      <c r="BB3829" s="67"/>
      <c r="BC3829" s="67"/>
      <c r="BD3829" s="67"/>
      <c r="BE3829" s="67"/>
      <c r="BF3829" s="95"/>
    </row>
    <row r="3830" spans="42:58" x14ac:dyDescent="0.35">
      <c r="AP3830" s="93"/>
      <c r="AQ3830" s="31"/>
      <c r="AR3830" s="31"/>
      <c r="AS3830" s="94"/>
      <c r="AT3830" s="31"/>
      <c r="AU3830" s="31"/>
      <c r="AV3830" s="94"/>
      <c r="AW3830" s="32"/>
      <c r="AX3830" s="32"/>
      <c r="AY3830" s="32"/>
      <c r="AZ3830" s="32"/>
      <c r="BA3830" s="32"/>
      <c r="BB3830" s="31"/>
      <c r="BC3830" s="31"/>
      <c r="BD3830" s="31"/>
      <c r="BE3830" s="31"/>
      <c r="BF3830" s="96"/>
    </row>
    <row r="3831" spans="42:58" x14ac:dyDescent="0.35">
      <c r="AP3831" s="92"/>
      <c r="AQ3831" s="67"/>
      <c r="AR3831" s="67"/>
      <c r="AS3831" s="73"/>
      <c r="AT3831" s="67"/>
      <c r="AU3831" s="67"/>
      <c r="AV3831" s="73"/>
      <c r="AW3831" s="68"/>
      <c r="AX3831" s="68"/>
      <c r="AY3831" s="68"/>
      <c r="AZ3831" s="68"/>
      <c r="BA3831" s="68"/>
      <c r="BB3831" s="67"/>
      <c r="BC3831" s="67"/>
      <c r="BD3831" s="67"/>
      <c r="BE3831" s="67"/>
      <c r="BF3831" s="95"/>
    </row>
    <row r="3832" spans="42:58" x14ac:dyDescent="0.35">
      <c r="AP3832" s="93"/>
      <c r="AQ3832" s="31"/>
      <c r="AR3832" s="31"/>
      <c r="AS3832" s="94"/>
      <c r="AT3832" s="31"/>
      <c r="AU3832" s="31"/>
      <c r="AV3832" s="94"/>
      <c r="AW3832" s="32"/>
      <c r="AX3832" s="32"/>
      <c r="AY3832" s="32"/>
      <c r="AZ3832" s="32"/>
      <c r="BA3832" s="32"/>
      <c r="BB3832" s="31"/>
      <c r="BC3832" s="31"/>
      <c r="BD3832" s="31"/>
      <c r="BE3832" s="31"/>
      <c r="BF3832" s="96"/>
    </row>
    <row r="3833" spans="42:58" x14ac:dyDescent="0.35">
      <c r="AP3833" s="92"/>
      <c r="AQ3833" s="67"/>
      <c r="AR3833" s="67"/>
      <c r="AS3833" s="73"/>
      <c r="AT3833" s="67"/>
      <c r="AU3833" s="67"/>
      <c r="AV3833" s="73"/>
      <c r="AW3833" s="68"/>
      <c r="AX3833" s="68"/>
      <c r="AY3833" s="68"/>
      <c r="AZ3833" s="68"/>
      <c r="BA3833" s="68"/>
      <c r="BB3833" s="67"/>
      <c r="BC3833" s="67"/>
      <c r="BD3833" s="67"/>
      <c r="BE3833" s="67"/>
      <c r="BF3833" s="95"/>
    </row>
    <row r="3834" spans="42:58" x14ac:dyDescent="0.35">
      <c r="AP3834" s="93"/>
      <c r="AQ3834" s="31"/>
      <c r="AR3834" s="31"/>
      <c r="AS3834" s="94"/>
      <c r="AT3834" s="31"/>
      <c r="AU3834" s="31"/>
      <c r="AV3834" s="94"/>
      <c r="AW3834" s="32"/>
      <c r="AX3834" s="32"/>
      <c r="AY3834" s="32"/>
      <c r="AZ3834" s="32"/>
      <c r="BA3834" s="32"/>
      <c r="BB3834" s="31"/>
      <c r="BC3834" s="31"/>
      <c r="BD3834" s="31"/>
      <c r="BE3834" s="31"/>
      <c r="BF3834" s="96"/>
    </row>
    <row r="3835" spans="42:58" x14ac:dyDescent="0.35">
      <c r="AP3835" s="92"/>
      <c r="AQ3835" s="67"/>
      <c r="AR3835" s="67"/>
      <c r="AS3835" s="73"/>
      <c r="AT3835" s="67"/>
      <c r="AU3835" s="67"/>
      <c r="AV3835" s="73"/>
      <c r="AW3835" s="68"/>
      <c r="AX3835" s="68"/>
      <c r="AY3835" s="68"/>
      <c r="AZ3835" s="68"/>
      <c r="BA3835" s="68"/>
      <c r="BB3835" s="67"/>
      <c r="BC3835" s="67"/>
      <c r="BD3835" s="67"/>
      <c r="BE3835" s="67"/>
      <c r="BF3835" s="95"/>
    </row>
    <row r="3836" spans="42:58" x14ac:dyDescent="0.35">
      <c r="AP3836" s="93"/>
      <c r="AQ3836" s="31"/>
      <c r="AR3836" s="31"/>
      <c r="AS3836" s="94"/>
      <c r="AT3836" s="31"/>
      <c r="AU3836" s="31"/>
      <c r="AV3836" s="94"/>
      <c r="AW3836" s="32"/>
      <c r="AX3836" s="32"/>
      <c r="AY3836" s="32"/>
      <c r="AZ3836" s="32"/>
      <c r="BA3836" s="32"/>
      <c r="BB3836" s="31"/>
      <c r="BC3836" s="31"/>
      <c r="BD3836" s="31"/>
      <c r="BE3836" s="31"/>
      <c r="BF3836" s="96"/>
    </row>
    <row r="3837" spans="42:58" x14ac:dyDescent="0.35">
      <c r="AP3837" s="92"/>
      <c r="AQ3837" s="67"/>
      <c r="AR3837" s="67"/>
      <c r="AS3837" s="73"/>
      <c r="AT3837" s="67"/>
      <c r="AU3837" s="67"/>
      <c r="AV3837" s="73"/>
      <c r="AW3837" s="68"/>
      <c r="AX3837" s="68"/>
      <c r="AY3837" s="68"/>
      <c r="AZ3837" s="68"/>
      <c r="BA3837" s="68"/>
      <c r="BB3837" s="67"/>
      <c r="BC3837" s="67"/>
      <c r="BD3837" s="67"/>
      <c r="BE3837" s="67"/>
      <c r="BF3837" s="95"/>
    </row>
    <row r="3838" spans="42:58" x14ac:dyDescent="0.35">
      <c r="AP3838" s="93"/>
      <c r="AQ3838" s="31"/>
      <c r="AR3838" s="31"/>
      <c r="AS3838" s="94"/>
      <c r="AT3838" s="31"/>
      <c r="AU3838" s="31"/>
      <c r="AV3838" s="94"/>
      <c r="AW3838" s="32"/>
      <c r="AX3838" s="32"/>
      <c r="AY3838" s="32"/>
      <c r="AZ3838" s="32"/>
      <c r="BA3838" s="32"/>
      <c r="BB3838" s="31"/>
      <c r="BC3838" s="31"/>
      <c r="BD3838" s="31"/>
      <c r="BE3838" s="31"/>
      <c r="BF3838" s="96"/>
    </row>
    <row r="3839" spans="42:58" x14ac:dyDescent="0.35">
      <c r="AP3839" s="92"/>
      <c r="AQ3839" s="67"/>
      <c r="AR3839" s="67"/>
      <c r="AS3839" s="73"/>
      <c r="AT3839" s="67"/>
      <c r="AU3839" s="67"/>
      <c r="AV3839" s="73"/>
      <c r="AW3839" s="68"/>
      <c r="AX3839" s="68"/>
      <c r="AY3839" s="68"/>
      <c r="AZ3839" s="68"/>
      <c r="BA3839" s="68"/>
      <c r="BB3839" s="67"/>
      <c r="BC3839" s="67"/>
      <c r="BD3839" s="67"/>
      <c r="BE3839" s="67"/>
      <c r="BF3839" s="95"/>
    </row>
    <row r="3840" spans="42:58" x14ac:dyDescent="0.35">
      <c r="AP3840" s="93"/>
      <c r="AQ3840" s="31"/>
      <c r="AR3840" s="31"/>
      <c r="AS3840" s="94"/>
      <c r="AT3840" s="31"/>
      <c r="AU3840" s="31"/>
      <c r="AV3840" s="94"/>
      <c r="AW3840" s="32"/>
      <c r="AX3840" s="32"/>
      <c r="AY3840" s="32"/>
      <c r="AZ3840" s="32"/>
      <c r="BA3840" s="32"/>
      <c r="BB3840" s="31"/>
      <c r="BC3840" s="31"/>
      <c r="BD3840" s="31"/>
      <c r="BE3840" s="31"/>
      <c r="BF3840" s="96"/>
    </row>
    <row r="3841" spans="42:58" x14ac:dyDescent="0.35">
      <c r="AP3841" s="92"/>
      <c r="AQ3841" s="67"/>
      <c r="AR3841" s="67"/>
      <c r="AS3841" s="73"/>
      <c r="AT3841" s="67"/>
      <c r="AU3841" s="67"/>
      <c r="AV3841" s="73"/>
      <c r="AW3841" s="68"/>
      <c r="AX3841" s="68"/>
      <c r="AY3841" s="68"/>
      <c r="AZ3841" s="68"/>
      <c r="BA3841" s="68"/>
      <c r="BB3841" s="67"/>
      <c r="BC3841" s="67"/>
      <c r="BD3841" s="67"/>
      <c r="BE3841" s="67"/>
      <c r="BF3841" s="95"/>
    </row>
    <row r="3842" spans="42:58" x14ac:dyDescent="0.35">
      <c r="AP3842" s="93"/>
      <c r="AQ3842" s="31"/>
      <c r="AR3842" s="31"/>
      <c r="AS3842" s="94"/>
      <c r="AT3842" s="31"/>
      <c r="AU3842" s="31"/>
      <c r="AV3842" s="94"/>
      <c r="AW3842" s="32"/>
      <c r="AX3842" s="32"/>
      <c r="AY3842" s="32"/>
      <c r="AZ3842" s="32"/>
      <c r="BA3842" s="32"/>
      <c r="BB3842" s="31"/>
      <c r="BC3842" s="31"/>
      <c r="BD3842" s="31"/>
      <c r="BE3842" s="31"/>
      <c r="BF3842" s="96"/>
    </row>
    <row r="3843" spans="42:58" x14ac:dyDescent="0.35">
      <c r="AP3843" s="92"/>
      <c r="AQ3843" s="67"/>
      <c r="AR3843" s="67"/>
      <c r="AS3843" s="73"/>
      <c r="AT3843" s="67"/>
      <c r="AU3843" s="67"/>
      <c r="AV3843" s="73"/>
      <c r="AW3843" s="68"/>
      <c r="AX3843" s="68"/>
      <c r="AY3843" s="68"/>
      <c r="AZ3843" s="68"/>
      <c r="BA3843" s="68"/>
      <c r="BB3843" s="67"/>
      <c r="BC3843" s="67"/>
      <c r="BD3843" s="67"/>
      <c r="BE3843" s="67"/>
      <c r="BF3843" s="95"/>
    </row>
    <row r="3844" spans="42:58" x14ac:dyDescent="0.35">
      <c r="AP3844" s="93"/>
      <c r="AQ3844" s="31"/>
      <c r="AR3844" s="31"/>
      <c r="AS3844" s="94"/>
      <c r="AT3844" s="31"/>
      <c r="AU3844" s="31"/>
      <c r="AV3844" s="94"/>
      <c r="AW3844" s="32"/>
      <c r="AX3844" s="32"/>
      <c r="AY3844" s="32"/>
      <c r="AZ3844" s="32"/>
      <c r="BA3844" s="32"/>
      <c r="BB3844" s="31"/>
      <c r="BC3844" s="31"/>
      <c r="BD3844" s="31"/>
      <c r="BE3844" s="31"/>
      <c r="BF3844" s="96"/>
    </row>
    <row r="3845" spans="42:58" x14ac:dyDescent="0.35">
      <c r="AP3845" s="92"/>
      <c r="AQ3845" s="67"/>
      <c r="AR3845" s="67"/>
      <c r="AS3845" s="73"/>
      <c r="AT3845" s="67"/>
      <c r="AU3845" s="67"/>
      <c r="AV3845" s="73"/>
      <c r="AW3845" s="68"/>
      <c r="AX3845" s="68"/>
      <c r="AY3845" s="68"/>
      <c r="AZ3845" s="68"/>
      <c r="BA3845" s="68"/>
      <c r="BB3845" s="67"/>
      <c r="BC3845" s="67"/>
      <c r="BD3845" s="67"/>
      <c r="BE3845" s="67"/>
      <c r="BF3845" s="95"/>
    </row>
    <row r="3846" spans="42:58" x14ac:dyDescent="0.35">
      <c r="AP3846" s="93"/>
      <c r="AQ3846" s="31"/>
      <c r="AR3846" s="31"/>
      <c r="AS3846" s="94"/>
      <c r="AT3846" s="31"/>
      <c r="AU3846" s="31"/>
      <c r="AV3846" s="94"/>
      <c r="AW3846" s="32"/>
      <c r="AX3846" s="32"/>
      <c r="AY3846" s="32"/>
      <c r="AZ3846" s="32"/>
      <c r="BA3846" s="32"/>
      <c r="BB3846" s="31"/>
      <c r="BC3846" s="31"/>
      <c r="BD3846" s="31"/>
      <c r="BE3846" s="31"/>
      <c r="BF3846" s="96"/>
    </row>
    <row r="3847" spans="42:58" x14ac:dyDescent="0.35">
      <c r="AP3847" s="92"/>
      <c r="AQ3847" s="67"/>
      <c r="AR3847" s="67"/>
      <c r="AS3847" s="73"/>
      <c r="AT3847" s="67"/>
      <c r="AU3847" s="67"/>
      <c r="AV3847" s="73"/>
      <c r="AW3847" s="68"/>
      <c r="AX3847" s="68"/>
      <c r="AY3847" s="68"/>
      <c r="AZ3847" s="68"/>
      <c r="BA3847" s="68"/>
      <c r="BB3847" s="67"/>
      <c r="BC3847" s="67"/>
      <c r="BD3847" s="67"/>
      <c r="BE3847" s="67"/>
      <c r="BF3847" s="95"/>
    </row>
    <row r="3848" spans="42:58" x14ac:dyDescent="0.35">
      <c r="AP3848" s="93"/>
      <c r="AQ3848" s="31"/>
      <c r="AR3848" s="31"/>
      <c r="AS3848" s="94"/>
      <c r="AT3848" s="31"/>
      <c r="AU3848" s="31"/>
      <c r="AV3848" s="94"/>
      <c r="AW3848" s="32"/>
      <c r="AX3848" s="32"/>
      <c r="AY3848" s="32"/>
      <c r="AZ3848" s="32"/>
      <c r="BA3848" s="32"/>
      <c r="BB3848" s="31"/>
      <c r="BC3848" s="31"/>
      <c r="BD3848" s="31"/>
      <c r="BE3848" s="31"/>
      <c r="BF3848" s="96"/>
    </row>
    <row r="3849" spans="42:58" x14ac:dyDescent="0.35">
      <c r="AP3849" s="92"/>
      <c r="AQ3849" s="67"/>
      <c r="AR3849" s="67"/>
      <c r="AS3849" s="73"/>
      <c r="AT3849" s="67"/>
      <c r="AU3849" s="67"/>
      <c r="AV3849" s="73"/>
      <c r="AW3849" s="68"/>
      <c r="AX3849" s="68"/>
      <c r="AY3849" s="68"/>
      <c r="AZ3849" s="68"/>
      <c r="BA3849" s="68"/>
      <c r="BB3849" s="67"/>
      <c r="BC3849" s="67"/>
      <c r="BD3849" s="67"/>
      <c r="BE3849" s="67"/>
      <c r="BF3849" s="95"/>
    </row>
    <row r="3850" spans="42:58" x14ac:dyDescent="0.35">
      <c r="AP3850" s="93"/>
      <c r="AQ3850" s="31"/>
      <c r="AR3850" s="31"/>
      <c r="AS3850" s="94"/>
      <c r="AT3850" s="31"/>
      <c r="AU3850" s="31"/>
      <c r="AV3850" s="94"/>
      <c r="AW3850" s="32"/>
      <c r="AX3850" s="32"/>
      <c r="AY3850" s="32"/>
      <c r="AZ3850" s="32"/>
      <c r="BA3850" s="32"/>
      <c r="BB3850" s="31"/>
      <c r="BC3850" s="31"/>
      <c r="BD3850" s="31"/>
      <c r="BE3850" s="31"/>
      <c r="BF3850" s="96"/>
    </row>
    <row r="3851" spans="42:58" x14ac:dyDescent="0.35">
      <c r="AP3851" s="92"/>
      <c r="AQ3851" s="67"/>
      <c r="AR3851" s="67"/>
      <c r="AS3851" s="73"/>
      <c r="AT3851" s="67"/>
      <c r="AU3851" s="67"/>
      <c r="AV3851" s="73"/>
      <c r="AW3851" s="68"/>
      <c r="AX3851" s="68"/>
      <c r="AY3851" s="68"/>
      <c r="AZ3851" s="68"/>
      <c r="BA3851" s="68"/>
      <c r="BB3851" s="67"/>
      <c r="BC3851" s="67"/>
      <c r="BD3851" s="67"/>
      <c r="BE3851" s="67"/>
      <c r="BF3851" s="95"/>
    </row>
    <row r="3852" spans="42:58" x14ac:dyDescent="0.35">
      <c r="AP3852" s="93"/>
      <c r="AQ3852" s="31"/>
      <c r="AR3852" s="31"/>
      <c r="AS3852" s="94"/>
      <c r="AT3852" s="31"/>
      <c r="AU3852" s="31"/>
      <c r="AV3852" s="94"/>
      <c r="AW3852" s="32"/>
      <c r="AX3852" s="32"/>
      <c r="AY3852" s="32"/>
      <c r="AZ3852" s="32"/>
      <c r="BA3852" s="32"/>
      <c r="BB3852" s="31"/>
      <c r="BC3852" s="31"/>
      <c r="BD3852" s="31"/>
      <c r="BE3852" s="31"/>
      <c r="BF3852" s="96"/>
    </row>
    <row r="3853" spans="42:58" x14ac:dyDescent="0.35">
      <c r="AP3853" s="92"/>
      <c r="AQ3853" s="67"/>
      <c r="AR3853" s="67"/>
      <c r="AS3853" s="73"/>
      <c r="AT3853" s="67"/>
      <c r="AU3853" s="67"/>
      <c r="AV3853" s="73"/>
      <c r="AW3853" s="68"/>
      <c r="AX3853" s="68"/>
      <c r="AY3853" s="68"/>
      <c r="AZ3853" s="68"/>
      <c r="BA3853" s="68"/>
      <c r="BB3853" s="67"/>
      <c r="BC3853" s="67"/>
      <c r="BD3853" s="67"/>
      <c r="BE3853" s="67"/>
      <c r="BF3853" s="95"/>
    </row>
    <row r="3854" spans="42:58" x14ac:dyDescent="0.35">
      <c r="AP3854" s="93"/>
      <c r="AQ3854" s="31"/>
      <c r="AR3854" s="31"/>
      <c r="AS3854" s="94"/>
      <c r="AT3854" s="31"/>
      <c r="AU3854" s="31"/>
      <c r="AV3854" s="94"/>
      <c r="AW3854" s="32"/>
      <c r="AX3854" s="32"/>
      <c r="AY3854" s="32"/>
      <c r="AZ3854" s="32"/>
      <c r="BA3854" s="32"/>
      <c r="BB3854" s="31"/>
      <c r="BC3854" s="31"/>
      <c r="BD3854" s="31"/>
      <c r="BE3854" s="31"/>
      <c r="BF3854" s="96"/>
    </row>
    <row r="3855" spans="42:58" x14ac:dyDescent="0.35">
      <c r="AP3855" s="92"/>
      <c r="AQ3855" s="67"/>
      <c r="AR3855" s="67"/>
      <c r="AS3855" s="73"/>
      <c r="AT3855" s="67"/>
      <c r="AU3855" s="67"/>
      <c r="AV3855" s="73"/>
      <c r="AW3855" s="68"/>
      <c r="AX3855" s="68"/>
      <c r="AY3855" s="68"/>
      <c r="AZ3855" s="68"/>
      <c r="BA3855" s="68"/>
      <c r="BB3855" s="67"/>
      <c r="BC3855" s="67"/>
      <c r="BD3855" s="67"/>
      <c r="BE3855" s="67"/>
      <c r="BF3855" s="95"/>
    </row>
    <row r="3856" spans="42:58" x14ac:dyDescent="0.35">
      <c r="AP3856" s="93"/>
      <c r="AQ3856" s="31"/>
      <c r="AR3856" s="31"/>
      <c r="AS3856" s="94"/>
      <c r="AT3856" s="31"/>
      <c r="AU3856" s="31"/>
      <c r="AV3856" s="94"/>
      <c r="AW3856" s="32"/>
      <c r="AX3856" s="32"/>
      <c r="AY3856" s="32"/>
      <c r="AZ3856" s="32"/>
      <c r="BA3856" s="32"/>
      <c r="BB3856" s="31"/>
      <c r="BC3856" s="31"/>
      <c r="BD3856" s="31"/>
      <c r="BE3856" s="31"/>
      <c r="BF3856" s="96"/>
    </row>
    <row r="3857" spans="42:58" x14ac:dyDescent="0.35">
      <c r="AP3857" s="92"/>
      <c r="AQ3857" s="67"/>
      <c r="AR3857" s="67"/>
      <c r="AS3857" s="73"/>
      <c r="AT3857" s="67"/>
      <c r="AU3857" s="67"/>
      <c r="AV3857" s="73"/>
      <c r="AW3857" s="68"/>
      <c r="AX3857" s="68"/>
      <c r="AY3857" s="68"/>
      <c r="AZ3857" s="68"/>
      <c r="BA3857" s="68"/>
      <c r="BB3857" s="67"/>
      <c r="BC3857" s="67"/>
      <c r="BD3857" s="67"/>
      <c r="BE3857" s="67"/>
      <c r="BF3857" s="95"/>
    </row>
    <row r="3858" spans="42:58" x14ac:dyDescent="0.35">
      <c r="AP3858" s="93"/>
      <c r="AQ3858" s="31"/>
      <c r="AR3858" s="31"/>
      <c r="AS3858" s="94"/>
      <c r="AT3858" s="31"/>
      <c r="AU3858" s="31"/>
      <c r="AV3858" s="94"/>
      <c r="AW3858" s="32"/>
      <c r="AX3858" s="32"/>
      <c r="AY3858" s="32"/>
      <c r="AZ3858" s="32"/>
      <c r="BA3858" s="32"/>
      <c r="BB3858" s="31"/>
      <c r="BC3858" s="31"/>
      <c r="BD3858" s="31"/>
      <c r="BE3858" s="31"/>
      <c r="BF3858" s="96"/>
    </row>
    <row r="3859" spans="42:58" x14ac:dyDescent="0.35">
      <c r="AP3859" s="92"/>
      <c r="AQ3859" s="67"/>
      <c r="AR3859" s="67"/>
      <c r="AS3859" s="73"/>
      <c r="AT3859" s="67"/>
      <c r="AU3859" s="67"/>
      <c r="AV3859" s="73"/>
      <c r="AW3859" s="68"/>
      <c r="AX3859" s="68"/>
      <c r="AY3859" s="68"/>
      <c r="AZ3859" s="68"/>
      <c r="BA3859" s="68"/>
      <c r="BB3859" s="67"/>
      <c r="BC3859" s="67"/>
      <c r="BD3859" s="67"/>
      <c r="BE3859" s="67"/>
      <c r="BF3859" s="95"/>
    </row>
    <row r="3860" spans="42:58" x14ac:dyDescent="0.35">
      <c r="AP3860" s="93"/>
      <c r="AQ3860" s="31"/>
      <c r="AR3860" s="31"/>
      <c r="AS3860" s="94"/>
      <c r="AT3860" s="31"/>
      <c r="AU3860" s="31"/>
      <c r="AV3860" s="94"/>
      <c r="AW3860" s="32"/>
      <c r="AX3860" s="32"/>
      <c r="AY3860" s="32"/>
      <c r="AZ3860" s="32"/>
      <c r="BA3860" s="32"/>
      <c r="BB3860" s="31"/>
      <c r="BC3860" s="31"/>
      <c r="BD3860" s="31"/>
      <c r="BE3860" s="31"/>
      <c r="BF3860" s="96"/>
    </row>
    <row r="3861" spans="42:58" x14ac:dyDescent="0.35">
      <c r="AP3861" s="92"/>
      <c r="AQ3861" s="67"/>
      <c r="AR3861" s="67"/>
      <c r="AS3861" s="73"/>
      <c r="AT3861" s="67"/>
      <c r="AU3861" s="67"/>
      <c r="AV3861" s="73"/>
      <c r="AW3861" s="68"/>
      <c r="AX3861" s="68"/>
      <c r="AY3861" s="68"/>
      <c r="AZ3861" s="68"/>
      <c r="BA3861" s="68"/>
      <c r="BB3861" s="67"/>
      <c r="BC3861" s="67"/>
      <c r="BD3861" s="67"/>
      <c r="BE3861" s="67"/>
      <c r="BF3861" s="95"/>
    </row>
    <row r="3862" spans="42:58" x14ac:dyDescent="0.35">
      <c r="AP3862" s="93"/>
      <c r="AQ3862" s="31"/>
      <c r="AR3862" s="31"/>
      <c r="AS3862" s="94"/>
      <c r="AT3862" s="31"/>
      <c r="AU3862" s="31"/>
      <c r="AV3862" s="94"/>
      <c r="AW3862" s="32"/>
      <c r="AX3862" s="32"/>
      <c r="AY3862" s="32"/>
      <c r="AZ3862" s="32"/>
      <c r="BA3862" s="32"/>
      <c r="BB3862" s="31"/>
      <c r="BC3862" s="31"/>
      <c r="BD3862" s="31"/>
      <c r="BE3862" s="31"/>
      <c r="BF3862" s="96"/>
    </row>
    <row r="3863" spans="42:58" x14ac:dyDescent="0.35">
      <c r="AP3863" s="92"/>
      <c r="AQ3863" s="67"/>
      <c r="AR3863" s="67"/>
      <c r="AS3863" s="73"/>
      <c r="AT3863" s="67"/>
      <c r="AU3863" s="67"/>
      <c r="AV3863" s="73"/>
      <c r="AW3863" s="68"/>
      <c r="AX3863" s="68"/>
      <c r="AY3863" s="68"/>
      <c r="AZ3863" s="68"/>
      <c r="BA3863" s="68"/>
      <c r="BB3863" s="67"/>
      <c r="BC3863" s="67"/>
      <c r="BD3863" s="67"/>
      <c r="BE3863" s="67"/>
      <c r="BF3863" s="95"/>
    </row>
    <row r="3864" spans="42:58" x14ac:dyDescent="0.35">
      <c r="AP3864" s="93"/>
      <c r="AQ3864" s="31"/>
      <c r="AR3864" s="31"/>
      <c r="AS3864" s="94"/>
      <c r="AT3864" s="31"/>
      <c r="AU3864" s="31"/>
      <c r="AV3864" s="94"/>
      <c r="AW3864" s="32"/>
      <c r="AX3864" s="32"/>
      <c r="AY3864" s="32"/>
      <c r="AZ3864" s="32"/>
      <c r="BA3864" s="32"/>
      <c r="BB3864" s="31"/>
      <c r="BC3864" s="31"/>
      <c r="BD3864" s="31"/>
      <c r="BE3864" s="31"/>
      <c r="BF3864" s="96"/>
    </row>
    <row r="3865" spans="42:58" x14ac:dyDescent="0.35">
      <c r="AP3865" s="92"/>
      <c r="AQ3865" s="67"/>
      <c r="AR3865" s="67"/>
      <c r="AS3865" s="73"/>
      <c r="AT3865" s="67"/>
      <c r="AU3865" s="67"/>
      <c r="AV3865" s="73"/>
      <c r="AW3865" s="68"/>
      <c r="AX3865" s="68"/>
      <c r="AY3865" s="68"/>
      <c r="AZ3865" s="68"/>
      <c r="BA3865" s="68"/>
      <c r="BB3865" s="67"/>
      <c r="BC3865" s="67"/>
      <c r="BD3865" s="67"/>
      <c r="BE3865" s="67"/>
      <c r="BF3865" s="95"/>
    </row>
    <row r="3866" spans="42:58" x14ac:dyDescent="0.35">
      <c r="AP3866" s="93"/>
      <c r="AQ3866" s="31"/>
      <c r="AR3866" s="31"/>
      <c r="AS3866" s="94"/>
      <c r="AT3866" s="31"/>
      <c r="AU3866" s="31"/>
      <c r="AV3866" s="94"/>
      <c r="AW3866" s="32"/>
      <c r="AX3866" s="32"/>
      <c r="AY3866" s="32"/>
      <c r="AZ3866" s="32"/>
      <c r="BA3866" s="32"/>
      <c r="BB3866" s="31"/>
      <c r="BC3866" s="31"/>
      <c r="BD3866" s="31"/>
      <c r="BE3866" s="31"/>
      <c r="BF3866" s="96"/>
    </row>
    <row r="3867" spans="42:58" x14ac:dyDescent="0.35">
      <c r="AP3867" s="92"/>
      <c r="AQ3867" s="67"/>
      <c r="AR3867" s="67"/>
      <c r="AS3867" s="73"/>
      <c r="AT3867" s="67"/>
      <c r="AU3867" s="67"/>
      <c r="AV3867" s="73"/>
      <c r="AW3867" s="68"/>
      <c r="AX3867" s="68"/>
      <c r="AY3867" s="68"/>
      <c r="AZ3867" s="68"/>
      <c r="BA3867" s="68"/>
      <c r="BB3867" s="67"/>
      <c r="BC3867" s="67"/>
      <c r="BD3867" s="67"/>
      <c r="BE3867" s="67"/>
      <c r="BF3867" s="95"/>
    </row>
    <row r="3868" spans="42:58" x14ac:dyDescent="0.35">
      <c r="AP3868" s="93"/>
      <c r="AQ3868" s="31"/>
      <c r="AR3868" s="31"/>
      <c r="AS3868" s="94"/>
      <c r="AT3868" s="31"/>
      <c r="AU3868" s="31"/>
      <c r="AV3868" s="94"/>
      <c r="AW3868" s="32"/>
      <c r="AX3868" s="32"/>
      <c r="AY3868" s="32"/>
      <c r="AZ3868" s="32"/>
      <c r="BA3868" s="32"/>
      <c r="BB3868" s="31"/>
      <c r="BC3868" s="31"/>
      <c r="BD3868" s="31"/>
      <c r="BE3868" s="31"/>
      <c r="BF3868" s="96"/>
    </row>
    <row r="3869" spans="42:58" x14ac:dyDescent="0.35">
      <c r="AP3869" s="92"/>
      <c r="AQ3869" s="67"/>
      <c r="AR3869" s="67"/>
      <c r="AS3869" s="73"/>
      <c r="AT3869" s="67"/>
      <c r="AU3869" s="67"/>
      <c r="AV3869" s="73"/>
      <c r="AW3869" s="68"/>
      <c r="AX3869" s="68"/>
      <c r="AY3869" s="68"/>
      <c r="AZ3869" s="68"/>
      <c r="BA3869" s="68"/>
      <c r="BB3869" s="67"/>
      <c r="BC3869" s="67"/>
      <c r="BD3869" s="67"/>
      <c r="BE3869" s="67"/>
      <c r="BF3869" s="95"/>
    </row>
    <row r="3870" spans="42:58" x14ac:dyDescent="0.35">
      <c r="AP3870" s="93"/>
      <c r="AQ3870" s="31"/>
      <c r="AR3870" s="31"/>
      <c r="AS3870" s="94"/>
      <c r="AT3870" s="31"/>
      <c r="AU3870" s="31"/>
      <c r="AV3870" s="94"/>
      <c r="AW3870" s="32"/>
      <c r="AX3870" s="32"/>
      <c r="AY3870" s="32"/>
      <c r="AZ3870" s="32"/>
      <c r="BA3870" s="32"/>
      <c r="BB3870" s="31"/>
      <c r="BC3870" s="31"/>
      <c r="BD3870" s="31"/>
      <c r="BE3870" s="31"/>
      <c r="BF3870" s="96"/>
    </row>
    <row r="3871" spans="42:58" x14ac:dyDescent="0.35">
      <c r="AP3871" s="92"/>
      <c r="AQ3871" s="67"/>
      <c r="AR3871" s="67"/>
      <c r="AS3871" s="73"/>
      <c r="AT3871" s="67"/>
      <c r="AU3871" s="67"/>
      <c r="AV3871" s="73"/>
      <c r="AW3871" s="68"/>
      <c r="AX3871" s="68"/>
      <c r="AY3871" s="68"/>
      <c r="AZ3871" s="68"/>
      <c r="BA3871" s="68"/>
      <c r="BB3871" s="67"/>
      <c r="BC3871" s="67"/>
      <c r="BD3871" s="67"/>
      <c r="BE3871" s="67"/>
      <c r="BF3871" s="95"/>
    </row>
    <row r="3872" spans="42:58" x14ac:dyDescent="0.35">
      <c r="AP3872" s="93"/>
      <c r="AQ3872" s="31"/>
      <c r="AR3872" s="31"/>
      <c r="AS3872" s="94"/>
      <c r="AT3872" s="31"/>
      <c r="AU3872" s="31"/>
      <c r="AV3872" s="94"/>
      <c r="AW3872" s="32"/>
      <c r="AX3872" s="32"/>
      <c r="AY3872" s="32"/>
      <c r="AZ3872" s="32"/>
      <c r="BA3872" s="32"/>
      <c r="BB3872" s="31"/>
      <c r="BC3872" s="31"/>
      <c r="BD3872" s="31"/>
      <c r="BE3872" s="31"/>
      <c r="BF3872" s="96"/>
    </row>
    <row r="3873" spans="42:58" x14ac:dyDescent="0.35">
      <c r="AP3873" s="92"/>
      <c r="AQ3873" s="67"/>
      <c r="AR3873" s="67"/>
      <c r="AS3873" s="73"/>
      <c r="AT3873" s="67"/>
      <c r="AU3873" s="67"/>
      <c r="AV3873" s="73"/>
      <c r="AW3873" s="68"/>
      <c r="AX3873" s="68"/>
      <c r="AY3873" s="68"/>
      <c r="AZ3873" s="68"/>
      <c r="BA3873" s="68"/>
      <c r="BB3873" s="67"/>
      <c r="BC3873" s="67"/>
      <c r="BD3873" s="67"/>
      <c r="BE3873" s="67"/>
      <c r="BF3873" s="95"/>
    </row>
    <row r="3874" spans="42:58" x14ac:dyDescent="0.35">
      <c r="AP3874" s="93"/>
      <c r="AQ3874" s="31"/>
      <c r="AR3874" s="31"/>
      <c r="AS3874" s="94"/>
      <c r="AT3874" s="31"/>
      <c r="AU3874" s="31"/>
      <c r="AV3874" s="94"/>
      <c r="AW3874" s="32"/>
      <c r="AX3874" s="32"/>
      <c r="AY3874" s="32"/>
      <c r="AZ3874" s="32"/>
      <c r="BA3874" s="32"/>
      <c r="BB3874" s="31"/>
      <c r="BC3874" s="31"/>
      <c r="BD3874" s="31"/>
      <c r="BE3874" s="31"/>
      <c r="BF3874" s="96"/>
    </row>
    <row r="3875" spans="42:58" x14ac:dyDescent="0.35">
      <c r="AP3875" s="92"/>
      <c r="AQ3875" s="67"/>
      <c r="AR3875" s="67"/>
      <c r="AS3875" s="73"/>
      <c r="AT3875" s="67"/>
      <c r="AU3875" s="67"/>
      <c r="AV3875" s="73"/>
      <c r="AW3875" s="68"/>
      <c r="AX3875" s="68"/>
      <c r="AY3875" s="68"/>
      <c r="AZ3875" s="68"/>
      <c r="BA3875" s="68"/>
      <c r="BB3875" s="67"/>
      <c r="BC3875" s="67"/>
      <c r="BD3875" s="67"/>
      <c r="BE3875" s="67"/>
      <c r="BF3875" s="95"/>
    </row>
    <row r="3876" spans="42:58" x14ac:dyDescent="0.35">
      <c r="AP3876" s="93"/>
      <c r="AQ3876" s="31"/>
      <c r="AR3876" s="31"/>
      <c r="AS3876" s="94"/>
      <c r="AT3876" s="31"/>
      <c r="AU3876" s="31"/>
      <c r="AV3876" s="94"/>
      <c r="AW3876" s="32"/>
      <c r="AX3876" s="32"/>
      <c r="AY3876" s="32"/>
      <c r="AZ3876" s="32"/>
      <c r="BA3876" s="32"/>
      <c r="BB3876" s="31"/>
      <c r="BC3876" s="31"/>
      <c r="BD3876" s="31"/>
      <c r="BE3876" s="31"/>
      <c r="BF3876" s="96"/>
    </row>
    <row r="3877" spans="42:58" x14ac:dyDescent="0.35">
      <c r="AP3877" s="92"/>
      <c r="AQ3877" s="67"/>
      <c r="AR3877" s="67"/>
      <c r="AS3877" s="73"/>
      <c r="AT3877" s="67"/>
      <c r="AU3877" s="67"/>
      <c r="AV3877" s="73"/>
      <c r="AW3877" s="68"/>
      <c r="AX3877" s="68"/>
      <c r="AY3877" s="68"/>
      <c r="AZ3877" s="68"/>
      <c r="BA3877" s="68"/>
      <c r="BB3877" s="67"/>
      <c r="BC3877" s="67"/>
      <c r="BD3877" s="67"/>
      <c r="BE3877" s="67"/>
      <c r="BF3877" s="95"/>
    </row>
    <row r="3878" spans="42:58" x14ac:dyDescent="0.35">
      <c r="AP3878" s="93"/>
      <c r="AQ3878" s="31"/>
      <c r="AR3878" s="31"/>
      <c r="AS3878" s="94"/>
      <c r="AT3878" s="31"/>
      <c r="AU3878" s="31"/>
      <c r="AV3878" s="94"/>
      <c r="AW3878" s="32"/>
      <c r="AX3878" s="32"/>
      <c r="AY3878" s="32"/>
      <c r="AZ3878" s="32"/>
      <c r="BA3878" s="32"/>
      <c r="BB3878" s="31"/>
      <c r="BC3878" s="31"/>
      <c r="BD3878" s="31"/>
      <c r="BE3878" s="31"/>
      <c r="BF3878" s="96"/>
    </row>
    <row r="3879" spans="42:58" x14ac:dyDescent="0.35">
      <c r="AP3879" s="92"/>
      <c r="AQ3879" s="67"/>
      <c r="AR3879" s="67"/>
      <c r="AS3879" s="73"/>
      <c r="AT3879" s="67"/>
      <c r="AU3879" s="67"/>
      <c r="AV3879" s="73"/>
      <c r="AW3879" s="68"/>
      <c r="AX3879" s="68"/>
      <c r="AY3879" s="68"/>
      <c r="AZ3879" s="68"/>
      <c r="BA3879" s="68"/>
      <c r="BB3879" s="67"/>
      <c r="BC3879" s="67"/>
      <c r="BD3879" s="67"/>
      <c r="BE3879" s="67"/>
      <c r="BF3879" s="95"/>
    </row>
    <row r="3880" spans="42:58" x14ac:dyDescent="0.35">
      <c r="AP3880" s="93"/>
      <c r="AQ3880" s="31"/>
      <c r="AR3880" s="31"/>
      <c r="AS3880" s="94"/>
      <c r="AT3880" s="31"/>
      <c r="AU3880" s="31"/>
      <c r="AV3880" s="94"/>
      <c r="AW3880" s="32"/>
      <c r="AX3880" s="32"/>
      <c r="AY3880" s="32"/>
      <c r="AZ3880" s="32"/>
      <c r="BA3880" s="32"/>
      <c r="BB3880" s="31"/>
      <c r="BC3880" s="31"/>
      <c r="BD3880" s="31"/>
      <c r="BE3880" s="31"/>
      <c r="BF3880" s="96"/>
    </row>
    <row r="3881" spans="42:58" x14ac:dyDescent="0.35">
      <c r="AP3881" s="92"/>
      <c r="AQ3881" s="67"/>
      <c r="AR3881" s="67"/>
      <c r="AS3881" s="73"/>
      <c r="AT3881" s="67"/>
      <c r="AU3881" s="67"/>
      <c r="AV3881" s="73"/>
      <c r="AW3881" s="68"/>
      <c r="AX3881" s="68"/>
      <c r="AY3881" s="68"/>
      <c r="AZ3881" s="68"/>
      <c r="BA3881" s="68"/>
      <c r="BB3881" s="67"/>
      <c r="BC3881" s="67"/>
      <c r="BD3881" s="67"/>
      <c r="BE3881" s="67"/>
      <c r="BF3881" s="95"/>
    </row>
    <row r="3882" spans="42:58" x14ac:dyDescent="0.35">
      <c r="AP3882" s="93"/>
      <c r="AQ3882" s="31"/>
      <c r="AR3882" s="31"/>
      <c r="AS3882" s="94"/>
      <c r="AT3882" s="31"/>
      <c r="AU3882" s="31"/>
      <c r="AV3882" s="94"/>
      <c r="AW3882" s="32"/>
      <c r="AX3882" s="32"/>
      <c r="AY3882" s="32"/>
      <c r="AZ3882" s="32"/>
      <c r="BA3882" s="32"/>
      <c r="BB3882" s="31"/>
      <c r="BC3882" s="31"/>
      <c r="BD3882" s="31"/>
      <c r="BE3882" s="31"/>
      <c r="BF3882" s="96"/>
    </row>
    <row r="3883" spans="42:58" x14ac:dyDescent="0.35">
      <c r="AP3883" s="92"/>
      <c r="AQ3883" s="67"/>
      <c r="AR3883" s="67"/>
      <c r="AS3883" s="73"/>
      <c r="AT3883" s="67"/>
      <c r="AU3883" s="67"/>
      <c r="AV3883" s="73"/>
      <c r="AW3883" s="68"/>
      <c r="AX3883" s="68"/>
      <c r="AY3883" s="68"/>
      <c r="AZ3883" s="68"/>
      <c r="BA3883" s="68"/>
      <c r="BB3883" s="67"/>
      <c r="BC3883" s="67"/>
      <c r="BD3883" s="67"/>
      <c r="BE3883" s="67"/>
      <c r="BF3883" s="95"/>
    </row>
    <row r="3884" spans="42:58" x14ac:dyDescent="0.35">
      <c r="AP3884" s="93"/>
      <c r="AQ3884" s="31"/>
      <c r="AR3884" s="31"/>
      <c r="AS3884" s="94"/>
      <c r="AT3884" s="31"/>
      <c r="AU3884" s="31"/>
      <c r="AV3884" s="94"/>
      <c r="AW3884" s="32"/>
      <c r="AX3884" s="32"/>
      <c r="AY3884" s="32"/>
      <c r="AZ3884" s="32"/>
      <c r="BA3884" s="32"/>
      <c r="BB3884" s="31"/>
      <c r="BC3884" s="31"/>
      <c r="BD3884" s="31"/>
      <c r="BE3884" s="31"/>
      <c r="BF3884" s="96"/>
    </row>
    <row r="3885" spans="42:58" x14ac:dyDescent="0.35">
      <c r="AP3885" s="92"/>
      <c r="AQ3885" s="67"/>
      <c r="AR3885" s="67"/>
      <c r="AS3885" s="73"/>
      <c r="AT3885" s="67"/>
      <c r="AU3885" s="67"/>
      <c r="AV3885" s="73"/>
      <c r="AW3885" s="68"/>
      <c r="AX3885" s="68"/>
      <c r="AY3885" s="68"/>
      <c r="AZ3885" s="68"/>
      <c r="BA3885" s="68"/>
      <c r="BB3885" s="67"/>
      <c r="BC3885" s="67"/>
      <c r="BD3885" s="67"/>
      <c r="BE3885" s="67"/>
      <c r="BF3885" s="95"/>
    </row>
    <row r="3886" spans="42:58" x14ac:dyDescent="0.35">
      <c r="AP3886" s="93"/>
      <c r="AQ3886" s="31"/>
      <c r="AR3886" s="31"/>
      <c r="AS3886" s="94"/>
      <c r="AT3886" s="31"/>
      <c r="AU3886" s="31"/>
      <c r="AV3886" s="94"/>
      <c r="AW3886" s="32"/>
      <c r="AX3886" s="32"/>
      <c r="AY3886" s="32"/>
      <c r="AZ3886" s="32"/>
      <c r="BA3886" s="32"/>
      <c r="BB3886" s="31"/>
      <c r="BC3886" s="31"/>
      <c r="BD3886" s="31"/>
      <c r="BE3886" s="31"/>
      <c r="BF3886" s="96"/>
    </row>
    <row r="3887" spans="42:58" x14ac:dyDescent="0.35">
      <c r="AP3887" s="92"/>
      <c r="AQ3887" s="67"/>
      <c r="AR3887" s="67"/>
      <c r="AS3887" s="73"/>
      <c r="AT3887" s="67"/>
      <c r="AU3887" s="67"/>
      <c r="AV3887" s="73"/>
      <c r="AW3887" s="68"/>
      <c r="AX3887" s="68"/>
      <c r="AY3887" s="68"/>
      <c r="AZ3887" s="68"/>
      <c r="BA3887" s="68"/>
      <c r="BB3887" s="67"/>
      <c r="BC3887" s="67"/>
      <c r="BD3887" s="67"/>
      <c r="BE3887" s="67"/>
      <c r="BF3887" s="95"/>
    </row>
    <row r="3888" spans="42:58" x14ac:dyDescent="0.35">
      <c r="AP3888" s="93"/>
      <c r="AQ3888" s="31"/>
      <c r="AR3888" s="31"/>
      <c r="AS3888" s="94"/>
      <c r="AT3888" s="31"/>
      <c r="AU3888" s="31"/>
      <c r="AV3888" s="94"/>
      <c r="AW3888" s="32"/>
      <c r="AX3888" s="32"/>
      <c r="AY3888" s="32"/>
      <c r="AZ3888" s="32"/>
      <c r="BA3888" s="32"/>
      <c r="BB3888" s="31"/>
      <c r="BC3888" s="31"/>
      <c r="BD3888" s="31"/>
      <c r="BE3888" s="31"/>
      <c r="BF3888" s="96"/>
    </row>
    <row r="3889" spans="42:58" x14ac:dyDescent="0.35">
      <c r="AP3889" s="92"/>
      <c r="AQ3889" s="67"/>
      <c r="AR3889" s="67"/>
      <c r="AS3889" s="73"/>
      <c r="AT3889" s="67"/>
      <c r="AU3889" s="67"/>
      <c r="AV3889" s="73"/>
      <c r="AW3889" s="68"/>
      <c r="AX3889" s="68"/>
      <c r="AY3889" s="68"/>
      <c r="AZ3889" s="68"/>
      <c r="BA3889" s="68"/>
      <c r="BB3889" s="67"/>
      <c r="BC3889" s="67"/>
      <c r="BD3889" s="67"/>
      <c r="BE3889" s="67"/>
      <c r="BF3889" s="95"/>
    </row>
    <row r="3890" spans="42:58" x14ac:dyDescent="0.35">
      <c r="AP3890" s="93"/>
      <c r="AQ3890" s="31"/>
      <c r="AR3890" s="31"/>
      <c r="AS3890" s="94"/>
      <c r="AT3890" s="31"/>
      <c r="AU3890" s="31"/>
      <c r="AV3890" s="94"/>
      <c r="AW3890" s="32"/>
      <c r="AX3890" s="32"/>
      <c r="AY3890" s="32"/>
      <c r="AZ3890" s="32"/>
      <c r="BA3890" s="32"/>
      <c r="BB3890" s="31"/>
      <c r="BC3890" s="31"/>
      <c r="BD3890" s="31"/>
      <c r="BE3890" s="31"/>
      <c r="BF3890" s="96"/>
    </row>
    <row r="3891" spans="42:58" x14ac:dyDescent="0.35">
      <c r="AP3891" s="92"/>
      <c r="AQ3891" s="67"/>
      <c r="AR3891" s="67"/>
      <c r="AS3891" s="73"/>
      <c r="AT3891" s="67"/>
      <c r="AU3891" s="67"/>
      <c r="AV3891" s="73"/>
      <c r="AW3891" s="68"/>
      <c r="AX3891" s="68"/>
      <c r="AY3891" s="68"/>
      <c r="AZ3891" s="68"/>
      <c r="BA3891" s="68"/>
      <c r="BB3891" s="67"/>
      <c r="BC3891" s="67"/>
      <c r="BD3891" s="67"/>
      <c r="BE3891" s="67"/>
      <c r="BF3891" s="95"/>
    </row>
    <row r="3892" spans="42:58" x14ac:dyDescent="0.35">
      <c r="AP3892" s="93"/>
      <c r="AQ3892" s="31"/>
      <c r="AR3892" s="31"/>
      <c r="AS3892" s="94"/>
      <c r="AT3892" s="31"/>
      <c r="AU3892" s="31"/>
      <c r="AV3892" s="94"/>
      <c r="AW3892" s="32"/>
      <c r="AX3892" s="32"/>
      <c r="AY3892" s="32"/>
      <c r="AZ3892" s="32"/>
      <c r="BA3892" s="32"/>
      <c r="BB3892" s="31"/>
      <c r="BC3892" s="31"/>
      <c r="BD3892" s="31"/>
      <c r="BE3892" s="31"/>
      <c r="BF3892" s="96"/>
    </row>
    <row r="3893" spans="42:58" x14ac:dyDescent="0.35">
      <c r="AP3893" s="92"/>
      <c r="AQ3893" s="67"/>
      <c r="AR3893" s="67"/>
      <c r="AS3893" s="73"/>
      <c r="AT3893" s="67"/>
      <c r="AU3893" s="67"/>
      <c r="AV3893" s="73"/>
      <c r="AW3893" s="68"/>
      <c r="AX3893" s="68"/>
      <c r="AY3893" s="68"/>
      <c r="AZ3893" s="68"/>
      <c r="BA3893" s="68"/>
      <c r="BB3893" s="67"/>
      <c r="BC3893" s="67"/>
      <c r="BD3893" s="67"/>
      <c r="BE3893" s="67"/>
      <c r="BF3893" s="95"/>
    </row>
    <row r="3894" spans="42:58" x14ac:dyDescent="0.35">
      <c r="AP3894" s="93"/>
      <c r="AQ3894" s="31"/>
      <c r="AR3894" s="31"/>
      <c r="AS3894" s="94"/>
      <c r="AT3894" s="31"/>
      <c r="AU3894" s="31"/>
      <c r="AV3894" s="94"/>
      <c r="AW3894" s="32"/>
      <c r="AX3894" s="32"/>
      <c r="AY3894" s="32"/>
      <c r="AZ3894" s="32"/>
      <c r="BA3894" s="32"/>
      <c r="BB3894" s="31"/>
      <c r="BC3894" s="31"/>
      <c r="BD3894" s="31"/>
      <c r="BE3894" s="31"/>
      <c r="BF3894" s="96"/>
    </row>
    <row r="3895" spans="42:58" x14ac:dyDescent="0.35">
      <c r="AP3895" s="92"/>
      <c r="AQ3895" s="67"/>
      <c r="AR3895" s="67"/>
      <c r="AS3895" s="73"/>
      <c r="AT3895" s="67"/>
      <c r="AU3895" s="67"/>
      <c r="AV3895" s="73"/>
      <c r="AW3895" s="68"/>
      <c r="AX3895" s="68"/>
      <c r="AY3895" s="68"/>
      <c r="AZ3895" s="68"/>
      <c r="BA3895" s="68"/>
      <c r="BB3895" s="67"/>
      <c r="BC3895" s="67"/>
      <c r="BD3895" s="67"/>
      <c r="BE3895" s="67"/>
      <c r="BF3895" s="95"/>
    </row>
    <row r="3896" spans="42:58" x14ac:dyDescent="0.35">
      <c r="AP3896" s="93"/>
      <c r="AQ3896" s="31"/>
      <c r="AR3896" s="31"/>
      <c r="AS3896" s="94"/>
      <c r="AT3896" s="31"/>
      <c r="AU3896" s="31"/>
      <c r="AV3896" s="94"/>
      <c r="AW3896" s="32"/>
      <c r="AX3896" s="32"/>
      <c r="AY3896" s="32"/>
      <c r="AZ3896" s="32"/>
      <c r="BA3896" s="32"/>
      <c r="BB3896" s="31"/>
      <c r="BC3896" s="31"/>
      <c r="BD3896" s="31"/>
      <c r="BE3896" s="31"/>
      <c r="BF3896" s="96"/>
    </row>
    <row r="3897" spans="42:58" x14ac:dyDescent="0.35">
      <c r="AP3897" s="92"/>
      <c r="AQ3897" s="67"/>
      <c r="AR3897" s="67"/>
      <c r="AS3897" s="73"/>
      <c r="AT3897" s="67"/>
      <c r="AU3897" s="67"/>
      <c r="AV3897" s="73"/>
      <c r="AW3897" s="68"/>
      <c r="AX3897" s="68"/>
      <c r="AY3897" s="68"/>
      <c r="AZ3897" s="68"/>
      <c r="BA3897" s="68"/>
      <c r="BB3897" s="67"/>
      <c r="BC3897" s="67"/>
      <c r="BD3897" s="67"/>
      <c r="BE3897" s="67"/>
      <c r="BF3897" s="95"/>
    </row>
    <row r="3898" spans="42:58" x14ac:dyDescent="0.35">
      <c r="AP3898" s="93"/>
      <c r="AQ3898" s="31"/>
      <c r="AR3898" s="31"/>
      <c r="AS3898" s="94"/>
      <c r="AT3898" s="31"/>
      <c r="AU3898" s="31"/>
      <c r="AV3898" s="94"/>
      <c r="AW3898" s="32"/>
      <c r="AX3898" s="32"/>
      <c r="AY3898" s="32"/>
      <c r="AZ3898" s="32"/>
      <c r="BA3898" s="32"/>
      <c r="BB3898" s="31"/>
      <c r="BC3898" s="31"/>
      <c r="BD3898" s="31"/>
      <c r="BE3898" s="31"/>
      <c r="BF3898" s="96"/>
    </row>
    <row r="3899" spans="42:58" x14ac:dyDescent="0.35">
      <c r="AP3899" s="92"/>
      <c r="AQ3899" s="67"/>
      <c r="AR3899" s="67"/>
      <c r="AS3899" s="73"/>
      <c r="AT3899" s="67"/>
      <c r="AU3899" s="67"/>
      <c r="AV3899" s="73"/>
      <c r="AW3899" s="68"/>
      <c r="AX3899" s="68"/>
      <c r="AY3899" s="68"/>
      <c r="AZ3899" s="68"/>
      <c r="BA3899" s="68"/>
      <c r="BB3899" s="67"/>
      <c r="BC3899" s="67"/>
      <c r="BD3899" s="67"/>
      <c r="BE3899" s="67"/>
      <c r="BF3899" s="95"/>
    </row>
    <row r="3900" spans="42:58" x14ac:dyDescent="0.35">
      <c r="AP3900" s="93"/>
      <c r="AQ3900" s="31"/>
      <c r="AR3900" s="31"/>
      <c r="AS3900" s="94"/>
      <c r="AT3900" s="31"/>
      <c r="AU3900" s="31"/>
      <c r="AV3900" s="94"/>
      <c r="AW3900" s="32"/>
      <c r="AX3900" s="32"/>
      <c r="AY3900" s="32"/>
      <c r="AZ3900" s="32"/>
      <c r="BA3900" s="32"/>
      <c r="BB3900" s="31"/>
      <c r="BC3900" s="31"/>
      <c r="BD3900" s="31"/>
      <c r="BE3900" s="31"/>
      <c r="BF3900" s="96"/>
    </row>
    <row r="3901" spans="42:58" x14ac:dyDescent="0.35">
      <c r="AP3901" s="92"/>
      <c r="AQ3901" s="67"/>
      <c r="AR3901" s="67"/>
      <c r="AS3901" s="73"/>
      <c r="AT3901" s="67"/>
      <c r="AU3901" s="67"/>
      <c r="AV3901" s="73"/>
      <c r="AW3901" s="68"/>
      <c r="AX3901" s="68"/>
      <c r="AY3901" s="68"/>
      <c r="AZ3901" s="68"/>
      <c r="BA3901" s="68"/>
      <c r="BB3901" s="67"/>
      <c r="BC3901" s="67"/>
      <c r="BD3901" s="67"/>
      <c r="BE3901" s="67"/>
      <c r="BF3901" s="95"/>
    </row>
    <row r="3902" spans="42:58" x14ac:dyDescent="0.35">
      <c r="AP3902" s="93"/>
      <c r="AQ3902" s="31"/>
      <c r="AR3902" s="31"/>
      <c r="AS3902" s="94"/>
      <c r="AT3902" s="31"/>
      <c r="AU3902" s="31"/>
      <c r="AV3902" s="94"/>
      <c r="AW3902" s="32"/>
      <c r="AX3902" s="32"/>
      <c r="AY3902" s="32"/>
      <c r="AZ3902" s="32"/>
      <c r="BA3902" s="32"/>
      <c r="BB3902" s="31"/>
      <c r="BC3902" s="31"/>
      <c r="BD3902" s="31"/>
      <c r="BE3902" s="31"/>
      <c r="BF3902" s="96"/>
    </row>
    <row r="3903" spans="42:58" x14ac:dyDescent="0.35">
      <c r="AP3903" s="92"/>
      <c r="AQ3903" s="67"/>
      <c r="AR3903" s="67"/>
      <c r="AS3903" s="73"/>
      <c r="AT3903" s="67"/>
      <c r="AU3903" s="67"/>
      <c r="AV3903" s="73"/>
      <c r="AW3903" s="68"/>
      <c r="AX3903" s="68"/>
      <c r="AY3903" s="68"/>
      <c r="AZ3903" s="68"/>
      <c r="BA3903" s="68"/>
      <c r="BB3903" s="67"/>
      <c r="BC3903" s="67"/>
      <c r="BD3903" s="67"/>
      <c r="BE3903" s="67"/>
      <c r="BF3903" s="95"/>
    </row>
    <row r="3904" spans="42:58" x14ac:dyDescent="0.35">
      <c r="AP3904" s="93"/>
      <c r="AQ3904" s="31"/>
      <c r="AR3904" s="31"/>
      <c r="AS3904" s="94"/>
      <c r="AT3904" s="31"/>
      <c r="AU3904" s="31"/>
      <c r="AV3904" s="94"/>
      <c r="AW3904" s="32"/>
      <c r="AX3904" s="32"/>
      <c r="AY3904" s="32"/>
      <c r="AZ3904" s="32"/>
      <c r="BA3904" s="32"/>
      <c r="BB3904" s="31"/>
      <c r="BC3904" s="31"/>
      <c r="BD3904" s="31"/>
      <c r="BE3904" s="31"/>
      <c r="BF3904" s="96"/>
    </row>
    <row r="3905" spans="42:58" x14ac:dyDescent="0.35">
      <c r="AP3905" s="92"/>
      <c r="AQ3905" s="67"/>
      <c r="AR3905" s="67"/>
      <c r="AS3905" s="73"/>
      <c r="AT3905" s="67"/>
      <c r="AU3905" s="67"/>
      <c r="AV3905" s="73"/>
      <c r="AW3905" s="68"/>
      <c r="AX3905" s="68"/>
      <c r="AY3905" s="68"/>
      <c r="AZ3905" s="68"/>
      <c r="BA3905" s="68"/>
      <c r="BB3905" s="67"/>
      <c r="BC3905" s="67"/>
      <c r="BD3905" s="67"/>
      <c r="BE3905" s="67"/>
      <c r="BF3905" s="95"/>
    </row>
    <row r="3906" spans="42:58" x14ac:dyDescent="0.35">
      <c r="AP3906" s="93"/>
      <c r="AQ3906" s="31"/>
      <c r="AR3906" s="31"/>
      <c r="AS3906" s="94"/>
      <c r="AT3906" s="31"/>
      <c r="AU3906" s="31"/>
      <c r="AV3906" s="94"/>
      <c r="AW3906" s="32"/>
      <c r="AX3906" s="32"/>
      <c r="AY3906" s="32"/>
      <c r="AZ3906" s="32"/>
      <c r="BA3906" s="32"/>
      <c r="BB3906" s="31"/>
      <c r="BC3906" s="31"/>
      <c r="BD3906" s="31"/>
      <c r="BE3906" s="31"/>
      <c r="BF3906" s="96"/>
    </row>
    <row r="3907" spans="42:58" x14ac:dyDescent="0.35">
      <c r="AP3907" s="92"/>
      <c r="AQ3907" s="67"/>
      <c r="AR3907" s="67"/>
      <c r="AS3907" s="73"/>
      <c r="AT3907" s="67"/>
      <c r="AU3907" s="67"/>
      <c r="AV3907" s="73"/>
      <c r="AW3907" s="68"/>
      <c r="AX3907" s="68"/>
      <c r="AY3907" s="68"/>
      <c r="AZ3907" s="68"/>
      <c r="BA3907" s="68"/>
      <c r="BB3907" s="67"/>
      <c r="BC3907" s="67"/>
      <c r="BD3907" s="67"/>
      <c r="BE3907" s="67"/>
      <c r="BF3907" s="95"/>
    </row>
    <row r="3908" spans="42:58" x14ac:dyDescent="0.35">
      <c r="AP3908" s="93"/>
      <c r="AQ3908" s="31"/>
      <c r="AR3908" s="31"/>
      <c r="AS3908" s="94"/>
      <c r="AT3908" s="31"/>
      <c r="AU3908" s="31"/>
      <c r="AV3908" s="94"/>
      <c r="AW3908" s="32"/>
      <c r="AX3908" s="32"/>
      <c r="AY3908" s="32"/>
      <c r="AZ3908" s="32"/>
      <c r="BA3908" s="32"/>
      <c r="BB3908" s="31"/>
      <c r="BC3908" s="31"/>
      <c r="BD3908" s="31"/>
      <c r="BE3908" s="31"/>
      <c r="BF3908" s="96"/>
    </row>
    <row r="3909" spans="42:58" x14ac:dyDescent="0.35">
      <c r="AP3909" s="92"/>
      <c r="AQ3909" s="67"/>
      <c r="AR3909" s="67"/>
      <c r="AS3909" s="73"/>
      <c r="AT3909" s="67"/>
      <c r="AU3909" s="67"/>
      <c r="AV3909" s="73"/>
      <c r="AW3909" s="68"/>
      <c r="AX3909" s="68"/>
      <c r="AY3909" s="68"/>
      <c r="AZ3909" s="68"/>
      <c r="BA3909" s="68"/>
      <c r="BB3909" s="67"/>
      <c r="BC3909" s="67"/>
      <c r="BD3909" s="67"/>
      <c r="BE3909" s="67"/>
      <c r="BF3909" s="95"/>
    </row>
    <row r="3910" spans="42:58" x14ac:dyDescent="0.35">
      <c r="AP3910" s="93"/>
      <c r="AQ3910" s="31"/>
      <c r="AR3910" s="31"/>
      <c r="AS3910" s="94"/>
      <c r="AT3910" s="31"/>
      <c r="AU3910" s="31"/>
      <c r="AV3910" s="94"/>
      <c r="AW3910" s="32"/>
      <c r="AX3910" s="32"/>
      <c r="AY3910" s="32"/>
      <c r="AZ3910" s="32"/>
      <c r="BA3910" s="32"/>
      <c r="BB3910" s="31"/>
      <c r="BC3910" s="31"/>
      <c r="BD3910" s="31"/>
      <c r="BE3910" s="31"/>
      <c r="BF3910" s="96"/>
    </row>
    <row r="3911" spans="42:58" x14ac:dyDescent="0.35">
      <c r="AP3911" s="92"/>
      <c r="AQ3911" s="67"/>
      <c r="AR3911" s="67"/>
      <c r="AS3911" s="73"/>
      <c r="AT3911" s="67"/>
      <c r="AU3911" s="67"/>
      <c r="AV3911" s="73"/>
      <c r="AW3911" s="68"/>
      <c r="AX3911" s="68"/>
      <c r="AY3911" s="68"/>
      <c r="AZ3911" s="68"/>
      <c r="BA3911" s="68"/>
      <c r="BB3911" s="67"/>
      <c r="BC3911" s="67"/>
      <c r="BD3911" s="67"/>
      <c r="BE3911" s="67"/>
      <c r="BF3911" s="95"/>
    </row>
    <row r="3912" spans="42:58" x14ac:dyDescent="0.35">
      <c r="AP3912" s="93"/>
      <c r="AQ3912" s="31"/>
      <c r="AR3912" s="31"/>
      <c r="AS3912" s="94"/>
      <c r="AT3912" s="31"/>
      <c r="AU3912" s="31"/>
      <c r="AV3912" s="94"/>
      <c r="AW3912" s="32"/>
      <c r="AX3912" s="32"/>
      <c r="AY3912" s="32"/>
      <c r="AZ3912" s="32"/>
      <c r="BA3912" s="32"/>
      <c r="BB3912" s="31"/>
      <c r="BC3912" s="31"/>
      <c r="BD3912" s="31"/>
      <c r="BE3912" s="31"/>
      <c r="BF3912" s="96"/>
    </row>
    <row r="3913" spans="42:58" x14ac:dyDescent="0.35">
      <c r="AP3913" s="92"/>
      <c r="AQ3913" s="67"/>
      <c r="AR3913" s="67"/>
      <c r="AS3913" s="73"/>
      <c r="AT3913" s="67"/>
      <c r="AU3913" s="67"/>
      <c r="AV3913" s="73"/>
      <c r="AW3913" s="68"/>
      <c r="AX3913" s="68"/>
      <c r="AY3913" s="68"/>
      <c r="AZ3913" s="68"/>
      <c r="BA3913" s="68"/>
      <c r="BB3913" s="67"/>
      <c r="BC3913" s="67"/>
      <c r="BD3913" s="67"/>
      <c r="BE3913" s="67"/>
      <c r="BF3913" s="95"/>
    </row>
    <row r="3914" spans="42:58" x14ac:dyDescent="0.35">
      <c r="AP3914" s="93"/>
      <c r="AQ3914" s="31"/>
      <c r="AR3914" s="31"/>
      <c r="AS3914" s="94"/>
      <c r="AT3914" s="31"/>
      <c r="AU3914" s="31"/>
      <c r="AV3914" s="94"/>
      <c r="AW3914" s="32"/>
      <c r="AX3914" s="32"/>
      <c r="AY3914" s="32"/>
      <c r="AZ3914" s="32"/>
      <c r="BA3914" s="32"/>
      <c r="BB3914" s="31"/>
      <c r="BC3914" s="31"/>
      <c r="BD3914" s="31"/>
      <c r="BE3914" s="31"/>
      <c r="BF3914" s="96"/>
    </row>
    <row r="3915" spans="42:58" x14ac:dyDescent="0.35">
      <c r="AP3915" s="92"/>
      <c r="AQ3915" s="67"/>
      <c r="AR3915" s="67"/>
      <c r="AS3915" s="73"/>
      <c r="AT3915" s="67"/>
      <c r="AU3915" s="67"/>
      <c r="AV3915" s="73"/>
      <c r="AW3915" s="68"/>
      <c r="AX3915" s="68"/>
      <c r="AY3915" s="68"/>
      <c r="AZ3915" s="68"/>
      <c r="BA3915" s="68"/>
      <c r="BB3915" s="67"/>
      <c r="BC3915" s="67"/>
      <c r="BD3915" s="67"/>
      <c r="BE3915" s="67"/>
      <c r="BF3915" s="95"/>
    </row>
    <row r="3916" spans="42:58" x14ac:dyDescent="0.35">
      <c r="AP3916" s="93"/>
      <c r="AQ3916" s="31"/>
      <c r="AR3916" s="31"/>
      <c r="AS3916" s="94"/>
      <c r="AT3916" s="31"/>
      <c r="AU3916" s="31"/>
      <c r="AV3916" s="94"/>
      <c r="AW3916" s="32"/>
      <c r="AX3916" s="32"/>
      <c r="AY3916" s="32"/>
      <c r="AZ3916" s="32"/>
      <c r="BA3916" s="32"/>
      <c r="BB3916" s="31"/>
      <c r="BC3916" s="31"/>
      <c r="BD3916" s="31"/>
      <c r="BE3916" s="31"/>
      <c r="BF3916" s="96"/>
    </row>
    <row r="3917" spans="42:58" x14ac:dyDescent="0.35">
      <c r="AP3917" s="92"/>
      <c r="AQ3917" s="67"/>
      <c r="AR3917" s="67"/>
      <c r="AS3917" s="73"/>
      <c r="AT3917" s="67"/>
      <c r="AU3917" s="67"/>
      <c r="AV3917" s="73"/>
      <c r="AW3917" s="68"/>
      <c r="AX3917" s="68"/>
      <c r="AY3917" s="68"/>
      <c r="AZ3917" s="68"/>
      <c r="BA3917" s="68"/>
      <c r="BB3917" s="67"/>
      <c r="BC3917" s="67"/>
      <c r="BD3917" s="67"/>
      <c r="BE3917" s="67"/>
      <c r="BF3917" s="95"/>
    </row>
    <row r="3918" spans="42:58" x14ac:dyDescent="0.35">
      <c r="AP3918" s="93"/>
      <c r="AQ3918" s="31"/>
      <c r="AR3918" s="31"/>
      <c r="AS3918" s="94"/>
      <c r="AT3918" s="31"/>
      <c r="AU3918" s="31"/>
      <c r="AV3918" s="94"/>
      <c r="AW3918" s="32"/>
      <c r="AX3918" s="32"/>
      <c r="AY3918" s="32"/>
      <c r="AZ3918" s="32"/>
      <c r="BA3918" s="32"/>
      <c r="BB3918" s="31"/>
      <c r="BC3918" s="31"/>
      <c r="BD3918" s="31"/>
      <c r="BE3918" s="31"/>
      <c r="BF3918" s="96"/>
    </row>
    <row r="3919" spans="42:58" x14ac:dyDescent="0.35">
      <c r="AP3919" s="92"/>
      <c r="AQ3919" s="67"/>
      <c r="AR3919" s="67"/>
      <c r="AS3919" s="73"/>
      <c r="AT3919" s="67"/>
      <c r="AU3919" s="67"/>
      <c r="AV3919" s="73"/>
      <c r="AW3919" s="68"/>
      <c r="AX3919" s="68"/>
      <c r="AY3919" s="68"/>
      <c r="AZ3919" s="68"/>
      <c r="BA3919" s="68"/>
      <c r="BB3919" s="67"/>
      <c r="BC3919" s="67"/>
      <c r="BD3919" s="67"/>
      <c r="BE3919" s="67"/>
      <c r="BF3919" s="95"/>
    </row>
    <row r="3920" spans="42:58" x14ac:dyDescent="0.35">
      <c r="AP3920" s="93"/>
      <c r="AQ3920" s="31"/>
      <c r="AR3920" s="31"/>
      <c r="AS3920" s="94"/>
      <c r="AT3920" s="31"/>
      <c r="AU3920" s="31"/>
      <c r="AV3920" s="94"/>
      <c r="AW3920" s="32"/>
      <c r="AX3920" s="32"/>
      <c r="AY3920" s="32"/>
      <c r="AZ3920" s="32"/>
      <c r="BA3920" s="32"/>
      <c r="BB3920" s="31"/>
      <c r="BC3920" s="31"/>
      <c r="BD3920" s="31"/>
      <c r="BE3920" s="31"/>
      <c r="BF3920" s="96"/>
    </row>
    <row r="3921" spans="42:58" x14ac:dyDescent="0.35">
      <c r="AP3921" s="92"/>
      <c r="AQ3921" s="67"/>
      <c r="AR3921" s="67"/>
      <c r="AS3921" s="73"/>
      <c r="AT3921" s="67"/>
      <c r="AU3921" s="67"/>
      <c r="AV3921" s="73"/>
      <c r="AW3921" s="68"/>
      <c r="AX3921" s="68"/>
      <c r="AY3921" s="68"/>
      <c r="AZ3921" s="68"/>
      <c r="BA3921" s="68"/>
      <c r="BB3921" s="67"/>
      <c r="BC3921" s="67"/>
      <c r="BD3921" s="67"/>
      <c r="BE3921" s="67"/>
      <c r="BF3921" s="95"/>
    </row>
    <row r="3922" spans="42:58" x14ac:dyDescent="0.35">
      <c r="AP3922" s="93"/>
      <c r="AQ3922" s="31"/>
      <c r="AR3922" s="31"/>
      <c r="AS3922" s="94"/>
      <c r="AT3922" s="31"/>
      <c r="AU3922" s="31"/>
      <c r="AV3922" s="94"/>
      <c r="AW3922" s="32"/>
      <c r="AX3922" s="32"/>
      <c r="AY3922" s="32"/>
      <c r="AZ3922" s="32"/>
      <c r="BA3922" s="32"/>
      <c r="BB3922" s="31"/>
      <c r="BC3922" s="31"/>
      <c r="BD3922" s="31"/>
      <c r="BE3922" s="31"/>
      <c r="BF3922" s="96"/>
    </row>
    <row r="3923" spans="42:58" x14ac:dyDescent="0.35">
      <c r="AP3923" s="92"/>
      <c r="AQ3923" s="67"/>
      <c r="AR3923" s="67"/>
      <c r="AS3923" s="73"/>
      <c r="AT3923" s="67"/>
      <c r="AU3923" s="67"/>
      <c r="AV3923" s="73"/>
      <c r="AW3923" s="68"/>
      <c r="AX3923" s="68"/>
      <c r="AY3923" s="68"/>
      <c r="AZ3923" s="68"/>
      <c r="BA3923" s="68"/>
      <c r="BB3923" s="67"/>
      <c r="BC3923" s="67"/>
      <c r="BD3923" s="67"/>
      <c r="BE3923" s="67"/>
      <c r="BF3923" s="95"/>
    </row>
    <row r="3924" spans="42:58" x14ac:dyDescent="0.35">
      <c r="AP3924" s="93"/>
      <c r="AQ3924" s="31"/>
      <c r="AR3924" s="31"/>
      <c r="AS3924" s="94"/>
      <c r="AT3924" s="31"/>
      <c r="AU3924" s="31"/>
      <c r="AV3924" s="94"/>
      <c r="AW3924" s="32"/>
      <c r="AX3924" s="32"/>
      <c r="AY3924" s="32"/>
      <c r="AZ3924" s="32"/>
      <c r="BA3924" s="32"/>
      <c r="BB3924" s="31"/>
      <c r="BC3924" s="31"/>
      <c r="BD3924" s="31"/>
      <c r="BE3924" s="31"/>
      <c r="BF3924" s="96"/>
    </row>
    <row r="3925" spans="42:58" x14ac:dyDescent="0.35">
      <c r="AP3925" s="92"/>
      <c r="AQ3925" s="67"/>
      <c r="AR3925" s="67"/>
      <c r="AS3925" s="73"/>
      <c r="AT3925" s="67"/>
      <c r="AU3925" s="67"/>
      <c r="AV3925" s="73"/>
      <c r="AW3925" s="68"/>
      <c r="AX3925" s="68"/>
      <c r="AY3925" s="68"/>
      <c r="AZ3925" s="68"/>
      <c r="BA3925" s="68"/>
      <c r="BB3925" s="67"/>
      <c r="BC3925" s="67"/>
      <c r="BD3925" s="67"/>
      <c r="BE3925" s="67"/>
      <c r="BF3925" s="95"/>
    </row>
    <row r="3926" spans="42:58" x14ac:dyDescent="0.35">
      <c r="AP3926" s="93"/>
      <c r="AQ3926" s="31"/>
      <c r="AR3926" s="31"/>
      <c r="AS3926" s="94"/>
      <c r="AT3926" s="31"/>
      <c r="AU3926" s="31"/>
      <c r="AV3926" s="94"/>
      <c r="AW3926" s="32"/>
      <c r="AX3926" s="32"/>
      <c r="AY3926" s="32"/>
      <c r="AZ3926" s="32"/>
      <c r="BA3926" s="32"/>
      <c r="BB3926" s="31"/>
      <c r="BC3926" s="31"/>
      <c r="BD3926" s="31"/>
      <c r="BE3926" s="31"/>
      <c r="BF3926" s="96"/>
    </row>
    <row r="3927" spans="42:58" x14ac:dyDescent="0.35">
      <c r="AP3927" s="92"/>
      <c r="AQ3927" s="67"/>
      <c r="AR3927" s="67"/>
      <c r="AS3927" s="73"/>
      <c r="AT3927" s="67"/>
      <c r="AU3927" s="67"/>
      <c r="AV3927" s="73"/>
      <c r="AW3927" s="68"/>
      <c r="AX3927" s="68"/>
      <c r="AY3927" s="68"/>
      <c r="AZ3927" s="68"/>
      <c r="BA3927" s="68"/>
      <c r="BB3927" s="67"/>
      <c r="BC3927" s="67"/>
      <c r="BD3927" s="67"/>
      <c r="BE3927" s="67"/>
      <c r="BF3927" s="95"/>
    </row>
    <row r="3928" spans="42:58" x14ac:dyDescent="0.35">
      <c r="AP3928" s="93"/>
      <c r="AQ3928" s="31"/>
      <c r="AR3928" s="31"/>
      <c r="AS3928" s="94"/>
      <c r="AT3928" s="31"/>
      <c r="AU3928" s="31"/>
      <c r="AV3928" s="94"/>
      <c r="AW3928" s="32"/>
      <c r="AX3928" s="32"/>
      <c r="AY3928" s="32"/>
      <c r="AZ3928" s="32"/>
      <c r="BA3928" s="32"/>
      <c r="BB3928" s="31"/>
      <c r="BC3928" s="31"/>
      <c r="BD3928" s="31"/>
      <c r="BE3928" s="31"/>
      <c r="BF3928" s="96"/>
    </row>
    <row r="3929" spans="42:58" x14ac:dyDescent="0.35">
      <c r="AP3929" s="92"/>
      <c r="AQ3929" s="67"/>
      <c r="AR3929" s="67"/>
      <c r="AS3929" s="73"/>
      <c r="AT3929" s="67"/>
      <c r="AU3929" s="67"/>
      <c r="AV3929" s="73"/>
      <c r="AW3929" s="68"/>
      <c r="AX3929" s="68"/>
      <c r="AY3929" s="68"/>
      <c r="AZ3929" s="68"/>
      <c r="BA3929" s="68"/>
      <c r="BB3929" s="67"/>
      <c r="BC3929" s="67"/>
      <c r="BD3929" s="67"/>
      <c r="BE3929" s="67"/>
      <c r="BF3929" s="95"/>
    </row>
    <row r="3930" spans="42:58" x14ac:dyDescent="0.35">
      <c r="AP3930" s="93"/>
      <c r="AQ3930" s="31"/>
      <c r="AR3930" s="31"/>
      <c r="AS3930" s="94"/>
      <c r="AT3930" s="31"/>
      <c r="AU3930" s="31"/>
      <c r="AV3930" s="94"/>
      <c r="AW3930" s="32"/>
      <c r="AX3930" s="32"/>
      <c r="AY3930" s="32"/>
      <c r="AZ3930" s="32"/>
      <c r="BA3930" s="32"/>
      <c r="BB3930" s="31"/>
      <c r="BC3930" s="31"/>
      <c r="BD3930" s="31"/>
      <c r="BE3930" s="31"/>
      <c r="BF3930" s="96"/>
    </row>
    <row r="3931" spans="42:58" x14ac:dyDescent="0.35">
      <c r="AP3931" s="92"/>
      <c r="AQ3931" s="67"/>
      <c r="AR3931" s="67"/>
      <c r="AS3931" s="73"/>
      <c r="AT3931" s="67"/>
      <c r="AU3931" s="67"/>
      <c r="AV3931" s="73"/>
      <c r="AW3931" s="68"/>
      <c r="AX3931" s="68"/>
      <c r="AY3931" s="68"/>
      <c r="AZ3931" s="68"/>
      <c r="BA3931" s="68"/>
      <c r="BB3931" s="67"/>
      <c r="BC3931" s="67"/>
      <c r="BD3931" s="67"/>
      <c r="BE3931" s="67"/>
      <c r="BF3931" s="95"/>
    </row>
    <row r="3932" spans="42:58" x14ac:dyDescent="0.35">
      <c r="AP3932" s="93"/>
      <c r="AQ3932" s="31"/>
      <c r="AR3932" s="31"/>
      <c r="AS3932" s="94"/>
      <c r="AT3932" s="31"/>
      <c r="AU3932" s="31"/>
      <c r="AV3932" s="94"/>
      <c r="AW3932" s="32"/>
      <c r="AX3932" s="32"/>
      <c r="AY3932" s="32"/>
      <c r="AZ3932" s="32"/>
      <c r="BA3932" s="32"/>
      <c r="BB3932" s="31"/>
      <c r="BC3932" s="31"/>
      <c r="BD3932" s="31"/>
      <c r="BE3932" s="31"/>
      <c r="BF3932" s="96"/>
    </row>
    <row r="3933" spans="42:58" x14ac:dyDescent="0.35">
      <c r="AP3933" s="92"/>
      <c r="AQ3933" s="67"/>
      <c r="AR3933" s="67"/>
      <c r="AS3933" s="73"/>
      <c r="AT3933" s="67"/>
      <c r="AU3933" s="67"/>
      <c r="AV3933" s="73"/>
      <c r="AW3933" s="68"/>
      <c r="AX3933" s="68"/>
      <c r="AY3933" s="68"/>
      <c r="AZ3933" s="68"/>
      <c r="BA3933" s="68"/>
      <c r="BB3933" s="67"/>
      <c r="BC3933" s="67"/>
      <c r="BD3933" s="67"/>
      <c r="BE3933" s="67"/>
      <c r="BF3933" s="95"/>
    </row>
    <row r="3934" spans="42:58" x14ac:dyDescent="0.35">
      <c r="AP3934" s="93"/>
      <c r="AQ3934" s="31"/>
      <c r="AR3934" s="31"/>
      <c r="AS3934" s="94"/>
      <c r="AT3934" s="31"/>
      <c r="AU3934" s="31"/>
      <c r="AV3934" s="94"/>
      <c r="AW3934" s="32"/>
      <c r="AX3934" s="32"/>
      <c r="AY3934" s="32"/>
      <c r="AZ3934" s="32"/>
      <c r="BA3934" s="32"/>
      <c r="BB3934" s="31"/>
      <c r="BC3934" s="31"/>
      <c r="BD3934" s="31"/>
      <c r="BE3934" s="31"/>
      <c r="BF3934" s="96"/>
    </row>
    <row r="3935" spans="42:58" x14ac:dyDescent="0.35">
      <c r="AP3935" s="92"/>
      <c r="AQ3935" s="67"/>
      <c r="AR3935" s="67"/>
      <c r="AS3935" s="73"/>
      <c r="AT3935" s="67"/>
      <c r="AU3935" s="67"/>
      <c r="AV3935" s="73"/>
      <c r="AW3935" s="68"/>
      <c r="AX3935" s="68"/>
      <c r="AY3935" s="68"/>
      <c r="AZ3935" s="68"/>
      <c r="BA3935" s="68"/>
      <c r="BB3935" s="67"/>
      <c r="BC3935" s="67"/>
      <c r="BD3935" s="67"/>
      <c r="BE3935" s="67"/>
      <c r="BF3935" s="95"/>
    </row>
    <row r="3936" spans="42:58" x14ac:dyDescent="0.35">
      <c r="AP3936" s="93"/>
      <c r="AQ3936" s="31"/>
      <c r="AR3936" s="31"/>
      <c r="AS3936" s="94"/>
      <c r="AT3936" s="31"/>
      <c r="AU3936" s="31"/>
      <c r="AV3936" s="94"/>
      <c r="AW3936" s="32"/>
      <c r="AX3936" s="32"/>
      <c r="AY3936" s="32"/>
      <c r="AZ3936" s="32"/>
      <c r="BA3936" s="32"/>
      <c r="BB3936" s="31"/>
      <c r="BC3936" s="31"/>
      <c r="BD3936" s="31"/>
      <c r="BE3936" s="31"/>
      <c r="BF3936" s="96"/>
    </row>
    <row r="3937" spans="42:58" x14ac:dyDescent="0.35">
      <c r="AP3937" s="92"/>
      <c r="AQ3937" s="67"/>
      <c r="AR3937" s="67"/>
      <c r="AS3937" s="73"/>
      <c r="AT3937" s="67"/>
      <c r="AU3937" s="67"/>
      <c r="AV3937" s="73"/>
      <c r="AW3937" s="68"/>
      <c r="AX3937" s="68"/>
      <c r="AY3937" s="68"/>
      <c r="AZ3937" s="68"/>
      <c r="BA3937" s="68"/>
      <c r="BB3937" s="67"/>
      <c r="BC3937" s="67"/>
      <c r="BD3937" s="67"/>
      <c r="BE3937" s="67"/>
      <c r="BF3937" s="95"/>
    </row>
    <row r="3938" spans="42:58" x14ac:dyDescent="0.35">
      <c r="AP3938" s="93"/>
      <c r="AQ3938" s="31"/>
      <c r="AR3938" s="31"/>
      <c r="AS3938" s="94"/>
      <c r="AT3938" s="31"/>
      <c r="AU3938" s="31"/>
      <c r="AV3938" s="94"/>
      <c r="AW3938" s="32"/>
      <c r="AX3938" s="32"/>
      <c r="AY3938" s="32"/>
      <c r="AZ3938" s="32"/>
      <c r="BA3938" s="32"/>
      <c r="BB3938" s="31"/>
      <c r="BC3938" s="31"/>
      <c r="BD3938" s="31"/>
      <c r="BE3938" s="31"/>
      <c r="BF3938" s="96"/>
    </row>
    <row r="3939" spans="42:58" x14ac:dyDescent="0.35">
      <c r="AP3939" s="92"/>
      <c r="AQ3939" s="67"/>
      <c r="AR3939" s="67"/>
      <c r="AS3939" s="73"/>
      <c r="AT3939" s="67"/>
      <c r="AU3939" s="67"/>
      <c r="AV3939" s="73"/>
      <c r="AW3939" s="68"/>
      <c r="AX3939" s="68"/>
      <c r="AY3939" s="68"/>
      <c r="AZ3939" s="68"/>
      <c r="BA3939" s="68"/>
      <c r="BB3939" s="67"/>
      <c r="BC3939" s="67"/>
      <c r="BD3939" s="67"/>
      <c r="BE3939" s="67"/>
      <c r="BF3939" s="95"/>
    </row>
    <row r="3940" spans="42:58" x14ac:dyDescent="0.35">
      <c r="AP3940" s="93"/>
      <c r="AQ3940" s="31"/>
      <c r="AR3940" s="31"/>
      <c r="AS3940" s="94"/>
      <c r="AT3940" s="31"/>
      <c r="AU3940" s="31"/>
      <c r="AV3940" s="94"/>
      <c r="AW3940" s="32"/>
      <c r="AX3940" s="32"/>
      <c r="AY3940" s="32"/>
      <c r="AZ3940" s="32"/>
      <c r="BA3940" s="32"/>
      <c r="BB3940" s="31"/>
      <c r="BC3940" s="31"/>
      <c r="BD3940" s="31"/>
      <c r="BE3940" s="31"/>
      <c r="BF3940" s="96"/>
    </row>
    <row r="3941" spans="42:58" x14ac:dyDescent="0.35">
      <c r="AP3941" s="92"/>
      <c r="AQ3941" s="67"/>
      <c r="AR3941" s="67"/>
      <c r="AS3941" s="73"/>
      <c r="AT3941" s="67"/>
      <c r="AU3941" s="67"/>
      <c r="AV3941" s="73"/>
      <c r="AW3941" s="68"/>
      <c r="AX3941" s="68"/>
      <c r="AY3941" s="68"/>
      <c r="AZ3941" s="68"/>
      <c r="BA3941" s="68"/>
      <c r="BB3941" s="67"/>
      <c r="BC3941" s="67"/>
      <c r="BD3941" s="67"/>
      <c r="BE3941" s="67"/>
      <c r="BF3941" s="95"/>
    </row>
    <row r="3942" spans="42:58" x14ac:dyDescent="0.35">
      <c r="AP3942" s="93"/>
      <c r="AQ3942" s="31"/>
      <c r="AR3942" s="31"/>
      <c r="AS3942" s="94"/>
      <c r="AT3942" s="31"/>
      <c r="AU3942" s="31"/>
      <c r="AV3942" s="94"/>
      <c r="AW3942" s="32"/>
      <c r="AX3942" s="32"/>
      <c r="AY3942" s="32"/>
      <c r="AZ3942" s="32"/>
      <c r="BA3942" s="32"/>
      <c r="BB3942" s="31"/>
      <c r="BC3942" s="31"/>
      <c r="BD3942" s="31"/>
      <c r="BE3942" s="31"/>
      <c r="BF3942" s="96"/>
    </row>
    <row r="3943" spans="42:58" x14ac:dyDescent="0.35">
      <c r="AP3943" s="92"/>
      <c r="AQ3943" s="67"/>
      <c r="AR3943" s="67"/>
      <c r="AS3943" s="73"/>
      <c r="AT3943" s="67"/>
      <c r="AU3943" s="67"/>
      <c r="AV3943" s="73"/>
      <c r="AW3943" s="68"/>
      <c r="AX3943" s="68"/>
      <c r="AY3943" s="68"/>
      <c r="AZ3943" s="68"/>
      <c r="BA3943" s="68"/>
      <c r="BB3943" s="67"/>
      <c r="BC3943" s="67"/>
      <c r="BD3943" s="67"/>
      <c r="BE3943" s="67"/>
      <c r="BF3943" s="95"/>
    </row>
    <row r="3944" spans="42:58" x14ac:dyDescent="0.35">
      <c r="AP3944" s="93"/>
      <c r="AQ3944" s="31"/>
      <c r="AR3944" s="31"/>
      <c r="AS3944" s="94"/>
      <c r="AT3944" s="31"/>
      <c r="AU3944" s="31"/>
      <c r="AV3944" s="94"/>
      <c r="AW3944" s="32"/>
      <c r="AX3944" s="32"/>
      <c r="AY3944" s="32"/>
      <c r="AZ3944" s="32"/>
      <c r="BA3944" s="32"/>
      <c r="BB3944" s="31"/>
      <c r="BC3944" s="31"/>
      <c r="BD3944" s="31"/>
      <c r="BE3944" s="31"/>
      <c r="BF3944" s="96"/>
    </row>
    <row r="3945" spans="42:58" x14ac:dyDescent="0.35">
      <c r="AP3945" s="92"/>
      <c r="AQ3945" s="67"/>
      <c r="AR3945" s="67"/>
      <c r="AS3945" s="73"/>
      <c r="AT3945" s="67"/>
      <c r="AU3945" s="67"/>
      <c r="AV3945" s="73"/>
      <c r="AW3945" s="68"/>
      <c r="AX3945" s="68"/>
      <c r="AY3945" s="68"/>
      <c r="AZ3945" s="68"/>
      <c r="BA3945" s="68"/>
      <c r="BB3945" s="67"/>
      <c r="BC3945" s="67"/>
      <c r="BD3945" s="67"/>
      <c r="BE3945" s="67"/>
      <c r="BF3945" s="95"/>
    </row>
    <row r="3946" spans="42:58" x14ac:dyDescent="0.35">
      <c r="AP3946" s="93"/>
      <c r="AQ3946" s="31"/>
      <c r="AR3946" s="31"/>
      <c r="AS3946" s="94"/>
      <c r="AT3946" s="31"/>
      <c r="AU3946" s="31"/>
      <c r="AV3946" s="94"/>
      <c r="AW3946" s="32"/>
      <c r="AX3946" s="32"/>
      <c r="AY3946" s="32"/>
      <c r="AZ3946" s="32"/>
      <c r="BA3946" s="32"/>
      <c r="BB3946" s="31"/>
      <c r="BC3946" s="31"/>
      <c r="BD3946" s="31"/>
      <c r="BE3946" s="31"/>
      <c r="BF3946" s="96"/>
    </row>
    <row r="3947" spans="42:58" x14ac:dyDescent="0.35">
      <c r="AP3947" s="92"/>
      <c r="AQ3947" s="67"/>
      <c r="AR3947" s="67"/>
      <c r="AS3947" s="73"/>
      <c r="AT3947" s="67"/>
      <c r="AU3947" s="67"/>
      <c r="AV3947" s="73"/>
      <c r="AW3947" s="68"/>
      <c r="AX3947" s="68"/>
      <c r="AY3947" s="68"/>
      <c r="AZ3947" s="68"/>
      <c r="BA3947" s="68"/>
      <c r="BB3947" s="67"/>
      <c r="BC3947" s="67"/>
      <c r="BD3947" s="67"/>
      <c r="BE3947" s="67"/>
      <c r="BF3947" s="95"/>
    </row>
    <row r="3948" spans="42:58" x14ac:dyDescent="0.35">
      <c r="AP3948" s="93"/>
      <c r="AQ3948" s="31"/>
      <c r="AR3948" s="31"/>
      <c r="AS3948" s="94"/>
      <c r="AT3948" s="31"/>
      <c r="AU3948" s="31"/>
      <c r="AV3948" s="94"/>
      <c r="AW3948" s="32"/>
      <c r="AX3948" s="32"/>
      <c r="AY3948" s="32"/>
      <c r="AZ3948" s="32"/>
      <c r="BA3948" s="32"/>
      <c r="BB3948" s="31"/>
      <c r="BC3948" s="31"/>
      <c r="BD3948" s="31"/>
      <c r="BE3948" s="31"/>
      <c r="BF3948" s="96"/>
    </row>
    <row r="3949" spans="42:58" x14ac:dyDescent="0.35">
      <c r="AP3949" s="92"/>
      <c r="AQ3949" s="67"/>
      <c r="AR3949" s="67"/>
      <c r="AS3949" s="73"/>
      <c r="AT3949" s="67"/>
      <c r="AU3949" s="67"/>
      <c r="AV3949" s="73"/>
      <c r="AW3949" s="68"/>
      <c r="AX3949" s="68"/>
      <c r="AY3949" s="68"/>
      <c r="AZ3949" s="68"/>
      <c r="BA3949" s="68"/>
      <c r="BB3949" s="67"/>
      <c r="BC3949" s="67"/>
      <c r="BD3949" s="67"/>
      <c r="BE3949" s="67"/>
      <c r="BF3949" s="95"/>
    </row>
    <row r="3950" spans="42:58" x14ac:dyDescent="0.35">
      <c r="AP3950" s="93"/>
      <c r="AQ3950" s="31"/>
      <c r="AR3950" s="31"/>
      <c r="AS3950" s="94"/>
      <c r="AT3950" s="31"/>
      <c r="AU3950" s="31"/>
      <c r="AV3950" s="94"/>
      <c r="AW3950" s="32"/>
      <c r="AX3950" s="32"/>
      <c r="AY3950" s="32"/>
      <c r="AZ3950" s="32"/>
      <c r="BA3950" s="32"/>
      <c r="BB3950" s="31"/>
      <c r="BC3950" s="31"/>
      <c r="BD3950" s="31"/>
      <c r="BE3950" s="31"/>
      <c r="BF3950" s="96"/>
    </row>
    <row r="3951" spans="42:58" x14ac:dyDescent="0.35">
      <c r="AP3951" s="92"/>
      <c r="AQ3951" s="67"/>
      <c r="AR3951" s="67"/>
      <c r="AS3951" s="73"/>
      <c r="AT3951" s="67"/>
      <c r="AU3951" s="67"/>
      <c r="AV3951" s="73"/>
      <c r="AW3951" s="68"/>
      <c r="AX3951" s="68"/>
      <c r="AY3951" s="68"/>
      <c r="AZ3951" s="68"/>
      <c r="BA3951" s="68"/>
      <c r="BB3951" s="67"/>
      <c r="BC3951" s="67"/>
      <c r="BD3951" s="67"/>
      <c r="BE3951" s="67"/>
      <c r="BF3951" s="95"/>
    </row>
    <row r="3952" spans="42:58" x14ac:dyDescent="0.35">
      <c r="AP3952" s="93"/>
      <c r="AQ3952" s="31"/>
      <c r="AR3952" s="31"/>
      <c r="AS3952" s="94"/>
      <c r="AT3952" s="31"/>
      <c r="AU3952" s="31"/>
      <c r="AV3952" s="94"/>
      <c r="AW3952" s="32"/>
      <c r="AX3952" s="32"/>
      <c r="AY3952" s="32"/>
      <c r="AZ3952" s="32"/>
      <c r="BA3952" s="32"/>
      <c r="BB3952" s="31"/>
      <c r="BC3952" s="31"/>
      <c r="BD3952" s="31"/>
      <c r="BE3952" s="31"/>
      <c r="BF3952" s="96"/>
    </row>
    <row r="3953" spans="42:58" x14ac:dyDescent="0.35">
      <c r="AP3953" s="92"/>
      <c r="AQ3953" s="67"/>
      <c r="AR3953" s="67"/>
      <c r="AS3953" s="73"/>
      <c r="AT3953" s="67"/>
      <c r="AU3953" s="67"/>
      <c r="AV3953" s="73"/>
      <c r="AW3953" s="68"/>
      <c r="AX3953" s="68"/>
      <c r="AY3953" s="68"/>
      <c r="AZ3953" s="68"/>
      <c r="BA3953" s="68"/>
      <c r="BB3953" s="67"/>
      <c r="BC3953" s="67"/>
      <c r="BD3953" s="67"/>
      <c r="BE3953" s="67"/>
      <c r="BF3953" s="95"/>
    </row>
    <row r="3954" spans="42:58" x14ac:dyDescent="0.35">
      <c r="AP3954" s="93"/>
      <c r="AQ3954" s="31"/>
      <c r="AR3954" s="31"/>
      <c r="AS3954" s="94"/>
      <c r="AT3954" s="31"/>
      <c r="AU3954" s="31"/>
      <c r="AV3954" s="94"/>
      <c r="AW3954" s="32"/>
      <c r="AX3954" s="32"/>
      <c r="AY3954" s="32"/>
      <c r="AZ3954" s="32"/>
      <c r="BA3954" s="32"/>
      <c r="BB3954" s="31"/>
      <c r="BC3954" s="31"/>
      <c r="BD3954" s="31"/>
      <c r="BE3954" s="31"/>
      <c r="BF3954" s="96"/>
    </row>
    <row r="3955" spans="42:58" x14ac:dyDescent="0.35">
      <c r="AP3955" s="92"/>
      <c r="AQ3955" s="67"/>
      <c r="AR3955" s="67"/>
      <c r="AS3955" s="73"/>
      <c r="AT3955" s="67"/>
      <c r="AU3955" s="67"/>
      <c r="AV3955" s="73"/>
      <c r="AW3955" s="68"/>
      <c r="AX3955" s="68"/>
      <c r="AY3955" s="68"/>
      <c r="AZ3955" s="68"/>
      <c r="BA3955" s="68"/>
      <c r="BB3955" s="67"/>
      <c r="BC3955" s="67"/>
      <c r="BD3955" s="67"/>
      <c r="BE3955" s="67"/>
      <c r="BF3955" s="95"/>
    </row>
    <row r="3956" spans="42:58" x14ac:dyDescent="0.35">
      <c r="AP3956" s="93"/>
      <c r="AQ3956" s="31"/>
      <c r="AR3956" s="31"/>
      <c r="AS3956" s="94"/>
      <c r="AT3956" s="31"/>
      <c r="AU3956" s="31"/>
      <c r="AV3956" s="94"/>
      <c r="AW3956" s="32"/>
      <c r="AX3956" s="32"/>
      <c r="AY3956" s="32"/>
      <c r="AZ3956" s="32"/>
      <c r="BA3956" s="32"/>
      <c r="BB3956" s="31"/>
      <c r="BC3956" s="31"/>
      <c r="BD3956" s="31"/>
      <c r="BE3956" s="31"/>
      <c r="BF3956" s="96"/>
    </row>
    <row r="3957" spans="42:58" x14ac:dyDescent="0.35">
      <c r="AP3957" s="92"/>
      <c r="AQ3957" s="67"/>
      <c r="AR3957" s="67"/>
      <c r="AS3957" s="73"/>
      <c r="AT3957" s="67"/>
      <c r="AU3957" s="67"/>
      <c r="AV3957" s="73"/>
      <c r="AW3957" s="68"/>
      <c r="AX3957" s="68"/>
      <c r="AY3957" s="68"/>
      <c r="AZ3957" s="68"/>
      <c r="BA3957" s="68"/>
      <c r="BB3957" s="67"/>
      <c r="BC3957" s="67"/>
      <c r="BD3957" s="67"/>
      <c r="BE3957" s="67"/>
      <c r="BF3957" s="95"/>
    </row>
    <row r="3958" spans="42:58" x14ac:dyDescent="0.35">
      <c r="AP3958" s="93"/>
      <c r="AQ3958" s="31"/>
      <c r="AR3958" s="31"/>
      <c r="AS3958" s="94"/>
      <c r="AT3958" s="31"/>
      <c r="AU3958" s="31"/>
      <c r="AV3958" s="94"/>
      <c r="AW3958" s="32"/>
      <c r="AX3958" s="32"/>
      <c r="AY3958" s="32"/>
      <c r="AZ3958" s="32"/>
      <c r="BA3958" s="32"/>
      <c r="BB3958" s="31"/>
      <c r="BC3958" s="31"/>
      <c r="BD3958" s="31"/>
      <c r="BE3958" s="31"/>
      <c r="BF3958" s="96"/>
    </row>
    <row r="3959" spans="42:58" x14ac:dyDescent="0.35">
      <c r="AP3959" s="92"/>
      <c r="AQ3959" s="67"/>
      <c r="AR3959" s="67"/>
      <c r="AS3959" s="73"/>
      <c r="AT3959" s="67"/>
      <c r="AU3959" s="67"/>
      <c r="AV3959" s="73"/>
      <c r="AW3959" s="68"/>
      <c r="AX3959" s="68"/>
      <c r="AY3959" s="68"/>
      <c r="AZ3959" s="68"/>
      <c r="BA3959" s="68"/>
      <c r="BB3959" s="67"/>
      <c r="BC3959" s="67"/>
      <c r="BD3959" s="67"/>
      <c r="BE3959" s="67"/>
      <c r="BF3959" s="95"/>
    </row>
    <row r="3960" spans="42:58" x14ac:dyDescent="0.35">
      <c r="AP3960" s="93"/>
      <c r="AQ3960" s="31"/>
      <c r="AR3960" s="31"/>
      <c r="AS3960" s="94"/>
      <c r="AT3960" s="31"/>
      <c r="AU3960" s="31"/>
      <c r="AV3960" s="94"/>
      <c r="AW3960" s="32"/>
      <c r="AX3960" s="32"/>
      <c r="AY3960" s="32"/>
      <c r="AZ3960" s="32"/>
      <c r="BA3960" s="32"/>
      <c r="BB3960" s="31"/>
      <c r="BC3960" s="31"/>
      <c r="BD3960" s="31"/>
      <c r="BE3960" s="31"/>
      <c r="BF3960" s="96"/>
    </row>
    <row r="3961" spans="42:58" x14ac:dyDescent="0.35">
      <c r="AP3961" s="92"/>
      <c r="AQ3961" s="67"/>
      <c r="AR3961" s="67"/>
      <c r="AS3961" s="73"/>
      <c r="AT3961" s="67"/>
      <c r="AU3961" s="67"/>
      <c r="AV3961" s="73"/>
      <c r="AW3961" s="68"/>
      <c r="AX3961" s="68"/>
      <c r="AY3961" s="68"/>
      <c r="AZ3961" s="68"/>
      <c r="BA3961" s="68"/>
      <c r="BB3961" s="67"/>
      <c r="BC3961" s="67"/>
      <c r="BD3961" s="67"/>
      <c r="BE3961" s="67"/>
      <c r="BF3961" s="95"/>
    </row>
    <row r="3962" spans="42:58" x14ac:dyDescent="0.35">
      <c r="AP3962" s="93"/>
      <c r="AQ3962" s="31"/>
      <c r="AR3962" s="31"/>
      <c r="AS3962" s="94"/>
      <c r="AT3962" s="31"/>
      <c r="AU3962" s="31"/>
      <c r="AV3962" s="94"/>
      <c r="AW3962" s="32"/>
      <c r="AX3962" s="32"/>
      <c r="AY3962" s="32"/>
      <c r="AZ3962" s="32"/>
      <c r="BA3962" s="32"/>
      <c r="BB3962" s="31"/>
      <c r="BC3962" s="31"/>
      <c r="BD3962" s="31"/>
      <c r="BE3962" s="31"/>
      <c r="BF3962" s="96"/>
    </row>
    <row r="3963" spans="42:58" x14ac:dyDescent="0.35">
      <c r="AP3963" s="92"/>
      <c r="AQ3963" s="67"/>
      <c r="AR3963" s="67"/>
      <c r="AS3963" s="73"/>
      <c r="AT3963" s="67"/>
      <c r="AU3963" s="67"/>
      <c r="AV3963" s="73"/>
      <c r="AW3963" s="68"/>
      <c r="AX3963" s="68"/>
      <c r="AY3963" s="68"/>
      <c r="AZ3963" s="68"/>
      <c r="BA3963" s="68"/>
      <c r="BB3963" s="67"/>
      <c r="BC3963" s="67"/>
      <c r="BD3963" s="67"/>
      <c r="BE3963" s="67"/>
      <c r="BF3963" s="95"/>
    </row>
    <row r="3964" spans="42:58" x14ac:dyDescent="0.35">
      <c r="AP3964" s="93"/>
      <c r="AQ3964" s="31"/>
      <c r="AR3964" s="31"/>
      <c r="AS3964" s="94"/>
      <c r="AT3964" s="31"/>
      <c r="AU3964" s="31"/>
      <c r="AV3964" s="94"/>
      <c r="AW3964" s="32"/>
      <c r="AX3964" s="32"/>
      <c r="AY3964" s="32"/>
      <c r="AZ3964" s="32"/>
      <c r="BA3964" s="32"/>
      <c r="BB3964" s="31"/>
      <c r="BC3964" s="31"/>
      <c r="BD3964" s="31"/>
      <c r="BE3964" s="31"/>
      <c r="BF3964" s="96"/>
    </row>
    <row r="3965" spans="42:58" x14ac:dyDescent="0.35">
      <c r="AP3965" s="92"/>
      <c r="AQ3965" s="67"/>
      <c r="AR3965" s="67"/>
      <c r="AS3965" s="73"/>
      <c r="AT3965" s="67"/>
      <c r="AU3965" s="67"/>
      <c r="AV3965" s="73"/>
      <c r="AW3965" s="68"/>
      <c r="AX3965" s="68"/>
      <c r="AY3965" s="68"/>
      <c r="AZ3965" s="68"/>
      <c r="BA3965" s="68"/>
      <c r="BB3965" s="67"/>
      <c r="BC3965" s="67"/>
      <c r="BD3965" s="67"/>
      <c r="BE3965" s="67"/>
      <c r="BF3965" s="95"/>
    </row>
    <row r="3966" spans="42:58" x14ac:dyDescent="0.35">
      <c r="AP3966" s="93"/>
      <c r="AQ3966" s="31"/>
      <c r="AR3966" s="31"/>
      <c r="AS3966" s="94"/>
      <c r="AT3966" s="31"/>
      <c r="AU3966" s="31"/>
      <c r="AV3966" s="94"/>
      <c r="AW3966" s="32"/>
      <c r="AX3966" s="32"/>
      <c r="AY3966" s="32"/>
      <c r="AZ3966" s="32"/>
      <c r="BA3966" s="32"/>
      <c r="BB3966" s="31"/>
      <c r="BC3966" s="31"/>
      <c r="BD3966" s="31"/>
      <c r="BE3966" s="31"/>
      <c r="BF3966" s="96"/>
    </row>
    <row r="3967" spans="42:58" x14ac:dyDescent="0.35">
      <c r="AP3967" s="92"/>
      <c r="AQ3967" s="67"/>
      <c r="AR3967" s="67"/>
      <c r="AS3967" s="73"/>
      <c r="AT3967" s="67"/>
      <c r="AU3967" s="67"/>
      <c r="AV3967" s="73"/>
      <c r="AW3967" s="68"/>
      <c r="AX3967" s="68"/>
      <c r="AY3967" s="68"/>
      <c r="AZ3967" s="68"/>
      <c r="BA3967" s="68"/>
      <c r="BB3967" s="67"/>
      <c r="BC3967" s="67"/>
      <c r="BD3967" s="67"/>
      <c r="BE3967" s="67"/>
      <c r="BF3967" s="95"/>
    </row>
    <row r="3968" spans="42:58" x14ac:dyDescent="0.35">
      <c r="AP3968" s="93"/>
      <c r="AQ3968" s="31"/>
      <c r="AR3968" s="31"/>
      <c r="AS3968" s="94"/>
      <c r="AT3968" s="31"/>
      <c r="AU3968" s="31"/>
      <c r="AV3968" s="94"/>
      <c r="AW3968" s="32"/>
      <c r="AX3968" s="32"/>
      <c r="AY3968" s="32"/>
      <c r="AZ3968" s="32"/>
      <c r="BA3968" s="32"/>
      <c r="BB3968" s="31"/>
      <c r="BC3968" s="31"/>
      <c r="BD3968" s="31"/>
      <c r="BE3968" s="31"/>
      <c r="BF3968" s="96"/>
    </row>
    <row r="3969" spans="42:58" x14ac:dyDescent="0.35">
      <c r="AP3969" s="92"/>
      <c r="AQ3969" s="67"/>
      <c r="AR3969" s="67"/>
      <c r="AS3969" s="73"/>
      <c r="AT3969" s="67"/>
      <c r="AU3969" s="67"/>
      <c r="AV3969" s="73"/>
      <c r="AW3969" s="68"/>
      <c r="AX3969" s="68"/>
      <c r="AY3969" s="68"/>
      <c r="AZ3969" s="68"/>
      <c r="BA3969" s="68"/>
      <c r="BB3969" s="67"/>
      <c r="BC3969" s="67"/>
      <c r="BD3969" s="67"/>
      <c r="BE3969" s="67"/>
      <c r="BF3969" s="95"/>
    </row>
    <row r="3970" spans="42:58" x14ac:dyDescent="0.35">
      <c r="AP3970" s="93"/>
      <c r="AQ3970" s="31"/>
      <c r="AR3970" s="31"/>
      <c r="AS3970" s="94"/>
      <c r="AT3970" s="31"/>
      <c r="AU3970" s="31"/>
      <c r="AV3970" s="94"/>
      <c r="AW3970" s="32"/>
      <c r="AX3970" s="32"/>
      <c r="AY3970" s="32"/>
      <c r="AZ3970" s="32"/>
      <c r="BA3970" s="32"/>
      <c r="BB3970" s="31"/>
      <c r="BC3970" s="31"/>
      <c r="BD3970" s="31"/>
      <c r="BE3970" s="31"/>
      <c r="BF3970" s="96"/>
    </row>
    <row r="3971" spans="42:58" x14ac:dyDescent="0.35">
      <c r="AP3971" s="92"/>
      <c r="AQ3971" s="67"/>
      <c r="AR3971" s="67"/>
      <c r="AS3971" s="73"/>
      <c r="AT3971" s="67"/>
      <c r="AU3971" s="67"/>
      <c r="AV3971" s="73"/>
      <c r="AW3971" s="68"/>
      <c r="AX3971" s="68"/>
      <c r="AY3971" s="68"/>
      <c r="AZ3971" s="68"/>
      <c r="BA3971" s="68"/>
      <c r="BB3971" s="67"/>
      <c r="BC3971" s="67"/>
      <c r="BD3971" s="67"/>
      <c r="BE3971" s="67"/>
      <c r="BF3971" s="95"/>
    </row>
    <row r="3972" spans="42:58" x14ac:dyDescent="0.35">
      <c r="AP3972" s="93"/>
      <c r="AQ3972" s="31"/>
      <c r="AR3972" s="31"/>
      <c r="AS3972" s="94"/>
      <c r="AT3972" s="31"/>
      <c r="AU3972" s="31"/>
      <c r="AV3972" s="94"/>
      <c r="AW3972" s="32"/>
      <c r="AX3972" s="32"/>
      <c r="AY3972" s="32"/>
      <c r="AZ3972" s="32"/>
      <c r="BA3972" s="32"/>
      <c r="BB3972" s="31"/>
      <c r="BC3972" s="31"/>
      <c r="BD3972" s="31"/>
      <c r="BE3972" s="31"/>
      <c r="BF3972" s="96"/>
    </row>
    <row r="3973" spans="42:58" x14ac:dyDescent="0.35">
      <c r="AP3973" s="92"/>
      <c r="AQ3973" s="67"/>
      <c r="AR3973" s="67"/>
      <c r="AS3973" s="73"/>
      <c r="AT3973" s="67"/>
      <c r="AU3973" s="67"/>
      <c r="AV3973" s="73"/>
      <c r="AW3973" s="68"/>
      <c r="AX3973" s="68"/>
      <c r="AY3973" s="68"/>
      <c r="AZ3973" s="68"/>
      <c r="BA3973" s="68"/>
      <c r="BB3973" s="67"/>
      <c r="BC3973" s="67"/>
      <c r="BD3973" s="67"/>
      <c r="BE3973" s="67"/>
      <c r="BF3973" s="95"/>
    </row>
    <row r="3974" spans="42:58" x14ac:dyDescent="0.35">
      <c r="AP3974" s="93"/>
      <c r="AQ3974" s="31"/>
      <c r="AR3974" s="31"/>
      <c r="AS3974" s="94"/>
      <c r="AT3974" s="31"/>
      <c r="AU3974" s="31"/>
      <c r="AV3974" s="94"/>
      <c r="AW3974" s="32"/>
      <c r="AX3974" s="32"/>
      <c r="AY3974" s="32"/>
      <c r="AZ3974" s="32"/>
      <c r="BA3974" s="32"/>
      <c r="BB3974" s="31"/>
      <c r="BC3974" s="31"/>
      <c r="BD3974" s="31"/>
      <c r="BE3974" s="31"/>
      <c r="BF3974" s="96"/>
    </row>
    <row r="3975" spans="42:58" x14ac:dyDescent="0.35">
      <c r="AP3975" s="92"/>
      <c r="AQ3975" s="67"/>
      <c r="AR3975" s="67"/>
      <c r="AS3975" s="73"/>
      <c r="AT3975" s="67"/>
      <c r="AU3975" s="67"/>
      <c r="AV3975" s="73"/>
      <c r="AW3975" s="68"/>
      <c r="AX3975" s="68"/>
      <c r="AY3975" s="68"/>
      <c r="AZ3975" s="68"/>
      <c r="BA3975" s="68"/>
      <c r="BB3975" s="67"/>
      <c r="BC3975" s="67"/>
      <c r="BD3975" s="67"/>
      <c r="BE3975" s="67"/>
      <c r="BF3975" s="95"/>
    </row>
    <row r="3976" spans="42:58" x14ac:dyDescent="0.35">
      <c r="AP3976" s="93"/>
      <c r="AQ3976" s="31"/>
      <c r="AR3976" s="31"/>
      <c r="AS3976" s="94"/>
      <c r="AT3976" s="31"/>
      <c r="AU3976" s="31"/>
      <c r="AV3976" s="94"/>
      <c r="AW3976" s="32"/>
      <c r="AX3976" s="32"/>
      <c r="AY3976" s="32"/>
      <c r="AZ3976" s="32"/>
      <c r="BA3976" s="32"/>
      <c r="BB3976" s="31"/>
      <c r="BC3976" s="31"/>
      <c r="BD3976" s="31"/>
      <c r="BE3976" s="31"/>
      <c r="BF3976" s="96"/>
    </row>
    <row r="3977" spans="42:58" x14ac:dyDescent="0.35">
      <c r="AP3977" s="92"/>
      <c r="AQ3977" s="67"/>
      <c r="AR3977" s="67"/>
      <c r="AS3977" s="73"/>
      <c r="AT3977" s="67"/>
      <c r="AU3977" s="67"/>
      <c r="AV3977" s="73"/>
      <c r="AW3977" s="68"/>
      <c r="AX3977" s="68"/>
      <c r="AY3977" s="68"/>
      <c r="AZ3977" s="68"/>
      <c r="BA3977" s="68"/>
      <c r="BB3977" s="67"/>
      <c r="BC3977" s="67"/>
      <c r="BD3977" s="67"/>
      <c r="BE3977" s="67"/>
      <c r="BF3977" s="95"/>
    </row>
    <row r="3978" spans="42:58" x14ac:dyDescent="0.35">
      <c r="AP3978" s="93"/>
      <c r="AQ3978" s="31"/>
      <c r="AR3978" s="31"/>
      <c r="AS3978" s="94"/>
      <c r="AT3978" s="31"/>
      <c r="AU3978" s="31"/>
      <c r="AV3978" s="94"/>
      <c r="AW3978" s="32"/>
      <c r="AX3978" s="32"/>
      <c r="AY3978" s="32"/>
      <c r="AZ3978" s="32"/>
      <c r="BA3978" s="32"/>
      <c r="BB3978" s="31"/>
      <c r="BC3978" s="31"/>
      <c r="BD3978" s="31"/>
      <c r="BE3978" s="31"/>
      <c r="BF3978" s="96"/>
    </row>
    <row r="3979" spans="42:58" x14ac:dyDescent="0.35">
      <c r="AP3979" s="92"/>
      <c r="AQ3979" s="67"/>
      <c r="AR3979" s="67"/>
      <c r="AS3979" s="73"/>
      <c r="AT3979" s="67"/>
      <c r="AU3979" s="67"/>
      <c r="AV3979" s="73"/>
      <c r="AW3979" s="68"/>
      <c r="AX3979" s="68"/>
      <c r="AY3979" s="68"/>
      <c r="AZ3979" s="68"/>
      <c r="BA3979" s="68"/>
      <c r="BB3979" s="67"/>
      <c r="BC3979" s="67"/>
      <c r="BD3979" s="67"/>
      <c r="BE3979" s="67"/>
      <c r="BF3979" s="95"/>
    </row>
    <row r="3980" spans="42:58" x14ac:dyDescent="0.35">
      <c r="AP3980" s="93"/>
      <c r="AQ3980" s="31"/>
      <c r="AR3980" s="31"/>
      <c r="AS3980" s="94"/>
      <c r="AT3980" s="31"/>
      <c r="AU3980" s="31"/>
      <c r="AV3980" s="94"/>
      <c r="AW3980" s="32"/>
      <c r="AX3980" s="32"/>
      <c r="AY3980" s="32"/>
      <c r="AZ3980" s="32"/>
      <c r="BA3980" s="32"/>
      <c r="BB3980" s="31"/>
      <c r="BC3980" s="31"/>
      <c r="BD3980" s="31"/>
      <c r="BE3980" s="31"/>
      <c r="BF3980" s="96"/>
    </row>
    <row r="3981" spans="42:58" x14ac:dyDescent="0.35">
      <c r="AP3981" s="92"/>
      <c r="AQ3981" s="67"/>
      <c r="AR3981" s="67"/>
      <c r="AS3981" s="73"/>
      <c r="AT3981" s="67"/>
      <c r="AU3981" s="67"/>
      <c r="AV3981" s="73"/>
      <c r="AW3981" s="68"/>
      <c r="AX3981" s="68"/>
      <c r="AY3981" s="68"/>
      <c r="AZ3981" s="68"/>
      <c r="BA3981" s="68"/>
      <c r="BB3981" s="67"/>
      <c r="BC3981" s="67"/>
      <c r="BD3981" s="67"/>
      <c r="BE3981" s="67"/>
      <c r="BF3981" s="95"/>
    </row>
    <row r="3982" spans="42:58" x14ac:dyDescent="0.35">
      <c r="AP3982" s="93"/>
      <c r="AQ3982" s="31"/>
      <c r="AR3982" s="31"/>
      <c r="AS3982" s="94"/>
      <c r="AT3982" s="31"/>
      <c r="AU3982" s="31"/>
      <c r="AV3982" s="94"/>
      <c r="AW3982" s="32"/>
      <c r="AX3982" s="32"/>
      <c r="AY3982" s="32"/>
      <c r="AZ3982" s="32"/>
      <c r="BA3982" s="32"/>
      <c r="BB3982" s="31"/>
      <c r="BC3982" s="31"/>
      <c r="BD3982" s="31"/>
      <c r="BE3982" s="31"/>
      <c r="BF3982" s="96"/>
    </row>
    <row r="3983" spans="42:58" x14ac:dyDescent="0.35">
      <c r="AP3983" s="92"/>
      <c r="AQ3983" s="67"/>
      <c r="AR3983" s="67"/>
      <c r="AS3983" s="73"/>
      <c r="AT3983" s="67"/>
      <c r="AU3983" s="67"/>
      <c r="AV3983" s="73"/>
      <c r="AW3983" s="68"/>
      <c r="AX3983" s="68"/>
      <c r="AY3983" s="68"/>
      <c r="AZ3983" s="68"/>
      <c r="BA3983" s="68"/>
      <c r="BB3983" s="67"/>
      <c r="BC3983" s="67"/>
      <c r="BD3983" s="67"/>
      <c r="BE3983" s="67"/>
      <c r="BF3983" s="95"/>
    </row>
    <row r="3984" spans="42:58" x14ac:dyDescent="0.35">
      <c r="AP3984" s="93"/>
      <c r="AQ3984" s="31"/>
      <c r="AR3984" s="31"/>
      <c r="AS3984" s="94"/>
      <c r="AT3984" s="31"/>
      <c r="AU3984" s="31"/>
      <c r="AV3984" s="94"/>
      <c r="AW3984" s="32"/>
      <c r="AX3984" s="32"/>
      <c r="AY3984" s="32"/>
      <c r="AZ3984" s="32"/>
      <c r="BA3984" s="32"/>
      <c r="BB3984" s="31"/>
      <c r="BC3984" s="31"/>
      <c r="BD3984" s="31"/>
      <c r="BE3984" s="31"/>
      <c r="BF3984" s="96"/>
    </row>
    <row r="3985" spans="42:58" x14ac:dyDescent="0.35">
      <c r="AP3985" s="92"/>
      <c r="AQ3985" s="67"/>
      <c r="AR3985" s="67"/>
      <c r="AS3985" s="73"/>
      <c r="AT3985" s="67"/>
      <c r="AU3985" s="67"/>
      <c r="AV3985" s="73"/>
      <c r="AW3985" s="68"/>
      <c r="AX3985" s="68"/>
      <c r="AY3985" s="68"/>
      <c r="AZ3985" s="68"/>
      <c r="BA3985" s="68"/>
      <c r="BB3985" s="67"/>
      <c r="BC3985" s="67"/>
      <c r="BD3985" s="67"/>
      <c r="BE3985" s="67"/>
      <c r="BF3985" s="95"/>
    </row>
    <row r="3986" spans="42:58" x14ac:dyDescent="0.35">
      <c r="AP3986" s="93"/>
      <c r="AQ3986" s="31"/>
      <c r="AR3986" s="31"/>
      <c r="AS3986" s="94"/>
      <c r="AT3986" s="31"/>
      <c r="AU3986" s="31"/>
      <c r="AV3986" s="94"/>
      <c r="AW3986" s="32"/>
      <c r="AX3986" s="32"/>
      <c r="AY3986" s="32"/>
      <c r="AZ3986" s="32"/>
      <c r="BA3986" s="32"/>
      <c r="BB3986" s="31"/>
      <c r="BC3986" s="31"/>
      <c r="BD3986" s="31"/>
      <c r="BE3986" s="31"/>
      <c r="BF3986" s="96"/>
    </row>
    <row r="3987" spans="42:58" x14ac:dyDescent="0.35">
      <c r="AP3987" s="92"/>
      <c r="AQ3987" s="67"/>
      <c r="AR3987" s="67"/>
      <c r="AS3987" s="73"/>
      <c r="AT3987" s="67"/>
      <c r="AU3987" s="67"/>
      <c r="AV3987" s="73"/>
      <c r="AW3987" s="68"/>
      <c r="AX3987" s="68"/>
      <c r="AY3987" s="68"/>
      <c r="AZ3987" s="68"/>
      <c r="BA3987" s="68"/>
      <c r="BB3987" s="67"/>
      <c r="BC3987" s="67"/>
      <c r="BD3987" s="67"/>
      <c r="BE3987" s="67"/>
      <c r="BF3987" s="95"/>
    </row>
    <row r="3988" spans="42:58" x14ac:dyDescent="0.35">
      <c r="AP3988" s="93"/>
      <c r="AQ3988" s="31"/>
      <c r="AR3988" s="31"/>
      <c r="AS3988" s="94"/>
      <c r="AT3988" s="31"/>
      <c r="AU3988" s="31"/>
      <c r="AV3988" s="94"/>
      <c r="AW3988" s="32"/>
      <c r="AX3988" s="32"/>
      <c r="AY3988" s="32"/>
      <c r="AZ3988" s="32"/>
      <c r="BA3988" s="32"/>
      <c r="BB3988" s="31"/>
      <c r="BC3988" s="31"/>
      <c r="BD3988" s="31"/>
      <c r="BE3988" s="31"/>
      <c r="BF3988" s="96"/>
    </row>
    <row r="3989" spans="42:58" x14ac:dyDescent="0.35">
      <c r="AP3989" s="92"/>
      <c r="AQ3989" s="67"/>
      <c r="AR3989" s="67"/>
      <c r="AS3989" s="73"/>
      <c r="AT3989" s="67"/>
      <c r="AU3989" s="67"/>
      <c r="AV3989" s="73"/>
      <c r="AW3989" s="68"/>
      <c r="AX3989" s="68"/>
      <c r="AY3989" s="68"/>
      <c r="AZ3989" s="68"/>
      <c r="BA3989" s="68"/>
      <c r="BB3989" s="67"/>
      <c r="BC3989" s="67"/>
      <c r="BD3989" s="67"/>
      <c r="BE3989" s="67"/>
      <c r="BF3989" s="95"/>
    </row>
    <row r="3990" spans="42:58" x14ac:dyDescent="0.35">
      <c r="AP3990" s="93"/>
      <c r="AQ3990" s="31"/>
      <c r="AR3990" s="31"/>
      <c r="AS3990" s="94"/>
      <c r="AT3990" s="31"/>
      <c r="AU3990" s="31"/>
      <c r="AV3990" s="94"/>
      <c r="AW3990" s="32"/>
      <c r="AX3990" s="32"/>
      <c r="AY3990" s="32"/>
      <c r="AZ3990" s="32"/>
      <c r="BA3990" s="32"/>
      <c r="BB3990" s="31"/>
      <c r="BC3990" s="31"/>
      <c r="BD3990" s="31"/>
      <c r="BE3990" s="31"/>
      <c r="BF3990" s="96"/>
    </row>
    <row r="3991" spans="42:58" x14ac:dyDescent="0.35">
      <c r="AP3991" s="92"/>
      <c r="AQ3991" s="67"/>
      <c r="AR3991" s="67"/>
      <c r="AS3991" s="73"/>
      <c r="AT3991" s="67"/>
      <c r="AU3991" s="67"/>
      <c r="AV3991" s="73"/>
      <c r="AW3991" s="68"/>
      <c r="AX3991" s="68"/>
      <c r="AY3991" s="68"/>
      <c r="AZ3991" s="68"/>
      <c r="BA3991" s="68"/>
      <c r="BB3991" s="67"/>
      <c r="BC3991" s="67"/>
      <c r="BD3991" s="67"/>
      <c r="BE3991" s="67"/>
      <c r="BF3991" s="95"/>
    </row>
    <row r="3992" spans="42:58" x14ac:dyDescent="0.35">
      <c r="AP3992" s="93"/>
      <c r="AQ3992" s="31"/>
      <c r="AR3992" s="31"/>
      <c r="AS3992" s="94"/>
      <c r="AT3992" s="31"/>
      <c r="AU3992" s="31"/>
      <c r="AV3992" s="94"/>
      <c r="AW3992" s="32"/>
      <c r="AX3992" s="32"/>
      <c r="AY3992" s="32"/>
      <c r="AZ3992" s="32"/>
      <c r="BA3992" s="32"/>
      <c r="BB3992" s="31"/>
      <c r="BC3992" s="31"/>
      <c r="BD3992" s="31"/>
      <c r="BE3992" s="31"/>
      <c r="BF3992" s="96"/>
    </row>
    <row r="3993" spans="42:58" x14ac:dyDescent="0.35">
      <c r="AP3993" s="92"/>
      <c r="AQ3993" s="67"/>
      <c r="AR3993" s="67"/>
      <c r="AS3993" s="73"/>
      <c r="AT3993" s="67"/>
      <c r="AU3993" s="67"/>
      <c r="AV3993" s="73"/>
      <c r="AW3993" s="68"/>
      <c r="AX3993" s="68"/>
      <c r="AY3993" s="68"/>
      <c r="AZ3993" s="68"/>
      <c r="BA3993" s="68"/>
      <c r="BB3993" s="67"/>
      <c r="BC3993" s="67"/>
      <c r="BD3993" s="67"/>
      <c r="BE3993" s="67"/>
      <c r="BF3993" s="95"/>
    </row>
    <row r="3994" spans="42:58" x14ac:dyDescent="0.35">
      <c r="AP3994" s="93"/>
      <c r="AQ3994" s="31"/>
      <c r="AR3994" s="31"/>
      <c r="AS3994" s="94"/>
      <c r="AT3994" s="31"/>
      <c r="AU3994" s="31"/>
      <c r="AV3994" s="94"/>
      <c r="AW3994" s="32"/>
      <c r="AX3994" s="32"/>
      <c r="AY3994" s="32"/>
      <c r="AZ3994" s="32"/>
      <c r="BA3994" s="32"/>
      <c r="BB3994" s="31"/>
      <c r="BC3994" s="31"/>
      <c r="BD3994" s="31"/>
      <c r="BE3994" s="31"/>
      <c r="BF3994" s="96"/>
    </row>
    <row r="3995" spans="42:58" x14ac:dyDescent="0.35">
      <c r="AP3995" s="92"/>
      <c r="AQ3995" s="67"/>
      <c r="AR3995" s="67"/>
      <c r="AS3995" s="73"/>
      <c r="AT3995" s="67"/>
      <c r="AU3995" s="67"/>
      <c r="AV3995" s="73"/>
      <c r="AW3995" s="68"/>
      <c r="AX3995" s="68"/>
      <c r="AY3995" s="68"/>
      <c r="AZ3995" s="68"/>
      <c r="BA3995" s="68"/>
      <c r="BB3995" s="67"/>
      <c r="BC3995" s="67"/>
      <c r="BD3995" s="67"/>
      <c r="BE3995" s="67"/>
      <c r="BF3995" s="95"/>
    </row>
    <row r="3996" spans="42:58" x14ac:dyDescent="0.35">
      <c r="AP3996" s="93"/>
      <c r="AQ3996" s="31"/>
      <c r="AR3996" s="31"/>
      <c r="AS3996" s="94"/>
      <c r="AT3996" s="31"/>
      <c r="AU3996" s="31"/>
      <c r="AV3996" s="94"/>
      <c r="AW3996" s="32"/>
      <c r="AX3996" s="32"/>
      <c r="AY3996" s="32"/>
      <c r="AZ3996" s="32"/>
      <c r="BA3996" s="32"/>
      <c r="BB3996" s="31"/>
      <c r="BC3996" s="31"/>
      <c r="BD3996" s="31"/>
      <c r="BE3996" s="31"/>
      <c r="BF3996" s="96"/>
    </row>
    <row r="3997" spans="42:58" x14ac:dyDescent="0.35">
      <c r="AP3997" s="92"/>
      <c r="AQ3997" s="67"/>
      <c r="AR3997" s="67"/>
      <c r="AS3997" s="73"/>
      <c r="AT3997" s="67"/>
      <c r="AU3997" s="67"/>
      <c r="AV3997" s="73"/>
      <c r="AW3997" s="68"/>
      <c r="AX3997" s="68"/>
      <c r="AY3997" s="68"/>
      <c r="AZ3997" s="68"/>
      <c r="BA3997" s="68"/>
      <c r="BB3997" s="67"/>
      <c r="BC3997" s="67"/>
      <c r="BD3997" s="67"/>
      <c r="BE3997" s="67"/>
      <c r="BF3997" s="95"/>
    </row>
    <row r="3998" spans="42:58" x14ac:dyDescent="0.35">
      <c r="AP3998" s="93"/>
      <c r="AQ3998" s="31"/>
      <c r="AR3998" s="31"/>
      <c r="AS3998" s="94"/>
      <c r="AT3998" s="31"/>
      <c r="AU3998" s="31"/>
      <c r="AV3998" s="94"/>
      <c r="AW3998" s="32"/>
      <c r="AX3998" s="32"/>
      <c r="AY3998" s="32"/>
      <c r="AZ3998" s="32"/>
      <c r="BA3998" s="32"/>
      <c r="BB3998" s="31"/>
      <c r="BC3998" s="31"/>
      <c r="BD3998" s="31"/>
      <c r="BE3998" s="31"/>
      <c r="BF3998" s="96"/>
    </row>
    <row r="3999" spans="42:58" x14ac:dyDescent="0.35">
      <c r="AP3999" s="92"/>
      <c r="AQ3999" s="67"/>
      <c r="AR3999" s="67"/>
      <c r="AS3999" s="73"/>
      <c r="AT3999" s="67"/>
      <c r="AU3999" s="67"/>
      <c r="AV3999" s="73"/>
      <c r="AW3999" s="68"/>
      <c r="AX3999" s="68"/>
      <c r="AY3999" s="68"/>
      <c r="AZ3999" s="68"/>
      <c r="BA3999" s="68"/>
      <c r="BB3999" s="67"/>
      <c r="BC3999" s="67"/>
      <c r="BD3999" s="67"/>
      <c r="BE3999" s="67"/>
      <c r="BF3999" s="95"/>
    </row>
    <row r="4000" spans="42:58" x14ac:dyDescent="0.35">
      <c r="AP4000" s="93"/>
      <c r="AQ4000" s="31"/>
      <c r="AR4000" s="31"/>
      <c r="AS4000" s="94"/>
      <c r="AT4000" s="31"/>
      <c r="AU4000" s="31"/>
      <c r="AV4000" s="94"/>
      <c r="AW4000" s="32"/>
      <c r="AX4000" s="32"/>
      <c r="AY4000" s="32"/>
      <c r="AZ4000" s="32"/>
      <c r="BA4000" s="32"/>
      <c r="BB4000" s="31"/>
      <c r="BC4000" s="31"/>
      <c r="BD4000" s="31"/>
      <c r="BE4000" s="31"/>
      <c r="BF4000" s="96"/>
    </row>
    <row r="4001" spans="42:58" x14ac:dyDescent="0.35">
      <c r="AP4001" s="92"/>
      <c r="AQ4001" s="67"/>
      <c r="AR4001" s="67"/>
      <c r="AS4001" s="73"/>
      <c r="AT4001" s="67"/>
      <c r="AU4001" s="67"/>
      <c r="AV4001" s="73"/>
      <c r="AW4001" s="68"/>
      <c r="AX4001" s="68"/>
      <c r="AY4001" s="68"/>
      <c r="AZ4001" s="68"/>
      <c r="BA4001" s="68"/>
      <c r="BB4001" s="67"/>
      <c r="BC4001" s="67"/>
      <c r="BD4001" s="67"/>
      <c r="BE4001" s="67"/>
      <c r="BF4001" s="95"/>
    </row>
    <row r="4002" spans="42:58" x14ac:dyDescent="0.35">
      <c r="AP4002" s="93"/>
      <c r="AQ4002" s="31"/>
      <c r="AR4002" s="31"/>
      <c r="AS4002" s="94"/>
      <c r="AT4002" s="31"/>
      <c r="AU4002" s="31"/>
      <c r="AV4002" s="94"/>
      <c r="AW4002" s="32"/>
      <c r="AX4002" s="32"/>
      <c r="AY4002" s="32"/>
      <c r="AZ4002" s="32"/>
      <c r="BA4002" s="32"/>
      <c r="BB4002" s="31"/>
      <c r="BC4002" s="31"/>
      <c r="BD4002" s="31"/>
      <c r="BE4002" s="31"/>
      <c r="BF4002" s="96"/>
    </row>
    <row r="4003" spans="42:58" x14ac:dyDescent="0.35">
      <c r="AP4003" s="92"/>
      <c r="AQ4003" s="67"/>
      <c r="AR4003" s="67"/>
      <c r="AS4003" s="73"/>
      <c r="AT4003" s="67"/>
      <c r="AU4003" s="67"/>
      <c r="AV4003" s="73"/>
      <c r="AW4003" s="68"/>
      <c r="AX4003" s="68"/>
      <c r="AY4003" s="68"/>
      <c r="AZ4003" s="68"/>
      <c r="BA4003" s="68"/>
      <c r="BB4003" s="67"/>
      <c r="BC4003" s="67"/>
      <c r="BD4003" s="67"/>
      <c r="BE4003" s="67"/>
      <c r="BF4003" s="95"/>
    </row>
    <row r="4004" spans="42:58" x14ac:dyDescent="0.35">
      <c r="AP4004" s="93"/>
      <c r="AQ4004" s="31"/>
      <c r="AR4004" s="31"/>
      <c r="AS4004" s="94"/>
      <c r="AT4004" s="31"/>
      <c r="AU4004" s="31"/>
      <c r="AV4004" s="94"/>
      <c r="AW4004" s="32"/>
      <c r="AX4004" s="32"/>
      <c r="AY4004" s="32"/>
      <c r="AZ4004" s="32"/>
      <c r="BA4004" s="32"/>
      <c r="BB4004" s="31"/>
      <c r="BC4004" s="31"/>
      <c r="BD4004" s="31"/>
      <c r="BE4004" s="31"/>
      <c r="BF4004" s="96"/>
    </row>
    <row r="4005" spans="42:58" x14ac:dyDescent="0.35">
      <c r="AP4005" s="92"/>
      <c r="AQ4005" s="67"/>
      <c r="AR4005" s="67"/>
      <c r="AS4005" s="73"/>
      <c r="AT4005" s="67"/>
      <c r="AU4005" s="67"/>
      <c r="AV4005" s="73"/>
      <c r="AW4005" s="68"/>
      <c r="AX4005" s="68"/>
      <c r="AY4005" s="68"/>
      <c r="AZ4005" s="68"/>
      <c r="BA4005" s="68"/>
      <c r="BB4005" s="67"/>
      <c r="BC4005" s="67"/>
      <c r="BD4005" s="67"/>
      <c r="BE4005" s="67"/>
      <c r="BF4005" s="95"/>
    </row>
    <row r="4006" spans="42:58" x14ac:dyDescent="0.35">
      <c r="AP4006" s="93"/>
      <c r="AQ4006" s="31"/>
      <c r="AR4006" s="31"/>
      <c r="AS4006" s="94"/>
      <c r="AT4006" s="31"/>
      <c r="AU4006" s="31"/>
      <c r="AV4006" s="94"/>
      <c r="AW4006" s="32"/>
      <c r="AX4006" s="32"/>
      <c r="AY4006" s="32"/>
      <c r="AZ4006" s="32"/>
      <c r="BA4006" s="32"/>
      <c r="BB4006" s="31"/>
      <c r="BC4006" s="31"/>
      <c r="BD4006" s="31"/>
      <c r="BE4006" s="31"/>
      <c r="BF4006" s="96"/>
    </row>
    <row r="4007" spans="42:58" x14ac:dyDescent="0.35">
      <c r="AP4007" s="92"/>
      <c r="AQ4007" s="67"/>
      <c r="AR4007" s="67"/>
      <c r="AS4007" s="73"/>
      <c r="AT4007" s="67"/>
      <c r="AU4007" s="67"/>
      <c r="AV4007" s="73"/>
      <c r="AW4007" s="68"/>
      <c r="AX4007" s="68"/>
      <c r="AY4007" s="68"/>
      <c r="AZ4007" s="68"/>
      <c r="BA4007" s="68"/>
      <c r="BB4007" s="67"/>
      <c r="BC4007" s="67"/>
      <c r="BD4007" s="67"/>
      <c r="BE4007" s="67"/>
      <c r="BF4007" s="95"/>
    </row>
    <row r="4008" spans="42:58" x14ac:dyDescent="0.35">
      <c r="AP4008" s="93"/>
      <c r="AQ4008" s="31"/>
      <c r="AR4008" s="31"/>
      <c r="AS4008" s="94"/>
      <c r="AT4008" s="31"/>
      <c r="AU4008" s="31"/>
      <c r="AV4008" s="94"/>
      <c r="AW4008" s="32"/>
      <c r="AX4008" s="32"/>
      <c r="AY4008" s="32"/>
      <c r="AZ4008" s="32"/>
      <c r="BA4008" s="32"/>
      <c r="BB4008" s="31"/>
      <c r="BC4008" s="31"/>
      <c r="BD4008" s="31"/>
      <c r="BE4008" s="31"/>
      <c r="BF4008" s="96"/>
    </row>
    <row r="4009" spans="42:58" x14ac:dyDescent="0.35">
      <c r="AP4009" s="92"/>
      <c r="AQ4009" s="67"/>
      <c r="AR4009" s="67"/>
      <c r="AS4009" s="73"/>
      <c r="AT4009" s="67"/>
      <c r="AU4009" s="67"/>
      <c r="AV4009" s="73"/>
      <c r="AW4009" s="68"/>
      <c r="AX4009" s="68"/>
      <c r="AY4009" s="68"/>
      <c r="AZ4009" s="68"/>
      <c r="BA4009" s="68"/>
      <c r="BB4009" s="67"/>
      <c r="BC4009" s="67"/>
      <c r="BD4009" s="67"/>
      <c r="BE4009" s="67"/>
      <c r="BF4009" s="95"/>
    </row>
    <row r="4010" spans="42:58" x14ac:dyDescent="0.35">
      <c r="AP4010" s="93"/>
      <c r="AQ4010" s="31"/>
      <c r="AR4010" s="31"/>
      <c r="AS4010" s="94"/>
      <c r="AT4010" s="31"/>
      <c r="AU4010" s="31"/>
      <c r="AV4010" s="94"/>
      <c r="AW4010" s="32"/>
      <c r="AX4010" s="32"/>
      <c r="AY4010" s="32"/>
      <c r="AZ4010" s="32"/>
      <c r="BA4010" s="32"/>
      <c r="BB4010" s="31"/>
      <c r="BC4010" s="31"/>
      <c r="BD4010" s="31"/>
      <c r="BE4010" s="31"/>
      <c r="BF4010" s="96"/>
    </row>
    <row r="4011" spans="42:58" x14ac:dyDescent="0.35">
      <c r="AP4011" s="92"/>
      <c r="AQ4011" s="67"/>
      <c r="AR4011" s="67"/>
      <c r="AS4011" s="73"/>
      <c r="AT4011" s="67"/>
      <c r="AU4011" s="67"/>
      <c r="AV4011" s="73"/>
      <c r="AW4011" s="68"/>
      <c r="AX4011" s="68"/>
      <c r="AY4011" s="68"/>
      <c r="AZ4011" s="68"/>
      <c r="BA4011" s="68"/>
      <c r="BB4011" s="67"/>
      <c r="BC4011" s="67"/>
      <c r="BD4011" s="67"/>
      <c r="BE4011" s="67"/>
      <c r="BF4011" s="95"/>
    </row>
    <row r="4012" spans="42:58" x14ac:dyDescent="0.35">
      <c r="AP4012" s="93"/>
      <c r="AQ4012" s="31"/>
      <c r="AR4012" s="31"/>
      <c r="AS4012" s="94"/>
      <c r="AT4012" s="31"/>
      <c r="AU4012" s="31"/>
      <c r="AV4012" s="94"/>
      <c r="AW4012" s="32"/>
      <c r="AX4012" s="32"/>
      <c r="AY4012" s="32"/>
      <c r="AZ4012" s="32"/>
      <c r="BA4012" s="32"/>
      <c r="BB4012" s="31"/>
      <c r="BC4012" s="31"/>
      <c r="BD4012" s="31"/>
      <c r="BE4012" s="31"/>
      <c r="BF4012" s="96"/>
    </row>
    <row r="4013" spans="42:58" x14ac:dyDescent="0.35">
      <c r="AP4013" s="92"/>
      <c r="AQ4013" s="67"/>
      <c r="AR4013" s="67"/>
      <c r="AS4013" s="73"/>
      <c r="AT4013" s="67"/>
      <c r="AU4013" s="67"/>
      <c r="AV4013" s="73"/>
      <c r="AW4013" s="68"/>
      <c r="AX4013" s="68"/>
      <c r="AY4013" s="68"/>
      <c r="AZ4013" s="68"/>
      <c r="BA4013" s="68"/>
      <c r="BB4013" s="67"/>
      <c r="BC4013" s="67"/>
      <c r="BD4013" s="67"/>
      <c r="BE4013" s="67"/>
      <c r="BF4013" s="95"/>
    </row>
    <row r="4014" spans="42:58" x14ac:dyDescent="0.35">
      <c r="AP4014" s="93"/>
      <c r="AQ4014" s="31"/>
      <c r="AR4014" s="31"/>
      <c r="AS4014" s="94"/>
      <c r="AT4014" s="31"/>
      <c r="AU4014" s="31"/>
      <c r="AV4014" s="94"/>
      <c r="AW4014" s="32"/>
      <c r="AX4014" s="32"/>
      <c r="AY4014" s="32"/>
      <c r="AZ4014" s="32"/>
      <c r="BA4014" s="32"/>
      <c r="BB4014" s="31"/>
      <c r="BC4014" s="31"/>
      <c r="BD4014" s="31"/>
      <c r="BE4014" s="31"/>
      <c r="BF4014" s="96"/>
    </row>
    <row r="4015" spans="42:58" x14ac:dyDescent="0.35">
      <c r="AP4015" s="92"/>
      <c r="AQ4015" s="67"/>
      <c r="AR4015" s="67"/>
      <c r="AS4015" s="73"/>
      <c r="AT4015" s="67"/>
      <c r="AU4015" s="67"/>
      <c r="AV4015" s="73"/>
      <c r="AW4015" s="68"/>
      <c r="AX4015" s="68"/>
      <c r="AY4015" s="68"/>
      <c r="AZ4015" s="68"/>
      <c r="BA4015" s="68"/>
      <c r="BB4015" s="67"/>
      <c r="BC4015" s="67"/>
      <c r="BD4015" s="67"/>
      <c r="BE4015" s="67"/>
      <c r="BF4015" s="95"/>
    </row>
    <row r="4016" spans="42:58" x14ac:dyDescent="0.35">
      <c r="AP4016" s="93"/>
      <c r="AQ4016" s="31"/>
      <c r="AR4016" s="31"/>
      <c r="AS4016" s="94"/>
      <c r="AT4016" s="31"/>
      <c r="AU4016" s="31"/>
      <c r="AV4016" s="94"/>
      <c r="AW4016" s="32"/>
      <c r="AX4016" s="32"/>
      <c r="AY4016" s="32"/>
      <c r="AZ4016" s="32"/>
      <c r="BA4016" s="32"/>
      <c r="BB4016" s="31"/>
      <c r="BC4016" s="31"/>
      <c r="BD4016" s="31"/>
      <c r="BE4016" s="31"/>
      <c r="BF4016" s="96"/>
    </row>
    <row r="4017" spans="42:58" x14ac:dyDescent="0.35">
      <c r="AP4017" s="92"/>
      <c r="AQ4017" s="67"/>
      <c r="AR4017" s="67"/>
      <c r="AS4017" s="73"/>
      <c r="AT4017" s="67"/>
      <c r="AU4017" s="67"/>
      <c r="AV4017" s="73"/>
      <c r="AW4017" s="68"/>
      <c r="AX4017" s="68"/>
      <c r="AY4017" s="68"/>
      <c r="AZ4017" s="68"/>
      <c r="BA4017" s="68"/>
      <c r="BB4017" s="67"/>
      <c r="BC4017" s="67"/>
      <c r="BD4017" s="67"/>
      <c r="BE4017" s="67"/>
      <c r="BF4017" s="95"/>
    </row>
    <row r="4018" spans="42:58" x14ac:dyDescent="0.35">
      <c r="AP4018" s="93"/>
      <c r="AQ4018" s="31"/>
      <c r="AR4018" s="31"/>
      <c r="AS4018" s="94"/>
      <c r="AT4018" s="31"/>
      <c r="AU4018" s="31"/>
      <c r="AV4018" s="94"/>
      <c r="AW4018" s="32"/>
      <c r="AX4018" s="32"/>
      <c r="AY4018" s="32"/>
      <c r="AZ4018" s="32"/>
      <c r="BA4018" s="32"/>
      <c r="BB4018" s="31"/>
      <c r="BC4018" s="31"/>
      <c r="BD4018" s="31"/>
      <c r="BE4018" s="31"/>
      <c r="BF4018" s="96"/>
    </row>
    <row r="4019" spans="42:58" x14ac:dyDescent="0.35">
      <c r="AP4019" s="92"/>
      <c r="AQ4019" s="67"/>
      <c r="AR4019" s="67"/>
      <c r="AS4019" s="73"/>
      <c r="AT4019" s="67"/>
      <c r="AU4019" s="67"/>
      <c r="AV4019" s="73"/>
      <c r="AW4019" s="68"/>
      <c r="AX4019" s="68"/>
      <c r="AY4019" s="68"/>
      <c r="AZ4019" s="68"/>
      <c r="BA4019" s="68"/>
      <c r="BB4019" s="67"/>
      <c r="BC4019" s="67"/>
      <c r="BD4019" s="67"/>
      <c r="BE4019" s="67"/>
      <c r="BF4019" s="95"/>
    </row>
    <row r="4020" spans="42:58" x14ac:dyDescent="0.35">
      <c r="AP4020" s="93"/>
      <c r="AQ4020" s="31"/>
      <c r="AR4020" s="31"/>
      <c r="AS4020" s="94"/>
      <c r="AT4020" s="31"/>
      <c r="AU4020" s="31"/>
      <c r="AV4020" s="94"/>
      <c r="AW4020" s="32"/>
      <c r="AX4020" s="32"/>
      <c r="AY4020" s="32"/>
      <c r="AZ4020" s="32"/>
      <c r="BA4020" s="32"/>
      <c r="BB4020" s="31"/>
      <c r="BC4020" s="31"/>
      <c r="BD4020" s="31"/>
      <c r="BE4020" s="31"/>
      <c r="BF4020" s="96"/>
    </row>
    <row r="4021" spans="42:58" x14ac:dyDescent="0.35">
      <c r="AP4021" s="92"/>
      <c r="AQ4021" s="67"/>
      <c r="AR4021" s="67"/>
      <c r="AS4021" s="73"/>
      <c r="AT4021" s="67"/>
      <c r="AU4021" s="67"/>
      <c r="AV4021" s="73"/>
      <c r="AW4021" s="68"/>
      <c r="AX4021" s="68"/>
      <c r="AY4021" s="68"/>
      <c r="AZ4021" s="68"/>
      <c r="BA4021" s="68"/>
      <c r="BB4021" s="67"/>
      <c r="BC4021" s="67"/>
      <c r="BD4021" s="67"/>
      <c r="BE4021" s="67"/>
      <c r="BF4021" s="95"/>
    </row>
    <row r="4022" spans="42:58" x14ac:dyDescent="0.35">
      <c r="AP4022" s="93"/>
      <c r="AQ4022" s="31"/>
      <c r="AR4022" s="31"/>
      <c r="AS4022" s="94"/>
      <c r="AT4022" s="31"/>
      <c r="AU4022" s="31"/>
      <c r="AV4022" s="94"/>
      <c r="AW4022" s="32"/>
      <c r="AX4022" s="32"/>
      <c r="AY4022" s="32"/>
      <c r="AZ4022" s="32"/>
      <c r="BA4022" s="32"/>
      <c r="BB4022" s="31"/>
      <c r="BC4022" s="31"/>
      <c r="BD4022" s="31"/>
      <c r="BE4022" s="31"/>
      <c r="BF4022" s="96"/>
    </row>
    <row r="4023" spans="42:58" x14ac:dyDescent="0.35">
      <c r="AP4023" s="92"/>
      <c r="AQ4023" s="67"/>
      <c r="AR4023" s="67"/>
      <c r="AS4023" s="73"/>
      <c r="AT4023" s="67"/>
      <c r="AU4023" s="67"/>
      <c r="AV4023" s="73"/>
      <c r="AW4023" s="68"/>
      <c r="AX4023" s="68"/>
      <c r="AY4023" s="68"/>
      <c r="AZ4023" s="68"/>
      <c r="BA4023" s="68"/>
      <c r="BB4023" s="67"/>
      <c r="BC4023" s="67"/>
      <c r="BD4023" s="67"/>
      <c r="BE4023" s="67"/>
      <c r="BF4023" s="95"/>
    </row>
    <row r="4024" spans="42:58" x14ac:dyDescent="0.35">
      <c r="AP4024" s="93"/>
      <c r="AQ4024" s="31"/>
      <c r="AR4024" s="31"/>
      <c r="AS4024" s="94"/>
      <c r="AT4024" s="31"/>
      <c r="AU4024" s="31"/>
      <c r="AV4024" s="94"/>
      <c r="AW4024" s="32"/>
      <c r="AX4024" s="32"/>
      <c r="AY4024" s="32"/>
      <c r="AZ4024" s="32"/>
      <c r="BA4024" s="32"/>
      <c r="BB4024" s="31"/>
      <c r="BC4024" s="31"/>
      <c r="BD4024" s="31"/>
      <c r="BE4024" s="31"/>
      <c r="BF4024" s="96"/>
    </row>
    <row r="4025" spans="42:58" x14ac:dyDescent="0.35">
      <c r="AP4025" s="92"/>
      <c r="AQ4025" s="67"/>
      <c r="AR4025" s="67"/>
      <c r="AS4025" s="73"/>
      <c r="AT4025" s="67"/>
      <c r="AU4025" s="67"/>
      <c r="AV4025" s="73"/>
      <c r="AW4025" s="68"/>
      <c r="AX4025" s="68"/>
      <c r="AY4025" s="68"/>
      <c r="AZ4025" s="68"/>
      <c r="BA4025" s="68"/>
      <c r="BB4025" s="67"/>
      <c r="BC4025" s="67"/>
      <c r="BD4025" s="67"/>
      <c r="BE4025" s="67"/>
      <c r="BF4025" s="95"/>
    </row>
    <row r="4026" spans="42:58" x14ac:dyDescent="0.35">
      <c r="AP4026" s="93"/>
      <c r="AQ4026" s="31"/>
      <c r="AR4026" s="31"/>
      <c r="AS4026" s="94"/>
      <c r="AT4026" s="31"/>
      <c r="AU4026" s="31"/>
      <c r="AV4026" s="94"/>
      <c r="AW4026" s="32"/>
      <c r="AX4026" s="32"/>
      <c r="AY4026" s="32"/>
      <c r="AZ4026" s="32"/>
      <c r="BA4026" s="32"/>
      <c r="BB4026" s="31"/>
      <c r="BC4026" s="31"/>
      <c r="BD4026" s="31"/>
      <c r="BE4026" s="31"/>
      <c r="BF4026" s="96"/>
    </row>
    <row r="4027" spans="42:58" x14ac:dyDescent="0.35">
      <c r="AP4027" s="92"/>
      <c r="AQ4027" s="67"/>
      <c r="AR4027" s="67"/>
      <c r="AS4027" s="73"/>
      <c r="AT4027" s="67"/>
      <c r="AU4027" s="67"/>
      <c r="AV4027" s="73"/>
      <c r="AW4027" s="68"/>
      <c r="AX4027" s="68"/>
      <c r="AY4027" s="68"/>
      <c r="AZ4027" s="68"/>
      <c r="BA4027" s="68"/>
      <c r="BB4027" s="67"/>
      <c r="BC4027" s="67"/>
      <c r="BD4027" s="67"/>
      <c r="BE4027" s="67"/>
      <c r="BF4027" s="95"/>
    </row>
    <row r="4028" spans="42:58" x14ac:dyDescent="0.35">
      <c r="AP4028" s="93"/>
      <c r="AQ4028" s="31"/>
      <c r="AR4028" s="31"/>
      <c r="AS4028" s="94"/>
      <c r="AT4028" s="31"/>
      <c r="AU4028" s="31"/>
      <c r="AV4028" s="94"/>
      <c r="AW4028" s="32"/>
      <c r="AX4028" s="32"/>
      <c r="AY4028" s="32"/>
      <c r="AZ4028" s="32"/>
      <c r="BA4028" s="32"/>
      <c r="BB4028" s="31"/>
      <c r="BC4028" s="31"/>
      <c r="BD4028" s="31"/>
      <c r="BE4028" s="31"/>
      <c r="BF4028" s="96"/>
    </row>
    <row r="4029" spans="42:58" x14ac:dyDescent="0.35">
      <c r="AP4029" s="92"/>
      <c r="AQ4029" s="67"/>
      <c r="AR4029" s="67"/>
      <c r="AS4029" s="73"/>
      <c r="AT4029" s="67"/>
      <c r="AU4029" s="67"/>
      <c r="AV4029" s="73"/>
      <c r="AW4029" s="68"/>
      <c r="AX4029" s="68"/>
      <c r="AY4029" s="68"/>
      <c r="AZ4029" s="68"/>
      <c r="BA4029" s="68"/>
      <c r="BB4029" s="67"/>
      <c r="BC4029" s="67"/>
      <c r="BD4029" s="67"/>
      <c r="BE4029" s="67"/>
      <c r="BF4029" s="95"/>
    </row>
    <row r="4030" spans="42:58" x14ac:dyDescent="0.35">
      <c r="AP4030" s="93"/>
      <c r="AQ4030" s="31"/>
      <c r="AR4030" s="31"/>
      <c r="AS4030" s="94"/>
      <c r="AT4030" s="31"/>
      <c r="AU4030" s="31"/>
      <c r="AV4030" s="94"/>
      <c r="AW4030" s="32"/>
      <c r="AX4030" s="32"/>
      <c r="AY4030" s="32"/>
      <c r="AZ4030" s="32"/>
      <c r="BA4030" s="32"/>
      <c r="BB4030" s="31"/>
      <c r="BC4030" s="31"/>
      <c r="BD4030" s="31"/>
      <c r="BE4030" s="31"/>
      <c r="BF4030" s="96"/>
    </row>
    <row r="4031" spans="42:58" x14ac:dyDescent="0.35">
      <c r="AP4031" s="92"/>
      <c r="AQ4031" s="67"/>
      <c r="AR4031" s="67"/>
      <c r="AS4031" s="73"/>
      <c r="AT4031" s="67"/>
      <c r="AU4031" s="67"/>
      <c r="AV4031" s="73"/>
      <c r="AW4031" s="68"/>
      <c r="AX4031" s="68"/>
      <c r="AY4031" s="68"/>
      <c r="AZ4031" s="68"/>
      <c r="BA4031" s="68"/>
      <c r="BB4031" s="67"/>
      <c r="BC4031" s="67"/>
      <c r="BD4031" s="67"/>
      <c r="BE4031" s="67"/>
      <c r="BF4031" s="95"/>
    </row>
    <row r="4032" spans="42:58" x14ac:dyDescent="0.35">
      <c r="AP4032" s="93"/>
      <c r="AQ4032" s="31"/>
      <c r="AR4032" s="31"/>
      <c r="AS4032" s="94"/>
      <c r="AT4032" s="31"/>
      <c r="AU4032" s="31"/>
      <c r="AV4032" s="94"/>
      <c r="AW4032" s="32"/>
      <c r="AX4032" s="32"/>
      <c r="AY4032" s="32"/>
      <c r="AZ4032" s="32"/>
      <c r="BA4032" s="32"/>
      <c r="BB4032" s="31"/>
      <c r="BC4032" s="31"/>
      <c r="BD4032" s="31"/>
      <c r="BE4032" s="31"/>
      <c r="BF4032" s="96"/>
    </row>
    <row r="4033" spans="42:58" x14ac:dyDescent="0.35">
      <c r="AP4033" s="92"/>
      <c r="AQ4033" s="67"/>
      <c r="AR4033" s="67"/>
      <c r="AS4033" s="73"/>
      <c r="AT4033" s="67"/>
      <c r="AU4033" s="67"/>
      <c r="AV4033" s="73"/>
      <c r="AW4033" s="68"/>
      <c r="AX4033" s="68"/>
      <c r="AY4033" s="68"/>
      <c r="AZ4033" s="68"/>
      <c r="BA4033" s="68"/>
      <c r="BB4033" s="67"/>
      <c r="BC4033" s="67"/>
      <c r="BD4033" s="67"/>
      <c r="BE4033" s="67"/>
      <c r="BF4033" s="95"/>
    </row>
    <row r="4034" spans="42:58" x14ac:dyDescent="0.35">
      <c r="AP4034" s="93"/>
      <c r="AQ4034" s="31"/>
      <c r="AR4034" s="31"/>
      <c r="AS4034" s="94"/>
      <c r="AT4034" s="31"/>
      <c r="AU4034" s="31"/>
      <c r="AV4034" s="94"/>
      <c r="AW4034" s="32"/>
      <c r="AX4034" s="32"/>
      <c r="AY4034" s="32"/>
      <c r="AZ4034" s="32"/>
      <c r="BA4034" s="32"/>
      <c r="BB4034" s="31"/>
      <c r="BC4034" s="31"/>
      <c r="BD4034" s="31"/>
      <c r="BE4034" s="31"/>
      <c r="BF4034" s="96"/>
    </row>
    <row r="4035" spans="42:58" x14ac:dyDescent="0.35">
      <c r="AP4035" s="92"/>
      <c r="AQ4035" s="67"/>
      <c r="AR4035" s="67"/>
      <c r="AS4035" s="73"/>
      <c r="AT4035" s="67"/>
      <c r="AU4035" s="67"/>
      <c r="AV4035" s="73"/>
      <c r="AW4035" s="68"/>
      <c r="AX4035" s="68"/>
      <c r="AY4035" s="68"/>
      <c r="AZ4035" s="68"/>
      <c r="BA4035" s="68"/>
      <c r="BB4035" s="67"/>
      <c r="BC4035" s="67"/>
      <c r="BD4035" s="67"/>
      <c r="BE4035" s="67"/>
      <c r="BF4035" s="95"/>
    </row>
    <row r="4036" spans="42:58" x14ac:dyDescent="0.35">
      <c r="AP4036" s="93"/>
      <c r="AQ4036" s="31"/>
      <c r="AR4036" s="31"/>
      <c r="AS4036" s="94"/>
      <c r="AT4036" s="31"/>
      <c r="AU4036" s="31"/>
      <c r="AV4036" s="94"/>
      <c r="AW4036" s="32"/>
      <c r="AX4036" s="32"/>
      <c r="AY4036" s="32"/>
      <c r="AZ4036" s="32"/>
      <c r="BA4036" s="32"/>
      <c r="BB4036" s="31"/>
      <c r="BC4036" s="31"/>
      <c r="BD4036" s="31"/>
      <c r="BE4036" s="31"/>
      <c r="BF4036" s="96"/>
    </row>
    <row r="4037" spans="42:58" x14ac:dyDescent="0.35">
      <c r="AP4037" s="92"/>
      <c r="AQ4037" s="67"/>
      <c r="AR4037" s="67"/>
      <c r="AS4037" s="73"/>
      <c r="AT4037" s="67"/>
      <c r="AU4037" s="67"/>
      <c r="AV4037" s="73"/>
      <c r="AW4037" s="68"/>
      <c r="AX4037" s="68"/>
      <c r="AY4037" s="68"/>
      <c r="AZ4037" s="68"/>
      <c r="BA4037" s="68"/>
      <c r="BB4037" s="67"/>
      <c r="BC4037" s="67"/>
      <c r="BD4037" s="67"/>
      <c r="BE4037" s="67"/>
      <c r="BF4037" s="95"/>
    </row>
    <row r="4038" spans="42:58" x14ac:dyDescent="0.35">
      <c r="AP4038" s="93"/>
      <c r="AQ4038" s="31"/>
      <c r="AR4038" s="31"/>
      <c r="AS4038" s="94"/>
      <c r="AT4038" s="31"/>
      <c r="AU4038" s="31"/>
      <c r="AV4038" s="94"/>
      <c r="AW4038" s="32"/>
      <c r="AX4038" s="32"/>
      <c r="AY4038" s="32"/>
      <c r="AZ4038" s="32"/>
      <c r="BA4038" s="32"/>
      <c r="BB4038" s="31"/>
      <c r="BC4038" s="31"/>
      <c r="BD4038" s="31"/>
      <c r="BE4038" s="31"/>
      <c r="BF4038" s="96"/>
    </row>
    <row r="4039" spans="42:58" x14ac:dyDescent="0.35">
      <c r="AP4039" s="92"/>
      <c r="AQ4039" s="67"/>
      <c r="AR4039" s="67"/>
      <c r="AS4039" s="73"/>
      <c r="AT4039" s="67"/>
      <c r="AU4039" s="67"/>
      <c r="AV4039" s="73"/>
      <c r="AW4039" s="68"/>
      <c r="AX4039" s="68"/>
      <c r="AY4039" s="68"/>
      <c r="AZ4039" s="68"/>
      <c r="BA4039" s="68"/>
      <c r="BB4039" s="67"/>
      <c r="BC4039" s="67"/>
      <c r="BD4039" s="67"/>
      <c r="BE4039" s="67"/>
      <c r="BF4039" s="95"/>
    </row>
    <row r="4040" spans="42:58" x14ac:dyDescent="0.35">
      <c r="AP4040" s="93"/>
      <c r="AQ4040" s="31"/>
      <c r="AR4040" s="31"/>
      <c r="AS4040" s="94"/>
      <c r="AT4040" s="31"/>
      <c r="AU4040" s="31"/>
      <c r="AV4040" s="94"/>
      <c r="AW4040" s="32"/>
      <c r="AX4040" s="32"/>
      <c r="AY4040" s="32"/>
      <c r="AZ4040" s="32"/>
      <c r="BA4040" s="32"/>
      <c r="BB4040" s="31"/>
      <c r="BC4040" s="31"/>
      <c r="BD4040" s="31"/>
      <c r="BE4040" s="31"/>
      <c r="BF4040" s="96"/>
    </row>
    <row r="4041" spans="42:58" x14ac:dyDescent="0.35">
      <c r="AP4041" s="92"/>
      <c r="AQ4041" s="67"/>
      <c r="AR4041" s="67"/>
      <c r="AS4041" s="73"/>
      <c r="AT4041" s="67"/>
      <c r="AU4041" s="67"/>
      <c r="AV4041" s="73"/>
      <c r="AW4041" s="68"/>
      <c r="AX4041" s="68"/>
      <c r="AY4041" s="68"/>
      <c r="AZ4041" s="68"/>
      <c r="BA4041" s="68"/>
      <c r="BB4041" s="67"/>
      <c r="BC4041" s="67"/>
      <c r="BD4041" s="67"/>
      <c r="BE4041" s="67"/>
      <c r="BF4041" s="95"/>
    </row>
    <row r="4042" spans="42:58" x14ac:dyDescent="0.35">
      <c r="AP4042" s="93"/>
      <c r="AQ4042" s="31"/>
      <c r="AR4042" s="31"/>
      <c r="AS4042" s="94"/>
      <c r="AT4042" s="31"/>
      <c r="AU4042" s="31"/>
      <c r="AV4042" s="94"/>
      <c r="AW4042" s="32"/>
      <c r="AX4042" s="32"/>
      <c r="AY4042" s="32"/>
      <c r="AZ4042" s="32"/>
      <c r="BA4042" s="32"/>
      <c r="BB4042" s="31"/>
      <c r="BC4042" s="31"/>
      <c r="BD4042" s="31"/>
      <c r="BE4042" s="31"/>
      <c r="BF4042" s="96"/>
    </row>
    <row r="4043" spans="42:58" x14ac:dyDescent="0.35">
      <c r="AP4043" s="92"/>
      <c r="AQ4043" s="67"/>
      <c r="AR4043" s="67"/>
      <c r="AS4043" s="73"/>
      <c r="AT4043" s="67"/>
      <c r="AU4043" s="67"/>
      <c r="AV4043" s="73"/>
      <c r="AW4043" s="68"/>
      <c r="AX4043" s="68"/>
      <c r="AY4043" s="68"/>
      <c r="AZ4043" s="68"/>
      <c r="BA4043" s="68"/>
      <c r="BB4043" s="67"/>
      <c r="BC4043" s="67"/>
      <c r="BD4043" s="67"/>
      <c r="BE4043" s="67"/>
      <c r="BF4043" s="95"/>
    </row>
    <row r="4044" spans="42:58" x14ac:dyDescent="0.35">
      <c r="AP4044" s="93"/>
      <c r="AQ4044" s="31"/>
      <c r="AR4044" s="31"/>
      <c r="AS4044" s="94"/>
      <c r="AT4044" s="31"/>
      <c r="AU4044" s="31"/>
      <c r="AV4044" s="94"/>
      <c r="AW4044" s="32"/>
      <c r="AX4044" s="32"/>
      <c r="AY4044" s="32"/>
      <c r="AZ4044" s="32"/>
      <c r="BA4044" s="32"/>
      <c r="BB4044" s="31"/>
      <c r="BC4044" s="31"/>
      <c r="BD4044" s="31"/>
      <c r="BE4044" s="31"/>
      <c r="BF4044" s="96"/>
    </row>
    <row r="4045" spans="42:58" x14ac:dyDescent="0.35">
      <c r="AP4045" s="92"/>
      <c r="AQ4045" s="67"/>
      <c r="AR4045" s="67"/>
      <c r="AS4045" s="73"/>
      <c r="AT4045" s="67"/>
      <c r="AU4045" s="67"/>
      <c r="AV4045" s="73"/>
      <c r="AW4045" s="68"/>
      <c r="AX4045" s="68"/>
      <c r="AY4045" s="68"/>
      <c r="AZ4045" s="68"/>
      <c r="BA4045" s="68"/>
      <c r="BB4045" s="67"/>
      <c r="BC4045" s="67"/>
      <c r="BD4045" s="67"/>
      <c r="BE4045" s="67"/>
      <c r="BF4045" s="95"/>
    </row>
    <row r="4046" spans="42:58" x14ac:dyDescent="0.35">
      <c r="AP4046" s="93"/>
      <c r="AQ4046" s="31"/>
      <c r="AR4046" s="31"/>
      <c r="AS4046" s="94"/>
      <c r="AT4046" s="31"/>
      <c r="AU4046" s="31"/>
      <c r="AV4046" s="94"/>
      <c r="AW4046" s="32"/>
      <c r="AX4046" s="32"/>
      <c r="AY4046" s="32"/>
      <c r="AZ4046" s="32"/>
      <c r="BA4046" s="32"/>
      <c r="BB4046" s="31"/>
      <c r="BC4046" s="31"/>
      <c r="BD4046" s="31"/>
      <c r="BE4046" s="31"/>
      <c r="BF4046" s="96"/>
    </row>
    <row r="4047" spans="42:58" x14ac:dyDescent="0.35">
      <c r="AP4047" s="92"/>
      <c r="AQ4047" s="67"/>
      <c r="AR4047" s="67"/>
      <c r="AS4047" s="73"/>
      <c r="AT4047" s="67"/>
      <c r="AU4047" s="67"/>
      <c r="AV4047" s="73"/>
      <c r="AW4047" s="68"/>
      <c r="AX4047" s="68"/>
      <c r="AY4047" s="68"/>
      <c r="AZ4047" s="68"/>
      <c r="BA4047" s="68"/>
      <c r="BB4047" s="67"/>
      <c r="BC4047" s="67"/>
      <c r="BD4047" s="67"/>
      <c r="BE4047" s="67"/>
      <c r="BF4047" s="95"/>
    </row>
    <row r="4048" spans="42:58" x14ac:dyDescent="0.35">
      <c r="AP4048" s="93"/>
      <c r="AQ4048" s="31"/>
      <c r="AR4048" s="31"/>
      <c r="AS4048" s="94"/>
      <c r="AT4048" s="31"/>
      <c r="AU4048" s="31"/>
      <c r="AV4048" s="94"/>
      <c r="AW4048" s="32"/>
      <c r="AX4048" s="32"/>
      <c r="AY4048" s="32"/>
      <c r="AZ4048" s="32"/>
      <c r="BA4048" s="32"/>
      <c r="BB4048" s="31"/>
      <c r="BC4048" s="31"/>
      <c r="BD4048" s="31"/>
      <c r="BE4048" s="31"/>
      <c r="BF4048" s="96"/>
    </row>
    <row r="4049" spans="42:58" x14ac:dyDescent="0.35">
      <c r="AP4049" s="92"/>
      <c r="AQ4049" s="67"/>
      <c r="AR4049" s="67"/>
      <c r="AS4049" s="73"/>
      <c r="AT4049" s="67"/>
      <c r="AU4049" s="67"/>
      <c r="AV4049" s="73"/>
      <c r="AW4049" s="68"/>
      <c r="AX4049" s="68"/>
      <c r="AY4049" s="68"/>
      <c r="AZ4049" s="68"/>
      <c r="BA4049" s="68"/>
      <c r="BB4049" s="67"/>
      <c r="BC4049" s="67"/>
      <c r="BD4049" s="67"/>
      <c r="BE4049" s="67"/>
      <c r="BF4049" s="95"/>
    </row>
    <row r="4050" spans="42:58" x14ac:dyDescent="0.35">
      <c r="AP4050" s="93"/>
      <c r="AQ4050" s="31"/>
      <c r="AR4050" s="31"/>
      <c r="AS4050" s="94"/>
      <c r="AT4050" s="31"/>
      <c r="AU4050" s="31"/>
      <c r="AV4050" s="94"/>
      <c r="AW4050" s="32"/>
      <c r="AX4050" s="32"/>
      <c r="AY4050" s="32"/>
      <c r="AZ4050" s="32"/>
      <c r="BA4050" s="32"/>
      <c r="BB4050" s="31"/>
      <c r="BC4050" s="31"/>
      <c r="BD4050" s="31"/>
      <c r="BE4050" s="31"/>
      <c r="BF4050" s="96"/>
    </row>
    <row r="4051" spans="42:58" x14ac:dyDescent="0.35">
      <c r="AP4051" s="92"/>
      <c r="AQ4051" s="67"/>
      <c r="AR4051" s="67"/>
      <c r="AS4051" s="73"/>
      <c r="AT4051" s="67"/>
      <c r="AU4051" s="67"/>
      <c r="AV4051" s="73"/>
      <c r="AW4051" s="68"/>
      <c r="AX4051" s="68"/>
      <c r="AY4051" s="68"/>
      <c r="AZ4051" s="68"/>
      <c r="BA4051" s="68"/>
      <c r="BB4051" s="67"/>
      <c r="BC4051" s="67"/>
      <c r="BD4051" s="67"/>
      <c r="BE4051" s="67"/>
      <c r="BF4051" s="95"/>
    </row>
    <row r="4052" spans="42:58" x14ac:dyDescent="0.35">
      <c r="AP4052" s="93"/>
      <c r="AQ4052" s="31"/>
      <c r="AR4052" s="31"/>
      <c r="AS4052" s="94"/>
      <c r="AT4052" s="31"/>
      <c r="AU4052" s="31"/>
      <c r="AV4052" s="94"/>
      <c r="AW4052" s="32"/>
      <c r="AX4052" s="32"/>
      <c r="AY4052" s="32"/>
      <c r="AZ4052" s="32"/>
      <c r="BA4052" s="32"/>
      <c r="BB4052" s="31"/>
      <c r="BC4052" s="31"/>
      <c r="BD4052" s="31"/>
      <c r="BE4052" s="31"/>
      <c r="BF4052" s="96"/>
    </row>
    <row r="4053" spans="42:58" x14ac:dyDescent="0.35">
      <c r="AP4053" s="92"/>
      <c r="AQ4053" s="67"/>
      <c r="AR4053" s="67"/>
      <c r="AS4053" s="73"/>
      <c r="AT4053" s="67"/>
      <c r="AU4053" s="67"/>
      <c r="AV4053" s="73"/>
      <c r="AW4053" s="68"/>
      <c r="AX4053" s="68"/>
      <c r="AY4053" s="68"/>
      <c r="AZ4053" s="68"/>
      <c r="BA4053" s="68"/>
      <c r="BB4053" s="67"/>
      <c r="BC4053" s="67"/>
      <c r="BD4053" s="67"/>
      <c r="BE4053" s="67"/>
      <c r="BF4053" s="95"/>
    </row>
    <row r="4054" spans="42:58" x14ac:dyDescent="0.35">
      <c r="AP4054" s="93"/>
      <c r="AQ4054" s="31"/>
      <c r="AR4054" s="31"/>
      <c r="AS4054" s="94"/>
      <c r="AT4054" s="31"/>
      <c r="AU4054" s="31"/>
      <c r="AV4054" s="94"/>
      <c r="AW4054" s="32"/>
      <c r="AX4054" s="32"/>
      <c r="AY4054" s="32"/>
      <c r="AZ4054" s="32"/>
      <c r="BA4054" s="32"/>
      <c r="BB4054" s="31"/>
      <c r="BC4054" s="31"/>
      <c r="BD4054" s="31"/>
      <c r="BE4054" s="31"/>
      <c r="BF4054" s="96"/>
    </row>
    <row r="4055" spans="42:58" x14ac:dyDescent="0.35">
      <c r="AP4055" s="92"/>
      <c r="AQ4055" s="67"/>
      <c r="AR4055" s="67"/>
      <c r="AS4055" s="73"/>
      <c r="AT4055" s="67"/>
      <c r="AU4055" s="67"/>
      <c r="AV4055" s="73"/>
      <c r="AW4055" s="68"/>
      <c r="AX4055" s="68"/>
      <c r="AY4055" s="68"/>
      <c r="AZ4055" s="68"/>
      <c r="BA4055" s="68"/>
      <c r="BB4055" s="67"/>
      <c r="BC4055" s="67"/>
      <c r="BD4055" s="67"/>
      <c r="BE4055" s="67"/>
      <c r="BF4055" s="95"/>
    </row>
    <row r="4056" spans="42:58" x14ac:dyDescent="0.35">
      <c r="AP4056" s="93"/>
      <c r="AQ4056" s="31"/>
      <c r="AR4056" s="31"/>
      <c r="AS4056" s="94"/>
      <c r="AT4056" s="31"/>
      <c r="AU4056" s="31"/>
      <c r="AV4056" s="94"/>
      <c r="AW4056" s="32"/>
      <c r="AX4056" s="32"/>
      <c r="AY4056" s="32"/>
      <c r="AZ4056" s="32"/>
      <c r="BA4056" s="32"/>
      <c r="BB4056" s="31"/>
      <c r="BC4056" s="31"/>
      <c r="BD4056" s="31"/>
      <c r="BE4056" s="31"/>
      <c r="BF4056" s="96"/>
    </row>
    <row r="4057" spans="42:58" x14ac:dyDescent="0.35">
      <c r="AP4057" s="92"/>
      <c r="AQ4057" s="67"/>
      <c r="AR4057" s="67"/>
      <c r="AS4057" s="73"/>
      <c r="AT4057" s="67"/>
      <c r="AU4057" s="67"/>
      <c r="AV4057" s="73"/>
      <c r="AW4057" s="68"/>
      <c r="AX4057" s="68"/>
      <c r="AY4057" s="68"/>
      <c r="AZ4057" s="68"/>
      <c r="BA4057" s="68"/>
      <c r="BB4057" s="67"/>
      <c r="BC4057" s="67"/>
      <c r="BD4057" s="67"/>
      <c r="BE4057" s="67"/>
      <c r="BF4057" s="95"/>
    </row>
    <row r="4058" spans="42:58" x14ac:dyDescent="0.35">
      <c r="AP4058" s="93"/>
      <c r="AQ4058" s="31"/>
      <c r="AR4058" s="31"/>
      <c r="AS4058" s="94"/>
      <c r="AT4058" s="31"/>
      <c r="AU4058" s="31"/>
      <c r="AV4058" s="94"/>
      <c r="AW4058" s="32"/>
      <c r="AX4058" s="32"/>
      <c r="AY4058" s="32"/>
      <c r="AZ4058" s="32"/>
      <c r="BA4058" s="32"/>
      <c r="BB4058" s="31"/>
      <c r="BC4058" s="31"/>
      <c r="BD4058" s="31"/>
      <c r="BE4058" s="31"/>
      <c r="BF4058" s="96"/>
    </row>
    <row r="4059" spans="42:58" x14ac:dyDescent="0.35">
      <c r="AP4059" s="92"/>
      <c r="AQ4059" s="67"/>
      <c r="AR4059" s="67"/>
      <c r="AS4059" s="73"/>
      <c r="AT4059" s="67"/>
      <c r="AU4059" s="67"/>
      <c r="AV4059" s="73"/>
      <c r="AW4059" s="68"/>
      <c r="AX4059" s="68"/>
      <c r="AY4059" s="68"/>
      <c r="AZ4059" s="68"/>
      <c r="BA4059" s="68"/>
      <c r="BB4059" s="67"/>
      <c r="BC4059" s="67"/>
      <c r="BD4059" s="67"/>
      <c r="BE4059" s="67"/>
      <c r="BF4059" s="95"/>
    </row>
    <row r="4060" spans="42:58" x14ac:dyDescent="0.35">
      <c r="AP4060" s="93"/>
      <c r="AQ4060" s="31"/>
      <c r="AR4060" s="31"/>
      <c r="AS4060" s="94"/>
      <c r="AT4060" s="31"/>
      <c r="AU4060" s="31"/>
      <c r="AV4060" s="94"/>
      <c r="AW4060" s="32"/>
      <c r="AX4060" s="32"/>
      <c r="AY4060" s="32"/>
      <c r="AZ4060" s="32"/>
      <c r="BA4060" s="32"/>
      <c r="BB4060" s="31"/>
      <c r="BC4060" s="31"/>
      <c r="BD4060" s="31"/>
      <c r="BE4060" s="31"/>
      <c r="BF4060" s="96"/>
    </row>
    <row r="4061" spans="42:58" x14ac:dyDescent="0.35">
      <c r="AP4061" s="92"/>
      <c r="AQ4061" s="67"/>
      <c r="AR4061" s="67"/>
      <c r="AS4061" s="73"/>
      <c r="AT4061" s="67"/>
      <c r="AU4061" s="67"/>
      <c r="AV4061" s="73"/>
      <c r="AW4061" s="68"/>
      <c r="AX4061" s="68"/>
      <c r="AY4061" s="68"/>
      <c r="AZ4061" s="68"/>
      <c r="BA4061" s="68"/>
      <c r="BB4061" s="67"/>
      <c r="BC4061" s="67"/>
      <c r="BD4061" s="67"/>
      <c r="BE4061" s="67"/>
      <c r="BF4061" s="95"/>
    </row>
    <row r="4062" spans="42:58" x14ac:dyDescent="0.35">
      <c r="AP4062" s="93"/>
      <c r="AQ4062" s="31"/>
      <c r="AR4062" s="31"/>
      <c r="AS4062" s="94"/>
      <c r="AT4062" s="31"/>
      <c r="AU4062" s="31"/>
      <c r="AV4062" s="94"/>
      <c r="AW4062" s="32"/>
      <c r="AX4062" s="32"/>
      <c r="AY4062" s="32"/>
      <c r="AZ4062" s="32"/>
      <c r="BA4062" s="32"/>
      <c r="BB4062" s="31"/>
      <c r="BC4062" s="31"/>
      <c r="BD4062" s="31"/>
      <c r="BE4062" s="31"/>
      <c r="BF4062" s="96"/>
    </row>
    <row r="4063" spans="42:58" x14ac:dyDescent="0.35">
      <c r="AP4063" s="92"/>
      <c r="AQ4063" s="67"/>
      <c r="AR4063" s="67"/>
      <c r="AS4063" s="73"/>
      <c r="AT4063" s="67"/>
      <c r="AU4063" s="67"/>
      <c r="AV4063" s="73"/>
      <c r="AW4063" s="68"/>
      <c r="AX4063" s="68"/>
      <c r="AY4063" s="68"/>
      <c r="AZ4063" s="68"/>
      <c r="BA4063" s="68"/>
      <c r="BB4063" s="67"/>
      <c r="BC4063" s="67"/>
      <c r="BD4063" s="67"/>
      <c r="BE4063" s="67"/>
      <c r="BF4063" s="95"/>
    </row>
    <row r="4064" spans="42:58" x14ac:dyDescent="0.35">
      <c r="AP4064" s="93"/>
      <c r="AQ4064" s="31"/>
      <c r="AR4064" s="31"/>
      <c r="AS4064" s="94"/>
      <c r="AT4064" s="31"/>
      <c r="AU4064" s="31"/>
      <c r="AV4064" s="94"/>
      <c r="AW4064" s="32"/>
      <c r="AX4064" s="32"/>
      <c r="AY4064" s="32"/>
      <c r="AZ4064" s="32"/>
      <c r="BA4064" s="32"/>
      <c r="BB4064" s="31"/>
      <c r="BC4064" s="31"/>
      <c r="BD4064" s="31"/>
      <c r="BE4064" s="31"/>
      <c r="BF4064" s="96"/>
    </row>
    <row r="4065" spans="42:58" x14ac:dyDescent="0.35">
      <c r="AP4065" s="92"/>
      <c r="AQ4065" s="67"/>
      <c r="AR4065" s="67"/>
      <c r="AS4065" s="73"/>
      <c r="AT4065" s="67"/>
      <c r="AU4065" s="67"/>
      <c r="AV4065" s="73"/>
      <c r="AW4065" s="68"/>
      <c r="AX4065" s="68"/>
      <c r="AY4065" s="68"/>
      <c r="AZ4065" s="68"/>
      <c r="BA4065" s="68"/>
      <c r="BB4065" s="67"/>
      <c r="BC4065" s="67"/>
      <c r="BD4065" s="67"/>
      <c r="BE4065" s="67"/>
      <c r="BF4065" s="95"/>
    </row>
    <row r="4066" spans="42:58" x14ac:dyDescent="0.35">
      <c r="AP4066" s="93"/>
      <c r="AQ4066" s="31"/>
      <c r="AR4066" s="31"/>
      <c r="AS4066" s="94"/>
      <c r="AT4066" s="31"/>
      <c r="AU4066" s="31"/>
      <c r="AV4066" s="94"/>
      <c r="AW4066" s="32"/>
      <c r="AX4066" s="32"/>
      <c r="AY4066" s="32"/>
      <c r="AZ4066" s="32"/>
      <c r="BA4066" s="32"/>
      <c r="BB4066" s="31"/>
      <c r="BC4066" s="31"/>
      <c r="BD4066" s="31"/>
      <c r="BE4066" s="31"/>
      <c r="BF4066" s="96"/>
    </row>
    <row r="4067" spans="42:58" x14ac:dyDescent="0.35">
      <c r="AP4067" s="92"/>
      <c r="AQ4067" s="67"/>
      <c r="AR4067" s="67"/>
      <c r="AS4067" s="73"/>
      <c r="AT4067" s="67"/>
      <c r="AU4067" s="67"/>
      <c r="AV4067" s="73"/>
      <c r="AW4067" s="68"/>
      <c r="AX4067" s="68"/>
      <c r="AY4067" s="68"/>
      <c r="AZ4067" s="68"/>
      <c r="BA4067" s="68"/>
      <c r="BB4067" s="67"/>
      <c r="BC4067" s="67"/>
      <c r="BD4067" s="67"/>
      <c r="BE4067" s="67"/>
      <c r="BF4067" s="95"/>
    </row>
    <row r="4068" spans="42:58" x14ac:dyDescent="0.35">
      <c r="AP4068" s="93"/>
      <c r="AQ4068" s="31"/>
      <c r="AR4068" s="31"/>
      <c r="AS4068" s="94"/>
      <c r="AT4068" s="31"/>
      <c r="AU4068" s="31"/>
      <c r="AV4068" s="94"/>
      <c r="AW4068" s="32"/>
      <c r="AX4068" s="32"/>
      <c r="AY4068" s="32"/>
      <c r="AZ4068" s="32"/>
      <c r="BA4068" s="32"/>
      <c r="BB4068" s="31"/>
      <c r="BC4068" s="31"/>
      <c r="BD4068" s="31"/>
      <c r="BE4068" s="31"/>
      <c r="BF4068" s="96"/>
    </row>
    <row r="4069" spans="42:58" x14ac:dyDescent="0.35">
      <c r="AP4069" s="92"/>
      <c r="AQ4069" s="67"/>
      <c r="AR4069" s="67"/>
      <c r="AS4069" s="73"/>
      <c r="AT4069" s="67"/>
      <c r="AU4069" s="67"/>
      <c r="AV4069" s="73"/>
      <c r="AW4069" s="68"/>
      <c r="AX4069" s="68"/>
      <c r="AY4069" s="68"/>
      <c r="AZ4069" s="68"/>
      <c r="BA4069" s="68"/>
      <c r="BB4069" s="67"/>
      <c r="BC4069" s="67"/>
      <c r="BD4069" s="67"/>
      <c r="BE4069" s="67"/>
      <c r="BF4069" s="95"/>
    </row>
    <row r="4070" spans="42:58" x14ac:dyDescent="0.35">
      <c r="AP4070" s="93"/>
      <c r="AQ4070" s="31"/>
      <c r="AR4070" s="31"/>
      <c r="AS4070" s="94"/>
      <c r="AT4070" s="31"/>
      <c r="AU4070" s="31"/>
      <c r="AV4070" s="94"/>
      <c r="AW4070" s="32"/>
      <c r="AX4070" s="32"/>
      <c r="AY4070" s="32"/>
      <c r="AZ4070" s="32"/>
      <c r="BA4070" s="32"/>
      <c r="BB4070" s="31"/>
      <c r="BC4070" s="31"/>
      <c r="BD4070" s="31"/>
      <c r="BE4070" s="31"/>
      <c r="BF4070" s="96"/>
    </row>
    <row r="4071" spans="42:58" x14ac:dyDescent="0.35">
      <c r="AP4071" s="92"/>
      <c r="AQ4071" s="67"/>
      <c r="AR4071" s="67"/>
      <c r="AS4071" s="73"/>
      <c r="AT4071" s="67"/>
      <c r="AU4071" s="67"/>
      <c r="AV4071" s="73"/>
      <c r="AW4071" s="68"/>
      <c r="AX4071" s="68"/>
      <c r="AY4071" s="68"/>
      <c r="AZ4071" s="68"/>
      <c r="BA4071" s="68"/>
      <c r="BB4071" s="67"/>
      <c r="BC4071" s="67"/>
      <c r="BD4071" s="67"/>
      <c r="BE4071" s="67"/>
      <c r="BF4071" s="95"/>
    </row>
    <row r="4072" spans="42:58" x14ac:dyDescent="0.35">
      <c r="AP4072" s="93"/>
      <c r="AQ4072" s="31"/>
      <c r="AR4072" s="31"/>
      <c r="AS4072" s="94"/>
      <c r="AT4072" s="31"/>
      <c r="AU4072" s="31"/>
      <c r="AV4072" s="94"/>
      <c r="AW4072" s="32"/>
      <c r="AX4072" s="32"/>
      <c r="AY4072" s="32"/>
      <c r="AZ4072" s="32"/>
      <c r="BA4072" s="32"/>
      <c r="BB4072" s="31"/>
      <c r="BC4072" s="31"/>
      <c r="BD4072" s="31"/>
      <c r="BE4072" s="31"/>
      <c r="BF4072" s="96"/>
    </row>
    <row r="4073" spans="42:58" x14ac:dyDescent="0.35">
      <c r="AP4073" s="92"/>
      <c r="AQ4073" s="67"/>
      <c r="AR4073" s="67"/>
      <c r="AS4073" s="73"/>
      <c r="AT4073" s="67"/>
      <c r="AU4073" s="67"/>
      <c r="AV4073" s="73"/>
      <c r="AW4073" s="68"/>
      <c r="AX4073" s="68"/>
      <c r="AY4073" s="68"/>
      <c r="AZ4073" s="68"/>
      <c r="BA4073" s="68"/>
      <c r="BB4073" s="67"/>
      <c r="BC4073" s="67"/>
      <c r="BD4073" s="67"/>
      <c r="BE4073" s="67"/>
      <c r="BF4073" s="95"/>
    </row>
    <row r="4074" spans="42:58" x14ac:dyDescent="0.35">
      <c r="AP4074" s="93"/>
      <c r="AQ4074" s="31"/>
      <c r="AR4074" s="31"/>
      <c r="AS4074" s="94"/>
      <c r="AT4074" s="31"/>
      <c r="AU4074" s="31"/>
      <c r="AV4074" s="94"/>
      <c r="AW4074" s="32"/>
      <c r="AX4074" s="32"/>
      <c r="AY4074" s="32"/>
      <c r="AZ4074" s="32"/>
      <c r="BA4074" s="32"/>
      <c r="BB4074" s="31"/>
      <c r="BC4074" s="31"/>
      <c r="BD4074" s="31"/>
      <c r="BE4074" s="31"/>
      <c r="BF4074" s="96"/>
    </row>
    <row r="4075" spans="42:58" x14ac:dyDescent="0.35">
      <c r="AP4075" s="92"/>
      <c r="AQ4075" s="67"/>
      <c r="AR4075" s="67"/>
      <c r="AS4075" s="73"/>
      <c r="AT4075" s="67"/>
      <c r="AU4075" s="67"/>
      <c r="AV4075" s="73"/>
      <c r="AW4075" s="68"/>
      <c r="AX4075" s="68"/>
      <c r="AY4075" s="68"/>
      <c r="AZ4075" s="68"/>
      <c r="BA4075" s="68"/>
      <c r="BB4075" s="67"/>
      <c r="BC4075" s="67"/>
      <c r="BD4075" s="67"/>
      <c r="BE4075" s="67"/>
      <c r="BF4075" s="95"/>
    </row>
    <row r="4076" spans="42:58" x14ac:dyDescent="0.35">
      <c r="AP4076" s="93"/>
      <c r="AQ4076" s="31"/>
      <c r="AR4076" s="31"/>
      <c r="AS4076" s="94"/>
      <c r="AT4076" s="31"/>
      <c r="AU4076" s="31"/>
      <c r="AV4076" s="94"/>
      <c r="AW4076" s="32"/>
      <c r="AX4076" s="32"/>
      <c r="AY4076" s="32"/>
      <c r="AZ4076" s="32"/>
      <c r="BA4076" s="32"/>
      <c r="BB4076" s="31"/>
      <c r="BC4076" s="31"/>
      <c r="BD4076" s="31"/>
      <c r="BE4076" s="31"/>
      <c r="BF4076" s="96"/>
    </row>
    <row r="4077" spans="42:58" x14ac:dyDescent="0.35">
      <c r="AP4077" s="92"/>
      <c r="AQ4077" s="67"/>
      <c r="AR4077" s="67"/>
      <c r="AS4077" s="73"/>
      <c r="AT4077" s="67"/>
      <c r="AU4077" s="67"/>
      <c r="AV4077" s="73"/>
      <c r="AW4077" s="68"/>
      <c r="AX4077" s="68"/>
      <c r="AY4077" s="68"/>
      <c r="AZ4077" s="68"/>
      <c r="BA4077" s="68"/>
      <c r="BB4077" s="67"/>
      <c r="BC4077" s="67"/>
      <c r="BD4077" s="67"/>
      <c r="BE4077" s="67"/>
      <c r="BF4077" s="95"/>
    </row>
    <row r="4078" spans="42:58" x14ac:dyDescent="0.35">
      <c r="AP4078" s="93"/>
      <c r="AQ4078" s="31"/>
      <c r="AR4078" s="31"/>
      <c r="AS4078" s="94"/>
      <c r="AT4078" s="31"/>
      <c r="AU4078" s="31"/>
      <c r="AV4078" s="94"/>
      <c r="AW4078" s="32"/>
      <c r="AX4078" s="32"/>
      <c r="AY4078" s="32"/>
      <c r="AZ4078" s="32"/>
      <c r="BA4078" s="32"/>
      <c r="BB4078" s="31"/>
      <c r="BC4078" s="31"/>
      <c r="BD4078" s="31"/>
      <c r="BE4078" s="31"/>
      <c r="BF4078" s="96"/>
    </row>
    <row r="4079" spans="42:58" x14ac:dyDescent="0.35">
      <c r="AP4079" s="92"/>
      <c r="AQ4079" s="67"/>
      <c r="AR4079" s="67"/>
      <c r="AS4079" s="73"/>
      <c r="AT4079" s="67"/>
      <c r="AU4079" s="67"/>
      <c r="AV4079" s="73"/>
      <c r="AW4079" s="68"/>
      <c r="AX4079" s="68"/>
      <c r="AY4079" s="68"/>
      <c r="AZ4079" s="68"/>
      <c r="BA4079" s="68"/>
      <c r="BB4079" s="67"/>
      <c r="BC4079" s="67"/>
      <c r="BD4079" s="67"/>
      <c r="BE4079" s="67"/>
      <c r="BF4079" s="95"/>
    </row>
    <row r="4080" spans="42:58" x14ac:dyDescent="0.35">
      <c r="AP4080" s="93"/>
      <c r="AQ4080" s="31"/>
      <c r="AR4080" s="31"/>
      <c r="AS4080" s="94"/>
      <c r="AT4080" s="31"/>
      <c r="AU4080" s="31"/>
      <c r="AV4080" s="94"/>
      <c r="AW4080" s="32"/>
      <c r="AX4080" s="32"/>
      <c r="AY4080" s="32"/>
      <c r="AZ4080" s="32"/>
      <c r="BA4080" s="32"/>
      <c r="BB4080" s="31"/>
      <c r="BC4080" s="31"/>
      <c r="BD4080" s="31"/>
      <c r="BE4080" s="31"/>
      <c r="BF4080" s="96"/>
    </row>
    <row r="4081" spans="42:58" x14ac:dyDescent="0.35">
      <c r="AP4081" s="92"/>
      <c r="AQ4081" s="67"/>
      <c r="AR4081" s="67"/>
      <c r="AS4081" s="73"/>
      <c r="AT4081" s="67"/>
      <c r="AU4081" s="67"/>
      <c r="AV4081" s="73"/>
      <c r="AW4081" s="68"/>
      <c r="AX4081" s="68"/>
      <c r="AY4081" s="68"/>
      <c r="AZ4081" s="68"/>
      <c r="BA4081" s="68"/>
      <c r="BB4081" s="67"/>
      <c r="BC4081" s="67"/>
      <c r="BD4081" s="67"/>
      <c r="BE4081" s="67"/>
      <c r="BF4081" s="95"/>
    </row>
    <row r="4082" spans="42:58" x14ac:dyDescent="0.35">
      <c r="AP4082" s="93"/>
      <c r="AQ4082" s="31"/>
      <c r="AR4082" s="31"/>
      <c r="AS4082" s="94"/>
      <c r="AT4082" s="31"/>
      <c r="AU4082" s="31"/>
      <c r="AV4082" s="94"/>
      <c r="AW4082" s="32"/>
      <c r="AX4082" s="32"/>
      <c r="AY4082" s="32"/>
      <c r="AZ4082" s="32"/>
      <c r="BA4082" s="32"/>
      <c r="BB4082" s="31"/>
      <c r="BC4082" s="31"/>
      <c r="BD4082" s="31"/>
      <c r="BE4082" s="31"/>
      <c r="BF4082" s="96"/>
    </row>
    <row r="4083" spans="42:58" x14ac:dyDescent="0.35">
      <c r="AP4083" s="92"/>
      <c r="AQ4083" s="67"/>
      <c r="AR4083" s="67"/>
      <c r="AS4083" s="73"/>
      <c r="AT4083" s="67"/>
      <c r="AU4083" s="67"/>
      <c r="AV4083" s="73"/>
      <c r="AW4083" s="68"/>
      <c r="AX4083" s="68"/>
      <c r="AY4083" s="68"/>
      <c r="AZ4083" s="68"/>
      <c r="BA4083" s="68"/>
      <c r="BB4083" s="67"/>
      <c r="BC4083" s="67"/>
      <c r="BD4083" s="67"/>
      <c r="BE4083" s="67"/>
      <c r="BF4083" s="95"/>
    </row>
    <row r="4084" spans="42:58" x14ac:dyDescent="0.35">
      <c r="AP4084" s="93"/>
      <c r="AQ4084" s="31"/>
      <c r="AR4084" s="31"/>
      <c r="AS4084" s="94"/>
      <c r="AT4084" s="31"/>
      <c r="AU4084" s="31"/>
      <c r="AV4084" s="94"/>
      <c r="AW4084" s="32"/>
      <c r="AX4084" s="32"/>
      <c r="AY4084" s="32"/>
      <c r="AZ4084" s="32"/>
      <c r="BA4084" s="32"/>
      <c r="BB4084" s="31"/>
      <c r="BC4084" s="31"/>
      <c r="BD4084" s="31"/>
      <c r="BE4084" s="31"/>
      <c r="BF4084" s="96"/>
    </row>
    <row r="4085" spans="42:58" x14ac:dyDescent="0.35">
      <c r="AP4085" s="92"/>
      <c r="AQ4085" s="67"/>
      <c r="AR4085" s="67"/>
      <c r="AS4085" s="73"/>
      <c r="AT4085" s="67"/>
      <c r="AU4085" s="67"/>
      <c r="AV4085" s="73"/>
      <c r="AW4085" s="68"/>
      <c r="AX4085" s="68"/>
      <c r="AY4085" s="68"/>
      <c r="AZ4085" s="68"/>
      <c r="BA4085" s="68"/>
      <c r="BB4085" s="67"/>
      <c r="BC4085" s="67"/>
      <c r="BD4085" s="67"/>
      <c r="BE4085" s="67"/>
      <c r="BF4085" s="95"/>
    </row>
    <row r="4086" spans="42:58" x14ac:dyDescent="0.35">
      <c r="AP4086" s="93"/>
      <c r="AQ4086" s="31"/>
      <c r="AR4086" s="31"/>
      <c r="AS4086" s="94"/>
      <c r="AT4086" s="31"/>
      <c r="AU4086" s="31"/>
      <c r="AV4086" s="94"/>
      <c r="AW4086" s="32"/>
      <c r="AX4086" s="32"/>
      <c r="AY4086" s="32"/>
      <c r="AZ4086" s="32"/>
      <c r="BA4086" s="32"/>
      <c r="BB4086" s="31"/>
      <c r="BC4086" s="31"/>
      <c r="BD4086" s="31"/>
      <c r="BE4086" s="31"/>
      <c r="BF4086" s="96"/>
    </row>
    <row r="4087" spans="42:58" x14ac:dyDescent="0.35">
      <c r="AP4087" s="92"/>
      <c r="AQ4087" s="67"/>
      <c r="AR4087" s="67"/>
      <c r="AS4087" s="73"/>
      <c r="AT4087" s="67"/>
      <c r="AU4087" s="67"/>
      <c r="AV4087" s="73"/>
      <c r="AW4087" s="68"/>
      <c r="AX4087" s="68"/>
      <c r="AY4087" s="68"/>
      <c r="AZ4087" s="68"/>
      <c r="BA4087" s="68"/>
      <c r="BB4087" s="67"/>
      <c r="BC4087" s="67"/>
      <c r="BD4087" s="67"/>
      <c r="BE4087" s="67"/>
      <c r="BF4087" s="95"/>
    </row>
    <row r="4088" spans="42:58" x14ac:dyDescent="0.35">
      <c r="AP4088" s="93"/>
      <c r="AQ4088" s="31"/>
      <c r="AR4088" s="31"/>
      <c r="AS4088" s="94"/>
      <c r="AT4088" s="31"/>
      <c r="AU4088" s="31"/>
      <c r="AV4088" s="94"/>
      <c r="AW4088" s="32"/>
      <c r="AX4088" s="32"/>
      <c r="AY4088" s="32"/>
      <c r="AZ4088" s="32"/>
      <c r="BA4088" s="32"/>
      <c r="BB4088" s="31"/>
      <c r="BC4088" s="31"/>
      <c r="BD4088" s="31"/>
      <c r="BE4088" s="31"/>
      <c r="BF4088" s="96"/>
    </row>
    <row r="4089" spans="42:58" x14ac:dyDescent="0.35">
      <c r="AP4089" s="92"/>
      <c r="AQ4089" s="67"/>
      <c r="AR4089" s="67"/>
      <c r="AS4089" s="73"/>
      <c r="AT4089" s="67"/>
      <c r="AU4089" s="67"/>
      <c r="AV4089" s="73"/>
      <c r="AW4089" s="68"/>
      <c r="AX4089" s="68"/>
      <c r="AY4089" s="68"/>
      <c r="AZ4089" s="68"/>
      <c r="BA4089" s="68"/>
      <c r="BB4089" s="67"/>
      <c r="BC4089" s="67"/>
      <c r="BD4089" s="67"/>
      <c r="BE4089" s="67"/>
      <c r="BF4089" s="95"/>
    </row>
    <row r="4090" spans="42:58" x14ac:dyDescent="0.35">
      <c r="AP4090" s="93"/>
      <c r="AQ4090" s="31"/>
      <c r="AR4090" s="31"/>
      <c r="AS4090" s="94"/>
      <c r="AT4090" s="31"/>
      <c r="AU4090" s="31"/>
      <c r="AV4090" s="94"/>
      <c r="AW4090" s="32"/>
      <c r="AX4090" s="32"/>
      <c r="AY4090" s="32"/>
      <c r="AZ4090" s="32"/>
      <c r="BA4090" s="32"/>
      <c r="BB4090" s="31"/>
      <c r="BC4090" s="31"/>
      <c r="BD4090" s="31"/>
      <c r="BE4090" s="31"/>
      <c r="BF4090" s="96"/>
    </row>
    <row r="4091" spans="42:58" x14ac:dyDescent="0.35">
      <c r="AP4091" s="92"/>
      <c r="AQ4091" s="67"/>
      <c r="AR4091" s="67"/>
      <c r="AS4091" s="73"/>
      <c r="AT4091" s="67"/>
      <c r="AU4091" s="67"/>
      <c r="AV4091" s="73"/>
      <c r="AW4091" s="68"/>
      <c r="AX4091" s="68"/>
      <c r="AY4091" s="68"/>
      <c r="AZ4091" s="68"/>
      <c r="BA4091" s="68"/>
      <c r="BB4091" s="67"/>
      <c r="BC4091" s="67"/>
      <c r="BD4091" s="67"/>
      <c r="BE4091" s="67"/>
      <c r="BF4091" s="95"/>
    </row>
    <row r="4092" spans="42:58" x14ac:dyDescent="0.35">
      <c r="AP4092" s="93"/>
      <c r="AQ4092" s="31"/>
      <c r="AR4092" s="31"/>
      <c r="AS4092" s="94"/>
      <c r="AT4092" s="31"/>
      <c r="AU4092" s="31"/>
      <c r="AV4092" s="94"/>
      <c r="AW4092" s="32"/>
      <c r="AX4092" s="32"/>
      <c r="AY4092" s="32"/>
      <c r="AZ4092" s="32"/>
      <c r="BA4092" s="32"/>
      <c r="BB4092" s="31"/>
      <c r="BC4092" s="31"/>
      <c r="BD4092" s="31"/>
      <c r="BE4092" s="31"/>
      <c r="BF4092" s="96"/>
    </row>
    <row r="4093" spans="42:58" x14ac:dyDescent="0.35">
      <c r="AP4093" s="92"/>
      <c r="AQ4093" s="67"/>
      <c r="AR4093" s="67"/>
      <c r="AS4093" s="73"/>
      <c r="AT4093" s="67"/>
      <c r="AU4093" s="67"/>
      <c r="AV4093" s="73"/>
      <c r="AW4093" s="68"/>
      <c r="AX4093" s="68"/>
      <c r="AY4093" s="68"/>
      <c r="AZ4093" s="68"/>
      <c r="BA4093" s="68"/>
      <c r="BB4093" s="67"/>
      <c r="BC4093" s="67"/>
      <c r="BD4093" s="67"/>
      <c r="BE4093" s="67"/>
      <c r="BF4093" s="95"/>
    </row>
    <row r="4094" spans="42:58" x14ac:dyDescent="0.35">
      <c r="AP4094" s="93"/>
      <c r="AQ4094" s="31"/>
      <c r="AR4094" s="31"/>
      <c r="AS4094" s="94"/>
      <c r="AT4094" s="31"/>
      <c r="AU4094" s="31"/>
      <c r="AV4094" s="94"/>
      <c r="AW4094" s="32"/>
      <c r="AX4094" s="32"/>
      <c r="AY4094" s="32"/>
      <c r="AZ4094" s="32"/>
      <c r="BA4094" s="32"/>
      <c r="BB4094" s="31"/>
      <c r="BC4094" s="31"/>
      <c r="BD4094" s="31"/>
      <c r="BE4094" s="31"/>
      <c r="BF4094" s="96"/>
    </row>
    <row r="4095" spans="42:58" x14ac:dyDescent="0.35">
      <c r="AP4095" s="92"/>
      <c r="AQ4095" s="67"/>
      <c r="AR4095" s="67"/>
      <c r="AS4095" s="73"/>
      <c r="AT4095" s="67"/>
      <c r="AU4095" s="67"/>
      <c r="AV4095" s="73"/>
      <c r="AW4095" s="68"/>
      <c r="AX4095" s="68"/>
      <c r="AY4095" s="68"/>
      <c r="AZ4095" s="68"/>
      <c r="BA4095" s="68"/>
      <c r="BB4095" s="67"/>
      <c r="BC4095" s="67"/>
      <c r="BD4095" s="67"/>
      <c r="BE4095" s="67"/>
      <c r="BF4095" s="95"/>
    </row>
    <row r="4096" spans="42:58" x14ac:dyDescent="0.35">
      <c r="AP4096" s="93"/>
      <c r="AQ4096" s="31"/>
      <c r="AR4096" s="31"/>
      <c r="AS4096" s="94"/>
      <c r="AT4096" s="31"/>
      <c r="AU4096" s="31"/>
      <c r="AV4096" s="94"/>
      <c r="AW4096" s="32"/>
      <c r="AX4096" s="32"/>
      <c r="AY4096" s="32"/>
      <c r="AZ4096" s="32"/>
      <c r="BA4096" s="32"/>
      <c r="BB4096" s="31"/>
      <c r="BC4096" s="31"/>
      <c r="BD4096" s="31"/>
      <c r="BE4096" s="31"/>
      <c r="BF4096" s="96"/>
    </row>
    <row r="4097" spans="42:58" x14ac:dyDescent="0.35">
      <c r="AP4097" s="92"/>
      <c r="AQ4097" s="67"/>
      <c r="AR4097" s="67"/>
      <c r="AS4097" s="73"/>
      <c r="AT4097" s="67"/>
      <c r="AU4097" s="67"/>
      <c r="AV4097" s="73"/>
      <c r="AW4097" s="68"/>
      <c r="AX4097" s="68"/>
      <c r="AY4097" s="68"/>
      <c r="AZ4097" s="68"/>
      <c r="BA4097" s="68"/>
      <c r="BB4097" s="67"/>
      <c r="BC4097" s="67"/>
      <c r="BD4097" s="67"/>
      <c r="BE4097" s="67"/>
      <c r="BF4097" s="95"/>
    </row>
    <row r="4098" spans="42:58" x14ac:dyDescent="0.35">
      <c r="AP4098" s="93"/>
      <c r="AQ4098" s="31"/>
      <c r="AR4098" s="31"/>
      <c r="AS4098" s="94"/>
      <c r="AT4098" s="31"/>
      <c r="AU4098" s="31"/>
      <c r="AV4098" s="94"/>
      <c r="AW4098" s="32"/>
      <c r="AX4098" s="32"/>
      <c r="AY4098" s="32"/>
      <c r="AZ4098" s="32"/>
      <c r="BA4098" s="32"/>
      <c r="BB4098" s="31"/>
      <c r="BC4098" s="31"/>
      <c r="BD4098" s="31"/>
      <c r="BE4098" s="31"/>
      <c r="BF4098" s="96"/>
    </row>
    <row r="4099" spans="42:58" x14ac:dyDescent="0.35">
      <c r="AP4099" s="92"/>
      <c r="AQ4099" s="67"/>
      <c r="AR4099" s="67"/>
      <c r="AS4099" s="73"/>
      <c r="AT4099" s="67"/>
      <c r="AU4099" s="67"/>
      <c r="AV4099" s="73"/>
      <c r="AW4099" s="68"/>
      <c r="AX4099" s="68"/>
      <c r="AY4099" s="68"/>
      <c r="AZ4099" s="68"/>
      <c r="BA4099" s="68"/>
      <c r="BB4099" s="67"/>
      <c r="BC4099" s="67"/>
      <c r="BD4099" s="67"/>
      <c r="BE4099" s="67"/>
      <c r="BF4099" s="95"/>
    </row>
    <row r="4100" spans="42:58" x14ac:dyDescent="0.35">
      <c r="AP4100" s="93"/>
      <c r="AQ4100" s="31"/>
      <c r="AR4100" s="31"/>
      <c r="AS4100" s="94"/>
      <c r="AT4100" s="31"/>
      <c r="AU4100" s="31"/>
      <c r="AV4100" s="94"/>
      <c r="AW4100" s="32"/>
      <c r="AX4100" s="32"/>
      <c r="AY4100" s="32"/>
      <c r="AZ4100" s="32"/>
      <c r="BA4100" s="32"/>
      <c r="BB4100" s="31"/>
      <c r="BC4100" s="31"/>
      <c r="BD4100" s="31"/>
      <c r="BE4100" s="31"/>
      <c r="BF4100" s="96"/>
    </row>
    <row r="4101" spans="42:58" x14ac:dyDescent="0.35">
      <c r="AP4101" s="92"/>
      <c r="AQ4101" s="67"/>
      <c r="AR4101" s="67"/>
      <c r="AS4101" s="73"/>
      <c r="AT4101" s="67"/>
      <c r="AU4101" s="67"/>
      <c r="AV4101" s="73"/>
      <c r="AW4101" s="68"/>
      <c r="AX4101" s="68"/>
      <c r="AY4101" s="68"/>
      <c r="AZ4101" s="68"/>
      <c r="BA4101" s="68"/>
      <c r="BB4101" s="67"/>
      <c r="BC4101" s="67"/>
      <c r="BD4101" s="67"/>
      <c r="BE4101" s="67"/>
      <c r="BF4101" s="95"/>
    </row>
    <row r="4102" spans="42:58" x14ac:dyDescent="0.35">
      <c r="AP4102" s="93"/>
      <c r="AQ4102" s="31"/>
      <c r="AR4102" s="31"/>
      <c r="AS4102" s="94"/>
      <c r="AT4102" s="31"/>
      <c r="AU4102" s="31"/>
      <c r="AV4102" s="94"/>
      <c r="AW4102" s="32"/>
      <c r="AX4102" s="32"/>
      <c r="AY4102" s="32"/>
      <c r="AZ4102" s="32"/>
      <c r="BA4102" s="32"/>
      <c r="BB4102" s="31"/>
      <c r="BC4102" s="31"/>
      <c r="BD4102" s="31"/>
      <c r="BE4102" s="31"/>
      <c r="BF4102" s="96"/>
    </row>
    <row r="4103" spans="42:58" x14ac:dyDescent="0.35">
      <c r="AP4103" s="92"/>
      <c r="AQ4103" s="67"/>
      <c r="AR4103" s="67"/>
      <c r="AS4103" s="73"/>
      <c r="AT4103" s="67"/>
      <c r="AU4103" s="67"/>
      <c r="AV4103" s="73"/>
      <c r="AW4103" s="68"/>
      <c r="AX4103" s="68"/>
      <c r="AY4103" s="68"/>
      <c r="AZ4103" s="68"/>
      <c r="BA4103" s="68"/>
      <c r="BB4103" s="67"/>
      <c r="BC4103" s="67"/>
      <c r="BD4103" s="67"/>
      <c r="BE4103" s="67"/>
      <c r="BF4103" s="95"/>
    </row>
    <row r="4104" spans="42:58" x14ac:dyDescent="0.35">
      <c r="AP4104" s="93"/>
      <c r="AQ4104" s="31"/>
      <c r="AR4104" s="31"/>
      <c r="AS4104" s="94"/>
      <c r="AT4104" s="31"/>
      <c r="AU4104" s="31"/>
      <c r="AV4104" s="94"/>
      <c r="AW4104" s="32"/>
      <c r="AX4104" s="32"/>
      <c r="AY4104" s="32"/>
      <c r="AZ4104" s="32"/>
      <c r="BA4104" s="32"/>
      <c r="BB4104" s="31"/>
      <c r="BC4104" s="31"/>
      <c r="BD4104" s="31"/>
      <c r="BE4104" s="31"/>
      <c r="BF4104" s="96"/>
    </row>
    <row r="4105" spans="42:58" x14ac:dyDescent="0.35">
      <c r="AP4105" s="92"/>
      <c r="AQ4105" s="67"/>
      <c r="AR4105" s="67"/>
      <c r="AS4105" s="73"/>
      <c r="AT4105" s="67"/>
      <c r="AU4105" s="67"/>
      <c r="AV4105" s="73"/>
      <c r="AW4105" s="68"/>
      <c r="AX4105" s="68"/>
      <c r="AY4105" s="68"/>
      <c r="AZ4105" s="68"/>
      <c r="BA4105" s="68"/>
      <c r="BB4105" s="67"/>
      <c r="BC4105" s="67"/>
      <c r="BD4105" s="67"/>
      <c r="BE4105" s="67"/>
      <c r="BF4105" s="95"/>
    </row>
    <row r="4106" spans="42:58" x14ac:dyDescent="0.35">
      <c r="AP4106" s="93"/>
      <c r="AQ4106" s="31"/>
      <c r="AR4106" s="31"/>
      <c r="AS4106" s="94"/>
      <c r="AT4106" s="31"/>
      <c r="AU4106" s="31"/>
      <c r="AV4106" s="94"/>
      <c r="AW4106" s="32"/>
      <c r="AX4106" s="32"/>
      <c r="AY4106" s="32"/>
      <c r="AZ4106" s="32"/>
      <c r="BA4106" s="32"/>
      <c r="BB4106" s="31"/>
      <c r="BC4106" s="31"/>
      <c r="BD4106" s="31"/>
      <c r="BE4106" s="31"/>
      <c r="BF4106" s="96"/>
    </row>
    <row r="4107" spans="42:58" x14ac:dyDescent="0.35">
      <c r="AP4107" s="92"/>
      <c r="AQ4107" s="67"/>
      <c r="AR4107" s="67"/>
      <c r="AS4107" s="73"/>
      <c r="AT4107" s="67"/>
      <c r="AU4107" s="67"/>
      <c r="AV4107" s="73"/>
      <c r="AW4107" s="68"/>
      <c r="AX4107" s="68"/>
      <c r="AY4107" s="68"/>
      <c r="AZ4107" s="68"/>
      <c r="BA4107" s="68"/>
      <c r="BB4107" s="67"/>
      <c r="BC4107" s="67"/>
      <c r="BD4107" s="67"/>
      <c r="BE4107" s="67"/>
      <c r="BF4107" s="95"/>
    </row>
    <row r="4108" spans="42:58" x14ac:dyDescent="0.35">
      <c r="AP4108" s="93"/>
      <c r="AQ4108" s="31"/>
      <c r="AR4108" s="31"/>
      <c r="AS4108" s="94"/>
      <c r="AT4108" s="31"/>
      <c r="AU4108" s="31"/>
      <c r="AV4108" s="94"/>
      <c r="AW4108" s="32"/>
      <c r="AX4108" s="32"/>
      <c r="AY4108" s="32"/>
      <c r="AZ4108" s="32"/>
      <c r="BA4108" s="32"/>
      <c r="BB4108" s="31"/>
      <c r="BC4108" s="31"/>
      <c r="BD4108" s="31"/>
      <c r="BE4108" s="31"/>
      <c r="BF4108" s="96"/>
    </row>
    <row r="4109" spans="42:58" x14ac:dyDescent="0.35">
      <c r="AP4109" s="92"/>
      <c r="AQ4109" s="67"/>
      <c r="AR4109" s="67"/>
      <c r="AS4109" s="73"/>
      <c r="AT4109" s="67"/>
      <c r="AU4109" s="67"/>
      <c r="AV4109" s="73"/>
      <c r="AW4109" s="68"/>
      <c r="AX4109" s="68"/>
      <c r="AY4109" s="68"/>
      <c r="AZ4109" s="68"/>
      <c r="BA4109" s="68"/>
      <c r="BB4109" s="67"/>
      <c r="BC4109" s="67"/>
      <c r="BD4109" s="67"/>
      <c r="BE4109" s="67"/>
      <c r="BF4109" s="95"/>
    </row>
    <row r="4110" spans="42:58" x14ac:dyDescent="0.35">
      <c r="AP4110" s="93"/>
      <c r="AQ4110" s="31"/>
      <c r="AR4110" s="31"/>
      <c r="AS4110" s="94"/>
      <c r="AT4110" s="31"/>
      <c r="AU4110" s="31"/>
      <c r="AV4110" s="94"/>
      <c r="AW4110" s="32"/>
      <c r="AX4110" s="32"/>
      <c r="AY4110" s="32"/>
      <c r="AZ4110" s="32"/>
      <c r="BA4110" s="32"/>
      <c r="BB4110" s="31"/>
      <c r="BC4110" s="31"/>
      <c r="BD4110" s="31"/>
      <c r="BE4110" s="31"/>
      <c r="BF4110" s="96"/>
    </row>
    <row r="4111" spans="42:58" x14ac:dyDescent="0.35">
      <c r="AP4111" s="92"/>
      <c r="AQ4111" s="67"/>
      <c r="AR4111" s="67"/>
      <c r="AS4111" s="73"/>
      <c r="AT4111" s="67"/>
      <c r="AU4111" s="67"/>
      <c r="AV4111" s="73"/>
      <c r="AW4111" s="68"/>
      <c r="AX4111" s="68"/>
      <c r="AY4111" s="68"/>
      <c r="AZ4111" s="68"/>
      <c r="BA4111" s="68"/>
      <c r="BB4111" s="67"/>
      <c r="BC4111" s="67"/>
      <c r="BD4111" s="67"/>
      <c r="BE4111" s="67"/>
      <c r="BF4111" s="95"/>
    </row>
    <row r="4112" spans="42:58" x14ac:dyDescent="0.35">
      <c r="AP4112" s="93"/>
      <c r="AQ4112" s="31"/>
      <c r="AR4112" s="31"/>
      <c r="AS4112" s="94"/>
      <c r="AT4112" s="31"/>
      <c r="AU4112" s="31"/>
      <c r="AV4112" s="94"/>
      <c r="AW4112" s="32"/>
      <c r="AX4112" s="32"/>
      <c r="AY4112" s="32"/>
      <c r="AZ4112" s="32"/>
      <c r="BA4112" s="32"/>
      <c r="BB4112" s="31"/>
      <c r="BC4112" s="31"/>
      <c r="BD4112" s="31"/>
      <c r="BE4112" s="31"/>
      <c r="BF4112" s="96"/>
    </row>
    <row r="4113" spans="42:58" x14ac:dyDescent="0.35">
      <c r="AP4113" s="92"/>
      <c r="AQ4113" s="67"/>
      <c r="AR4113" s="67"/>
      <c r="AS4113" s="73"/>
      <c r="AT4113" s="67"/>
      <c r="AU4113" s="67"/>
      <c r="AV4113" s="73"/>
      <c r="AW4113" s="68"/>
      <c r="AX4113" s="68"/>
      <c r="AY4113" s="68"/>
      <c r="AZ4113" s="68"/>
      <c r="BA4113" s="68"/>
      <c r="BB4113" s="67"/>
      <c r="BC4113" s="67"/>
      <c r="BD4113" s="67"/>
      <c r="BE4113" s="67"/>
      <c r="BF4113" s="95"/>
    </row>
    <row r="4114" spans="42:58" x14ac:dyDescent="0.35">
      <c r="AP4114" s="93"/>
      <c r="AQ4114" s="31"/>
      <c r="AR4114" s="31"/>
      <c r="AS4114" s="94"/>
      <c r="AT4114" s="31"/>
      <c r="AU4114" s="31"/>
      <c r="AV4114" s="94"/>
      <c r="AW4114" s="32"/>
      <c r="AX4114" s="32"/>
      <c r="AY4114" s="32"/>
      <c r="AZ4114" s="32"/>
      <c r="BA4114" s="32"/>
      <c r="BB4114" s="31"/>
      <c r="BC4114" s="31"/>
      <c r="BD4114" s="31"/>
      <c r="BE4114" s="31"/>
      <c r="BF4114" s="96"/>
    </row>
    <row r="4115" spans="42:58" x14ac:dyDescent="0.35">
      <c r="AP4115" s="92"/>
      <c r="AQ4115" s="67"/>
      <c r="AR4115" s="67"/>
      <c r="AS4115" s="73"/>
      <c r="AT4115" s="67"/>
      <c r="AU4115" s="67"/>
      <c r="AV4115" s="73"/>
      <c r="AW4115" s="68"/>
      <c r="AX4115" s="68"/>
      <c r="AY4115" s="68"/>
      <c r="AZ4115" s="68"/>
      <c r="BA4115" s="68"/>
      <c r="BB4115" s="67"/>
      <c r="BC4115" s="67"/>
      <c r="BD4115" s="67"/>
      <c r="BE4115" s="67"/>
      <c r="BF4115" s="95"/>
    </row>
    <row r="4116" spans="42:58" x14ac:dyDescent="0.35">
      <c r="AP4116" s="93"/>
      <c r="AQ4116" s="31"/>
      <c r="AR4116" s="31"/>
      <c r="AS4116" s="94"/>
      <c r="AT4116" s="31"/>
      <c r="AU4116" s="31"/>
      <c r="AV4116" s="94"/>
      <c r="AW4116" s="32"/>
      <c r="AX4116" s="32"/>
      <c r="AY4116" s="32"/>
      <c r="AZ4116" s="32"/>
      <c r="BA4116" s="32"/>
      <c r="BB4116" s="31"/>
      <c r="BC4116" s="31"/>
      <c r="BD4116" s="31"/>
      <c r="BE4116" s="31"/>
      <c r="BF4116" s="96"/>
    </row>
    <row r="4117" spans="42:58" x14ac:dyDescent="0.35">
      <c r="AP4117" s="92"/>
      <c r="AQ4117" s="67"/>
      <c r="AR4117" s="67"/>
      <c r="AS4117" s="73"/>
      <c r="AT4117" s="67"/>
      <c r="AU4117" s="67"/>
      <c r="AV4117" s="73"/>
      <c r="AW4117" s="68"/>
      <c r="AX4117" s="68"/>
      <c r="AY4117" s="68"/>
      <c r="AZ4117" s="68"/>
      <c r="BA4117" s="68"/>
      <c r="BB4117" s="67"/>
      <c r="BC4117" s="67"/>
      <c r="BD4117" s="67"/>
      <c r="BE4117" s="67"/>
      <c r="BF4117" s="95"/>
    </row>
    <row r="4118" spans="42:58" x14ac:dyDescent="0.35">
      <c r="AP4118" s="93"/>
      <c r="AQ4118" s="31"/>
      <c r="AR4118" s="31"/>
      <c r="AS4118" s="94"/>
      <c r="AT4118" s="31"/>
      <c r="AU4118" s="31"/>
      <c r="AV4118" s="94"/>
      <c r="AW4118" s="32"/>
      <c r="AX4118" s="32"/>
      <c r="AY4118" s="32"/>
      <c r="AZ4118" s="32"/>
      <c r="BA4118" s="32"/>
      <c r="BB4118" s="31"/>
      <c r="BC4118" s="31"/>
      <c r="BD4118" s="31"/>
      <c r="BE4118" s="31"/>
      <c r="BF4118" s="96"/>
    </row>
    <row r="4119" spans="42:58" x14ac:dyDescent="0.35">
      <c r="AP4119" s="92"/>
      <c r="AQ4119" s="67"/>
      <c r="AR4119" s="67"/>
      <c r="AS4119" s="73"/>
      <c r="AT4119" s="67"/>
      <c r="AU4119" s="67"/>
      <c r="AV4119" s="73"/>
      <c r="AW4119" s="68"/>
      <c r="AX4119" s="68"/>
      <c r="AY4119" s="68"/>
      <c r="AZ4119" s="68"/>
      <c r="BA4119" s="68"/>
      <c r="BB4119" s="67"/>
      <c r="BC4119" s="67"/>
      <c r="BD4119" s="67"/>
      <c r="BE4119" s="67"/>
      <c r="BF4119" s="95"/>
    </row>
    <row r="4120" spans="42:58" x14ac:dyDescent="0.35">
      <c r="AP4120" s="93"/>
      <c r="AQ4120" s="31"/>
      <c r="AR4120" s="31"/>
      <c r="AS4120" s="94"/>
      <c r="AT4120" s="31"/>
      <c r="AU4120" s="31"/>
      <c r="AV4120" s="94"/>
      <c r="AW4120" s="32"/>
      <c r="AX4120" s="32"/>
      <c r="AY4120" s="32"/>
      <c r="AZ4120" s="32"/>
      <c r="BA4120" s="32"/>
      <c r="BB4120" s="31"/>
      <c r="BC4120" s="31"/>
      <c r="BD4120" s="31"/>
      <c r="BE4120" s="31"/>
      <c r="BF4120" s="96"/>
    </row>
    <row r="4121" spans="42:58" x14ac:dyDescent="0.35">
      <c r="AP4121" s="92"/>
      <c r="AQ4121" s="67"/>
      <c r="AR4121" s="67"/>
      <c r="AS4121" s="73"/>
      <c r="AT4121" s="67"/>
      <c r="AU4121" s="67"/>
      <c r="AV4121" s="73"/>
      <c r="AW4121" s="68"/>
      <c r="AX4121" s="68"/>
      <c r="AY4121" s="68"/>
      <c r="AZ4121" s="68"/>
      <c r="BA4121" s="68"/>
      <c r="BB4121" s="67"/>
      <c r="BC4121" s="67"/>
      <c r="BD4121" s="67"/>
      <c r="BE4121" s="67"/>
      <c r="BF4121" s="95"/>
    </row>
    <row r="4122" spans="42:58" x14ac:dyDescent="0.35">
      <c r="AP4122" s="93"/>
      <c r="AQ4122" s="31"/>
      <c r="AR4122" s="31"/>
      <c r="AS4122" s="94"/>
      <c r="AT4122" s="31"/>
      <c r="AU4122" s="31"/>
      <c r="AV4122" s="94"/>
      <c r="AW4122" s="32"/>
      <c r="AX4122" s="32"/>
      <c r="AY4122" s="32"/>
      <c r="AZ4122" s="32"/>
      <c r="BA4122" s="32"/>
      <c r="BB4122" s="31"/>
      <c r="BC4122" s="31"/>
      <c r="BD4122" s="31"/>
      <c r="BE4122" s="31"/>
      <c r="BF4122" s="96"/>
    </row>
    <row r="4123" spans="42:58" x14ac:dyDescent="0.35">
      <c r="AP4123" s="92"/>
      <c r="AQ4123" s="67"/>
      <c r="AR4123" s="67"/>
      <c r="AS4123" s="73"/>
      <c r="AT4123" s="67"/>
      <c r="AU4123" s="67"/>
      <c r="AV4123" s="73"/>
      <c r="AW4123" s="68"/>
      <c r="AX4123" s="68"/>
      <c r="AY4123" s="68"/>
      <c r="AZ4123" s="68"/>
      <c r="BA4123" s="68"/>
      <c r="BB4123" s="67"/>
      <c r="BC4123" s="67"/>
      <c r="BD4123" s="67"/>
      <c r="BE4123" s="67"/>
      <c r="BF4123" s="95"/>
    </row>
    <row r="4124" spans="42:58" x14ac:dyDescent="0.35">
      <c r="AP4124" s="93"/>
      <c r="AQ4124" s="31"/>
      <c r="AR4124" s="31"/>
      <c r="AS4124" s="94"/>
      <c r="AT4124" s="31"/>
      <c r="AU4124" s="31"/>
      <c r="AV4124" s="94"/>
      <c r="AW4124" s="32"/>
      <c r="AX4124" s="32"/>
      <c r="AY4124" s="32"/>
      <c r="AZ4124" s="32"/>
      <c r="BA4124" s="32"/>
      <c r="BB4124" s="31"/>
      <c r="BC4124" s="31"/>
      <c r="BD4124" s="31"/>
      <c r="BE4124" s="31"/>
      <c r="BF4124" s="96"/>
    </row>
    <row r="4125" spans="42:58" x14ac:dyDescent="0.35">
      <c r="AP4125" s="92"/>
      <c r="AQ4125" s="67"/>
      <c r="AR4125" s="67"/>
      <c r="AS4125" s="73"/>
      <c r="AT4125" s="67"/>
      <c r="AU4125" s="67"/>
      <c r="AV4125" s="73"/>
      <c r="AW4125" s="68"/>
      <c r="AX4125" s="68"/>
      <c r="AY4125" s="68"/>
      <c r="AZ4125" s="68"/>
      <c r="BA4125" s="68"/>
      <c r="BB4125" s="67"/>
      <c r="BC4125" s="67"/>
      <c r="BD4125" s="67"/>
      <c r="BE4125" s="67"/>
      <c r="BF4125" s="95"/>
    </row>
    <row r="4126" spans="42:58" x14ac:dyDescent="0.35">
      <c r="AP4126" s="93"/>
      <c r="AQ4126" s="31"/>
      <c r="AR4126" s="31"/>
      <c r="AS4126" s="94"/>
      <c r="AT4126" s="31"/>
      <c r="AU4126" s="31"/>
      <c r="AV4126" s="94"/>
      <c r="AW4126" s="32"/>
      <c r="AX4126" s="32"/>
      <c r="AY4126" s="32"/>
      <c r="AZ4126" s="32"/>
      <c r="BA4126" s="32"/>
      <c r="BB4126" s="31"/>
      <c r="BC4126" s="31"/>
      <c r="BD4126" s="31"/>
      <c r="BE4126" s="31"/>
      <c r="BF4126" s="96"/>
    </row>
    <row r="4127" spans="42:58" x14ac:dyDescent="0.35">
      <c r="AP4127" s="92"/>
      <c r="AQ4127" s="67"/>
      <c r="AR4127" s="67"/>
      <c r="AS4127" s="73"/>
      <c r="AT4127" s="67"/>
      <c r="AU4127" s="67"/>
      <c r="AV4127" s="73"/>
      <c r="AW4127" s="68"/>
      <c r="AX4127" s="68"/>
      <c r="AY4127" s="68"/>
      <c r="AZ4127" s="68"/>
      <c r="BA4127" s="68"/>
      <c r="BB4127" s="67"/>
      <c r="BC4127" s="67"/>
      <c r="BD4127" s="67"/>
      <c r="BE4127" s="67"/>
      <c r="BF4127" s="95"/>
    </row>
    <row r="4128" spans="42:58" x14ac:dyDescent="0.35">
      <c r="AP4128" s="93"/>
      <c r="AQ4128" s="31"/>
      <c r="AR4128" s="31"/>
      <c r="AS4128" s="94"/>
      <c r="AT4128" s="31"/>
      <c r="AU4128" s="31"/>
      <c r="AV4128" s="94"/>
      <c r="AW4128" s="32"/>
      <c r="AX4128" s="32"/>
      <c r="AY4128" s="32"/>
      <c r="AZ4128" s="32"/>
      <c r="BA4128" s="32"/>
      <c r="BB4128" s="31"/>
      <c r="BC4128" s="31"/>
      <c r="BD4128" s="31"/>
      <c r="BE4128" s="31"/>
      <c r="BF4128" s="96"/>
    </row>
    <row r="4129" spans="42:58" x14ac:dyDescent="0.35">
      <c r="AP4129" s="92"/>
      <c r="AQ4129" s="67"/>
      <c r="AR4129" s="67"/>
      <c r="AS4129" s="73"/>
      <c r="AT4129" s="67"/>
      <c r="AU4129" s="67"/>
      <c r="AV4129" s="73"/>
      <c r="AW4129" s="68"/>
      <c r="AX4129" s="68"/>
      <c r="AY4129" s="68"/>
      <c r="AZ4129" s="68"/>
      <c r="BA4129" s="68"/>
      <c r="BB4129" s="67"/>
      <c r="BC4129" s="67"/>
      <c r="BD4129" s="67"/>
      <c r="BE4129" s="67"/>
      <c r="BF4129" s="95"/>
    </row>
    <row r="4130" spans="42:58" x14ac:dyDescent="0.35">
      <c r="AP4130" s="93"/>
      <c r="AQ4130" s="31"/>
      <c r="AR4130" s="31"/>
      <c r="AS4130" s="94"/>
      <c r="AT4130" s="31"/>
      <c r="AU4130" s="31"/>
      <c r="AV4130" s="94"/>
      <c r="AW4130" s="32"/>
      <c r="AX4130" s="32"/>
      <c r="AY4130" s="32"/>
      <c r="AZ4130" s="32"/>
      <c r="BA4130" s="32"/>
      <c r="BB4130" s="31"/>
      <c r="BC4130" s="31"/>
      <c r="BD4130" s="31"/>
      <c r="BE4130" s="31"/>
      <c r="BF4130" s="96"/>
    </row>
    <row r="4131" spans="42:58" x14ac:dyDescent="0.35">
      <c r="AP4131" s="92"/>
      <c r="AQ4131" s="67"/>
      <c r="AR4131" s="67"/>
      <c r="AS4131" s="73"/>
      <c r="AT4131" s="67"/>
      <c r="AU4131" s="67"/>
      <c r="AV4131" s="73"/>
      <c r="AW4131" s="68"/>
      <c r="AX4131" s="68"/>
      <c r="AY4131" s="68"/>
      <c r="AZ4131" s="68"/>
      <c r="BA4131" s="68"/>
      <c r="BB4131" s="67"/>
      <c r="BC4131" s="67"/>
      <c r="BD4131" s="67"/>
      <c r="BE4131" s="67"/>
      <c r="BF4131" s="95"/>
    </row>
    <row r="4132" spans="42:58" x14ac:dyDescent="0.35">
      <c r="AP4132" s="93"/>
      <c r="AQ4132" s="31"/>
      <c r="AR4132" s="31"/>
      <c r="AS4132" s="94"/>
      <c r="AT4132" s="31"/>
      <c r="AU4132" s="31"/>
      <c r="AV4132" s="94"/>
      <c r="AW4132" s="32"/>
      <c r="AX4132" s="32"/>
      <c r="AY4132" s="32"/>
      <c r="AZ4132" s="32"/>
      <c r="BA4132" s="32"/>
      <c r="BB4132" s="31"/>
      <c r="BC4132" s="31"/>
      <c r="BD4132" s="31"/>
      <c r="BE4132" s="31"/>
      <c r="BF4132" s="96"/>
    </row>
    <row r="4133" spans="42:58" x14ac:dyDescent="0.35">
      <c r="AP4133" s="92"/>
      <c r="AQ4133" s="67"/>
      <c r="AR4133" s="67"/>
      <c r="AS4133" s="73"/>
      <c r="AT4133" s="67"/>
      <c r="AU4133" s="67"/>
      <c r="AV4133" s="73"/>
      <c r="AW4133" s="68"/>
      <c r="AX4133" s="68"/>
      <c r="AY4133" s="68"/>
      <c r="AZ4133" s="68"/>
      <c r="BA4133" s="68"/>
      <c r="BB4133" s="67"/>
      <c r="BC4133" s="67"/>
      <c r="BD4133" s="67"/>
      <c r="BE4133" s="67"/>
      <c r="BF4133" s="95"/>
    </row>
    <row r="4134" spans="42:58" x14ac:dyDescent="0.35">
      <c r="AP4134" s="93"/>
      <c r="AQ4134" s="31"/>
      <c r="AR4134" s="31"/>
      <c r="AS4134" s="94"/>
      <c r="AT4134" s="31"/>
      <c r="AU4134" s="31"/>
      <c r="AV4134" s="94"/>
      <c r="AW4134" s="32"/>
      <c r="AX4134" s="32"/>
      <c r="AY4134" s="32"/>
      <c r="AZ4134" s="32"/>
      <c r="BA4134" s="32"/>
      <c r="BB4134" s="31"/>
      <c r="BC4134" s="31"/>
      <c r="BD4134" s="31"/>
      <c r="BE4134" s="31"/>
      <c r="BF4134" s="96"/>
    </row>
    <row r="4135" spans="42:58" x14ac:dyDescent="0.35">
      <c r="AP4135" s="92"/>
      <c r="AQ4135" s="67"/>
      <c r="AR4135" s="67"/>
      <c r="AS4135" s="73"/>
      <c r="AT4135" s="67"/>
      <c r="AU4135" s="67"/>
      <c r="AV4135" s="73"/>
      <c r="AW4135" s="68"/>
      <c r="AX4135" s="68"/>
      <c r="AY4135" s="68"/>
      <c r="AZ4135" s="68"/>
      <c r="BA4135" s="68"/>
      <c r="BB4135" s="67"/>
      <c r="BC4135" s="67"/>
      <c r="BD4135" s="67"/>
      <c r="BE4135" s="67"/>
      <c r="BF4135" s="95"/>
    </row>
    <row r="4136" spans="42:58" x14ac:dyDescent="0.35">
      <c r="AP4136" s="93"/>
      <c r="AQ4136" s="31"/>
      <c r="AR4136" s="31"/>
      <c r="AS4136" s="94"/>
      <c r="AT4136" s="31"/>
      <c r="AU4136" s="31"/>
      <c r="AV4136" s="94"/>
      <c r="AW4136" s="32"/>
      <c r="AX4136" s="32"/>
      <c r="AY4136" s="32"/>
      <c r="AZ4136" s="32"/>
      <c r="BA4136" s="32"/>
      <c r="BB4136" s="31"/>
      <c r="BC4136" s="31"/>
      <c r="BD4136" s="31"/>
      <c r="BE4136" s="31"/>
      <c r="BF4136" s="96"/>
    </row>
    <row r="4137" spans="42:58" x14ac:dyDescent="0.35">
      <c r="AP4137" s="92"/>
      <c r="AQ4137" s="67"/>
      <c r="AR4137" s="67"/>
      <c r="AS4137" s="73"/>
      <c r="AT4137" s="67"/>
      <c r="AU4137" s="67"/>
      <c r="AV4137" s="73"/>
      <c r="AW4137" s="68"/>
      <c r="AX4137" s="68"/>
      <c r="AY4137" s="68"/>
      <c r="AZ4137" s="68"/>
      <c r="BA4137" s="68"/>
      <c r="BB4137" s="67"/>
      <c r="BC4137" s="67"/>
      <c r="BD4137" s="67"/>
      <c r="BE4137" s="67"/>
      <c r="BF4137" s="95"/>
    </row>
    <row r="4138" spans="42:58" x14ac:dyDescent="0.35">
      <c r="AP4138" s="93"/>
      <c r="AQ4138" s="31"/>
      <c r="AR4138" s="31"/>
      <c r="AS4138" s="94"/>
      <c r="AT4138" s="31"/>
      <c r="AU4138" s="31"/>
      <c r="AV4138" s="94"/>
      <c r="AW4138" s="32"/>
      <c r="AX4138" s="32"/>
      <c r="AY4138" s="32"/>
      <c r="AZ4138" s="32"/>
      <c r="BA4138" s="32"/>
      <c r="BB4138" s="31"/>
      <c r="BC4138" s="31"/>
      <c r="BD4138" s="31"/>
      <c r="BE4138" s="31"/>
      <c r="BF4138" s="96"/>
    </row>
    <row r="4139" spans="42:58" x14ac:dyDescent="0.35">
      <c r="AP4139" s="92"/>
      <c r="AQ4139" s="67"/>
      <c r="AR4139" s="67"/>
      <c r="AS4139" s="73"/>
      <c r="AT4139" s="67"/>
      <c r="AU4139" s="67"/>
      <c r="AV4139" s="73"/>
      <c r="AW4139" s="68"/>
      <c r="AX4139" s="68"/>
      <c r="AY4139" s="68"/>
      <c r="AZ4139" s="68"/>
      <c r="BA4139" s="68"/>
      <c r="BB4139" s="67"/>
      <c r="BC4139" s="67"/>
      <c r="BD4139" s="67"/>
      <c r="BE4139" s="67"/>
      <c r="BF4139" s="95"/>
    </row>
    <row r="4140" spans="42:58" x14ac:dyDescent="0.35">
      <c r="AP4140" s="93"/>
      <c r="AQ4140" s="31"/>
      <c r="AR4140" s="31"/>
      <c r="AS4140" s="94"/>
      <c r="AT4140" s="31"/>
      <c r="AU4140" s="31"/>
      <c r="AV4140" s="94"/>
      <c r="AW4140" s="32"/>
      <c r="AX4140" s="32"/>
      <c r="AY4140" s="32"/>
      <c r="AZ4140" s="32"/>
      <c r="BA4140" s="32"/>
      <c r="BB4140" s="31"/>
      <c r="BC4140" s="31"/>
      <c r="BD4140" s="31"/>
      <c r="BE4140" s="31"/>
      <c r="BF4140" s="96"/>
    </row>
    <row r="4141" spans="42:58" x14ac:dyDescent="0.35">
      <c r="AP4141" s="92"/>
      <c r="AQ4141" s="67"/>
      <c r="AR4141" s="67"/>
      <c r="AS4141" s="73"/>
      <c r="AT4141" s="67"/>
      <c r="AU4141" s="67"/>
      <c r="AV4141" s="73"/>
      <c r="AW4141" s="68"/>
      <c r="AX4141" s="68"/>
      <c r="AY4141" s="68"/>
      <c r="AZ4141" s="68"/>
      <c r="BA4141" s="68"/>
      <c r="BB4141" s="67"/>
      <c r="BC4141" s="67"/>
      <c r="BD4141" s="67"/>
      <c r="BE4141" s="67"/>
      <c r="BF4141" s="95"/>
    </row>
    <row r="4142" spans="42:58" x14ac:dyDescent="0.35">
      <c r="AP4142" s="93"/>
      <c r="AQ4142" s="31"/>
      <c r="AR4142" s="31"/>
      <c r="AS4142" s="94"/>
      <c r="AT4142" s="31"/>
      <c r="AU4142" s="31"/>
      <c r="AV4142" s="94"/>
      <c r="AW4142" s="32"/>
      <c r="AX4142" s="32"/>
      <c r="AY4142" s="32"/>
      <c r="AZ4142" s="32"/>
      <c r="BA4142" s="32"/>
      <c r="BB4142" s="31"/>
      <c r="BC4142" s="31"/>
      <c r="BD4142" s="31"/>
      <c r="BE4142" s="31"/>
      <c r="BF4142" s="96"/>
    </row>
    <row r="4143" spans="42:58" x14ac:dyDescent="0.35">
      <c r="AP4143" s="92"/>
      <c r="AQ4143" s="67"/>
      <c r="AR4143" s="67"/>
      <c r="AS4143" s="73"/>
      <c r="AT4143" s="67"/>
      <c r="AU4143" s="67"/>
      <c r="AV4143" s="73"/>
      <c r="AW4143" s="68"/>
      <c r="AX4143" s="68"/>
      <c r="AY4143" s="68"/>
      <c r="AZ4143" s="68"/>
      <c r="BA4143" s="68"/>
      <c r="BB4143" s="67"/>
      <c r="BC4143" s="67"/>
      <c r="BD4143" s="67"/>
      <c r="BE4143" s="67"/>
      <c r="BF4143" s="95"/>
    </row>
    <row r="4144" spans="42:58" x14ac:dyDescent="0.35">
      <c r="AP4144" s="93"/>
      <c r="AQ4144" s="31"/>
      <c r="AR4144" s="31"/>
      <c r="AS4144" s="94"/>
      <c r="AT4144" s="31"/>
      <c r="AU4144" s="31"/>
      <c r="AV4144" s="94"/>
      <c r="AW4144" s="32"/>
      <c r="AX4144" s="32"/>
      <c r="AY4144" s="32"/>
      <c r="AZ4144" s="32"/>
      <c r="BA4144" s="32"/>
      <c r="BB4144" s="31"/>
      <c r="BC4144" s="31"/>
      <c r="BD4144" s="31"/>
      <c r="BE4144" s="31"/>
      <c r="BF4144" s="96"/>
    </row>
    <row r="4145" spans="42:58" x14ac:dyDescent="0.35">
      <c r="AP4145" s="92"/>
      <c r="AQ4145" s="67"/>
      <c r="AR4145" s="67"/>
      <c r="AS4145" s="73"/>
      <c r="AT4145" s="67"/>
      <c r="AU4145" s="67"/>
      <c r="AV4145" s="73"/>
      <c r="AW4145" s="68"/>
      <c r="AX4145" s="68"/>
      <c r="AY4145" s="68"/>
      <c r="AZ4145" s="68"/>
      <c r="BA4145" s="68"/>
      <c r="BB4145" s="67"/>
      <c r="BC4145" s="67"/>
      <c r="BD4145" s="67"/>
      <c r="BE4145" s="67"/>
      <c r="BF4145" s="95"/>
    </row>
    <row r="4146" spans="42:58" x14ac:dyDescent="0.35">
      <c r="AP4146" s="93"/>
      <c r="AQ4146" s="31"/>
      <c r="AR4146" s="31"/>
      <c r="AS4146" s="94"/>
      <c r="AT4146" s="31"/>
      <c r="AU4146" s="31"/>
      <c r="AV4146" s="94"/>
      <c r="AW4146" s="32"/>
      <c r="AX4146" s="32"/>
      <c r="AY4146" s="32"/>
      <c r="AZ4146" s="32"/>
      <c r="BA4146" s="32"/>
      <c r="BB4146" s="31"/>
      <c r="BC4146" s="31"/>
      <c r="BD4146" s="31"/>
      <c r="BE4146" s="31"/>
      <c r="BF4146" s="96"/>
    </row>
    <row r="4147" spans="42:58" x14ac:dyDescent="0.35">
      <c r="AP4147" s="92"/>
      <c r="AQ4147" s="67"/>
      <c r="AR4147" s="67"/>
      <c r="AS4147" s="73"/>
      <c r="AT4147" s="67"/>
      <c r="AU4147" s="67"/>
      <c r="AV4147" s="73"/>
      <c r="AW4147" s="68"/>
      <c r="AX4147" s="68"/>
      <c r="AY4147" s="68"/>
      <c r="AZ4147" s="68"/>
      <c r="BA4147" s="68"/>
      <c r="BB4147" s="67"/>
      <c r="BC4147" s="67"/>
      <c r="BD4147" s="67"/>
      <c r="BE4147" s="67"/>
      <c r="BF4147" s="95"/>
    </row>
    <row r="4148" spans="42:58" x14ac:dyDescent="0.35">
      <c r="AP4148" s="93"/>
      <c r="AQ4148" s="31"/>
      <c r="AR4148" s="31"/>
      <c r="AS4148" s="94"/>
      <c r="AT4148" s="31"/>
      <c r="AU4148" s="31"/>
      <c r="AV4148" s="94"/>
      <c r="AW4148" s="32"/>
      <c r="AX4148" s="32"/>
      <c r="AY4148" s="32"/>
      <c r="AZ4148" s="32"/>
      <c r="BA4148" s="32"/>
      <c r="BB4148" s="31"/>
      <c r="BC4148" s="31"/>
      <c r="BD4148" s="31"/>
      <c r="BE4148" s="31"/>
      <c r="BF4148" s="96"/>
    </row>
    <row r="4149" spans="42:58" x14ac:dyDescent="0.35">
      <c r="AP4149" s="92"/>
      <c r="AQ4149" s="67"/>
      <c r="AR4149" s="67"/>
      <c r="AS4149" s="73"/>
      <c r="AT4149" s="67"/>
      <c r="AU4149" s="67"/>
      <c r="AV4149" s="73"/>
      <c r="AW4149" s="68"/>
      <c r="AX4149" s="68"/>
      <c r="AY4149" s="68"/>
      <c r="AZ4149" s="68"/>
      <c r="BA4149" s="68"/>
      <c r="BB4149" s="67"/>
      <c r="BC4149" s="67"/>
      <c r="BD4149" s="67"/>
      <c r="BE4149" s="67"/>
      <c r="BF4149" s="95"/>
    </row>
    <row r="4150" spans="42:58" x14ac:dyDescent="0.35">
      <c r="AP4150" s="93"/>
      <c r="AQ4150" s="31"/>
      <c r="AR4150" s="31"/>
      <c r="AS4150" s="94"/>
      <c r="AT4150" s="31"/>
      <c r="AU4150" s="31"/>
      <c r="AV4150" s="94"/>
      <c r="AW4150" s="32"/>
      <c r="AX4150" s="32"/>
      <c r="AY4150" s="32"/>
      <c r="AZ4150" s="32"/>
      <c r="BA4150" s="32"/>
      <c r="BB4150" s="31"/>
      <c r="BC4150" s="31"/>
      <c r="BD4150" s="31"/>
      <c r="BE4150" s="31"/>
      <c r="BF4150" s="96"/>
    </row>
    <row r="4151" spans="42:58" x14ac:dyDescent="0.35">
      <c r="AP4151" s="92"/>
      <c r="AQ4151" s="67"/>
      <c r="AR4151" s="67"/>
      <c r="AS4151" s="73"/>
      <c r="AT4151" s="67"/>
      <c r="AU4151" s="67"/>
      <c r="AV4151" s="73"/>
      <c r="AW4151" s="68"/>
      <c r="AX4151" s="68"/>
      <c r="AY4151" s="68"/>
      <c r="AZ4151" s="68"/>
      <c r="BA4151" s="68"/>
      <c r="BB4151" s="67"/>
      <c r="BC4151" s="67"/>
      <c r="BD4151" s="67"/>
      <c r="BE4151" s="67"/>
      <c r="BF4151" s="95"/>
    </row>
    <row r="4152" spans="42:58" x14ac:dyDescent="0.35">
      <c r="AP4152" s="93"/>
      <c r="AQ4152" s="31"/>
      <c r="AR4152" s="31"/>
      <c r="AS4152" s="94"/>
      <c r="AT4152" s="31"/>
      <c r="AU4152" s="31"/>
      <c r="AV4152" s="94"/>
      <c r="AW4152" s="32"/>
      <c r="AX4152" s="32"/>
      <c r="AY4152" s="32"/>
      <c r="AZ4152" s="32"/>
      <c r="BA4152" s="32"/>
      <c r="BB4152" s="31"/>
      <c r="BC4152" s="31"/>
      <c r="BD4152" s="31"/>
      <c r="BE4152" s="31"/>
      <c r="BF4152" s="96"/>
    </row>
    <row r="4153" spans="42:58" x14ac:dyDescent="0.35">
      <c r="AP4153" s="92"/>
      <c r="AQ4153" s="67"/>
      <c r="AR4153" s="67"/>
      <c r="AS4153" s="73"/>
      <c r="AT4153" s="67"/>
      <c r="AU4153" s="67"/>
      <c r="AV4153" s="73"/>
      <c r="AW4153" s="68"/>
      <c r="AX4153" s="68"/>
      <c r="AY4153" s="68"/>
      <c r="AZ4153" s="68"/>
      <c r="BA4153" s="68"/>
      <c r="BB4153" s="67"/>
      <c r="BC4153" s="67"/>
      <c r="BD4153" s="67"/>
      <c r="BE4153" s="67"/>
      <c r="BF4153" s="95"/>
    </row>
    <row r="4154" spans="42:58" x14ac:dyDescent="0.35">
      <c r="AP4154" s="93"/>
      <c r="AQ4154" s="31"/>
      <c r="AR4154" s="31"/>
      <c r="AS4154" s="94"/>
      <c r="AT4154" s="31"/>
      <c r="AU4154" s="31"/>
      <c r="AV4154" s="94"/>
      <c r="AW4154" s="32"/>
      <c r="AX4154" s="32"/>
      <c r="AY4154" s="32"/>
      <c r="AZ4154" s="32"/>
      <c r="BA4154" s="32"/>
      <c r="BB4154" s="31"/>
      <c r="BC4154" s="31"/>
      <c r="BD4154" s="31"/>
      <c r="BE4154" s="31"/>
      <c r="BF4154" s="96"/>
    </row>
    <row r="4155" spans="42:58" x14ac:dyDescent="0.35">
      <c r="AP4155" s="92"/>
      <c r="AQ4155" s="67"/>
      <c r="AR4155" s="67"/>
      <c r="AS4155" s="73"/>
      <c r="AT4155" s="67"/>
      <c r="AU4155" s="67"/>
      <c r="AV4155" s="73"/>
      <c r="AW4155" s="68"/>
      <c r="AX4155" s="68"/>
      <c r="AY4155" s="68"/>
      <c r="AZ4155" s="68"/>
      <c r="BA4155" s="68"/>
      <c r="BB4155" s="67"/>
      <c r="BC4155" s="67"/>
      <c r="BD4155" s="67"/>
      <c r="BE4155" s="67"/>
      <c r="BF4155" s="95"/>
    </row>
    <row r="4156" spans="42:58" x14ac:dyDescent="0.35">
      <c r="AP4156" s="93"/>
      <c r="AQ4156" s="31"/>
      <c r="AR4156" s="31"/>
      <c r="AS4156" s="94"/>
      <c r="AT4156" s="31"/>
      <c r="AU4156" s="31"/>
      <c r="AV4156" s="94"/>
      <c r="AW4156" s="32"/>
      <c r="AX4156" s="32"/>
      <c r="AY4156" s="32"/>
      <c r="AZ4156" s="32"/>
      <c r="BA4156" s="32"/>
      <c r="BB4156" s="31"/>
      <c r="BC4156" s="31"/>
      <c r="BD4156" s="31"/>
      <c r="BE4156" s="31"/>
      <c r="BF4156" s="96"/>
    </row>
    <row r="4157" spans="42:58" x14ac:dyDescent="0.35">
      <c r="AP4157" s="92"/>
      <c r="AQ4157" s="67"/>
      <c r="AR4157" s="67"/>
      <c r="AS4157" s="73"/>
      <c r="AT4157" s="67"/>
      <c r="AU4157" s="67"/>
      <c r="AV4157" s="73"/>
      <c r="AW4157" s="68"/>
      <c r="AX4157" s="68"/>
      <c r="AY4157" s="68"/>
      <c r="AZ4157" s="68"/>
      <c r="BA4157" s="68"/>
      <c r="BB4157" s="67"/>
      <c r="BC4157" s="67"/>
      <c r="BD4157" s="67"/>
      <c r="BE4157" s="67"/>
      <c r="BF4157" s="95"/>
    </row>
    <row r="4158" spans="42:58" x14ac:dyDescent="0.35">
      <c r="AP4158" s="93"/>
      <c r="AQ4158" s="31"/>
      <c r="AR4158" s="31"/>
      <c r="AS4158" s="94"/>
      <c r="AT4158" s="31"/>
      <c r="AU4158" s="31"/>
      <c r="AV4158" s="94"/>
      <c r="AW4158" s="32"/>
      <c r="AX4158" s="32"/>
      <c r="AY4158" s="32"/>
      <c r="AZ4158" s="32"/>
      <c r="BA4158" s="32"/>
      <c r="BB4158" s="31"/>
      <c r="BC4158" s="31"/>
      <c r="BD4158" s="31"/>
      <c r="BE4158" s="31"/>
      <c r="BF4158" s="96"/>
    </row>
    <row r="4159" spans="42:58" x14ac:dyDescent="0.35">
      <c r="AP4159" s="92"/>
      <c r="AQ4159" s="67"/>
      <c r="AR4159" s="67"/>
      <c r="AS4159" s="73"/>
      <c r="AT4159" s="67"/>
      <c r="AU4159" s="67"/>
      <c r="AV4159" s="73"/>
      <c r="AW4159" s="68"/>
      <c r="AX4159" s="68"/>
      <c r="AY4159" s="68"/>
      <c r="AZ4159" s="68"/>
      <c r="BA4159" s="68"/>
      <c r="BB4159" s="67"/>
      <c r="BC4159" s="67"/>
      <c r="BD4159" s="67"/>
      <c r="BE4159" s="67"/>
      <c r="BF4159" s="95"/>
    </row>
    <row r="4160" spans="42:58" x14ac:dyDescent="0.35">
      <c r="AP4160" s="93"/>
      <c r="AQ4160" s="31"/>
      <c r="AR4160" s="31"/>
      <c r="AS4160" s="94"/>
      <c r="AT4160" s="31"/>
      <c r="AU4160" s="31"/>
      <c r="AV4160" s="94"/>
      <c r="AW4160" s="32"/>
      <c r="AX4160" s="32"/>
      <c r="AY4160" s="32"/>
      <c r="AZ4160" s="32"/>
      <c r="BA4160" s="32"/>
      <c r="BB4160" s="31"/>
      <c r="BC4160" s="31"/>
      <c r="BD4160" s="31"/>
      <c r="BE4160" s="31"/>
      <c r="BF4160" s="96"/>
    </row>
    <row r="4161" spans="42:58" x14ac:dyDescent="0.35">
      <c r="AP4161" s="92"/>
      <c r="AQ4161" s="67"/>
      <c r="AR4161" s="67"/>
      <c r="AS4161" s="73"/>
      <c r="AT4161" s="67"/>
      <c r="AU4161" s="67"/>
      <c r="AV4161" s="73"/>
      <c r="AW4161" s="68"/>
      <c r="AX4161" s="68"/>
      <c r="AY4161" s="68"/>
      <c r="AZ4161" s="68"/>
      <c r="BA4161" s="68"/>
      <c r="BB4161" s="67"/>
      <c r="BC4161" s="67"/>
      <c r="BD4161" s="67"/>
      <c r="BE4161" s="67"/>
      <c r="BF4161" s="95"/>
    </row>
    <row r="4162" spans="42:58" x14ac:dyDescent="0.35">
      <c r="AP4162" s="93"/>
      <c r="AQ4162" s="31"/>
      <c r="AR4162" s="31"/>
      <c r="AS4162" s="94"/>
      <c r="AT4162" s="31"/>
      <c r="AU4162" s="31"/>
      <c r="AV4162" s="94"/>
      <c r="AW4162" s="32"/>
      <c r="AX4162" s="32"/>
      <c r="AY4162" s="32"/>
      <c r="AZ4162" s="32"/>
      <c r="BA4162" s="32"/>
      <c r="BB4162" s="31"/>
      <c r="BC4162" s="31"/>
      <c r="BD4162" s="31"/>
      <c r="BE4162" s="31"/>
      <c r="BF4162" s="96"/>
    </row>
    <row r="4163" spans="42:58" x14ac:dyDescent="0.35">
      <c r="AP4163" s="92"/>
      <c r="AQ4163" s="67"/>
      <c r="AR4163" s="67"/>
      <c r="AS4163" s="73"/>
      <c r="AT4163" s="67"/>
      <c r="AU4163" s="67"/>
      <c r="AV4163" s="73"/>
      <c r="AW4163" s="68"/>
      <c r="AX4163" s="68"/>
      <c r="AY4163" s="68"/>
      <c r="AZ4163" s="68"/>
      <c r="BA4163" s="68"/>
      <c r="BB4163" s="67"/>
      <c r="BC4163" s="67"/>
      <c r="BD4163" s="67"/>
      <c r="BE4163" s="67"/>
      <c r="BF4163" s="95"/>
    </row>
    <row r="4164" spans="42:58" x14ac:dyDescent="0.35">
      <c r="AP4164" s="93"/>
      <c r="AQ4164" s="31"/>
      <c r="AR4164" s="31"/>
      <c r="AS4164" s="94"/>
      <c r="AT4164" s="31"/>
      <c r="AU4164" s="31"/>
      <c r="AV4164" s="94"/>
      <c r="AW4164" s="32"/>
      <c r="AX4164" s="32"/>
      <c r="AY4164" s="32"/>
      <c r="AZ4164" s="32"/>
      <c r="BA4164" s="32"/>
      <c r="BB4164" s="31"/>
      <c r="BC4164" s="31"/>
      <c r="BD4164" s="31"/>
      <c r="BE4164" s="31"/>
      <c r="BF4164" s="96"/>
    </row>
    <row r="4165" spans="42:58" x14ac:dyDescent="0.35">
      <c r="AP4165" s="92"/>
      <c r="AQ4165" s="67"/>
      <c r="AR4165" s="67"/>
      <c r="AS4165" s="73"/>
      <c r="AT4165" s="67"/>
      <c r="AU4165" s="67"/>
      <c r="AV4165" s="73"/>
      <c r="AW4165" s="68"/>
      <c r="AX4165" s="68"/>
      <c r="AY4165" s="68"/>
      <c r="AZ4165" s="68"/>
      <c r="BA4165" s="68"/>
      <c r="BB4165" s="67"/>
      <c r="BC4165" s="67"/>
      <c r="BD4165" s="67"/>
      <c r="BE4165" s="67"/>
      <c r="BF4165" s="95"/>
    </row>
    <row r="4166" spans="42:58" x14ac:dyDescent="0.35">
      <c r="AP4166" s="93"/>
      <c r="AQ4166" s="31"/>
      <c r="AR4166" s="31"/>
      <c r="AS4166" s="94"/>
      <c r="AT4166" s="31"/>
      <c r="AU4166" s="31"/>
      <c r="AV4166" s="94"/>
      <c r="AW4166" s="32"/>
      <c r="AX4166" s="32"/>
      <c r="AY4166" s="32"/>
      <c r="AZ4166" s="32"/>
      <c r="BA4166" s="32"/>
      <c r="BB4166" s="31"/>
      <c r="BC4166" s="31"/>
      <c r="BD4166" s="31"/>
      <c r="BE4166" s="31"/>
      <c r="BF4166" s="96"/>
    </row>
    <row r="4167" spans="42:58" x14ac:dyDescent="0.35">
      <c r="AP4167" s="92"/>
      <c r="AQ4167" s="67"/>
      <c r="AR4167" s="67"/>
      <c r="AS4167" s="73"/>
      <c r="AT4167" s="67"/>
      <c r="AU4167" s="67"/>
      <c r="AV4167" s="73"/>
      <c r="AW4167" s="68"/>
      <c r="AX4167" s="68"/>
      <c r="AY4167" s="68"/>
      <c r="AZ4167" s="68"/>
      <c r="BA4167" s="68"/>
      <c r="BB4167" s="67"/>
      <c r="BC4167" s="67"/>
      <c r="BD4167" s="67"/>
      <c r="BE4167" s="67"/>
      <c r="BF4167" s="95"/>
    </row>
    <row r="4168" spans="42:58" x14ac:dyDescent="0.35">
      <c r="AP4168" s="93"/>
      <c r="AQ4168" s="31"/>
      <c r="AR4168" s="31"/>
      <c r="AS4168" s="94"/>
      <c r="AT4168" s="31"/>
      <c r="AU4168" s="31"/>
      <c r="AV4168" s="94"/>
      <c r="AW4168" s="32"/>
      <c r="AX4168" s="32"/>
      <c r="AY4168" s="32"/>
      <c r="AZ4168" s="32"/>
      <c r="BA4168" s="32"/>
      <c r="BB4168" s="31"/>
      <c r="BC4168" s="31"/>
      <c r="BD4168" s="31"/>
      <c r="BE4168" s="31"/>
      <c r="BF4168" s="96"/>
    </row>
    <row r="4169" spans="42:58" x14ac:dyDescent="0.35">
      <c r="AP4169" s="92"/>
      <c r="AQ4169" s="67"/>
      <c r="AR4169" s="67"/>
      <c r="AS4169" s="73"/>
      <c r="AT4169" s="67"/>
      <c r="AU4169" s="67"/>
      <c r="AV4169" s="73"/>
      <c r="AW4169" s="68"/>
      <c r="AX4169" s="68"/>
      <c r="AY4169" s="68"/>
      <c r="AZ4169" s="68"/>
      <c r="BA4169" s="68"/>
      <c r="BB4169" s="67"/>
      <c r="BC4169" s="67"/>
      <c r="BD4169" s="67"/>
      <c r="BE4169" s="67"/>
      <c r="BF4169" s="95"/>
    </row>
    <row r="4170" spans="42:58" x14ac:dyDescent="0.35">
      <c r="AP4170" s="93"/>
      <c r="AQ4170" s="31"/>
      <c r="AR4170" s="31"/>
      <c r="AS4170" s="94"/>
      <c r="AT4170" s="31"/>
      <c r="AU4170" s="31"/>
      <c r="AV4170" s="94"/>
      <c r="AW4170" s="32"/>
      <c r="AX4170" s="32"/>
      <c r="AY4170" s="32"/>
      <c r="AZ4170" s="32"/>
      <c r="BA4170" s="32"/>
      <c r="BB4170" s="31"/>
      <c r="BC4170" s="31"/>
      <c r="BD4170" s="31"/>
      <c r="BE4170" s="31"/>
      <c r="BF4170" s="96"/>
    </row>
    <row r="4171" spans="42:58" x14ac:dyDescent="0.35">
      <c r="AP4171" s="92"/>
      <c r="AQ4171" s="67"/>
      <c r="AR4171" s="67"/>
      <c r="AS4171" s="73"/>
      <c r="AT4171" s="67"/>
      <c r="AU4171" s="67"/>
      <c r="AV4171" s="73"/>
      <c r="AW4171" s="68"/>
      <c r="AX4171" s="68"/>
      <c r="AY4171" s="68"/>
      <c r="AZ4171" s="68"/>
      <c r="BA4171" s="68"/>
      <c r="BB4171" s="67"/>
      <c r="BC4171" s="67"/>
      <c r="BD4171" s="67"/>
      <c r="BE4171" s="67"/>
      <c r="BF4171" s="95"/>
    </row>
    <row r="4172" spans="42:58" x14ac:dyDescent="0.35">
      <c r="AP4172" s="93"/>
      <c r="AQ4172" s="31"/>
      <c r="AR4172" s="31"/>
      <c r="AS4172" s="94"/>
      <c r="AT4172" s="31"/>
      <c r="AU4172" s="31"/>
      <c r="AV4172" s="94"/>
      <c r="AW4172" s="32"/>
      <c r="AX4172" s="32"/>
      <c r="AY4172" s="32"/>
      <c r="AZ4172" s="32"/>
      <c r="BA4172" s="32"/>
      <c r="BB4172" s="31"/>
      <c r="BC4172" s="31"/>
      <c r="BD4172" s="31"/>
      <c r="BE4172" s="31"/>
      <c r="BF4172" s="96"/>
    </row>
    <row r="4173" spans="42:58" x14ac:dyDescent="0.35">
      <c r="AP4173" s="92"/>
      <c r="AQ4173" s="67"/>
      <c r="AR4173" s="67"/>
      <c r="AS4173" s="73"/>
      <c r="AT4173" s="67"/>
      <c r="AU4173" s="67"/>
      <c r="AV4173" s="73"/>
      <c r="AW4173" s="68"/>
      <c r="AX4173" s="68"/>
      <c r="AY4173" s="68"/>
      <c r="AZ4173" s="68"/>
      <c r="BA4173" s="68"/>
      <c r="BB4173" s="67"/>
      <c r="BC4173" s="67"/>
      <c r="BD4173" s="67"/>
      <c r="BE4173" s="67"/>
      <c r="BF4173" s="95"/>
    </row>
    <row r="4174" spans="42:58" x14ac:dyDescent="0.35">
      <c r="AP4174" s="93"/>
      <c r="AQ4174" s="31"/>
      <c r="AR4174" s="31"/>
      <c r="AS4174" s="94"/>
      <c r="AT4174" s="31"/>
      <c r="AU4174" s="31"/>
      <c r="AV4174" s="94"/>
      <c r="AW4174" s="32"/>
      <c r="AX4174" s="32"/>
      <c r="AY4174" s="32"/>
      <c r="AZ4174" s="32"/>
      <c r="BA4174" s="32"/>
      <c r="BB4174" s="31"/>
      <c r="BC4174" s="31"/>
      <c r="BD4174" s="31"/>
      <c r="BE4174" s="31"/>
      <c r="BF4174" s="96"/>
    </row>
    <row r="4175" spans="42:58" x14ac:dyDescent="0.35">
      <c r="AP4175" s="92"/>
      <c r="AQ4175" s="67"/>
      <c r="AR4175" s="67"/>
      <c r="AS4175" s="73"/>
      <c r="AT4175" s="67"/>
      <c r="AU4175" s="67"/>
      <c r="AV4175" s="73"/>
      <c r="AW4175" s="68"/>
      <c r="AX4175" s="68"/>
      <c r="AY4175" s="68"/>
      <c r="AZ4175" s="68"/>
      <c r="BA4175" s="68"/>
      <c r="BB4175" s="67"/>
      <c r="BC4175" s="67"/>
      <c r="BD4175" s="67"/>
      <c r="BE4175" s="67"/>
      <c r="BF4175" s="95"/>
    </row>
    <row r="4176" spans="42:58" x14ac:dyDescent="0.35">
      <c r="AP4176" s="93"/>
      <c r="AQ4176" s="31"/>
      <c r="AR4176" s="31"/>
      <c r="AS4176" s="94"/>
      <c r="AT4176" s="31"/>
      <c r="AU4176" s="31"/>
      <c r="AV4176" s="94"/>
      <c r="AW4176" s="32"/>
      <c r="AX4176" s="32"/>
      <c r="AY4176" s="32"/>
      <c r="AZ4176" s="32"/>
      <c r="BA4176" s="32"/>
      <c r="BB4176" s="31"/>
      <c r="BC4176" s="31"/>
      <c r="BD4176" s="31"/>
      <c r="BE4176" s="31"/>
      <c r="BF4176" s="96"/>
    </row>
    <row r="4177" spans="42:58" x14ac:dyDescent="0.35">
      <c r="AP4177" s="92"/>
      <c r="AQ4177" s="67"/>
      <c r="AR4177" s="67"/>
      <c r="AS4177" s="73"/>
      <c r="AT4177" s="67"/>
      <c r="AU4177" s="67"/>
      <c r="AV4177" s="73"/>
      <c r="AW4177" s="68"/>
      <c r="AX4177" s="68"/>
      <c r="AY4177" s="68"/>
      <c r="AZ4177" s="68"/>
      <c r="BA4177" s="68"/>
      <c r="BB4177" s="67"/>
      <c r="BC4177" s="67"/>
      <c r="BD4177" s="67"/>
      <c r="BE4177" s="67"/>
      <c r="BF4177" s="95"/>
    </row>
    <row r="4178" spans="42:58" x14ac:dyDescent="0.35">
      <c r="AP4178" s="93"/>
      <c r="AQ4178" s="31"/>
      <c r="AR4178" s="31"/>
      <c r="AS4178" s="94"/>
      <c r="AT4178" s="31"/>
      <c r="AU4178" s="31"/>
      <c r="AV4178" s="94"/>
      <c r="AW4178" s="32"/>
      <c r="AX4178" s="32"/>
      <c r="AY4178" s="32"/>
      <c r="AZ4178" s="32"/>
      <c r="BA4178" s="32"/>
      <c r="BB4178" s="31"/>
      <c r="BC4178" s="31"/>
      <c r="BD4178" s="31"/>
      <c r="BE4178" s="31"/>
      <c r="BF4178" s="96"/>
    </row>
    <row r="4179" spans="42:58" x14ac:dyDescent="0.35">
      <c r="AP4179" s="92"/>
      <c r="AQ4179" s="67"/>
      <c r="AR4179" s="67"/>
      <c r="AS4179" s="73"/>
      <c r="AT4179" s="67"/>
      <c r="AU4179" s="67"/>
      <c r="AV4179" s="73"/>
      <c r="AW4179" s="68"/>
      <c r="AX4179" s="68"/>
      <c r="AY4179" s="68"/>
      <c r="AZ4179" s="68"/>
      <c r="BA4179" s="68"/>
      <c r="BB4179" s="67"/>
      <c r="BC4179" s="67"/>
      <c r="BD4179" s="67"/>
      <c r="BE4179" s="67"/>
      <c r="BF4179" s="95"/>
    </row>
    <row r="4180" spans="42:58" x14ac:dyDescent="0.35">
      <c r="AP4180" s="93"/>
      <c r="AQ4180" s="31"/>
      <c r="AR4180" s="31"/>
      <c r="AS4180" s="94"/>
      <c r="AT4180" s="31"/>
      <c r="AU4180" s="31"/>
      <c r="AV4180" s="94"/>
      <c r="AW4180" s="32"/>
      <c r="AX4180" s="32"/>
      <c r="AY4180" s="32"/>
      <c r="AZ4180" s="32"/>
      <c r="BA4180" s="32"/>
      <c r="BB4180" s="31"/>
      <c r="BC4180" s="31"/>
      <c r="BD4180" s="31"/>
      <c r="BE4180" s="31"/>
      <c r="BF4180" s="96"/>
    </row>
    <row r="4181" spans="42:58" x14ac:dyDescent="0.35">
      <c r="AP4181" s="92"/>
      <c r="AQ4181" s="67"/>
      <c r="AR4181" s="67"/>
      <c r="AS4181" s="73"/>
      <c r="AT4181" s="67"/>
      <c r="AU4181" s="67"/>
      <c r="AV4181" s="73"/>
      <c r="AW4181" s="68"/>
      <c r="AX4181" s="68"/>
      <c r="AY4181" s="68"/>
      <c r="AZ4181" s="68"/>
      <c r="BA4181" s="68"/>
      <c r="BB4181" s="67"/>
      <c r="BC4181" s="67"/>
      <c r="BD4181" s="67"/>
      <c r="BE4181" s="67"/>
      <c r="BF4181" s="95"/>
    </row>
    <row r="4182" spans="42:58" x14ac:dyDescent="0.35">
      <c r="AP4182" s="93"/>
      <c r="AQ4182" s="31"/>
      <c r="AR4182" s="31"/>
      <c r="AS4182" s="94"/>
      <c r="AT4182" s="31"/>
      <c r="AU4182" s="31"/>
      <c r="AV4182" s="94"/>
      <c r="AW4182" s="32"/>
      <c r="AX4182" s="32"/>
      <c r="AY4182" s="32"/>
      <c r="AZ4182" s="32"/>
      <c r="BA4182" s="32"/>
      <c r="BB4182" s="31"/>
      <c r="BC4182" s="31"/>
      <c r="BD4182" s="31"/>
      <c r="BE4182" s="31"/>
      <c r="BF4182" s="96"/>
    </row>
    <row r="4183" spans="42:58" x14ac:dyDescent="0.35">
      <c r="AP4183" s="92"/>
      <c r="AQ4183" s="67"/>
      <c r="AR4183" s="67"/>
      <c r="AS4183" s="73"/>
      <c r="AT4183" s="67"/>
      <c r="AU4183" s="67"/>
      <c r="AV4183" s="73"/>
      <c r="AW4183" s="68"/>
      <c r="AX4183" s="68"/>
      <c r="AY4183" s="68"/>
      <c r="AZ4183" s="68"/>
      <c r="BA4183" s="68"/>
      <c r="BB4183" s="67"/>
      <c r="BC4183" s="67"/>
      <c r="BD4183" s="67"/>
      <c r="BE4183" s="67"/>
      <c r="BF4183" s="95"/>
    </row>
    <row r="4184" spans="42:58" x14ac:dyDescent="0.35">
      <c r="AP4184" s="93"/>
      <c r="AQ4184" s="31"/>
      <c r="AR4184" s="31"/>
      <c r="AS4184" s="94"/>
      <c r="AT4184" s="31"/>
      <c r="AU4184" s="31"/>
      <c r="AV4184" s="94"/>
      <c r="AW4184" s="32"/>
      <c r="AX4184" s="32"/>
      <c r="AY4184" s="32"/>
      <c r="AZ4184" s="32"/>
      <c r="BA4184" s="32"/>
      <c r="BB4184" s="31"/>
      <c r="BC4184" s="31"/>
      <c r="BD4184" s="31"/>
      <c r="BE4184" s="31"/>
      <c r="BF4184" s="96"/>
    </row>
    <row r="4185" spans="42:58" x14ac:dyDescent="0.35">
      <c r="AP4185" s="92"/>
      <c r="AQ4185" s="67"/>
      <c r="AR4185" s="67"/>
      <c r="AS4185" s="73"/>
      <c r="AT4185" s="67"/>
      <c r="AU4185" s="67"/>
      <c r="AV4185" s="73"/>
      <c r="AW4185" s="68"/>
      <c r="AX4185" s="68"/>
      <c r="AY4185" s="68"/>
      <c r="AZ4185" s="68"/>
      <c r="BA4185" s="68"/>
      <c r="BB4185" s="67"/>
      <c r="BC4185" s="67"/>
      <c r="BD4185" s="67"/>
      <c r="BE4185" s="67"/>
      <c r="BF4185" s="95"/>
    </row>
    <row r="4186" spans="42:58" x14ac:dyDescent="0.35">
      <c r="AP4186" s="93"/>
      <c r="AQ4186" s="31"/>
      <c r="AR4186" s="31"/>
      <c r="AS4186" s="94"/>
      <c r="AT4186" s="31"/>
      <c r="AU4186" s="31"/>
      <c r="AV4186" s="94"/>
      <c r="AW4186" s="32"/>
      <c r="AX4186" s="32"/>
      <c r="AY4186" s="32"/>
      <c r="AZ4186" s="32"/>
      <c r="BA4186" s="32"/>
      <c r="BB4186" s="31"/>
      <c r="BC4186" s="31"/>
      <c r="BD4186" s="31"/>
      <c r="BE4186" s="31"/>
      <c r="BF4186" s="96"/>
    </row>
    <row r="4187" spans="42:58" x14ac:dyDescent="0.35">
      <c r="AP4187" s="92"/>
      <c r="AQ4187" s="67"/>
      <c r="AR4187" s="67"/>
      <c r="AS4187" s="73"/>
      <c r="AT4187" s="67"/>
      <c r="AU4187" s="67"/>
      <c r="AV4187" s="73"/>
      <c r="AW4187" s="68"/>
      <c r="AX4187" s="68"/>
      <c r="AY4187" s="68"/>
      <c r="AZ4187" s="68"/>
      <c r="BA4187" s="68"/>
      <c r="BB4187" s="67"/>
      <c r="BC4187" s="67"/>
      <c r="BD4187" s="67"/>
      <c r="BE4187" s="67"/>
      <c r="BF4187" s="95"/>
    </row>
    <row r="4188" spans="42:58" x14ac:dyDescent="0.35">
      <c r="AP4188" s="93"/>
      <c r="AQ4188" s="31"/>
      <c r="AR4188" s="31"/>
      <c r="AS4188" s="94"/>
      <c r="AT4188" s="31"/>
      <c r="AU4188" s="31"/>
      <c r="AV4188" s="94"/>
      <c r="AW4188" s="32"/>
      <c r="AX4188" s="32"/>
      <c r="AY4188" s="32"/>
      <c r="AZ4188" s="32"/>
      <c r="BA4188" s="32"/>
      <c r="BB4188" s="31"/>
      <c r="BC4188" s="31"/>
      <c r="BD4188" s="31"/>
      <c r="BE4188" s="31"/>
      <c r="BF4188" s="96"/>
    </row>
    <row r="4189" spans="42:58" x14ac:dyDescent="0.35">
      <c r="AP4189" s="92"/>
      <c r="AQ4189" s="67"/>
      <c r="AR4189" s="67"/>
      <c r="AS4189" s="73"/>
      <c r="AT4189" s="67"/>
      <c r="AU4189" s="67"/>
      <c r="AV4189" s="73"/>
      <c r="AW4189" s="68"/>
      <c r="AX4189" s="68"/>
      <c r="AY4189" s="68"/>
      <c r="AZ4189" s="68"/>
      <c r="BA4189" s="68"/>
      <c r="BB4189" s="67"/>
      <c r="BC4189" s="67"/>
      <c r="BD4189" s="67"/>
      <c r="BE4189" s="67"/>
      <c r="BF4189" s="95"/>
    </row>
    <row r="4190" spans="42:58" x14ac:dyDescent="0.35">
      <c r="AP4190" s="93"/>
      <c r="AQ4190" s="31"/>
      <c r="AR4190" s="31"/>
      <c r="AS4190" s="94"/>
      <c r="AT4190" s="31"/>
      <c r="AU4190" s="31"/>
      <c r="AV4190" s="94"/>
      <c r="AW4190" s="32"/>
      <c r="AX4190" s="32"/>
      <c r="AY4190" s="32"/>
      <c r="AZ4190" s="32"/>
      <c r="BA4190" s="32"/>
      <c r="BB4190" s="31"/>
      <c r="BC4190" s="31"/>
      <c r="BD4190" s="31"/>
      <c r="BE4190" s="31"/>
      <c r="BF4190" s="96"/>
    </row>
    <row r="4191" spans="42:58" x14ac:dyDescent="0.35">
      <c r="AP4191" s="92"/>
      <c r="AQ4191" s="67"/>
      <c r="AR4191" s="67"/>
      <c r="AS4191" s="73"/>
      <c r="AT4191" s="67"/>
      <c r="AU4191" s="67"/>
      <c r="AV4191" s="73"/>
      <c r="AW4191" s="68"/>
      <c r="AX4191" s="68"/>
      <c r="AY4191" s="68"/>
      <c r="AZ4191" s="68"/>
      <c r="BA4191" s="68"/>
      <c r="BB4191" s="67"/>
      <c r="BC4191" s="67"/>
      <c r="BD4191" s="67"/>
      <c r="BE4191" s="67"/>
      <c r="BF4191" s="95"/>
    </row>
    <row r="4192" spans="42:58" x14ac:dyDescent="0.35">
      <c r="AP4192" s="93"/>
      <c r="AQ4192" s="31"/>
      <c r="AR4192" s="31"/>
      <c r="AS4192" s="94"/>
      <c r="AT4192" s="31"/>
      <c r="AU4192" s="31"/>
      <c r="AV4192" s="94"/>
      <c r="AW4192" s="32"/>
      <c r="AX4192" s="32"/>
      <c r="AY4192" s="32"/>
      <c r="AZ4192" s="32"/>
      <c r="BA4192" s="32"/>
      <c r="BB4192" s="31"/>
      <c r="BC4192" s="31"/>
      <c r="BD4192" s="31"/>
      <c r="BE4192" s="31"/>
      <c r="BF4192" s="96"/>
    </row>
    <row r="4193" spans="42:58" x14ac:dyDescent="0.35">
      <c r="AP4193" s="92"/>
      <c r="AQ4193" s="67"/>
      <c r="AR4193" s="67"/>
      <c r="AS4193" s="73"/>
      <c r="AT4193" s="67"/>
      <c r="AU4193" s="67"/>
      <c r="AV4193" s="73"/>
      <c r="AW4193" s="68"/>
      <c r="AX4193" s="68"/>
      <c r="AY4193" s="68"/>
      <c r="AZ4193" s="68"/>
      <c r="BA4193" s="68"/>
      <c r="BB4193" s="67"/>
      <c r="BC4193" s="67"/>
      <c r="BD4193" s="67"/>
      <c r="BE4193" s="67"/>
      <c r="BF4193" s="95"/>
    </row>
    <row r="4194" spans="42:58" x14ac:dyDescent="0.35">
      <c r="AP4194" s="93"/>
      <c r="AQ4194" s="31"/>
      <c r="AR4194" s="31"/>
      <c r="AS4194" s="94"/>
      <c r="AT4194" s="31"/>
      <c r="AU4194" s="31"/>
      <c r="AV4194" s="94"/>
      <c r="AW4194" s="32"/>
      <c r="AX4194" s="32"/>
      <c r="AY4194" s="32"/>
      <c r="AZ4194" s="32"/>
      <c r="BA4194" s="32"/>
      <c r="BB4194" s="31"/>
      <c r="BC4194" s="31"/>
      <c r="BD4194" s="31"/>
      <c r="BE4194" s="31"/>
      <c r="BF4194" s="96"/>
    </row>
    <row r="4195" spans="42:58" x14ac:dyDescent="0.35">
      <c r="AP4195" s="92"/>
      <c r="AQ4195" s="67"/>
      <c r="AR4195" s="67"/>
      <c r="AS4195" s="73"/>
      <c r="AT4195" s="67"/>
      <c r="AU4195" s="67"/>
      <c r="AV4195" s="73"/>
      <c r="AW4195" s="68"/>
      <c r="AX4195" s="68"/>
      <c r="AY4195" s="68"/>
      <c r="AZ4195" s="68"/>
      <c r="BA4195" s="68"/>
      <c r="BB4195" s="67"/>
      <c r="BC4195" s="67"/>
      <c r="BD4195" s="67"/>
      <c r="BE4195" s="67"/>
      <c r="BF4195" s="95"/>
    </row>
    <row r="4196" spans="42:58" x14ac:dyDescent="0.35">
      <c r="AP4196" s="93"/>
      <c r="AQ4196" s="31"/>
      <c r="AR4196" s="31"/>
      <c r="AS4196" s="94"/>
      <c r="AT4196" s="31"/>
      <c r="AU4196" s="31"/>
      <c r="AV4196" s="94"/>
      <c r="AW4196" s="32"/>
      <c r="AX4196" s="32"/>
      <c r="AY4196" s="32"/>
      <c r="AZ4196" s="32"/>
      <c r="BA4196" s="32"/>
      <c r="BB4196" s="31"/>
      <c r="BC4196" s="31"/>
      <c r="BD4196" s="31"/>
      <c r="BE4196" s="31"/>
      <c r="BF4196" s="96"/>
    </row>
    <row r="4197" spans="42:58" x14ac:dyDescent="0.35">
      <c r="AP4197" s="92"/>
      <c r="AQ4197" s="67"/>
      <c r="AR4197" s="67"/>
      <c r="AS4197" s="73"/>
      <c r="AT4197" s="67"/>
      <c r="AU4197" s="67"/>
      <c r="AV4197" s="73"/>
      <c r="AW4197" s="68"/>
      <c r="AX4197" s="68"/>
      <c r="AY4197" s="68"/>
      <c r="AZ4197" s="68"/>
      <c r="BA4197" s="68"/>
      <c r="BB4197" s="67"/>
      <c r="BC4197" s="67"/>
      <c r="BD4197" s="67"/>
      <c r="BE4197" s="67"/>
      <c r="BF4197" s="95"/>
    </row>
    <row r="4198" spans="42:58" x14ac:dyDescent="0.35">
      <c r="AP4198" s="93"/>
      <c r="AQ4198" s="31"/>
      <c r="AR4198" s="31"/>
      <c r="AS4198" s="94"/>
      <c r="AT4198" s="31"/>
      <c r="AU4198" s="31"/>
      <c r="AV4198" s="94"/>
      <c r="AW4198" s="32"/>
      <c r="AX4198" s="32"/>
      <c r="AY4198" s="32"/>
      <c r="AZ4198" s="32"/>
      <c r="BA4198" s="32"/>
      <c r="BB4198" s="31"/>
      <c r="BC4198" s="31"/>
      <c r="BD4198" s="31"/>
      <c r="BE4198" s="31"/>
      <c r="BF4198" s="96"/>
    </row>
    <row r="4199" spans="42:58" x14ac:dyDescent="0.35">
      <c r="AP4199" s="92"/>
      <c r="AQ4199" s="67"/>
      <c r="AR4199" s="67"/>
      <c r="AS4199" s="73"/>
      <c r="AT4199" s="67"/>
      <c r="AU4199" s="67"/>
      <c r="AV4199" s="73"/>
      <c r="AW4199" s="68"/>
      <c r="AX4199" s="68"/>
      <c r="AY4199" s="68"/>
      <c r="AZ4199" s="68"/>
      <c r="BA4199" s="68"/>
      <c r="BB4199" s="67"/>
      <c r="BC4199" s="67"/>
      <c r="BD4199" s="67"/>
      <c r="BE4199" s="67"/>
      <c r="BF4199" s="95"/>
    </row>
    <row r="4200" spans="42:58" x14ac:dyDescent="0.35">
      <c r="AP4200" s="93"/>
      <c r="AQ4200" s="31"/>
      <c r="AR4200" s="31"/>
      <c r="AS4200" s="94"/>
      <c r="AT4200" s="31"/>
      <c r="AU4200" s="31"/>
      <c r="AV4200" s="94"/>
      <c r="AW4200" s="32"/>
      <c r="AX4200" s="32"/>
      <c r="AY4200" s="32"/>
      <c r="AZ4200" s="32"/>
      <c r="BA4200" s="32"/>
      <c r="BB4200" s="31"/>
      <c r="BC4200" s="31"/>
      <c r="BD4200" s="31"/>
      <c r="BE4200" s="31"/>
      <c r="BF4200" s="96"/>
    </row>
    <row r="4201" spans="42:58" x14ac:dyDescent="0.35">
      <c r="AP4201" s="92"/>
      <c r="AQ4201" s="67"/>
      <c r="AR4201" s="67"/>
      <c r="AS4201" s="73"/>
      <c r="AT4201" s="67"/>
      <c r="AU4201" s="67"/>
      <c r="AV4201" s="73"/>
      <c r="AW4201" s="68"/>
      <c r="AX4201" s="68"/>
      <c r="AY4201" s="68"/>
      <c r="AZ4201" s="68"/>
      <c r="BA4201" s="68"/>
      <c r="BB4201" s="67"/>
      <c r="BC4201" s="67"/>
      <c r="BD4201" s="67"/>
      <c r="BE4201" s="67"/>
      <c r="BF4201" s="95"/>
    </row>
    <row r="4202" spans="42:58" x14ac:dyDescent="0.35">
      <c r="AP4202" s="93"/>
      <c r="AQ4202" s="31"/>
      <c r="AR4202" s="31"/>
      <c r="AS4202" s="94"/>
      <c r="AT4202" s="31"/>
      <c r="AU4202" s="31"/>
      <c r="AV4202" s="94"/>
      <c r="AW4202" s="32"/>
      <c r="AX4202" s="32"/>
      <c r="AY4202" s="32"/>
      <c r="AZ4202" s="32"/>
      <c r="BA4202" s="32"/>
      <c r="BB4202" s="31"/>
      <c r="BC4202" s="31"/>
      <c r="BD4202" s="31"/>
      <c r="BE4202" s="31"/>
      <c r="BF4202" s="96"/>
    </row>
    <row r="4203" spans="42:58" x14ac:dyDescent="0.35">
      <c r="AP4203" s="92"/>
      <c r="AQ4203" s="67"/>
      <c r="AR4203" s="67"/>
      <c r="AS4203" s="73"/>
      <c r="AT4203" s="67"/>
      <c r="AU4203" s="67"/>
      <c r="AV4203" s="73"/>
      <c r="AW4203" s="68"/>
      <c r="AX4203" s="68"/>
      <c r="AY4203" s="68"/>
      <c r="AZ4203" s="68"/>
      <c r="BA4203" s="68"/>
      <c r="BB4203" s="67"/>
      <c r="BC4203" s="67"/>
      <c r="BD4203" s="67"/>
      <c r="BE4203" s="67"/>
      <c r="BF4203" s="95"/>
    </row>
    <row r="4204" spans="42:58" x14ac:dyDescent="0.35">
      <c r="AP4204" s="93"/>
      <c r="AQ4204" s="31"/>
      <c r="AR4204" s="31"/>
      <c r="AS4204" s="94"/>
      <c r="AT4204" s="31"/>
      <c r="AU4204" s="31"/>
      <c r="AV4204" s="94"/>
      <c r="AW4204" s="32"/>
      <c r="AX4204" s="32"/>
      <c r="AY4204" s="32"/>
      <c r="AZ4204" s="32"/>
      <c r="BA4204" s="32"/>
      <c r="BB4204" s="31"/>
      <c r="BC4204" s="31"/>
      <c r="BD4204" s="31"/>
      <c r="BE4204" s="31"/>
      <c r="BF4204" s="96"/>
    </row>
    <row r="4205" spans="42:58" x14ac:dyDescent="0.35">
      <c r="AP4205" s="92"/>
      <c r="AQ4205" s="67"/>
      <c r="AR4205" s="67"/>
      <c r="AS4205" s="73"/>
      <c r="AT4205" s="67"/>
      <c r="AU4205" s="67"/>
      <c r="AV4205" s="73"/>
      <c r="AW4205" s="68"/>
      <c r="AX4205" s="68"/>
      <c r="AY4205" s="68"/>
      <c r="AZ4205" s="68"/>
      <c r="BA4205" s="68"/>
      <c r="BB4205" s="67"/>
      <c r="BC4205" s="67"/>
      <c r="BD4205" s="67"/>
      <c r="BE4205" s="67"/>
      <c r="BF4205" s="95"/>
    </row>
    <row r="4206" spans="42:58" x14ac:dyDescent="0.35">
      <c r="AP4206" s="93"/>
      <c r="AQ4206" s="31"/>
      <c r="AR4206" s="31"/>
      <c r="AS4206" s="94"/>
      <c r="AT4206" s="31"/>
      <c r="AU4206" s="31"/>
      <c r="AV4206" s="94"/>
      <c r="AW4206" s="32"/>
      <c r="AX4206" s="32"/>
      <c r="AY4206" s="32"/>
      <c r="AZ4206" s="32"/>
      <c r="BA4206" s="32"/>
      <c r="BB4206" s="31"/>
      <c r="BC4206" s="31"/>
      <c r="BD4206" s="31"/>
      <c r="BE4206" s="31"/>
      <c r="BF4206" s="96"/>
    </row>
    <row r="4207" spans="42:58" x14ac:dyDescent="0.35">
      <c r="AP4207" s="92"/>
      <c r="AQ4207" s="67"/>
      <c r="AR4207" s="67"/>
      <c r="AS4207" s="73"/>
      <c r="AT4207" s="67"/>
      <c r="AU4207" s="67"/>
      <c r="AV4207" s="73"/>
      <c r="AW4207" s="68"/>
      <c r="AX4207" s="68"/>
      <c r="AY4207" s="68"/>
      <c r="AZ4207" s="68"/>
      <c r="BA4207" s="68"/>
      <c r="BB4207" s="67"/>
      <c r="BC4207" s="67"/>
      <c r="BD4207" s="67"/>
      <c r="BE4207" s="67"/>
      <c r="BF4207" s="95"/>
    </row>
    <row r="4208" spans="42:58" x14ac:dyDescent="0.35">
      <c r="AP4208" s="93"/>
      <c r="AQ4208" s="31"/>
      <c r="AR4208" s="31"/>
      <c r="AS4208" s="94"/>
      <c r="AT4208" s="31"/>
      <c r="AU4208" s="31"/>
      <c r="AV4208" s="94"/>
      <c r="AW4208" s="32"/>
      <c r="AX4208" s="32"/>
      <c r="AY4208" s="32"/>
      <c r="AZ4208" s="32"/>
      <c r="BA4208" s="32"/>
      <c r="BB4208" s="31"/>
      <c r="BC4208" s="31"/>
      <c r="BD4208" s="31"/>
      <c r="BE4208" s="31"/>
      <c r="BF4208" s="96"/>
    </row>
    <row r="4209" spans="42:58" x14ac:dyDescent="0.35">
      <c r="AP4209" s="92"/>
      <c r="AQ4209" s="67"/>
      <c r="AR4209" s="67"/>
      <c r="AS4209" s="73"/>
      <c r="AT4209" s="67"/>
      <c r="AU4209" s="67"/>
      <c r="AV4209" s="73"/>
      <c r="AW4209" s="68"/>
      <c r="AX4209" s="68"/>
      <c r="AY4209" s="68"/>
      <c r="AZ4209" s="68"/>
      <c r="BA4209" s="68"/>
      <c r="BB4209" s="67"/>
      <c r="BC4209" s="67"/>
      <c r="BD4209" s="67"/>
      <c r="BE4209" s="67"/>
      <c r="BF4209" s="95"/>
    </row>
    <row r="4210" spans="42:58" x14ac:dyDescent="0.35">
      <c r="AP4210" s="93"/>
      <c r="AQ4210" s="31"/>
      <c r="AR4210" s="31"/>
      <c r="AS4210" s="94"/>
      <c r="AT4210" s="31"/>
      <c r="AU4210" s="31"/>
      <c r="AV4210" s="94"/>
      <c r="AW4210" s="32"/>
      <c r="AX4210" s="32"/>
      <c r="AY4210" s="32"/>
      <c r="AZ4210" s="32"/>
      <c r="BA4210" s="32"/>
      <c r="BB4210" s="31"/>
      <c r="BC4210" s="31"/>
      <c r="BD4210" s="31"/>
      <c r="BE4210" s="31"/>
      <c r="BF4210" s="96"/>
    </row>
    <row r="4211" spans="42:58" x14ac:dyDescent="0.35">
      <c r="AP4211" s="92"/>
      <c r="AQ4211" s="67"/>
      <c r="AR4211" s="67"/>
      <c r="AS4211" s="73"/>
      <c r="AT4211" s="67"/>
      <c r="AU4211" s="67"/>
      <c r="AV4211" s="73"/>
      <c r="AW4211" s="68"/>
      <c r="AX4211" s="68"/>
      <c r="AY4211" s="68"/>
      <c r="AZ4211" s="68"/>
      <c r="BA4211" s="68"/>
      <c r="BB4211" s="67"/>
      <c r="BC4211" s="67"/>
      <c r="BD4211" s="67"/>
      <c r="BE4211" s="67"/>
      <c r="BF4211" s="95"/>
    </row>
    <row r="4212" spans="42:58" x14ac:dyDescent="0.35">
      <c r="AP4212" s="93"/>
      <c r="AQ4212" s="31"/>
      <c r="AR4212" s="31"/>
      <c r="AS4212" s="94"/>
      <c r="AT4212" s="31"/>
      <c r="AU4212" s="31"/>
      <c r="AV4212" s="94"/>
      <c r="AW4212" s="32"/>
      <c r="AX4212" s="32"/>
      <c r="AY4212" s="32"/>
      <c r="AZ4212" s="32"/>
      <c r="BA4212" s="32"/>
      <c r="BB4212" s="31"/>
      <c r="BC4212" s="31"/>
      <c r="BD4212" s="31"/>
      <c r="BE4212" s="31"/>
      <c r="BF4212" s="96"/>
    </row>
    <row r="4213" spans="42:58" x14ac:dyDescent="0.35">
      <c r="AP4213" s="92"/>
      <c r="AQ4213" s="67"/>
      <c r="AR4213" s="67"/>
      <c r="AS4213" s="73"/>
      <c r="AT4213" s="67"/>
      <c r="AU4213" s="67"/>
      <c r="AV4213" s="73"/>
      <c r="AW4213" s="68"/>
      <c r="AX4213" s="68"/>
      <c r="AY4213" s="68"/>
      <c r="AZ4213" s="68"/>
      <c r="BA4213" s="68"/>
      <c r="BB4213" s="67"/>
      <c r="BC4213" s="67"/>
      <c r="BD4213" s="67"/>
      <c r="BE4213" s="67"/>
      <c r="BF4213" s="95"/>
    </row>
    <row r="4214" spans="42:58" x14ac:dyDescent="0.35">
      <c r="AP4214" s="93"/>
      <c r="AQ4214" s="31"/>
      <c r="AR4214" s="31"/>
      <c r="AS4214" s="94"/>
      <c r="AT4214" s="31"/>
      <c r="AU4214" s="31"/>
      <c r="AV4214" s="94"/>
      <c r="AW4214" s="32"/>
      <c r="AX4214" s="32"/>
      <c r="AY4214" s="32"/>
      <c r="AZ4214" s="32"/>
      <c r="BA4214" s="32"/>
      <c r="BB4214" s="31"/>
      <c r="BC4214" s="31"/>
      <c r="BD4214" s="31"/>
      <c r="BE4214" s="31"/>
      <c r="BF4214" s="96"/>
    </row>
    <row r="4215" spans="42:58" x14ac:dyDescent="0.35">
      <c r="AP4215" s="92"/>
      <c r="AQ4215" s="67"/>
      <c r="AR4215" s="67"/>
      <c r="AS4215" s="73"/>
      <c r="AT4215" s="67"/>
      <c r="AU4215" s="67"/>
      <c r="AV4215" s="73"/>
      <c r="AW4215" s="68"/>
      <c r="AX4215" s="68"/>
      <c r="AY4215" s="68"/>
      <c r="AZ4215" s="68"/>
      <c r="BA4215" s="68"/>
      <c r="BB4215" s="67"/>
      <c r="BC4215" s="67"/>
      <c r="BD4215" s="67"/>
      <c r="BE4215" s="67"/>
      <c r="BF4215" s="95"/>
    </row>
    <row r="4216" spans="42:58" x14ac:dyDescent="0.35">
      <c r="AP4216" s="93"/>
      <c r="AQ4216" s="31"/>
      <c r="AR4216" s="31"/>
      <c r="AS4216" s="94"/>
      <c r="AT4216" s="31"/>
      <c r="AU4216" s="31"/>
      <c r="AV4216" s="94"/>
      <c r="AW4216" s="32"/>
      <c r="AX4216" s="32"/>
      <c r="AY4216" s="32"/>
      <c r="AZ4216" s="32"/>
      <c r="BA4216" s="32"/>
      <c r="BB4216" s="31"/>
      <c r="BC4216" s="31"/>
      <c r="BD4216" s="31"/>
      <c r="BE4216" s="31"/>
      <c r="BF4216" s="96"/>
    </row>
    <row r="4217" spans="42:58" x14ac:dyDescent="0.35">
      <c r="AP4217" s="92"/>
      <c r="AQ4217" s="67"/>
      <c r="AR4217" s="67"/>
      <c r="AS4217" s="73"/>
      <c r="AT4217" s="67"/>
      <c r="AU4217" s="67"/>
      <c r="AV4217" s="73"/>
      <c r="AW4217" s="68"/>
      <c r="AX4217" s="68"/>
      <c r="AY4217" s="68"/>
      <c r="AZ4217" s="68"/>
      <c r="BA4217" s="68"/>
      <c r="BB4217" s="67"/>
      <c r="BC4217" s="67"/>
      <c r="BD4217" s="67"/>
      <c r="BE4217" s="67"/>
      <c r="BF4217" s="95"/>
    </row>
    <row r="4218" spans="42:58" x14ac:dyDescent="0.35">
      <c r="AP4218" s="93"/>
      <c r="AQ4218" s="31"/>
      <c r="AR4218" s="31"/>
      <c r="AS4218" s="94"/>
      <c r="AT4218" s="31"/>
      <c r="AU4218" s="31"/>
      <c r="AV4218" s="94"/>
      <c r="AW4218" s="32"/>
      <c r="AX4218" s="32"/>
      <c r="AY4218" s="32"/>
      <c r="AZ4218" s="32"/>
      <c r="BA4218" s="32"/>
      <c r="BB4218" s="31"/>
      <c r="BC4218" s="31"/>
      <c r="BD4218" s="31"/>
      <c r="BE4218" s="31"/>
      <c r="BF4218" s="96"/>
    </row>
    <row r="4219" spans="42:58" x14ac:dyDescent="0.35">
      <c r="AP4219" s="92"/>
      <c r="AQ4219" s="67"/>
      <c r="AR4219" s="67"/>
      <c r="AS4219" s="73"/>
      <c r="AT4219" s="67"/>
      <c r="AU4219" s="67"/>
      <c r="AV4219" s="73"/>
      <c r="AW4219" s="68"/>
      <c r="AX4219" s="68"/>
      <c r="AY4219" s="68"/>
      <c r="AZ4219" s="68"/>
      <c r="BA4219" s="68"/>
      <c r="BB4219" s="67"/>
      <c r="BC4219" s="67"/>
      <c r="BD4219" s="67"/>
      <c r="BE4219" s="67"/>
      <c r="BF4219" s="95"/>
    </row>
    <row r="4220" spans="42:58" x14ac:dyDescent="0.35">
      <c r="AP4220" s="93"/>
      <c r="AQ4220" s="31"/>
      <c r="AR4220" s="31"/>
      <c r="AS4220" s="94"/>
      <c r="AT4220" s="31"/>
      <c r="AU4220" s="31"/>
      <c r="AV4220" s="94"/>
      <c r="AW4220" s="32"/>
      <c r="AX4220" s="32"/>
      <c r="AY4220" s="32"/>
      <c r="AZ4220" s="32"/>
      <c r="BA4220" s="32"/>
      <c r="BB4220" s="31"/>
      <c r="BC4220" s="31"/>
      <c r="BD4220" s="31"/>
      <c r="BE4220" s="31"/>
      <c r="BF4220" s="96"/>
    </row>
    <row r="4221" spans="42:58" x14ac:dyDescent="0.35">
      <c r="AP4221" s="92"/>
      <c r="AQ4221" s="67"/>
      <c r="AR4221" s="67"/>
      <c r="AS4221" s="73"/>
      <c r="AT4221" s="67"/>
      <c r="AU4221" s="67"/>
      <c r="AV4221" s="73"/>
      <c r="AW4221" s="68"/>
      <c r="AX4221" s="68"/>
      <c r="AY4221" s="68"/>
      <c r="AZ4221" s="68"/>
      <c r="BA4221" s="68"/>
      <c r="BB4221" s="67"/>
      <c r="BC4221" s="67"/>
      <c r="BD4221" s="67"/>
      <c r="BE4221" s="67"/>
      <c r="BF4221" s="95"/>
    </row>
    <row r="4222" spans="42:58" x14ac:dyDescent="0.35">
      <c r="AP4222" s="93"/>
      <c r="AQ4222" s="31"/>
      <c r="AR4222" s="31"/>
      <c r="AS4222" s="94"/>
      <c r="AT4222" s="31"/>
      <c r="AU4222" s="31"/>
      <c r="AV4222" s="94"/>
      <c r="AW4222" s="32"/>
      <c r="AX4222" s="32"/>
      <c r="AY4222" s="32"/>
      <c r="AZ4222" s="32"/>
      <c r="BA4222" s="32"/>
      <c r="BB4222" s="31"/>
      <c r="BC4222" s="31"/>
      <c r="BD4222" s="31"/>
      <c r="BE4222" s="31"/>
      <c r="BF4222" s="96"/>
    </row>
    <row r="4223" spans="42:58" x14ac:dyDescent="0.35">
      <c r="AP4223" s="92"/>
      <c r="AQ4223" s="67"/>
      <c r="AR4223" s="67"/>
      <c r="AS4223" s="73"/>
      <c r="AT4223" s="67"/>
      <c r="AU4223" s="67"/>
      <c r="AV4223" s="73"/>
      <c r="AW4223" s="68"/>
      <c r="AX4223" s="68"/>
      <c r="AY4223" s="68"/>
      <c r="AZ4223" s="68"/>
      <c r="BA4223" s="68"/>
      <c r="BB4223" s="67"/>
      <c r="BC4223" s="67"/>
      <c r="BD4223" s="67"/>
      <c r="BE4223" s="67"/>
      <c r="BF4223" s="95"/>
    </row>
    <row r="4224" spans="42:58" x14ac:dyDescent="0.35">
      <c r="AP4224" s="93"/>
      <c r="AQ4224" s="31"/>
      <c r="AR4224" s="31"/>
      <c r="AS4224" s="94"/>
      <c r="AT4224" s="31"/>
      <c r="AU4224" s="31"/>
      <c r="AV4224" s="94"/>
      <c r="AW4224" s="32"/>
      <c r="AX4224" s="32"/>
      <c r="AY4224" s="32"/>
      <c r="AZ4224" s="32"/>
      <c r="BA4224" s="32"/>
      <c r="BB4224" s="31"/>
      <c r="BC4224" s="31"/>
      <c r="BD4224" s="31"/>
      <c r="BE4224" s="31"/>
      <c r="BF4224" s="96"/>
    </row>
    <row r="4225" spans="42:58" x14ac:dyDescent="0.35">
      <c r="AP4225" s="92"/>
      <c r="AQ4225" s="67"/>
      <c r="AR4225" s="67"/>
      <c r="AS4225" s="73"/>
      <c r="AT4225" s="67"/>
      <c r="AU4225" s="67"/>
      <c r="AV4225" s="73"/>
      <c r="AW4225" s="68"/>
      <c r="AX4225" s="68"/>
      <c r="AY4225" s="68"/>
      <c r="AZ4225" s="68"/>
      <c r="BA4225" s="68"/>
      <c r="BB4225" s="67"/>
      <c r="BC4225" s="67"/>
      <c r="BD4225" s="67"/>
      <c r="BE4225" s="67"/>
      <c r="BF4225" s="95"/>
    </row>
    <row r="4226" spans="42:58" x14ac:dyDescent="0.35">
      <c r="AP4226" s="93"/>
      <c r="AQ4226" s="31"/>
      <c r="AR4226" s="31"/>
      <c r="AS4226" s="94"/>
      <c r="AT4226" s="31"/>
      <c r="AU4226" s="31"/>
      <c r="AV4226" s="94"/>
      <c r="AW4226" s="32"/>
      <c r="AX4226" s="32"/>
      <c r="AY4226" s="32"/>
      <c r="AZ4226" s="32"/>
      <c r="BA4226" s="32"/>
      <c r="BB4226" s="31"/>
      <c r="BC4226" s="31"/>
      <c r="BD4226" s="31"/>
      <c r="BE4226" s="31"/>
      <c r="BF4226" s="96"/>
    </row>
    <row r="4227" spans="42:58" x14ac:dyDescent="0.35">
      <c r="AP4227" s="92"/>
      <c r="AQ4227" s="67"/>
      <c r="AR4227" s="67"/>
      <c r="AS4227" s="73"/>
      <c r="AT4227" s="67"/>
      <c r="AU4227" s="67"/>
      <c r="AV4227" s="73"/>
      <c r="AW4227" s="68"/>
      <c r="AX4227" s="68"/>
      <c r="AY4227" s="68"/>
      <c r="AZ4227" s="68"/>
      <c r="BA4227" s="68"/>
      <c r="BB4227" s="67"/>
      <c r="BC4227" s="67"/>
      <c r="BD4227" s="67"/>
      <c r="BE4227" s="67"/>
      <c r="BF4227" s="95"/>
    </row>
    <row r="4228" spans="42:58" x14ac:dyDescent="0.35">
      <c r="AP4228" s="93"/>
      <c r="AQ4228" s="31"/>
      <c r="AR4228" s="31"/>
      <c r="AS4228" s="94"/>
      <c r="AT4228" s="31"/>
      <c r="AU4228" s="31"/>
      <c r="AV4228" s="94"/>
      <c r="AW4228" s="32"/>
      <c r="AX4228" s="32"/>
      <c r="AY4228" s="32"/>
      <c r="AZ4228" s="32"/>
      <c r="BA4228" s="32"/>
      <c r="BB4228" s="31"/>
      <c r="BC4228" s="31"/>
      <c r="BD4228" s="31"/>
      <c r="BE4228" s="31"/>
      <c r="BF4228" s="96"/>
    </row>
    <row r="4229" spans="42:58" x14ac:dyDescent="0.35">
      <c r="AP4229" s="92"/>
      <c r="AQ4229" s="67"/>
      <c r="AR4229" s="67"/>
      <c r="AS4229" s="73"/>
      <c r="AT4229" s="67"/>
      <c r="AU4229" s="67"/>
      <c r="AV4229" s="73"/>
      <c r="AW4229" s="68"/>
      <c r="AX4229" s="68"/>
      <c r="AY4229" s="68"/>
      <c r="AZ4229" s="68"/>
      <c r="BA4229" s="68"/>
      <c r="BB4229" s="67"/>
      <c r="BC4229" s="67"/>
      <c r="BD4229" s="67"/>
      <c r="BE4229" s="67"/>
      <c r="BF4229" s="95"/>
    </row>
    <row r="4230" spans="42:58" x14ac:dyDescent="0.35">
      <c r="AP4230" s="93"/>
      <c r="AQ4230" s="31"/>
      <c r="AR4230" s="31"/>
      <c r="AS4230" s="94"/>
      <c r="AT4230" s="31"/>
      <c r="AU4230" s="31"/>
      <c r="AV4230" s="94"/>
      <c r="AW4230" s="32"/>
      <c r="AX4230" s="32"/>
      <c r="AY4230" s="32"/>
      <c r="AZ4230" s="32"/>
      <c r="BA4230" s="32"/>
      <c r="BB4230" s="31"/>
      <c r="BC4230" s="31"/>
      <c r="BD4230" s="31"/>
      <c r="BE4230" s="31"/>
      <c r="BF4230" s="96"/>
    </row>
    <row r="4231" spans="42:58" x14ac:dyDescent="0.35">
      <c r="AP4231" s="92"/>
      <c r="AQ4231" s="67"/>
      <c r="AR4231" s="67"/>
      <c r="AS4231" s="73"/>
      <c r="AT4231" s="67"/>
      <c r="AU4231" s="67"/>
      <c r="AV4231" s="73"/>
      <c r="AW4231" s="68"/>
      <c r="AX4231" s="68"/>
      <c r="AY4231" s="68"/>
      <c r="AZ4231" s="68"/>
      <c r="BA4231" s="68"/>
      <c r="BB4231" s="67"/>
      <c r="BC4231" s="67"/>
      <c r="BD4231" s="67"/>
      <c r="BE4231" s="67"/>
      <c r="BF4231" s="95"/>
    </row>
    <row r="4232" spans="42:58" x14ac:dyDescent="0.35">
      <c r="AP4232" s="93"/>
      <c r="AQ4232" s="31"/>
      <c r="AR4232" s="31"/>
      <c r="AS4232" s="94"/>
      <c r="AT4232" s="31"/>
      <c r="AU4232" s="31"/>
      <c r="AV4232" s="94"/>
      <c r="AW4232" s="32"/>
      <c r="AX4232" s="32"/>
      <c r="AY4232" s="32"/>
      <c r="AZ4232" s="32"/>
      <c r="BA4232" s="32"/>
      <c r="BB4232" s="31"/>
      <c r="BC4232" s="31"/>
      <c r="BD4232" s="31"/>
      <c r="BE4232" s="31"/>
      <c r="BF4232" s="96"/>
    </row>
    <row r="4233" spans="42:58" x14ac:dyDescent="0.35">
      <c r="AP4233" s="92"/>
      <c r="AQ4233" s="67"/>
      <c r="AR4233" s="67"/>
      <c r="AS4233" s="73"/>
      <c r="AT4233" s="67"/>
      <c r="AU4233" s="67"/>
      <c r="AV4233" s="73"/>
      <c r="AW4233" s="68"/>
      <c r="AX4233" s="68"/>
      <c r="AY4233" s="68"/>
      <c r="AZ4233" s="68"/>
      <c r="BA4233" s="68"/>
      <c r="BB4233" s="67"/>
      <c r="BC4233" s="67"/>
      <c r="BD4233" s="67"/>
      <c r="BE4233" s="67"/>
      <c r="BF4233" s="95"/>
    </row>
    <row r="4234" spans="42:58" x14ac:dyDescent="0.35">
      <c r="AP4234" s="93"/>
      <c r="AQ4234" s="31"/>
      <c r="AR4234" s="31"/>
      <c r="AS4234" s="94"/>
      <c r="AT4234" s="31"/>
      <c r="AU4234" s="31"/>
      <c r="AV4234" s="94"/>
      <c r="AW4234" s="32"/>
      <c r="AX4234" s="32"/>
      <c r="AY4234" s="32"/>
      <c r="AZ4234" s="32"/>
      <c r="BA4234" s="32"/>
      <c r="BB4234" s="31"/>
      <c r="BC4234" s="31"/>
      <c r="BD4234" s="31"/>
      <c r="BE4234" s="31"/>
      <c r="BF4234" s="96"/>
    </row>
    <row r="4235" spans="42:58" x14ac:dyDescent="0.35">
      <c r="AP4235" s="92"/>
      <c r="AQ4235" s="67"/>
      <c r="AR4235" s="67"/>
      <c r="AS4235" s="73"/>
      <c r="AT4235" s="67"/>
      <c r="AU4235" s="67"/>
      <c r="AV4235" s="73"/>
      <c r="AW4235" s="68"/>
      <c r="AX4235" s="68"/>
      <c r="AY4235" s="68"/>
      <c r="AZ4235" s="68"/>
      <c r="BA4235" s="68"/>
      <c r="BB4235" s="67"/>
      <c r="BC4235" s="67"/>
      <c r="BD4235" s="67"/>
      <c r="BE4235" s="67"/>
      <c r="BF4235" s="95"/>
    </row>
    <row r="4236" spans="42:58" x14ac:dyDescent="0.35">
      <c r="AP4236" s="93"/>
      <c r="AQ4236" s="31"/>
      <c r="AR4236" s="31"/>
      <c r="AS4236" s="94"/>
      <c r="AT4236" s="31"/>
      <c r="AU4236" s="31"/>
      <c r="AV4236" s="94"/>
      <c r="AW4236" s="32"/>
      <c r="AX4236" s="32"/>
      <c r="AY4236" s="32"/>
      <c r="AZ4236" s="32"/>
      <c r="BA4236" s="32"/>
      <c r="BB4236" s="31"/>
      <c r="BC4236" s="31"/>
      <c r="BD4236" s="31"/>
      <c r="BE4236" s="31"/>
      <c r="BF4236" s="96"/>
    </row>
    <row r="4237" spans="42:58" x14ac:dyDescent="0.35">
      <c r="AP4237" s="92"/>
      <c r="AQ4237" s="67"/>
      <c r="AR4237" s="67"/>
      <c r="AS4237" s="73"/>
      <c r="AT4237" s="67"/>
      <c r="AU4237" s="67"/>
      <c r="AV4237" s="73"/>
      <c r="AW4237" s="68"/>
      <c r="AX4237" s="68"/>
      <c r="AY4237" s="68"/>
      <c r="AZ4237" s="68"/>
      <c r="BA4237" s="68"/>
      <c r="BB4237" s="67"/>
      <c r="BC4237" s="67"/>
      <c r="BD4237" s="67"/>
      <c r="BE4237" s="67"/>
      <c r="BF4237" s="95"/>
    </row>
    <row r="4238" spans="42:58" x14ac:dyDescent="0.35">
      <c r="AP4238" s="93"/>
      <c r="AQ4238" s="31"/>
      <c r="AR4238" s="31"/>
      <c r="AS4238" s="94"/>
      <c r="AT4238" s="31"/>
      <c r="AU4238" s="31"/>
      <c r="AV4238" s="94"/>
      <c r="AW4238" s="32"/>
      <c r="AX4238" s="32"/>
      <c r="AY4238" s="32"/>
      <c r="AZ4238" s="32"/>
      <c r="BA4238" s="32"/>
      <c r="BB4238" s="31"/>
      <c r="BC4238" s="31"/>
      <c r="BD4238" s="31"/>
      <c r="BE4238" s="31"/>
      <c r="BF4238" s="96"/>
    </row>
    <row r="4239" spans="42:58" x14ac:dyDescent="0.35">
      <c r="AP4239" s="92"/>
      <c r="AQ4239" s="67"/>
      <c r="AR4239" s="67"/>
      <c r="AS4239" s="73"/>
      <c r="AT4239" s="67"/>
      <c r="AU4239" s="67"/>
      <c r="AV4239" s="73"/>
      <c r="AW4239" s="68"/>
      <c r="AX4239" s="68"/>
      <c r="AY4239" s="68"/>
      <c r="AZ4239" s="68"/>
      <c r="BA4239" s="68"/>
      <c r="BB4239" s="67"/>
      <c r="BC4239" s="67"/>
      <c r="BD4239" s="67"/>
      <c r="BE4239" s="67"/>
      <c r="BF4239" s="95"/>
    </row>
    <row r="4240" spans="42:58" x14ac:dyDescent="0.35">
      <c r="AP4240" s="93"/>
      <c r="AQ4240" s="31"/>
      <c r="AR4240" s="31"/>
      <c r="AS4240" s="94"/>
      <c r="AT4240" s="31"/>
      <c r="AU4240" s="31"/>
      <c r="AV4240" s="94"/>
      <c r="AW4240" s="32"/>
      <c r="AX4240" s="32"/>
      <c r="AY4240" s="32"/>
      <c r="AZ4240" s="32"/>
      <c r="BA4240" s="32"/>
      <c r="BB4240" s="31"/>
      <c r="BC4240" s="31"/>
      <c r="BD4240" s="31"/>
      <c r="BE4240" s="31"/>
      <c r="BF4240" s="96"/>
    </row>
    <row r="4241" spans="42:58" x14ac:dyDescent="0.35">
      <c r="AP4241" s="92"/>
      <c r="AQ4241" s="67"/>
      <c r="AR4241" s="67"/>
      <c r="AS4241" s="73"/>
      <c r="AT4241" s="67"/>
      <c r="AU4241" s="67"/>
      <c r="AV4241" s="73"/>
      <c r="AW4241" s="68"/>
      <c r="AX4241" s="68"/>
      <c r="AY4241" s="68"/>
      <c r="AZ4241" s="68"/>
      <c r="BA4241" s="68"/>
      <c r="BB4241" s="67"/>
      <c r="BC4241" s="67"/>
      <c r="BD4241" s="67"/>
      <c r="BE4241" s="67"/>
      <c r="BF4241" s="95"/>
    </row>
    <row r="4242" spans="42:58" x14ac:dyDescent="0.35">
      <c r="AP4242" s="93"/>
      <c r="AQ4242" s="31"/>
      <c r="AR4242" s="31"/>
      <c r="AS4242" s="94"/>
      <c r="AT4242" s="31"/>
      <c r="AU4242" s="31"/>
      <c r="AV4242" s="94"/>
      <c r="AW4242" s="32"/>
      <c r="AX4242" s="32"/>
      <c r="AY4242" s="32"/>
      <c r="AZ4242" s="32"/>
      <c r="BA4242" s="32"/>
      <c r="BB4242" s="31"/>
      <c r="BC4242" s="31"/>
      <c r="BD4242" s="31"/>
      <c r="BE4242" s="31"/>
      <c r="BF4242" s="96"/>
    </row>
    <row r="4243" spans="42:58" x14ac:dyDescent="0.35">
      <c r="AP4243" s="92"/>
      <c r="AQ4243" s="67"/>
      <c r="AR4243" s="67"/>
      <c r="AS4243" s="73"/>
      <c r="AT4243" s="67"/>
      <c r="AU4243" s="67"/>
      <c r="AV4243" s="73"/>
      <c r="AW4243" s="68"/>
      <c r="AX4243" s="68"/>
      <c r="AY4243" s="68"/>
      <c r="AZ4243" s="68"/>
      <c r="BA4243" s="68"/>
      <c r="BB4243" s="67"/>
      <c r="BC4243" s="67"/>
      <c r="BD4243" s="67"/>
      <c r="BE4243" s="67"/>
      <c r="BF4243" s="95"/>
    </row>
    <row r="4244" spans="42:58" x14ac:dyDescent="0.35">
      <c r="AP4244" s="93"/>
      <c r="AQ4244" s="31"/>
      <c r="AR4244" s="31"/>
      <c r="AS4244" s="94"/>
      <c r="AT4244" s="31"/>
      <c r="AU4244" s="31"/>
      <c r="AV4244" s="94"/>
      <c r="AW4244" s="32"/>
      <c r="AX4244" s="32"/>
      <c r="AY4244" s="32"/>
      <c r="AZ4244" s="32"/>
      <c r="BA4244" s="32"/>
      <c r="BB4244" s="31"/>
      <c r="BC4244" s="31"/>
      <c r="BD4244" s="31"/>
      <c r="BE4244" s="31"/>
      <c r="BF4244" s="96"/>
    </row>
    <row r="4245" spans="42:58" x14ac:dyDescent="0.35">
      <c r="AP4245" s="92"/>
      <c r="AQ4245" s="67"/>
      <c r="AR4245" s="67"/>
      <c r="AS4245" s="73"/>
      <c r="AT4245" s="67"/>
      <c r="AU4245" s="67"/>
      <c r="AV4245" s="73"/>
      <c r="AW4245" s="68"/>
      <c r="AX4245" s="68"/>
      <c r="AY4245" s="68"/>
      <c r="AZ4245" s="68"/>
      <c r="BA4245" s="68"/>
      <c r="BB4245" s="67"/>
      <c r="BC4245" s="67"/>
      <c r="BD4245" s="67"/>
      <c r="BE4245" s="67"/>
      <c r="BF4245" s="95"/>
    </row>
    <row r="4246" spans="42:58" x14ac:dyDescent="0.35">
      <c r="AP4246" s="93"/>
      <c r="AQ4246" s="31"/>
      <c r="AR4246" s="31"/>
      <c r="AS4246" s="94"/>
      <c r="AT4246" s="31"/>
      <c r="AU4246" s="31"/>
      <c r="AV4246" s="94"/>
      <c r="AW4246" s="32"/>
      <c r="AX4246" s="32"/>
      <c r="AY4246" s="32"/>
      <c r="AZ4246" s="32"/>
      <c r="BA4246" s="32"/>
      <c r="BB4246" s="31"/>
      <c r="BC4246" s="31"/>
      <c r="BD4246" s="31"/>
      <c r="BE4246" s="31"/>
      <c r="BF4246" s="96"/>
    </row>
    <row r="4247" spans="42:58" x14ac:dyDescent="0.35">
      <c r="AP4247" s="92"/>
      <c r="AQ4247" s="67"/>
      <c r="AR4247" s="67"/>
      <c r="AS4247" s="73"/>
      <c r="AT4247" s="67"/>
      <c r="AU4247" s="67"/>
      <c r="AV4247" s="73"/>
      <c r="AW4247" s="68"/>
      <c r="AX4247" s="68"/>
      <c r="AY4247" s="68"/>
      <c r="AZ4247" s="68"/>
      <c r="BA4247" s="68"/>
      <c r="BB4247" s="67"/>
      <c r="BC4247" s="67"/>
      <c r="BD4247" s="67"/>
      <c r="BE4247" s="67"/>
      <c r="BF4247" s="95"/>
    </row>
    <row r="4248" spans="42:58" x14ac:dyDescent="0.35">
      <c r="AP4248" s="93"/>
      <c r="AQ4248" s="31"/>
      <c r="AR4248" s="31"/>
      <c r="AS4248" s="94"/>
      <c r="AT4248" s="31"/>
      <c r="AU4248" s="31"/>
      <c r="AV4248" s="94"/>
      <c r="AW4248" s="32"/>
      <c r="AX4248" s="32"/>
      <c r="AY4248" s="32"/>
      <c r="AZ4248" s="32"/>
      <c r="BA4248" s="32"/>
      <c r="BB4248" s="31"/>
      <c r="BC4248" s="31"/>
      <c r="BD4248" s="31"/>
      <c r="BE4248" s="31"/>
      <c r="BF4248" s="96"/>
    </row>
    <row r="4249" spans="42:58" x14ac:dyDescent="0.35">
      <c r="AP4249" s="92"/>
      <c r="AQ4249" s="67"/>
      <c r="AR4249" s="67"/>
      <c r="AS4249" s="73"/>
      <c r="AT4249" s="67"/>
      <c r="AU4249" s="67"/>
      <c r="AV4249" s="73"/>
      <c r="AW4249" s="68"/>
      <c r="AX4249" s="68"/>
      <c r="AY4249" s="68"/>
      <c r="AZ4249" s="68"/>
      <c r="BA4249" s="68"/>
      <c r="BB4249" s="67"/>
      <c r="BC4249" s="67"/>
      <c r="BD4249" s="67"/>
      <c r="BE4249" s="67"/>
      <c r="BF4249" s="95"/>
    </row>
    <row r="4250" spans="42:58" x14ac:dyDescent="0.35">
      <c r="AP4250" s="93"/>
      <c r="AQ4250" s="31"/>
      <c r="AR4250" s="31"/>
      <c r="AS4250" s="94"/>
      <c r="AT4250" s="31"/>
      <c r="AU4250" s="31"/>
      <c r="AV4250" s="94"/>
      <c r="AW4250" s="32"/>
      <c r="AX4250" s="32"/>
      <c r="AY4250" s="32"/>
      <c r="AZ4250" s="32"/>
      <c r="BA4250" s="32"/>
      <c r="BB4250" s="31"/>
      <c r="BC4250" s="31"/>
      <c r="BD4250" s="31"/>
      <c r="BE4250" s="31"/>
      <c r="BF4250" s="96"/>
    </row>
    <row r="4251" spans="42:58" x14ac:dyDescent="0.35">
      <c r="AP4251" s="92"/>
      <c r="AQ4251" s="67"/>
      <c r="AR4251" s="67"/>
      <c r="AS4251" s="73"/>
      <c r="AT4251" s="67"/>
      <c r="AU4251" s="67"/>
      <c r="AV4251" s="73"/>
      <c r="AW4251" s="68"/>
      <c r="AX4251" s="68"/>
      <c r="AY4251" s="68"/>
      <c r="AZ4251" s="68"/>
      <c r="BA4251" s="68"/>
      <c r="BB4251" s="67"/>
      <c r="BC4251" s="67"/>
      <c r="BD4251" s="67"/>
      <c r="BE4251" s="67"/>
      <c r="BF4251" s="95"/>
    </row>
    <row r="4252" spans="42:58" x14ac:dyDescent="0.35">
      <c r="AP4252" s="93"/>
      <c r="AQ4252" s="31"/>
      <c r="AR4252" s="31"/>
      <c r="AS4252" s="94"/>
      <c r="AT4252" s="31"/>
      <c r="AU4252" s="31"/>
      <c r="AV4252" s="94"/>
      <c r="AW4252" s="32"/>
      <c r="AX4252" s="32"/>
      <c r="AY4252" s="32"/>
      <c r="AZ4252" s="32"/>
      <c r="BA4252" s="32"/>
      <c r="BB4252" s="31"/>
      <c r="BC4252" s="31"/>
      <c r="BD4252" s="31"/>
      <c r="BE4252" s="31"/>
      <c r="BF4252" s="96"/>
    </row>
    <row r="4253" spans="42:58" x14ac:dyDescent="0.35">
      <c r="AP4253" s="92"/>
      <c r="AQ4253" s="67"/>
      <c r="AR4253" s="67"/>
      <c r="AS4253" s="73"/>
      <c r="AT4253" s="67"/>
      <c r="AU4253" s="67"/>
      <c r="AV4253" s="73"/>
      <c r="AW4253" s="68"/>
      <c r="AX4253" s="68"/>
      <c r="AY4253" s="68"/>
      <c r="AZ4253" s="68"/>
      <c r="BA4253" s="68"/>
      <c r="BB4253" s="67"/>
      <c r="BC4253" s="67"/>
      <c r="BD4253" s="67"/>
      <c r="BE4253" s="67"/>
      <c r="BF4253" s="95"/>
    </row>
    <row r="4254" spans="42:58" x14ac:dyDescent="0.35">
      <c r="AP4254" s="93"/>
      <c r="AQ4254" s="31"/>
      <c r="AR4254" s="31"/>
      <c r="AS4254" s="94"/>
      <c r="AT4254" s="31"/>
      <c r="AU4254" s="31"/>
      <c r="AV4254" s="94"/>
      <c r="AW4254" s="32"/>
      <c r="AX4254" s="32"/>
      <c r="AY4254" s="32"/>
      <c r="AZ4254" s="32"/>
      <c r="BA4254" s="32"/>
      <c r="BB4254" s="31"/>
      <c r="BC4254" s="31"/>
      <c r="BD4254" s="31"/>
      <c r="BE4254" s="31"/>
      <c r="BF4254" s="96"/>
    </row>
    <row r="4255" spans="42:58" x14ac:dyDescent="0.35">
      <c r="AP4255" s="92"/>
      <c r="AQ4255" s="67"/>
      <c r="AR4255" s="67"/>
      <c r="AS4255" s="73"/>
      <c r="AT4255" s="67"/>
      <c r="AU4255" s="67"/>
      <c r="AV4255" s="73"/>
      <c r="AW4255" s="68"/>
      <c r="AX4255" s="68"/>
      <c r="AY4255" s="68"/>
      <c r="AZ4255" s="68"/>
      <c r="BA4255" s="68"/>
      <c r="BB4255" s="67"/>
      <c r="BC4255" s="67"/>
      <c r="BD4255" s="67"/>
      <c r="BE4255" s="67"/>
      <c r="BF4255" s="95"/>
    </row>
    <row r="4256" spans="42:58" x14ac:dyDescent="0.35">
      <c r="AP4256" s="93"/>
      <c r="AQ4256" s="31"/>
      <c r="AR4256" s="31"/>
      <c r="AS4256" s="94"/>
      <c r="AT4256" s="31"/>
      <c r="AU4256" s="31"/>
      <c r="AV4256" s="94"/>
      <c r="AW4256" s="32"/>
      <c r="AX4256" s="32"/>
      <c r="AY4256" s="32"/>
      <c r="AZ4256" s="32"/>
      <c r="BA4256" s="32"/>
      <c r="BB4256" s="31"/>
      <c r="BC4256" s="31"/>
      <c r="BD4256" s="31"/>
      <c r="BE4256" s="31"/>
      <c r="BF4256" s="96"/>
    </row>
    <row r="4257" spans="42:58" x14ac:dyDescent="0.35">
      <c r="AP4257" s="92"/>
      <c r="AQ4257" s="67"/>
      <c r="AR4257" s="67"/>
      <c r="AS4257" s="73"/>
      <c r="AT4257" s="67"/>
      <c r="AU4257" s="67"/>
      <c r="AV4257" s="73"/>
      <c r="AW4257" s="68"/>
      <c r="AX4257" s="68"/>
      <c r="AY4257" s="68"/>
      <c r="AZ4257" s="68"/>
      <c r="BA4257" s="68"/>
      <c r="BB4257" s="67"/>
      <c r="BC4257" s="67"/>
      <c r="BD4257" s="67"/>
      <c r="BE4257" s="67"/>
      <c r="BF4257" s="95"/>
    </row>
    <row r="4258" spans="42:58" x14ac:dyDescent="0.35">
      <c r="AP4258" s="93"/>
      <c r="AQ4258" s="31"/>
      <c r="AR4258" s="31"/>
      <c r="AS4258" s="94"/>
      <c r="AT4258" s="31"/>
      <c r="AU4258" s="31"/>
      <c r="AV4258" s="94"/>
      <c r="AW4258" s="32"/>
      <c r="AX4258" s="32"/>
      <c r="AY4258" s="32"/>
      <c r="AZ4258" s="32"/>
      <c r="BA4258" s="32"/>
      <c r="BB4258" s="31"/>
      <c r="BC4258" s="31"/>
      <c r="BD4258" s="31"/>
      <c r="BE4258" s="31"/>
      <c r="BF4258" s="96"/>
    </row>
    <row r="4259" spans="42:58" x14ac:dyDescent="0.35">
      <c r="AP4259" s="92"/>
      <c r="AQ4259" s="67"/>
      <c r="AR4259" s="67"/>
      <c r="AS4259" s="73"/>
      <c r="AT4259" s="67"/>
      <c r="AU4259" s="67"/>
      <c r="AV4259" s="73"/>
      <c r="AW4259" s="68"/>
      <c r="AX4259" s="68"/>
      <c r="AY4259" s="68"/>
      <c r="AZ4259" s="68"/>
      <c r="BA4259" s="68"/>
      <c r="BB4259" s="67"/>
      <c r="BC4259" s="67"/>
      <c r="BD4259" s="67"/>
      <c r="BE4259" s="67"/>
      <c r="BF4259" s="95"/>
    </row>
    <row r="4260" spans="42:58" x14ac:dyDescent="0.35">
      <c r="AP4260" s="93"/>
      <c r="AQ4260" s="31"/>
      <c r="AR4260" s="31"/>
      <c r="AS4260" s="94"/>
      <c r="AT4260" s="31"/>
      <c r="AU4260" s="31"/>
      <c r="AV4260" s="94"/>
      <c r="AW4260" s="32"/>
      <c r="AX4260" s="32"/>
      <c r="AY4260" s="32"/>
      <c r="AZ4260" s="32"/>
      <c r="BA4260" s="32"/>
      <c r="BB4260" s="31"/>
      <c r="BC4260" s="31"/>
      <c r="BD4260" s="31"/>
      <c r="BE4260" s="31"/>
      <c r="BF4260" s="96"/>
    </row>
    <row r="4261" spans="42:58" x14ac:dyDescent="0.35">
      <c r="AP4261" s="92"/>
      <c r="AQ4261" s="67"/>
      <c r="AR4261" s="67"/>
      <c r="AS4261" s="73"/>
      <c r="AT4261" s="67"/>
      <c r="AU4261" s="67"/>
      <c r="AV4261" s="73"/>
      <c r="AW4261" s="68"/>
      <c r="AX4261" s="68"/>
      <c r="AY4261" s="68"/>
      <c r="AZ4261" s="68"/>
      <c r="BA4261" s="68"/>
      <c r="BB4261" s="67"/>
      <c r="BC4261" s="67"/>
      <c r="BD4261" s="67"/>
      <c r="BE4261" s="67"/>
      <c r="BF4261" s="95"/>
    </row>
    <row r="4262" spans="42:58" x14ac:dyDescent="0.35">
      <c r="AP4262" s="93"/>
      <c r="AQ4262" s="31"/>
      <c r="AR4262" s="31"/>
      <c r="AS4262" s="94"/>
      <c r="AT4262" s="31"/>
      <c r="AU4262" s="31"/>
      <c r="AV4262" s="94"/>
      <c r="AW4262" s="32"/>
      <c r="AX4262" s="32"/>
      <c r="AY4262" s="32"/>
      <c r="AZ4262" s="32"/>
      <c r="BA4262" s="32"/>
      <c r="BB4262" s="31"/>
      <c r="BC4262" s="31"/>
      <c r="BD4262" s="31"/>
      <c r="BE4262" s="31"/>
      <c r="BF4262" s="96"/>
    </row>
    <row r="4263" spans="42:58" x14ac:dyDescent="0.35">
      <c r="AP4263" s="92"/>
      <c r="AQ4263" s="67"/>
      <c r="AR4263" s="67"/>
      <c r="AS4263" s="73"/>
      <c r="AT4263" s="67"/>
      <c r="AU4263" s="67"/>
      <c r="AV4263" s="73"/>
      <c r="AW4263" s="68"/>
      <c r="AX4263" s="68"/>
      <c r="AY4263" s="68"/>
      <c r="AZ4263" s="68"/>
      <c r="BA4263" s="68"/>
      <c r="BB4263" s="67"/>
      <c r="BC4263" s="67"/>
      <c r="BD4263" s="67"/>
      <c r="BE4263" s="67"/>
      <c r="BF4263" s="95"/>
    </row>
    <row r="4264" spans="42:58" x14ac:dyDescent="0.35">
      <c r="AP4264" s="93"/>
      <c r="AQ4264" s="31"/>
      <c r="AR4264" s="31"/>
      <c r="AS4264" s="94"/>
      <c r="AT4264" s="31"/>
      <c r="AU4264" s="31"/>
      <c r="AV4264" s="94"/>
      <c r="AW4264" s="32"/>
      <c r="AX4264" s="32"/>
      <c r="AY4264" s="32"/>
      <c r="AZ4264" s="32"/>
      <c r="BA4264" s="32"/>
      <c r="BB4264" s="31"/>
      <c r="BC4264" s="31"/>
      <c r="BD4264" s="31"/>
      <c r="BE4264" s="31"/>
      <c r="BF4264" s="96"/>
    </row>
    <row r="4265" spans="42:58" x14ac:dyDescent="0.35">
      <c r="AP4265" s="92"/>
      <c r="AQ4265" s="67"/>
      <c r="AR4265" s="67"/>
      <c r="AS4265" s="73"/>
      <c r="AT4265" s="67"/>
      <c r="AU4265" s="67"/>
      <c r="AV4265" s="73"/>
      <c r="AW4265" s="68"/>
      <c r="AX4265" s="68"/>
      <c r="AY4265" s="68"/>
      <c r="AZ4265" s="68"/>
      <c r="BA4265" s="68"/>
      <c r="BB4265" s="67"/>
      <c r="BC4265" s="67"/>
      <c r="BD4265" s="67"/>
      <c r="BE4265" s="67"/>
      <c r="BF4265" s="95"/>
    </row>
    <row r="4266" spans="42:58" x14ac:dyDescent="0.35">
      <c r="AP4266" s="93"/>
      <c r="AQ4266" s="31"/>
      <c r="AR4266" s="31"/>
      <c r="AS4266" s="94"/>
      <c r="AT4266" s="31"/>
      <c r="AU4266" s="31"/>
      <c r="AV4266" s="94"/>
      <c r="AW4266" s="32"/>
      <c r="AX4266" s="32"/>
      <c r="AY4266" s="32"/>
      <c r="AZ4266" s="32"/>
      <c r="BA4266" s="32"/>
      <c r="BB4266" s="31"/>
      <c r="BC4266" s="31"/>
      <c r="BD4266" s="31"/>
      <c r="BE4266" s="31"/>
      <c r="BF4266" s="96"/>
    </row>
    <row r="4267" spans="42:58" x14ac:dyDescent="0.35">
      <c r="AP4267" s="92"/>
      <c r="AQ4267" s="67"/>
      <c r="AR4267" s="67"/>
      <c r="AS4267" s="73"/>
      <c r="AT4267" s="67"/>
      <c r="AU4267" s="67"/>
      <c r="AV4267" s="73"/>
      <c r="AW4267" s="68"/>
      <c r="AX4267" s="68"/>
      <c r="AY4267" s="68"/>
      <c r="AZ4267" s="68"/>
      <c r="BA4267" s="68"/>
      <c r="BB4267" s="67"/>
      <c r="BC4267" s="67"/>
      <c r="BD4267" s="67"/>
      <c r="BE4267" s="67"/>
      <c r="BF4267" s="95"/>
    </row>
    <row r="4268" spans="42:58" x14ac:dyDescent="0.35">
      <c r="AP4268" s="93"/>
      <c r="AQ4268" s="31"/>
      <c r="AR4268" s="31"/>
      <c r="AS4268" s="94"/>
      <c r="AT4268" s="31"/>
      <c r="AU4268" s="31"/>
      <c r="AV4268" s="94"/>
      <c r="AW4268" s="32"/>
      <c r="AX4268" s="32"/>
      <c r="AY4268" s="32"/>
      <c r="AZ4268" s="32"/>
      <c r="BA4268" s="32"/>
      <c r="BB4268" s="31"/>
      <c r="BC4268" s="31"/>
      <c r="BD4268" s="31"/>
      <c r="BE4268" s="31"/>
      <c r="BF4268" s="96"/>
    </row>
    <row r="4269" spans="42:58" x14ac:dyDescent="0.35">
      <c r="AP4269" s="92"/>
      <c r="AQ4269" s="67"/>
      <c r="AR4269" s="67"/>
      <c r="AS4269" s="73"/>
      <c r="AT4269" s="67"/>
      <c r="AU4269" s="67"/>
      <c r="AV4269" s="73"/>
      <c r="AW4269" s="68"/>
      <c r="AX4269" s="68"/>
      <c r="AY4269" s="68"/>
      <c r="AZ4269" s="68"/>
      <c r="BA4269" s="68"/>
      <c r="BB4269" s="67"/>
      <c r="BC4269" s="67"/>
      <c r="BD4269" s="67"/>
      <c r="BE4269" s="67"/>
      <c r="BF4269" s="95"/>
    </row>
    <row r="4270" spans="42:58" x14ac:dyDescent="0.35">
      <c r="AP4270" s="93"/>
      <c r="AQ4270" s="31"/>
      <c r="AR4270" s="31"/>
      <c r="AS4270" s="94"/>
      <c r="AT4270" s="31"/>
      <c r="AU4270" s="31"/>
      <c r="AV4270" s="94"/>
      <c r="AW4270" s="32"/>
      <c r="AX4270" s="32"/>
      <c r="AY4270" s="32"/>
      <c r="AZ4270" s="32"/>
      <c r="BA4270" s="32"/>
      <c r="BB4270" s="31"/>
      <c r="BC4270" s="31"/>
      <c r="BD4270" s="31"/>
      <c r="BE4270" s="31"/>
      <c r="BF4270" s="96"/>
    </row>
    <row r="4271" spans="42:58" x14ac:dyDescent="0.35">
      <c r="AP4271" s="92"/>
      <c r="AQ4271" s="67"/>
      <c r="AR4271" s="67"/>
      <c r="AS4271" s="73"/>
      <c r="AT4271" s="67"/>
      <c r="AU4271" s="67"/>
      <c r="AV4271" s="73"/>
      <c r="AW4271" s="68"/>
      <c r="AX4271" s="68"/>
      <c r="AY4271" s="68"/>
      <c r="AZ4271" s="68"/>
      <c r="BA4271" s="68"/>
      <c r="BB4271" s="67"/>
      <c r="BC4271" s="67"/>
      <c r="BD4271" s="67"/>
      <c r="BE4271" s="67"/>
      <c r="BF4271" s="95"/>
    </row>
    <row r="4272" spans="42:58" x14ac:dyDescent="0.35">
      <c r="AP4272" s="93"/>
      <c r="AQ4272" s="31"/>
      <c r="AR4272" s="31"/>
      <c r="AS4272" s="94"/>
      <c r="AT4272" s="31"/>
      <c r="AU4272" s="31"/>
      <c r="AV4272" s="94"/>
      <c r="AW4272" s="32"/>
      <c r="AX4272" s="32"/>
      <c r="AY4272" s="32"/>
      <c r="AZ4272" s="32"/>
      <c r="BA4272" s="32"/>
      <c r="BB4272" s="31"/>
      <c r="BC4272" s="31"/>
      <c r="BD4272" s="31"/>
      <c r="BE4272" s="31"/>
      <c r="BF4272" s="96"/>
    </row>
    <row r="4273" spans="42:58" x14ac:dyDescent="0.35">
      <c r="AP4273" s="92"/>
      <c r="AQ4273" s="67"/>
      <c r="AR4273" s="67"/>
      <c r="AS4273" s="73"/>
      <c r="AT4273" s="67"/>
      <c r="AU4273" s="67"/>
      <c r="AV4273" s="73"/>
      <c r="AW4273" s="68"/>
      <c r="AX4273" s="68"/>
      <c r="AY4273" s="68"/>
      <c r="AZ4273" s="68"/>
      <c r="BA4273" s="68"/>
      <c r="BB4273" s="67"/>
      <c r="BC4273" s="67"/>
      <c r="BD4273" s="67"/>
      <c r="BE4273" s="67"/>
      <c r="BF4273" s="95"/>
    </row>
    <row r="4274" spans="42:58" x14ac:dyDescent="0.35">
      <c r="AP4274" s="93"/>
      <c r="AQ4274" s="31"/>
      <c r="AR4274" s="31"/>
      <c r="AS4274" s="94"/>
      <c r="AT4274" s="31"/>
      <c r="AU4274" s="31"/>
      <c r="AV4274" s="94"/>
      <c r="AW4274" s="32"/>
      <c r="AX4274" s="32"/>
      <c r="AY4274" s="32"/>
      <c r="AZ4274" s="32"/>
      <c r="BA4274" s="32"/>
      <c r="BB4274" s="31"/>
      <c r="BC4274" s="31"/>
      <c r="BD4274" s="31"/>
      <c r="BE4274" s="31"/>
      <c r="BF4274" s="96"/>
    </row>
    <row r="4275" spans="42:58" x14ac:dyDescent="0.35">
      <c r="AP4275" s="92"/>
      <c r="AQ4275" s="67"/>
      <c r="AR4275" s="67"/>
      <c r="AS4275" s="73"/>
      <c r="AT4275" s="67"/>
      <c r="AU4275" s="67"/>
      <c r="AV4275" s="73"/>
      <c r="AW4275" s="68"/>
      <c r="AX4275" s="68"/>
      <c r="AY4275" s="68"/>
      <c r="AZ4275" s="68"/>
      <c r="BA4275" s="68"/>
      <c r="BB4275" s="67"/>
      <c r="BC4275" s="67"/>
      <c r="BD4275" s="67"/>
      <c r="BE4275" s="67"/>
      <c r="BF4275" s="95"/>
    </row>
    <row r="4276" spans="42:58" x14ac:dyDescent="0.35">
      <c r="AP4276" s="93"/>
      <c r="AQ4276" s="31"/>
      <c r="AR4276" s="31"/>
      <c r="AS4276" s="94"/>
      <c r="AT4276" s="31"/>
      <c r="AU4276" s="31"/>
      <c r="AV4276" s="94"/>
      <c r="AW4276" s="32"/>
      <c r="AX4276" s="32"/>
      <c r="AY4276" s="32"/>
      <c r="AZ4276" s="32"/>
      <c r="BA4276" s="32"/>
      <c r="BB4276" s="31"/>
      <c r="BC4276" s="31"/>
      <c r="BD4276" s="31"/>
      <c r="BE4276" s="31"/>
      <c r="BF4276" s="96"/>
    </row>
    <row r="4277" spans="42:58" x14ac:dyDescent="0.35">
      <c r="AP4277" s="92"/>
      <c r="AQ4277" s="67"/>
      <c r="AR4277" s="67"/>
      <c r="AS4277" s="73"/>
      <c r="AT4277" s="67"/>
      <c r="AU4277" s="67"/>
      <c r="AV4277" s="73"/>
      <c r="AW4277" s="68"/>
      <c r="AX4277" s="68"/>
      <c r="AY4277" s="68"/>
      <c r="AZ4277" s="68"/>
      <c r="BA4277" s="68"/>
      <c r="BB4277" s="67"/>
      <c r="BC4277" s="67"/>
      <c r="BD4277" s="67"/>
      <c r="BE4277" s="67"/>
      <c r="BF4277" s="95"/>
    </row>
    <row r="4278" spans="42:58" x14ac:dyDescent="0.35">
      <c r="AP4278" s="93"/>
      <c r="AQ4278" s="31"/>
      <c r="AR4278" s="31"/>
      <c r="AS4278" s="94"/>
      <c r="AT4278" s="31"/>
      <c r="AU4278" s="31"/>
      <c r="AV4278" s="94"/>
      <c r="AW4278" s="32"/>
      <c r="AX4278" s="32"/>
      <c r="AY4278" s="32"/>
      <c r="AZ4278" s="32"/>
      <c r="BA4278" s="32"/>
      <c r="BB4278" s="31"/>
      <c r="BC4278" s="31"/>
      <c r="BD4278" s="31"/>
      <c r="BE4278" s="31"/>
      <c r="BF4278" s="96"/>
    </row>
    <row r="4279" spans="42:58" x14ac:dyDescent="0.35">
      <c r="AP4279" s="92"/>
      <c r="AQ4279" s="67"/>
      <c r="AR4279" s="67"/>
      <c r="AS4279" s="73"/>
      <c r="AT4279" s="67"/>
      <c r="AU4279" s="67"/>
      <c r="AV4279" s="73"/>
      <c r="AW4279" s="68"/>
      <c r="AX4279" s="68"/>
      <c r="AY4279" s="68"/>
      <c r="AZ4279" s="68"/>
      <c r="BA4279" s="68"/>
      <c r="BB4279" s="67"/>
      <c r="BC4279" s="67"/>
      <c r="BD4279" s="67"/>
      <c r="BE4279" s="67"/>
      <c r="BF4279" s="95"/>
    </row>
    <row r="4280" spans="42:58" x14ac:dyDescent="0.35">
      <c r="AP4280" s="93"/>
      <c r="AQ4280" s="31"/>
      <c r="AR4280" s="31"/>
      <c r="AS4280" s="94"/>
      <c r="AT4280" s="31"/>
      <c r="AU4280" s="31"/>
      <c r="AV4280" s="94"/>
      <c r="AW4280" s="32"/>
      <c r="AX4280" s="32"/>
      <c r="AY4280" s="32"/>
      <c r="AZ4280" s="32"/>
      <c r="BA4280" s="32"/>
      <c r="BB4280" s="31"/>
      <c r="BC4280" s="31"/>
      <c r="BD4280" s="31"/>
      <c r="BE4280" s="31"/>
      <c r="BF4280" s="96"/>
    </row>
    <row r="4281" spans="42:58" x14ac:dyDescent="0.35">
      <c r="AP4281" s="92"/>
      <c r="AQ4281" s="67"/>
      <c r="AR4281" s="67"/>
      <c r="AS4281" s="73"/>
      <c r="AT4281" s="67"/>
      <c r="AU4281" s="67"/>
      <c r="AV4281" s="73"/>
      <c r="AW4281" s="68"/>
      <c r="AX4281" s="68"/>
      <c r="AY4281" s="68"/>
      <c r="AZ4281" s="68"/>
      <c r="BA4281" s="68"/>
      <c r="BB4281" s="67"/>
      <c r="BC4281" s="67"/>
      <c r="BD4281" s="67"/>
      <c r="BE4281" s="67"/>
      <c r="BF4281" s="95"/>
    </row>
    <row r="4282" spans="42:58" x14ac:dyDescent="0.35">
      <c r="AP4282" s="93"/>
      <c r="AQ4282" s="31"/>
      <c r="AR4282" s="31"/>
      <c r="AS4282" s="94"/>
      <c r="AT4282" s="31"/>
      <c r="AU4282" s="31"/>
      <c r="AV4282" s="94"/>
      <c r="AW4282" s="32"/>
      <c r="AX4282" s="32"/>
      <c r="AY4282" s="32"/>
      <c r="AZ4282" s="32"/>
      <c r="BA4282" s="32"/>
      <c r="BB4282" s="31"/>
      <c r="BC4282" s="31"/>
      <c r="BD4282" s="31"/>
      <c r="BE4282" s="31"/>
      <c r="BF4282" s="96"/>
    </row>
    <row r="4283" spans="42:58" x14ac:dyDescent="0.35">
      <c r="AP4283" s="92"/>
      <c r="AQ4283" s="67"/>
      <c r="AR4283" s="67"/>
      <c r="AS4283" s="73"/>
      <c r="AT4283" s="67"/>
      <c r="AU4283" s="67"/>
      <c r="AV4283" s="73"/>
      <c r="AW4283" s="68"/>
      <c r="AX4283" s="68"/>
      <c r="AY4283" s="68"/>
      <c r="AZ4283" s="68"/>
      <c r="BA4283" s="68"/>
      <c r="BB4283" s="67"/>
      <c r="BC4283" s="67"/>
      <c r="BD4283" s="67"/>
      <c r="BE4283" s="67"/>
      <c r="BF4283" s="95"/>
    </row>
    <row r="4284" spans="42:58" x14ac:dyDescent="0.35">
      <c r="AP4284" s="93"/>
      <c r="AQ4284" s="31"/>
      <c r="AR4284" s="31"/>
      <c r="AS4284" s="94"/>
      <c r="AT4284" s="31"/>
      <c r="AU4284" s="31"/>
      <c r="AV4284" s="94"/>
      <c r="AW4284" s="32"/>
      <c r="AX4284" s="32"/>
      <c r="AY4284" s="32"/>
      <c r="AZ4284" s="32"/>
      <c r="BA4284" s="32"/>
      <c r="BB4284" s="31"/>
      <c r="BC4284" s="31"/>
      <c r="BD4284" s="31"/>
      <c r="BE4284" s="31"/>
      <c r="BF4284" s="96"/>
    </row>
    <row r="4285" spans="42:58" x14ac:dyDescent="0.35">
      <c r="AP4285" s="92"/>
      <c r="AQ4285" s="67"/>
      <c r="AR4285" s="67"/>
      <c r="AS4285" s="73"/>
      <c r="AT4285" s="67"/>
      <c r="AU4285" s="67"/>
      <c r="AV4285" s="73"/>
      <c r="AW4285" s="68"/>
      <c r="AX4285" s="68"/>
      <c r="AY4285" s="68"/>
      <c r="AZ4285" s="68"/>
      <c r="BA4285" s="68"/>
      <c r="BB4285" s="67"/>
      <c r="BC4285" s="67"/>
      <c r="BD4285" s="67"/>
      <c r="BE4285" s="67"/>
      <c r="BF4285" s="95"/>
    </row>
    <row r="4286" spans="42:58" x14ac:dyDescent="0.35">
      <c r="AP4286" s="93"/>
      <c r="AQ4286" s="31"/>
      <c r="AR4286" s="31"/>
      <c r="AS4286" s="94"/>
      <c r="AT4286" s="31"/>
      <c r="AU4286" s="31"/>
      <c r="AV4286" s="94"/>
      <c r="AW4286" s="32"/>
      <c r="AX4286" s="32"/>
      <c r="AY4286" s="32"/>
      <c r="AZ4286" s="32"/>
      <c r="BA4286" s="32"/>
      <c r="BB4286" s="31"/>
      <c r="BC4286" s="31"/>
      <c r="BD4286" s="31"/>
      <c r="BE4286" s="31"/>
      <c r="BF4286" s="96"/>
    </row>
    <row r="4287" spans="42:58" x14ac:dyDescent="0.35">
      <c r="AP4287" s="92"/>
      <c r="AQ4287" s="67"/>
      <c r="AR4287" s="67"/>
      <c r="AS4287" s="73"/>
      <c r="AT4287" s="67"/>
      <c r="AU4287" s="67"/>
      <c r="AV4287" s="73"/>
      <c r="AW4287" s="68"/>
      <c r="AX4287" s="68"/>
      <c r="AY4287" s="68"/>
      <c r="AZ4287" s="68"/>
      <c r="BA4287" s="68"/>
      <c r="BB4287" s="67"/>
      <c r="BC4287" s="67"/>
      <c r="BD4287" s="67"/>
      <c r="BE4287" s="67"/>
      <c r="BF4287" s="95"/>
    </row>
    <row r="4288" spans="42:58" x14ac:dyDescent="0.35">
      <c r="AP4288" s="93"/>
      <c r="AQ4288" s="31"/>
      <c r="AR4288" s="31"/>
      <c r="AS4288" s="94"/>
      <c r="AT4288" s="31"/>
      <c r="AU4288" s="31"/>
      <c r="AV4288" s="94"/>
      <c r="AW4288" s="32"/>
      <c r="AX4288" s="32"/>
      <c r="AY4288" s="32"/>
      <c r="AZ4288" s="32"/>
      <c r="BA4288" s="32"/>
      <c r="BB4288" s="31"/>
      <c r="BC4288" s="31"/>
      <c r="BD4288" s="31"/>
      <c r="BE4288" s="31"/>
      <c r="BF4288" s="96"/>
    </row>
    <row r="4289" spans="42:58" x14ac:dyDescent="0.35">
      <c r="AP4289" s="92"/>
      <c r="AQ4289" s="67"/>
      <c r="AR4289" s="67"/>
      <c r="AS4289" s="73"/>
      <c r="AT4289" s="67"/>
      <c r="AU4289" s="67"/>
      <c r="AV4289" s="73"/>
      <c r="AW4289" s="68"/>
      <c r="AX4289" s="68"/>
      <c r="AY4289" s="68"/>
      <c r="AZ4289" s="68"/>
      <c r="BA4289" s="68"/>
      <c r="BB4289" s="67"/>
      <c r="BC4289" s="67"/>
      <c r="BD4289" s="67"/>
      <c r="BE4289" s="67"/>
      <c r="BF4289" s="95"/>
    </row>
    <row r="4290" spans="42:58" x14ac:dyDescent="0.35">
      <c r="AP4290" s="93"/>
      <c r="AQ4290" s="31"/>
      <c r="AR4290" s="31"/>
      <c r="AS4290" s="94"/>
      <c r="AT4290" s="31"/>
      <c r="AU4290" s="31"/>
      <c r="AV4290" s="94"/>
      <c r="AW4290" s="32"/>
      <c r="AX4290" s="32"/>
      <c r="AY4290" s="32"/>
      <c r="AZ4290" s="32"/>
      <c r="BA4290" s="32"/>
      <c r="BB4290" s="31"/>
      <c r="BC4290" s="31"/>
      <c r="BD4290" s="31"/>
      <c r="BE4290" s="31"/>
      <c r="BF4290" s="96"/>
    </row>
    <row r="4291" spans="42:58" x14ac:dyDescent="0.35">
      <c r="AP4291" s="92"/>
      <c r="AQ4291" s="67"/>
      <c r="AR4291" s="67"/>
      <c r="AS4291" s="73"/>
      <c r="AT4291" s="67"/>
      <c r="AU4291" s="67"/>
      <c r="AV4291" s="73"/>
      <c r="AW4291" s="68"/>
      <c r="AX4291" s="68"/>
      <c r="AY4291" s="68"/>
      <c r="AZ4291" s="68"/>
      <c r="BA4291" s="68"/>
      <c r="BB4291" s="67"/>
      <c r="BC4291" s="67"/>
      <c r="BD4291" s="67"/>
      <c r="BE4291" s="67"/>
      <c r="BF4291" s="95"/>
    </row>
    <row r="4292" spans="42:58" x14ac:dyDescent="0.35">
      <c r="AP4292" s="93"/>
      <c r="AQ4292" s="31"/>
      <c r="AR4292" s="31"/>
      <c r="AS4292" s="94"/>
      <c r="AT4292" s="31"/>
      <c r="AU4292" s="31"/>
      <c r="AV4292" s="94"/>
      <c r="AW4292" s="32"/>
      <c r="AX4292" s="32"/>
      <c r="AY4292" s="32"/>
      <c r="AZ4292" s="32"/>
      <c r="BA4292" s="32"/>
      <c r="BB4292" s="31"/>
      <c r="BC4292" s="31"/>
      <c r="BD4292" s="31"/>
      <c r="BE4292" s="31"/>
      <c r="BF4292" s="96"/>
    </row>
    <row r="4293" spans="42:58" x14ac:dyDescent="0.35">
      <c r="AP4293" s="92"/>
      <c r="AQ4293" s="67"/>
      <c r="AR4293" s="67"/>
      <c r="AS4293" s="73"/>
      <c r="AT4293" s="67"/>
      <c r="AU4293" s="67"/>
      <c r="AV4293" s="73"/>
      <c r="AW4293" s="68"/>
      <c r="AX4293" s="68"/>
      <c r="AY4293" s="68"/>
      <c r="AZ4293" s="68"/>
      <c r="BA4293" s="68"/>
      <c r="BB4293" s="67"/>
      <c r="BC4293" s="67"/>
      <c r="BD4293" s="67"/>
      <c r="BE4293" s="67"/>
      <c r="BF4293" s="95"/>
    </row>
    <row r="4294" spans="42:58" x14ac:dyDescent="0.35">
      <c r="AP4294" s="93"/>
      <c r="AQ4294" s="31"/>
      <c r="AR4294" s="31"/>
      <c r="AS4294" s="94"/>
      <c r="AT4294" s="31"/>
      <c r="AU4294" s="31"/>
      <c r="AV4294" s="94"/>
      <c r="AW4294" s="32"/>
      <c r="AX4294" s="32"/>
      <c r="AY4294" s="32"/>
      <c r="AZ4294" s="32"/>
      <c r="BA4294" s="32"/>
      <c r="BB4294" s="31"/>
      <c r="BC4294" s="31"/>
      <c r="BD4294" s="31"/>
      <c r="BE4294" s="31"/>
      <c r="BF4294" s="96"/>
    </row>
    <row r="4295" spans="42:58" x14ac:dyDescent="0.35">
      <c r="AP4295" s="92"/>
      <c r="AQ4295" s="67"/>
      <c r="AR4295" s="67"/>
      <c r="AS4295" s="73"/>
      <c r="AT4295" s="67"/>
      <c r="AU4295" s="67"/>
      <c r="AV4295" s="73"/>
      <c r="AW4295" s="68"/>
      <c r="AX4295" s="68"/>
      <c r="AY4295" s="68"/>
      <c r="AZ4295" s="68"/>
      <c r="BA4295" s="68"/>
      <c r="BB4295" s="67"/>
      <c r="BC4295" s="67"/>
      <c r="BD4295" s="67"/>
      <c r="BE4295" s="67"/>
      <c r="BF4295" s="95"/>
    </row>
    <row r="4296" spans="42:58" x14ac:dyDescent="0.35">
      <c r="AP4296" s="93"/>
      <c r="AQ4296" s="31"/>
      <c r="AR4296" s="31"/>
      <c r="AS4296" s="94"/>
      <c r="AT4296" s="31"/>
      <c r="AU4296" s="31"/>
      <c r="AV4296" s="94"/>
      <c r="AW4296" s="32"/>
      <c r="AX4296" s="32"/>
      <c r="AY4296" s="32"/>
      <c r="AZ4296" s="32"/>
      <c r="BA4296" s="32"/>
      <c r="BB4296" s="31"/>
      <c r="BC4296" s="31"/>
      <c r="BD4296" s="31"/>
      <c r="BE4296" s="31"/>
      <c r="BF4296" s="96"/>
    </row>
    <row r="4297" spans="42:58" x14ac:dyDescent="0.35">
      <c r="AP4297" s="92"/>
      <c r="AQ4297" s="67"/>
      <c r="AR4297" s="67"/>
      <c r="AS4297" s="73"/>
      <c r="AT4297" s="67"/>
      <c r="AU4297" s="67"/>
      <c r="AV4297" s="73"/>
      <c r="AW4297" s="68"/>
      <c r="AX4297" s="68"/>
      <c r="AY4297" s="68"/>
      <c r="AZ4297" s="68"/>
      <c r="BA4297" s="68"/>
      <c r="BB4297" s="67"/>
      <c r="BC4297" s="67"/>
      <c r="BD4297" s="67"/>
      <c r="BE4297" s="67"/>
      <c r="BF4297" s="95"/>
    </row>
    <row r="4298" spans="42:58" x14ac:dyDescent="0.35">
      <c r="AP4298" s="93"/>
      <c r="AQ4298" s="31"/>
      <c r="AR4298" s="31"/>
      <c r="AS4298" s="94"/>
      <c r="AT4298" s="31"/>
      <c r="AU4298" s="31"/>
      <c r="AV4298" s="94"/>
      <c r="AW4298" s="32"/>
      <c r="AX4298" s="32"/>
      <c r="AY4298" s="32"/>
      <c r="AZ4298" s="32"/>
      <c r="BA4298" s="32"/>
      <c r="BB4298" s="31"/>
      <c r="BC4298" s="31"/>
      <c r="BD4298" s="31"/>
      <c r="BE4298" s="31"/>
      <c r="BF4298" s="96"/>
    </row>
    <row r="4299" spans="42:58" x14ac:dyDescent="0.35">
      <c r="AP4299" s="92"/>
      <c r="AQ4299" s="67"/>
      <c r="AR4299" s="67"/>
      <c r="AS4299" s="73"/>
      <c r="AT4299" s="67"/>
      <c r="AU4299" s="67"/>
      <c r="AV4299" s="73"/>
      <c r="AW4299" s="68"/>
      <c r="AX4299" s="68"/>
      <c r="AY4299" s="68"/>
      <c r="AZ4299" s="68"/>
      <c r="BA4299" s="68"/>
      <c r="BB4299" s="67"/>
      <c r="BC4299" s="67"/>
      <c r="BD4299" s="67"/>
      <c r="BE4299" s="67"/>
      <c r="BF4299" s="95"/>
    </row>
    <row r="4300" spans="42:58" x14ac:dyDescent="0.35">
      <c r="AP4300" s="93"/>
      <c r="AQ4300" s="31"/>
      <c r="AR4300" s="31"/>
      <c r="AS4300" s="94"/>
      <c r="AT4300" s="31"/>
      <c r="AU4300" s="31"/>
      <c r="AV4300" s="94"/>
      <c r="AW4300" s="32"/>
      <c r="AX4300" s="32"/>
      <c r="AY4300" s="32"/>
      <c r="AZ4300" s="32"/>
      <c r="BA4300" s="32"/>
      <c r="BB4300" s="31"/>
      <c r="BC4300" s="31"/>
      <c r="BD4300" s="31"/>
      <c r="BE4300" s="31"/>
      <c r="BF4300" s="96"/>
    </row>
    <row r="4301" spans="42:58" x14ac:dyDescent="0.35">
      <c r="AP4301" s="92"/>
      <c r="AQ4301" s="67"/>
      <c r="AR4301" s="67"/>
      <c r="AS4301" s="73"/>
      <c r="AT4301" s="67"/>
      <c r="AU4301" s="67"/>
      <c r="AV4301" s="73"/>
      <c r="AW4301" s="68"/>
      <c r="AX4301" s="68"/>
      <c r="AY4301" s="68"/>
      <c r="AZ4301" s="68"/>
      <c r="BA4301" s="68"/>
      <c r="BB4301" s="67"/>
      <c r="BC4301" s="67"/>
      <c r="BD4301" s="67"/>
      <c r="BE4301" s="67"/>
      <c r="BF4301" s="95"/>
    </row>
    <row r="4302" spans="42:58" x14ac:dyDescent="0.35">
      <c r="AP4302" s="93"/>
      <c r="AQ4302" s="31"/>
      <c r="AR4302" s="31"/>
      <c r="AS4302" s="94"/>
      <c r="AT4302" s="31"/>
      <c r="AU4302" s="31"/>
      <c r="AV4302" s="94"/>
      <c r="AW4302" s="32"/>
      <c r="AX4302" s="32"/>
      <c r="AY4302" s="32"/>
      <c r="AZ4302" s="32"/>
      <c r="BA4302" s="32"/>
      <c r="BB4302" s="31"/>
      <c r="BC4302" s="31"/>
      <c r="BD4302" s="31"/>
      <c r="BE4302" s="31"/>
      <c r="BF4302" s="96"/>
    </row>
    <row r="4303" spans="42:58" x14ac:dyDescent="0.35">
      <c r="AP4303" s="92"/>
      <c r="AQ4303" s="67"/>
      <c r="AR4303" s="67"/>
      <c r="AS4303" s="73"/>
      <c r="AT4303" s="67"/>
      <c r="AU4303" s="67"/>
      <c r="AV4303" s="73"/>
      <c r="AW4303" s="68"/>
      <c r="AX4303" s="68"/>
      <c r="AY4303" s="68"/>
      <c r="AZ4303" s="68"/>
      <c r="BA4303" s="68"/>
      <c r="BB4303" s="67"/>
      <c r="BC4303" s="67"/>
      <c r="BD4303" s="67"/>
      <c r="BE4303" s="67"/>
      <c r="BF4303" s="95"/>
    </row>
    <row r="4304" spans="42:58" x14ac:dyDescent="0.35">
      <c r="AP4304" s="93"/>
      <c r="AQ4304" s="31"/>
      <c r="AR4304" s="31"/>
      <c r="AS4304" s="94"/>
      <c r="AT4304" s="31"/>
      <c r="AU4304" s="31"/>
      <c r="AV4304" s="94"/>
      <c r="AW4304" s="32"/>
      <c r="AX4304" s="32"/>
      <c r="AY4304" s="32"/>
      <c r="AZ4304" s="32"/>
      <c r="BA4304" s="32"/>
      <c r="BB4304" s="31"/>
      <c r="BC4304" s="31"/>
      <c r="BD4304" s="31"/>
      <c r="BE4304" s="31"/>
      <c r="BF4304" s="96"/>
    </row>
    <row r="4305" spans="42:58" x14ac:dyDescent="0.35">
      <c r="AP4305" s="92"/>
      <c r="AQ4305" s="67"/>
      <c r="AR4305" s="67"/>
      <c r="AS4305" s="73"/>
      <c r="AT4305" s="67"/>
      <c r="AU4305" s="67"/>
      <c r="AV4305" s="73"/>
      <c r="AW4305" s="68"/>
      <c r="AX4305" s="68"/>
      <c r="AY4305" s="68"/>
      <c r="AZ4305" s="68"/>
      <c r="BA4305" s="68"/>
      <c r="BB4305" s="67"/>
      <c r="BC4305" s="67"/>
      <c r="BD4305" s="67"/>
      <c r="BE4305" s="67"/>
      <c r="BF4305" s="95"/>
    </row>
    <row r="4306" spans="42:58" x14ac:dyDescent="0.35">
      <c r="AP4306" s="93"/>
      <c r="AQ4306" s="31"/>
      <c r="AR4306" s="31"/>
      <c r="AS4306" s="94"/>
      <c r="AT4306" s="31"/>
      <c r="AU4306" s="31"/>
      <c r="AV4306" s="94"/>
      <c r="AW4306" s="32"/>
      <c r="AX4306" s="32"/>
      <c r="AY4306" s="32"/>
      <c r="AZ4306" s="32"/>
      <c r="BA4306" s="32"/>
      <c r="BB4306" s="31"/>
      <c r="BC4306" s="31"/>
      <c r="BD4306" s="31"/>
      <c r="BE4306" s="31"/>
      <c r="BF4306" s="96"/>
    </row>
    <row r="4307" spans="42:58" x14ac:dyDescent="0.35">
      <c r="AP4307" s="92"/>
      <c r="AQ4307" s="67"/>
      <c r="AR4307" s="67"/>
      <c r="AS4307" s="73"/>
      <c r="AT4307" s="67"/>
      <c r="AU4307" s="67"/>
      <c r="AV4307" s="73"/>
      <c r="AW4307" s="68"/>
      <c r="AX4307" s="68"/>
      <c r="AY4307" s="68"/>
      <c r="AZ4307" s="68"/>
      <c r="BA4307" s="68"/>
      <c r="BB4307" s="67"/>
      <c r="BC4307" s="67"/>
      <c r="BD4307" s="67"/>
      <c r="BE4307" s="67"/>
      <c r="BF4307" s="95"/>
    </row>
    <row r="4308" spans="42:58" x14ac:dyDescent="0.35">
      <c r="AP4308" s="93"/>
      <c r="AQ4308" s="31"/>
      <c r="AR4308" s="31"/>
      <c r="AS4308" s="94"/>
      <c r="AT4308" s="31"/>
      <c r="AU4308" s="31"/>
      <c r="AV4308" s="94"/>
      <c r="AW4308" s="32"/>
      <c r="AX4308" s="32"/>
      <c r="AY4308" s="32"/>
      <c r="AZ4308" s="32"/>
      <c r="BA4308" s="32"/>
      <c r="BB4308" s="31"/>
      <c r="BC4308" s="31"/>
      <c r="BD4308" s="31"/>
      <c r="BE4308" s="31"/>
      <c r="BF4308" s="96"/>
    </row>
    <row r="4309" spans="42:58" x14ac:dyDescent="0.35">
      <c r="AP4309" s="92"/>
      <c r="AQ4309" s="67"/>
      <c r="AR4309" s="67"/>
      <c r="AS4309" s="73"/>
      <c r="AT4309" s="67"/>
      <c r="AU4309" s="67"/>
      <c r="AV4309" s="73"/>
      <c r="AW4309" s="68"/>
      <c r="AX4309" s="68"/>
      <c r="AY4309" s="68"/>
      <c r="AZ4309" s="68"/>
      <c r="BA4309" s="68"/>
      <c r="BB4309" s="67"/>
      <c r="BC4309" s="67"/>
      <c r="BD4309" s="67"/>
      <c r="BE4309" s="67"/>
      <c r="BF4309" s="95"/>
    </row>
    <row r="4310" spans="42:58" x14ac:dyDescent="0.35">
      <c r="AP4310" s="93"/>
      <c r="AQ4310" s="31"/>
      <c r="AR4310" s="31"/>
      <c r="AS4310" s="94"/>
      <c r="AT4310" s="31"/>
      <c r="AU4310" s="31"/>
      <c r="AV4310" s="94"/>
      <c r="AW4310" s="32"/>
      <c r="AX4310" s="32"/>
      <c r="AY4310" s="32"/>
      <c r="AZ4310" s="32"/>
      <c r="BA4310" s="32"/>
      <c r="BB4310" s="31"/>
      <c r="BC4310" s="31"/>
      <c r="BD4310" s="31"/>
      <c r="BE4310" s="31"/>
      <c r="BF4310" s="96"/>
    </row>
    <row r="4311" spans="42:58" x14ac:dyDescent="0.35">
      <c r="AP4311" s="92"/>
      <c r="AQ4311" s="67"/>
      <c r="AR4311" s="67"/>
      <c r="AS4311" s="73"/>
      <c r="AT4311" s="67"/>
      <c r="AU4311" s="67"/>
      <c r="AV4311" s="73"/>
      <c r="AW4311" s="68"/>
      <c r="AX4311" s="68"/>
      <c r="AY4311" s="68"/>
      <c r="AZ4311" s="68"/>
      <c r="BA4311" s="68"/>
      <c r="BB4311" s="67"/>
      <c r="BC4311" s="67"/>
      <c r="BD4311" s="67"/>
      <c r="BE4311" s="67"/>
      <c r="BF4311" s="95"/>
    </row>
    <row r="4312" spans="42:58" x14ac:dyDescent="0.35">
      <c r="AP4312" s="93"/>
      <c r="AQ4312" s="31"/>
      <c r="AR4312" s="31"/>
      <c r="AS4312" s="94"/>
      <c r="AT4312" s="31"/>
      <c r="AU4312" s="31"/>
      <c r="AV4312" s="94"/>
      <c r="AW4312" s="32"/>
      <c r="AX4312" s="32"/>
      <c r="AY4312" s="32"/>
      <c r="AZ4312" s="32"/>
      <c r="BA4312" s="32"/>
      <c r="BB4312" s="31"/>
      <c r="BC4312" s="31"/>
      <c r="BD4312" s="31"/>
      <c r="BE4312" s="31"/>
      <c r="BF4312" s="96"/>
    </row>
    <row r="4313" spans="42:58" x14ac:dyDescent="0.35">
      <c r="AP4313" s="92"/>
      <c r="AQ4313" s="67"/>
      <c r="AR4313" s="67"/>
      <c r="AS4313" s="73"/>
      <c r="AT4313" s="67"/>
      <c r="AU4313" s="67"/>
      <c r="AV4313" s="73"/>
      <c r="AW4313" s="68"/>
      <c r="AX4313" s="68"/>
      <c r="AY4313" s="68"/>
      <c r="AZ4313" s="68"/>
      <c r="BA4313" s="68"/>
      <c r="BB4313" s="67"/>
      <c r="BC4313" s="67"/>
      <c r="BD4313" s="67"/>
      <c r="BE4313" s="67"/>
      <c r="BF4313" s="95"/>
    </row>
    <row r="4314" spans="42:58" x14ac:dyDescent="0.35">
      <c r="AP4314" s="93"/>
      <c r="AQ4314" s="31"/>
      <c r="AR4314" s="31"/>
      <c r="AS4314" s="94"/>
      <c r="AT4314" s="31"/>
      <c r="AU4314" s="31"/>
      <c r="AV4314" s="94"/>
      <c r="AW4314" s="32"/>
      <c r="AX4314" s="32"/>
      <c r="AY4314" s="32"/>
      <c r="AZ4314" s="32"/>
      <c r="BA4314" s="32"/>
      <c r="BB4314" s="31"/>
      <c r="BC4314" s="31"/>
      <c r="BD4314" s="31"/>
      <c r="BE4314" s="31"/>
      <c r="BF4314" s="96"/>
    </row>
    <row r="4315" spans="42:58" x14ac:dyDescent="0.35">
      <c r="AP4315" s="92"/>
      <c r="AQ4315" s="67"/>
      <c r="AR4315" s="67"/>
      <c r="AS4315" s="73"/>
      <c r="AT4315" s="67"/>
      <c r="AU4315" s="67"/>
      <c r="AV4315" s="73"/>
      <c r="AW4315" s="68"/>
      <c r="AX4315" s="68"/>
      <c r="AY4315" s="68"/>
      <c r="AZ4315" s="68"/>
      <c r="BA4315" s="68"/>
      <c r="BB4315" s="67"/>
      <c r="BC4315" s="67"/>
      <c r="BD4315" s="67"/>
      <c r="BE4315" s="67"/>
      <c r="BF4315" s="95"/>
    </row>
    <row r="4316" spans="42:58" x14ac:dyDescent="0.35">
      <c r="AP4316" s="93"/>
      <c r="AQ4316" s="31"/>
      <c r="AR4316" s="31"/>
      <c r="AS4316" s="94"/>
      <c r="AT4316" s="31"/>
      <c r="AU4316" s="31"/>
      <c r="AV4316" s="94"/>
      <c r="AW4316" s="32"/>
      <c r="AX4316" s="32"/>
      <c r="AY4316" s="32"/>
      <c r="AZ4316" s="32"/>
      <c r="BA4316" s="32"/>
      <c r="BB4316" s="31"/>
      <c r="BC4316" s="31"/>
      <c r="BD4316" s="31"/>
      <c r="BE4316" s="31"/>
      <c r="BF4316" s="96"/>
    </row>
    <row r="4317" spans="42:58" x14ac:dyDescent="0.35">
      <c r="AP4317" s="92"/>
      <c r="AQ4317" s="67"/>
      <c r="AR4317" s="67"/>
      <c r="AS4317" s="73"/>
      <c r="AT4317" s="67"/>
      <c r="AU4317" s="67"/>
      <c r="AV4317" s="73"/>
      <c r="AW4317" s="68"/>
      <c r="AX4317" s="68"/>
      <c r="AY4317" s="68"/>
      <c r="AZ4317" s="68"/>
      <c r="BA4317" s="68"/>
      <c r="BB4317" s="67"/>
      <c r="BC4317" s="67"/>
      <c r="BD4317" s="67"/>
      <c r="BE4317" s="67"/>
      <c r="BF4317" s="95"/>
    </row>
    <row r="4318" spans="42:58" x14ac:dyDescent="0.35">
      <c r="AP4318" s="93"/>
      <c r="AQ4318" s="31"/>
      <c r="AR4318" s="31"/>
      <c r="AS4318" s="94"/>
      <c r="AT4318" s="31"/>
      <c r="AU4318" s="31"/>
      <c r="AV4318" s="94"/>
      <c r="AW4318" s="32"/>
      <c r="AX4318" s="32"/>
      <c r="AY4318" s="32"/>
      <c r="AZ4318" s="32"/>
      <c r="BA4318" s="32"/>
      <c r="BB4318" s="31"/>
      <c r="BC4318" s="31"/>
      <c r="BD4318" s="31"/>
      <c r="BE4318" s="31"/>
      <c r="BF4318" s="96"/>
    </row>
    <row r="4319" spans="42:58" x14ac:dyDescent="0.35">
      <c r="AP4319" s="92"/>
      <c r="AQ4319" s="67"/>
      <c r="AR4319" s="67"/>
      <c r="AS4319" s="73"/>
      <c r="AT4319" s="67"/>
      <c r="AU4319" s="67"/>
      <c r="AV4319" s="73"/>
      <c r="AW4319" s="68"/>
      <c r="AX4319" s="68"/>
      <c r="AY4319" s="68"/>
      <c r="AZ4319" s="68"/>
      <c r="BA4319" s="68"/>
      <c r="BB4319" s="67"/>
      <c r="BC4319" s="67"/>
      <c r="BD4319" s="67"/>
      <c r="BE4319" s="67"/>
      <c r="BF4319" s="95"/>
    </row>
    <row r="4320" spans="42:58" x14ac:dyDescent="0.35">
      <c r="AP4320" s="93"/>
      <c r="AQ4320" s="31"/>
      <c r="AR4320" s="31"/>
      <c r="AS4320" s="94"/>
      <c r="AT4320" s="31"/>
      <c r="AU4320" s="31"/>
      <c r="AV4320" s="94"/>
      <c r="AW4320" s="32"/>
      <c r="AX4320" s="32"/>
      <c r="AY4320" s="32"/>
      <c r="AZ4320" s="32"/>
      <c r="BA4320" s="32"/>
      <c r="BB4320" s="31"/>
      <c r="BC4320" s="31"/>
      <c r="BD4320" s="31"/>
      <c r="BE4320" s="31"/>
      <c r="BF4320" s="96"/>
    </row>
    <row r="4321" spans="42:58" x14ac:dyDescent="0.35">
      <c r="AP4321" s="92"/>
      <c r="AQ4321" s="67"/>
      <c r="AR4321" s="67"/>
      <c r="AS4321" s="73"/>
      <c r="AT4321" s="67"/>
      <c r="AU4321" s="67"/>
      <c r="AV4321" s="73"/>
      <c r="AW4321" s="68"/>
      <c r="AX4321" s="68"/>
      <c r="AY4321" s="68"/>
      <c r="AZ4321" s="68"/>
      <c r="BA4321" s="68"/>
      <c r="BB4321" s="67"/>
      <c r="BC4321" s="67"/>
      <c r="BD4321" s="67"/>
      <c r="BE4321" s="67"/>
      <c r="BF4321" s="95"/>
    </row>
    <row r="4322" spans="42:58" x14ac:dyDescent="0.35">
      <c r="AP4322" s="93"/>
      <c r="AQ4322" s="31"/>
      <c r="AR4322" s="31"/>
      <c r="AS4322" s="94"/>
      <c r="AT4322" s="31"/>
      <c r="AU4322" s="31"/>
      <c r="AV4322" s="94"/>
      <c r="AW4322" s="32"/>
      <c r="AX4322" s="32"/>
      <c r="AY4322" s="32"/>
      <c r="AZ4322" s="32"/>
      <c r="BA4322" s="32"/>
      <c r="BB4322" s="31"/>
      <c r="BC4322" s="31"/>
      <c r="BD4322" s="31"/>
      <c r="BE4322" s="31"/>
      <c r="BF4322" s="96"/>
    </row>
    <row r="4323" spans="42:58" x14ac:dyDescent="0.35">
      <c r="AP4323" s="92"/>
      <c r="AQ4323" s="67"/>
      <c r="AR4323" s="67"/>
      <c r="AS4323" s="73"/>
      <c r="AT4323" s="67"/>
      <c r="AU4323" s="67"/>
      <c r="AV4323" s="73"/>
      <c r="AW4323" s="68"/>
      <c r="AX4323" s="68"/>
      <c r="AY4323" s="68"/>
      <c r="AZ4323" s="68"/>
      <c r="BA4323" s="68"/>
      <c r="BB4323" s="67"/>
      <c r="BC4323" s="67"/>
      <c r="BD4323" s="67"/>
      <c r="BE4323" s="67"/>
      <c r="BF4323" s="95"/>
    </row>
    <row r="4324" spans="42:58" x14ac:dyDescent="0.35">
      <c r="AP4324" s="93"/>
      <c r="AQ4324" s="31"/>
      <c r="AR4324" s="31"/>
      <c r="AS4324" s="94"/>
      <c r="AT4324" s="31"/>
      <c r="AU4324" s="31"/>
      <c r="AV4324" s="94"/>
      <c r="AW4324" s="32"/>
      <c r="AX4324" s="32"/>
      <c r="AY4324" s="32"/>
      <c r="AZ4324" s="32"/>
      <c r="BA4324" s="32"/>
      <c r="BB4324" s="31"/>
      <c r="BC4324" s="31"/>
      <c r="BD4324" s="31"/>
      <c r="BE4324" s="31"/>
      <c r="BF4324" s="96"/>
    </row>
    <row r="4325" spans="42:58" x14ac:dyDescent="0.35">
      <c r="AP4325" s="92"/>
      <c r="AQ4325" s="67"/>
      <c r="AR4325" s="67"/>
      <c r="AS4325" s="73"/>
      <c r="AT4325" s="67"/>
      <c r="AU4325" s="67"/>
      <c r="AV4325" s="73"/>
      <c r="AW4325" s="68"/>
      <c r="AX4325" s="68"/>
      <c r="AY4325" s="68"/>
      <c r="AZ4325" s="68"/>
      <c r="BA4325" s="68"/>
      <c r="BB4325" s="67"/>
      <c r="BC4325" s="67"/>
      <c r="BD4325" s="67"/>
      <c r="BE4325" s="67"/>
      <c r="BF4325" s="95"/>
    </row>
    <row r="4326" spans="42:58" x14ac:dyDescent="0.35">
      <c r="AP4326" s="93"/>
      <c r="AQ4326" s="31"/>
      <c r="AR4326" s="31"/>
      <c r="AS4326" s="94"/>
      <c r="AT4326" s="31"/>
      <c r="AU4326" s="31"/>
      <c r="AV4326" s="94"/>
      <c r="AW4326" s="32"/>
      <c r="AX4326" s="32"/>
      <c r="AY4326" s="32"/>
      <c r="AZ4326" s="32"/>
      <c r="BA4326" s="32"/>
      <c r="BB4326" s="31"/>
      <c r="BC4326" s="31"/>
      <c r="BD4326" s="31"/>
      <c r="BE4326" s="31"/>
      <c r="BF4326" s="96"/>
    </row>
    <row r="4327" spans="42:58" x14ac:dyDescent="0.35">
      <c r="AP4327" s="92"/>
      <c r="AQ4327" s="67"/>
      <c r="AR4327" s="67"/>
      <c r="AS4327" s="73"/>
      <c r="AT4327" s="67"/>
      <c r="AU4327" s="67"/>
      <c r="AV4327" s="73"/>
      <c r="AW4327" s="68"/>
      <c r="AX4327" s="68"/>
      <c r="AY4327" s="68"/>
      <c r="AZ4327" s="68"/>
      <c r="BA4327" s="68"/>
      <c r="BB4327" s="67"/>
      <c r="BC4327" s="67"/>
      <c r="BD4327" s="67"/>
      <c r="BE4327" s="67"/>
      <c r="BF4327" s="95"/>
    </row>
    <row r="4328" spans="42:58" x14ac:dyDescent="0.35">
      <c r="AP4328" s="93"/>
      <c r="AQ4328" s="31"/>
      <c r="AR4328" s="31"/>
      <c r="AS4328" s="94"/>
      <c r="AT4328" s="31"/>
      <c r="AU4328" s="31"/>
      <c r="AV4328" s="94"/>
      <c r="AW4328" s="32"/>
      <c r="AX4328" s="32"/>
      <c r="AY4328" s="32"/>
      <c r="AZ4328" s="32"/>
      <c r="BA4328" s="32"/>
      <c r="BB4328" s="31"/>
      <c r="BC4328" s="31"/>
      <c r="BD4328" s="31"/>
      <c r="BE4328" s="31"/>
      <c r="BF4328" s="96"/>
    </row>
    <row r="4329" spans="42:58" x14ac:dyDescent="0.35">
      <c r="AP4329" s="92"/>
      <c r="AQ4329" s="67"/>
      <c r="AR4329" s="67"/>
      <c r="AS4329" s="73"/>
      <c r="AT4329" s="67"/>
      <c r="AU4329" s="67"/>
      <c r="AV4329" s="73"/>
      <c r="AW4329" s="68"/>
      <c r="AX4329" s="68"/>
      <c r="AY4329" s="68"/>
      <c r="AZ4329" s="68"/>
      <c r="BA4329" s="68"/>
      <c r="BB4329" s="67"/>
      <c r="BC4329" s="67"/>
      <c r="BD4329" s="67"/>
      <c r="BE4329" s="67"/>
      <c r="BF4329" s="95"/>
    </row>
    <row r="4330" spans="42:58" x14ac:dyDescent="0.35">
      <c r="AP4330" s="93"/>
      <c r="AQ4330" s="31"/>
      <c r="AR4330" s="31"/>
      <c r="AS4330" s="94"/>
      <c r="AT4330" s="31"/>
      <c r="AU4330" s="31"/>
      <c r="AV4330" s="94"/>
      <c r="AW4330" s="32"/>
      <c r="AX4330" s="32"/>
      <c r="AY4330" s="32"/>
      <c r="AZ4330" s="32"/>
      <c r="BA4330" s="32"/>
      <c r="BB4330" s="31"/>
      <c r="BC4330" s="31"/>
      <c r="BD4330" s="31"/>
      <c r="BE4330" s="31"/>
      <c r="BF4330" s="96"/>
    </row>
    <row r="4331" spans="42:58" x14ac:dyDescent="0.35">
      <c r="AP4331" s="92"/>
      <c r="AQ4331" s="67"/>
      <c r="AR4331" s="67"/>
      <c r="AS4331" s="73"/>
      <c r="AT4331" s="67"/>
      <c r="AU4331" s="67"/>
      <c r="AV4331" s="73"/>
      <c r="AW4331" s="68"/>
      <c r="AX4331" s="68"/>
      <c r="AY4331" s="68"/>
      <c r="AZ4331" s="68"/>
      <c r="BA4331" s="68"/>
      <c r="BB4331" s="67"/>
      <c r="BC4331" s="67"/>
      <c r="BD4331" s="67"/>
      <c r="BE4331" s="67"/>
      <c r="BF4331" s="95"/>
    </row>
    <row r="4332" spans="42:58" x14ac:dyDescent="0.35">
      <c r="AP4332" s="93"/>
      <c r="AQ4332" s="31"/>
      <c r="AR4332" s="31"/>
      <c r="AS4332" s="94"/>
      <c r="AT4332" s="31"/>
      <c r="AU4332" s="31"/>
      <c r="AV4332" s="94"/>
      <c r="AW4332" s="32"/>
      <c r="AX4332" s="32"/>
      <c r="AY4332" s="32"/>
      <c r="AZ4332" s="32"/>
      <c r="BA4332" s="32"/>
      <c r="BB4332" s="31"/>
      <c r="BC4332" s="31"/>
      <c r="BD4332" s="31"/>
      <c r="BE4332" s="31"/>
      <c r="BF4332" s="96"/>
    </row>
    <row r="4333" spans="42:58" x14ac:dyDescent="0.35">
      <c r="AP4333" s="92"/>
      <c r="AQ4333" s="67"/>
      <c r="AR4333" s="67"/>
      <c r="AS4333" s="73"/>
      <c r="AT4333" s="67"/>
      <c r="AU4333" s="67"/>
      <c r="AV4333" s="73"/>
      <c r="AW4333" s="68"/>
      <c r="AX4333" s="68"/>
      <c r="AY4333" s="68"/>
      <c r="AZ4333" s="68"/>
      <c r="BA4333" s="68"/>
      <c r="BB4333" s="67"/>
      <c r="BC4333" s="67"/>
      <c r="BD4333" s="67"/>
      <c r="BE4333" s="67"/>
      <c r="BF4333" s="95"/>
    </row>
    <row r="4334" spans="42:58" x14ac:dyDescent="0.35">
      <c r="AP4334" s="93"/>
      <c r="AQ4334" s="31"/>
      <c r="AR4334" s="31"/>
      <c r="AS4334" s="94"/>
      <c r="AT4334" s="31"/>
      <c r="AU4334" s="31"/>
      <c r="AV4334" s="94"/>
      <c r="AW4334" s="32"/>
      <c r="AX4334" s="32"/>
      <c r="AY4334" s="32"/>
      <c r="AZ4334" s="32"/>
      <c r="BA4334" s="32"/>
      <c r="BB4334" s="31"/>
      <c r="BC4334" s="31"/>
      <c r="BD4334" s="31"/>
      <c r="BE4334" s="31"/>
      <c r="BF4334" s="96"/>
    </row>
    <row r="4335" spans="42:58" x14ac:dyDescent="0.35">
      <c r="AP4335" s="92"/>
      <c r="AQ4335" s="67"/>
      <c r="AR4335" s="67"/>
      <c r="AS4335" s="73"/>
      <c r="AT4335" s="67"/>
      <c r="AU4335" s="67"/>
      <c r="AV4335" s="73"/>
      <c r="AW4335" s="68"/>
      <c r="AX4335" s="68"/>
      <c r="AY4335" s="68"/>
      <c r="AZ4335" s="68"/>
      <c r="BA4335" s="68"/>
      <c r="BB4335" s="67"/>
      <c r="BC4335" s="67"/>
      <c r="BD4335" s="67"/>
      <c r="BE4335" s="67"/>
      <c r="BF4335" s="95"/>
    </row>
    <row r="4336" spans="42:58" x14ac:dyDescent="0.35">
      <c r="AP4336" s="93"/>
      <c r="AQ4336" s="31"/>
      <c r="AR4336" s="31"/>
      <c r="AS4336" s="94"/>
      <c r="AT4336" s="31"/>
      <c r="AU4336" s="31"/>
      <c r="AV4336" s="94"/>
      <c r="AW4336" s="32"/>
      <c r="AX4336" s="32"/>
      <c r="AY4336" s="32"/>
      <c r="AZ4336" s="32"/>
      <c r="BA4336" s="32"/>
      <c r="BB4336" s="31"/>
      <c r="BC4336" s="31"/>
      <c r="BD4336" s="31"/>
      <c r="BE4336" s="31"/>
      <c r="BF4336" s="96"/>
    </row>
    <row r="4337" spans="42:58" x14ac:dyDescent="0.35">
      <c r="AP4337" s="92"/>
      <c r="AQ4337" s="67"/>
      <c r="AR4337" s="67"/>
      <c r="AS4337" s="73"/>
      <c r="AT4337" s="67"/>
      <c r="AU4337" s="67"/>
      <c r="AV4337" s="73"/>
      <c r="AW4337" s="68"/>
      <c r="AX4337" s="68"/>
      <c r="AY4337" s="68"/>
      <c r="AZ4337" s="68"/>
      <c r="BA4337" s="68"/>
      <c r="BB4337" s="67"/>
      <c r="BC4337" s="67"/>
      <c r="BD4337" s="67"/>
      <c r="BE4337" s="67"/>
      <c r="BF4337" s="95"/>
    </row>
    <row r="4338" spans="42:58" x14ac:dyDescent="0.35">
      <c r="AP4338" s="93"/>
      <c r="AQ4338" s="31"/>
      <c r="AR4338" s="31"/>
      <c r="AS4338" s="94"/>
      <c r="AT4338" s="31"/>
      <c r="AU4338" s="31"/>
      <c r="AV4338" s="94"/>
      <c r="AW4338" s="32"/>
      <c r="AX4338" s="32"/>
      <c r="AY4338" s="32"/>
      <c r="AZ4338" s="32"/>
      <c r="BA4338" s="32"/>
      <c r="BB4338" s="31"/>
      <c r="BC4338" s="31"/>
      <c r="BD4338" s="31"/>
      <c r="BE4338" s="31"/>
      <c r="BF4338" s="96"/>
    </row>
    <row r="4339" spans="42:58" x14ac:dyDescent="0.35">
      <c r="AP4339" s="92"/>
      <c r="AQ4339" s="67"/>
      <c r="AR4339" s="67"/>
      <c r="AS4339" s="73"/>
      <c r="AT4339" s="67"/>
      <c r="AU4339" s="67"/>
      <c r="AV4339" s="73"/>
      <c r="AW4339" s="68"/>
      <c r="AX4339" s="68"/>
      <c r="AY4339" s="68"/>
      <c r="AZ4339" s="68"/>
      <c r="BA4339" s="68"/>
      <c r="BB4339" s="67"/>
      <c r="BC4339" s="67"/>
      <c r="BD4339" s="67"/>
      <c r="BE4339" s="67"/>
      <c r="BF4339" s="95"/>
    </row>
    <row r="4340" spans="42:58" x14ac:dyDescent="0.35">
      <c r="AP4340" s="93"/>
      <c r="AQ4340" s="31"/>
      <c r="AR4340" s="31"/>
      <c r="AS4340" s="94"/>
      <c r="AT4340" s="31"/>
      <c r="AU4340" s="31"/>
      <c r="AV4340" s="94"/>
      <c r="AW4340" s="32"/>
      <c r="AX4340" s="32"/>
      <c r="AY4340" s="32"/>
      <c r="AZ4340" s="32"/>
      <c r="BA4340" s="32"/>
      <c r="BB4340" s="31"/>
      <c r="BC4340" s="31"/>
      <c r="BD4340" s="31"/>
      <c r="BE4340" s="31"/>
      <c r="BF4340" s="96"/>
    </row>
    <row r="4341" spans="42:58" x14ac:dyDescent="0.35">
      <c r="AP4341" s="92"/>
      <c r="AQ4341" s="67"/>
      <c r="AR4341" s="67"/>
      <c r="AS4341" s="73"/>
      <c r="AT4341" s="67"/>
      <c r="AU4341" s="67"/>
      <c r="AV4341" s="73"/>
      <c r="AW4341" s="68"/>
      <c r="AX4341" s="68"/>
      <c r="AY4341" s="68"/>
      <c r="AZ4341" s="68"/>
      <c r="BA4341" s="68"/>
      <c r="BB4341" s="67"/>
      <c r="BC4341" s="67"/>
      <c r="BD4341" s="67"/>
      <c r="BE4341" s="67"/>
      <c r="BF4341" s="95"/>
    </row>
    <row r="4342" spans="42:58" x14ac:dyDescent="0.35">
      <c r="AP4342" s="93"/>
      <c r="AQ4342" s="31"/>
      <c r="AR4342" s="31"/>
      <c r="AS4342" s="94"/>
      <c r="AT4342" s="31"/>
      <c r="AU4342" s="31"/>
      <c r="AV4342" s="94"/>
      <c r="AW4342" s="32"/>
      <c r="AX4342" s="32"/>
      <c r="AY4342" s="32"/>
      <c r="AZ4342" s="32"/>
      <c r="BA4342" s="32"/>
      <c r="BB4342" s="31"/>
      <c r="BC4342" s="31"/>
      <c r="BD4342" s="31"/>
      <c r="BE4342" s="31"/>
      <c r="BF4342" s="96"/>
    </row>
    <row r="4343" spans="42:58" x14ac:dyDescent="0.35">
      <c r="AP4343" s="92"/>
      <c r="AQ4343" s="67"/>
      <c r="AR4343" s="67"/>
      <c r="AS4343" s="73"/>
      <c r="AT4343" s="67"/>
      <c r="AU4343" s="67"/>
      <c r="AV4343" s="73"/>
      <c r="AW4343" s="68"/>
      <c r="AX4343" s="68"/>
      <c r="AY4343" s="68"/>
      <c r="AZ4343" s="68"/>
      <c r="BA4343" s="68"/>
      <c r="BB4343" s="67"/>
      <c r="BC4343" s="67"/>
      <c r="BD4343" s="67"/>
      <c r="BE4343" s="67"/>
      <c r="BF4343" s="95"/>
    </row>
    <row r="4344" spans="42:58" x14ac:dyDescent="0.35">
      <c r="AP4344" s="93"/>
      <c r="AQ4344" s="31"/>
      <c r="AR4344" s="31"/>
      <c r="AS4344" s="94"/>
      <c r="AT4344" s="31"/>
      <c r="AU4344" s="31"/>
      <c r="AV4344" s="94"/>
      <c r="AW4344" s="32"/>
      <c r="AX4344" s="32"/>
      <c r="AY4344" s="32"/>
      <c r="AZ4344" s="32"/>
      <c r="BA4344" s="32"/>
      <c r="BB4344" s="31"/>
      <c r="BC4344" s="31"/>
      <c r="BD4344" s="31"/>
      <c r="BE4344" s="31"/>
      <c r="BF4344" s="96"/>
    </row>
    <row r="4345" spans="42:58" x14ac:dyDescent="0.35">
      <c r="AP4345" s="92"/>
      <c r="AQ4345" s="67"/>
      <c r="AR4345" s="67"/>
      <c r="AS4345" s="73"/>
      <c r="AT4345" s="67"/>
      <c r="AU4345" s="67"/>
      <c r="AV4345" s="73"/>
      <c r="AW4345" s="68"/>
      <c r="AX4345" s="68"/>
      <c r="AY4345" s="68"/>
      <c r="AZ4345" s="68"/>
      <c r="BA4345" s="68"/>
      <c r="BB4345" s="67"/>
      <c r="BC4345" s="67"/>
      <c r="BD4345" s="67"/>
      <c r="BE4345" s="67"/>
      <c r="BF4345" s="95"/>
    </row>
    <row r="4346" spans="42:58" x14ac:dyDescent="0.35">
      <c r="AP4346" s="93"/>
      <c r="AQ4346" s="31"/>
      <c r="AR4346" s="31"/>
      <c r="AS4346" s="94"/>
      <c r="AT4346" s="31"/>
      <c r="AU4346" s="31"/>
      <c r="AV4346" s="94"/>
      <c r="AW4346" s="32"/>
      <c r="AX4346" s="32"/>
      <c r="AY4346" s="32"/>
      <c r="AZ4346" s="32"/>
      <c r="BA4346" s="32"/>
      <c r="BB4346" s="31"/>
      <c r="BC4346" s="31"/>
      <c r="BD4346" s="31"/>
      <c r="BE4346" s="31"/>
      <c r="BF4346" s="96"/>
    </row>
    <row r="4347" spans="42:58" x14ac:dyDescent="0.35">
      <c r="AP4347" s="92"/>
      <c r="AQ4347" s="67"/>
      <c r="AR4347" s="67"/>
      <c r="AS4347" s="73"/>
      <c r="AT4347" s="67"/>
      <c r="AU4347" s="67"/>
      <c r="AV4347" s="73"/>
      <c r="AW4347" s="68"/>
      <c r="AX4347" s="68"/>
      <c r="AY4347" s="68"/>
      <c r="AZ4347" s="68"/>
      <c r="BA4347" s="68"/>
      <c r="BB4347" s="67"/>
      <c r="BC4347" s="67"/>
      <c r="BD4347" s="67"/>
      <c r="BE4347" s="67"/>
      <c r="BF4347" s="95"/>
    </row>
    <row r="4348" spans="42:58" x14ac:dyDescent="0.35">
      <c r="AP4348" s="93"/>
      <c r="AQ4348" s="31"/>
      <c r="AR4348" s="31"/>
      <c r="AS4348" s="94"/>
      <c r="AT4348" s="31"/>
      <c r="AU4348" s="31"/>
      <c r="AV4348" s="94"/>
      <c r="AW4348" s="32"/>
      <c r="AX4348" s="32"/>
      <c r="AY4348" s="32"/>
      <c r="AZ4348" s="32"/>
      <c r="BA4348" s="32"/>
      <c r="BB4348" s="31"/>
      <c r="BC4348" s="31"/>
      <c r="BD4348" s="31"/>
      <c r="BE4348" s="31"/>
      <c r="BF4348" s="96"/>
    </row>
    <row r="4349" spans="42:58" x14ac:dyDescent="0.35">
      <c r="AP4349" s="92"/>
      <c r="AQ4349" s="67"/>
      <c r="AR4349" s="67"/>
      <c r="AS4349" s="73"/>
      <c r="AT4349" s="67"/>
      <c r="AU4349" s="67"/>
      <c r="AV4349" s="73"/>
      <c r="AW4349" s="68"/>
      <c r="AX4349" s="68"/>
      <c r="AY4349" s="68"/>
      <c r="AZ4349" s="68"/>
      <c r="BA4349" s="68"/>
      <c r="BB4349" s="67"/>
      <c r="BC4349" s="67"/>
      <c r="BD4349" s="67"/>
      <c r="BE4349" s="67"/>
      <c r="BF4349" s="95"/>
    </row>
    <row r="4350" spans="42:58" x14ac:dyDescent="0.35">
      <c r="AP4350" s="93"/>
      <c r="AQ4350" s="31"/>
      <c r="AR4350" s="31"/>
      <c r="AS4350" s="94"/>
      <c r="AT4350" s="31"/>
      <c r="AU4350" s="31"/>
      <c r="AV4350" s="94"/>
      <c r="AW4350" s="32"/>
      <c r="AX4350" s="32"/>
      <c r="AY4350" s="32"/>
      <c r="AZ4350" s="32"/>
      <c r="BA4350" s="32"/>
      <c r="BB4350" s="31"/>
      <c r="BC4350" s="31"/>
      <c r="BD4350" s="31"/>
      <c r="BE4350" s="31"/>
      <c r="BF4350" s="96"/>
    </row>
    <row r="4351" spans="42:58" x14ac:dyDescent="0.35">
      <c r="AP4351" s="92"/>
      <c r="AQ4351" s="67"/>
      <c r="AR4351" s="67"/>
      <c r="AS4351" s="73"/>
      <c r="AT4351" s="67"/>
      <c r="AU4351" s="67"/>
      <c r="AV4351" s="73"/>
      <c r="AW4351" s="68"/>
      <c r="AX4351" s="68"/>
      <c r="AY4351" s="68"/>
      <c r="AZ4351" s="68"/>
      <c r="BA4351" s="68"/>
      <c r="BB4351" s="67"/>
      <c r="BC4351" s="67"/>
      <c r="BD4351" s="67"/>
      <c r="BE4351" s="67"/>
      <c r="BF4351" s="95"/>
    </row>
    <row r="4352" spans="42:58" x14ac:dyDescent="0.35">
      <c r="AP4352" s="93"/>
      <c r="AQ4352" s="31"/>
      <c r="AR4352" s="31"/>
      <c r="AS4352" s="94"/>
      <c r="AT4352" s="31"/>
      <c r="AU4352" s="31"/>
      <c r="AV4352" s="94"/>
      <c r="AW4352" s="32"/>
      <c r="AX4352" s="32"/>
      <c r="AY4352" s="32"/>
      <c r="AZ4352" s="32"/>
      <c r="BA4352" s="32"/>
      <c r="BB4352" s="31"/>
      <c r="BC4352" s="31"/>
      <c r="BD4352" s="31"/>
      <c r="BE4352" s="31"/>
      <c r="BF4352" s="96"/>
    </row>
    <row r="4353" spans="42:58" x14ac:dyDescent="0.35">
      <c r="AP4353" s="92"/>
      <c r="AQ4353" s="67"/>
      <c r="AR4353" s="67"/>
      <c r="AS4353" s="73"/>
      <c r="AT4353" s="67"/>
      <c r="AU4353" s="67"/>
      <c r="AV4353" s="73"/>
      <c r="AW4353" s="68"/>
      <c r="AX4353" s="68"/>
      <c r="AY4353" s="68"/>
      <c r="AZ4353" s="68"/>
      <c r="BA4353" s="68"/>
      <c r="BB4353" s="67"/>
      <c r="BC4353" s="67"/>
      <c r="BD4353" s="67"/>
      <c r="BE4353" s="67"/>
      <c r="BF4353" s="95"/>
    </row>
    <row r="4354" spans="42:58" x14ac:dyDescent="0.35">
      <c r="AP4354" s="93"/>
      <c r="AQ4354" s="31"/>
      <c r="AR4354" s="31"/>
      <c r="AS4354" s="94"/>
      <c r="AT4354" s="31"/>
      <c r="AU4354" s="31"/>
      <c r="AV4354" s="94"/>
      <c r="AW4354" s="32"/>
      <c r="AX4354" s="32"/>
      <c r="AY4354" s="32"/>
      <c r="AZ4354" s="32"/>
      <c r="BA4354" s="32"/>
      <c r="BB4354" s="31"/>
      <c r="BC4354" s="31"/>
      <c r="BD4354" s="31"/>
      <c r="BE4354" s="31"/>
      <c r="BF4354" s="96"/>
    </row>
    <row r="4355" spans="42:58" x14ac:dyDescent="0.35">
      <c r="AP4355" s="92"/>
      <c r="AQ4355" s="67"/>
      <c r="AR4355" s="67"/>
      <c r="AS4355" s="73"/>
      <c r="AT4355" s="67"/>
      <c r="AU4355" s="67"/>
      <c r="AV4355" s="73"/>
      <c r="AW4355" s="68"/>
      <c r="AX4355" s="68"/>
      <c r="AY4355" s="68"/>
      <c r="AZ4355" s="68"/>
      <c r="BA4355" s="68"/>
      <c r="BB4355" s="67"/>
      <c r="BC4355" s="67"/>
      <c r="BD4355" s="67"/>
      <c r="BE4355" s="67"/>
      <c r="BF4355" s="95"/>
    </row>
    <row r="4356" spans="42:58" x14ac:dyDescent="0.35">
      <c r="AP4356" s="93"/>
      <c r="AQ4356" s="31"/>
      <c r="AR4356" s="31"/>
      <c r="AS4356" s="94"/>
      <c r="AT4356" s="31"/>
      <c r="AU4356" s="31"/>
      <c r="AV4356" s="94"/>
      <c r="AW4356" s="32"/>
      <c r="AX4356" s="32"/>
      <c r="AY4356" s="32"/>
      <c r="AZ4356" s="32"/>
      <c r="BA4356" s="32"/>
      <c r="BB4356" s="31"/>
      <c r="BC4356" s="31"/>
      <c r="BD4356" s="31"/>
      <c r="BE4356" s="31"/>
      <c r="BF4356" s="96"/>
    </row>
    <row r="4357" spans="42:58" x14ac:dyDescent="0.35">
      <c r="AP4357" s="92"/>
      <c r="AQ4357" s="67"/>
      <c r="AR4357" s="67"/>
      <c r="AS4357" s="73"/>
      <c r="AT4357" s="67"/>
      <c r="AU4357" s="67"/>
      <c r="AV4357" s="73"/>
      <c r="AW4357" s="68"/>
      <c r="AX4357" s="68"/>
      <c r="AY4357" s="68"/>
      <c r="AZ4357" s="68"/>
      <c r="BA4357" s="68"/>
      <c r="BB4357" s="67"/>
      <c r="BC4357" s="67"/>
      <c r="BD4357" s="67"/>
      <c r="BE4357" s="67"/>
      <c r="BF4357" s="95"/>
    </row>
    <row r="4358" spans="42:58" x14ac:dyDescent="0.35">
      <c r="AP4358" s="93"/>
      <c r="AQ4358" s="31"/>
      <c r="AR4358" s="31"/>
      <c r="AS4358" s="94"/>
      <c r="AT4358" s="31"/>
      <c r="AU4358" s="31"/>
      <c r="AV4358" s="94"/>
      <c r="AW4358" s="32"/>
      <c r="AX4358" s="32"/>
      <c r="AY4358" s="32"/>
      <c r="AZ4358" s="32"/>
      <c r="BA4358" s="32"/>
      <c r="BB4358" s="31"/>
      <c r="BC4358" s="31"/>
      <c r="BD4358" s="31"/>
      <c r="BE4358" s="31"/>
      <c r="BF4358" s="96"/>
    </row>
    <row r="4359" spans="42:58" x14ac:dyDescent="0.35">
      <c r="AP4359" s="92"/>
      <c r="AQ4359" s="67"/>
      <c r="AR4359" s="67"/>
      <c r="AS4359" s="73"/>
      <c r="AT4359" s="67"/>
      <c r="AU4359" s="67"/>
      <c r="AV4359" s="73"/>
      <c r="AW4359" s="68"/>
      <c r="AX4359" s="68"/>
      <c r="AY4359" s="68"/>
      <c r="AZ4359" s="68"/>
      <c r="BA4359" s="68"/>
      <c r="BB4359" s="67"/>
      <c r="BC4359" s="67"/>
      <c r="BD4359" s="67"/>
      <c r="BE4359" s="67"/>
      <c r="BF4359" s="95"/>
    </row>
    <row r="4360" spans="42:58" x14ac:dyDescent="0.35">
      <c r="AP4360" s="93"/>
      <c r="AQ4360" s="31"/>
      <c r="AR4360" s="31"/>
      <c r="AS4360" s="94"/>
      <c r="AT4360" s="31"/>
      <c r="AU4360" s="31"/>
      <c r="AV4360" s="94"/>
      <c r="AW4360" s="32"/>
      <c r="AX4360" s="32"/>
      <c r="AY4360" s="32"/>
      <c r="AZ4360" s="32"/>
      <c r="BA4360" s="32"/>
      <c r="BB4360" s="31"/>
      <c r="BC4360" s="31"/>
      <c r="BD4360" s="31"/>
      <c r="BE4360" s="31"/>
      <c r="BF4360" s="96"/>
    </row>
    <row r="4361" spans="42:58" x14ac:dyDescent="0.35">
      <c r="AP4361" s="92"/>
      <c r="AQ4361" s="67"/>
      <c r="AR4361" s="67"/>
      <c r="AS4361" s="73"/>
      <c r="AT4361" s="67"/>
      <c r="AU4361" s="67"/>
      <c r="AV4361" s="73"/>
      <c r="AW4361" s="68"/>
      <c r="AX4361" s="68"/>
      <c r="AY4361" s="68"/>
      <c r="AZ4361" s="68"/>
      <c r="BA4361" s="68"/>
      <c r="BB4361" s="67"/>
      <c r="BC4361" s="67"/>
      <c r="BD4361" s="67"/>
      <c r="BE4361" s="67"/>
      <c r="BF4361" s="95"/>
    </row>
    <row r="4362" spans="42:58" x14ac:dyDescent="0.35">
      <c r="AP4362" s="93"/>
      <c r="AQ4362" s="31"/>
      <c r="AR4362" s="31"/>
      <c r="AS4362" s="94"/>
      <c r="AT4362" s="31"/>
      <c r="AU4362" s="31"/>
      <c r="AV4362" s="94"/>
      <c r="AW4362" s="32"/>
      <c r="AX4362" s="32"/>
      <c r="AY4362" s="32"/>
      <c r="AZ4362" s="32"/>
      <c r="BA4362" s="32"/>
      <c r="BB4362" s="31"/>
      <c r="BC4362" s="31"/>
      <c r="BD4362" s="31"/>
      <c r="BE4362" s="31"/>
      <c r="BF4362" s="96"/>
    </row>
    <row r="4363" spans="42:58" x14ac:dyDescent="0.35">
      <c r="AP4363" s="92"/>
      <c r="AQ4363" s="67"/>
      <c r="AR4363" s="67"/>
      <c r="AS4363" s="73"/>
      <c r="AT4363" s="67"/>
      <c r="AU4363" s="67"/>
      <c r="AV4363" s="73"/>
      <c r="AW4363" s="68"/>
      <c r="AX4363" s="68"/>
      <c r="AY4363" s="68"/>
      <c r="AZ4363" s="68"/>
      <c r="BA4363" s="68"/>
      <c r="BB4363" s="67"/>
      <c r="BC4363" s="67"/>
      <c r="BD4363" s="67"/>
      <c r="BE4363" s="67"/>
      <c r="BF4363" s="95"/>
    </row>
    <row r="4364" spans="42:58" x14ac:dyDescent="0.35">
      <c r="AP4364" s="93"/>
      <c r="AQ4364" s="31"/>
      <c r="AR4364" s="31"/>
      <c r="AS4364" s="94"/>
      <c r="AT4364" s="31"/>
      <c r="AU4364" s="31"/>
      <c r="AV4364" s="94"/>
      <c r="AW4364" s="32"/>
      <c r="AX4364" s="32"/>
      <c r="AY4364" s="32"/>
      <c r="AZ4364" s="32"/>
      <c r="BA4364" s="32"/>
      <c r="BB4364" s="31"/>
      <c r="BC4364" s="31"/>
      <c r="BD4364" s="31"/>
      <c r="BE4364" s="31"/>
      <c r="BF4364" s="96"/>
    </row>
    <row r="4365" spans="42:58" x14ac:dyDescent="0.35">
      <c r="AP4365" s="92"/>
      <c r="AQ4365" s="67"/>
      <c r="AR4365" s="67"/>
      <c r="AS4365" s="73"/>
      <c r="AT4365" s="67"/>
      <c r="AU4365" s="67"/>
      <c r="AV4365" s="73"/>
      <c r="AW4365" s="68"/>
      <c r="AX4365" s="68"/>
      <c r="AY4365" s="68"/>
      <c r="AZ4365" s="68"/>
      <c r="BA4365" s="68"/>
      <c r="BB4365" s="67"/>
      <c r="BC4365" s="67"/>
      <c r="BD4365" s="67"/>
      <c r="BE4365" s="67"/>
      <c r="BF4365" s="95"/>
    </row>
    <row r="4366" spans="42:58" x14ac:dyDescent="0.35">
      <c r="AP4366" s="93"/>
      <c r="AQ4366" s="31"/>
      <c r="AR4366" s="31"/>
      <c r="AS4366" s="94"/>
      <c r="AT4366" s="31"/>
      <c r="AU4366" s="31"/>
      <c r="AV4366" s="94"/>
      <c r="AW4366" s="32"/>
      <c r="AX4366" s="32"/>
      <c r="AY4366" s="32"/>
      <c r="AZ4366" s="32"/>
      <c r="BA4366" s="32"/>
      <c r="BB4366" s="31"/>
      <c r="BC4366" s="31"/>
      <c r="BD4366" s="31"/>
      <c r="BE4366" s="31"/>
      <c r="BF4366" s="96"/>
    </row>
    <row r="4367" spans="42:58" x14ac:dyDescent="0.35">
      <c r="AP4367" s="92"/>
      <c r="AQ4367" s="67"/>
      <c r="AR4367" s="67"/>
      <c r="AS4367" s="73"/>
      <c r="AT4367" s="67"/>
      <c r="AU4367" s="67"/>
      <c r="AV4367" s="73"/>
      <c r="AW4367" s="68"/>
      <c r="AX4367" s="68"/>
      <c r="AY4367" s="68"/>
      <c r="AZ4367" s="68"/>
      <c r="BA4367" s="68"/>
      <c r="BB4367" s="67"/>
      <c r="BC4367" s="67"/>
      <c r="BD4367" s="67"/>
      <c r="BE4367" s="67"/>
      <c r="BF4367" s="95"/>
    </row>
    <row r="4368" spans="42:58" x14ac:dyDescent="0.35">
      <c r="AP4368" s="93"/>
      <c r="AQ4368" s="31"/>
      <c r="AR4368" s="31"/>
      <c r="AS4368" s="94"/>
      <c r="AT4368" s="31"/>
      <c r="AU4368" s="31"/>
      <c r="AV4368" s="94"/>
      <c r="AW4368" s="32"/>
      <c r="AX4368" s="32"/>
      <c r="AY4368" s="32"/>
      <c r="AZ4368" s="32"/>
      <c r="BA4368" s="32"/>
      <c r="BB4368" s="31"/>
      <c r="BC4368" s="31"/>
      <c r="BD4368" s="31"/>
      <c r="BE4368" s="31"/>
      <c r="BF4368" s="96"/>
    </row>
    <row r="4369" spans="42:58" x14ac:dyDescent="0.35">
      <c r="AP4369" s="92"/>
      <c r="AQ4369" s="67"/>
      <c r="AR4369" s="67"/>
      <c r="AS4369" s="73"/>
      <c r="AT4369" s="67"/>
      <c r="AU4369" s="67"/>
      <c r="AV4369" s="73"/>
      <c r="AW4369" s="68"/>
      <c r="AX4369" s="68"/>
      <c r="AY4369" s="68"/>
      <c r="AZ4369" s="68"/>
      <c r="BA4369" s="68"/>
      <c r="BB4369" s="67"/>
      <c r="BC4369" s="67"/>
      <c r="BD4369" s="67"/>
      <c r="BE4369" s="67"/>
      <c r="BF4369" s="95"/>
    </row>
    <row r="4370" spans="42:58" x14ac:dyDescent="0.35">
      <c r="AP4370" s="93"/>
      <c r="AQ4370" s="31"/>
      <c r="AR4370" s="31"/>
      <c r="AS4370" s="94"/>
      <c r="AT4370" s="31"/>
      <c r="AU4370" s="31"/>
      <c r="AV4370" s="94"/>
      <c r="AW4370" s="32"/>
      <c r="AX4370" s="32"/>
      <c r="AY4370" s="32"/>
      <c r="AZ4370" s="32"/>
      <c r="BA4370" s="32"/>
      <c r="BB4370" s="31"/>
      <c r="BC4370" s="31"/>
      <c r="BD4370" s="31"/>
      <c r="BE4370" s="31"/>
      <c r="BF4370" s="96"/>
    </row>
    <row r="4371" spans="42:58" x14ac:dyDescent="0.35">
      <c r="AP4371" s="92"/>
      <c r="AQ4371" s="67"/>
      <c r="AR4371" s="67"/>
      <c r="AS4371" s="73"/>
      <c r="AT4371" s="67"/>
      <c r="AU4371" s="67"/>
      <c r="AV4371" s="73"/>
      <c r="AW4371" s="68"/>
      <c r="AX4371" s="68"/>
      <c r="AY4371" s="68"/>
      <c r="AZ4371" s="68"/>
      <c r="BA4371" s="68"/>
      <c r="BB4371" s="67"/>
      <c r="BC4371" s="67"/>
      <c r="BD4371" s="67"/>
      <c r="BE4371" s="67"/>
      <c r="BF4371" s="95"/>
    </row>
    <row r="4372" spans="42:58" x14ac:dyDescent="0.35">
      <c r="AP4372" s="93"/>
      <c r="AQ4372" s="31"/>
      <c r="AR4372" s="31"/>
      <c r="AS4372" s="94"/>
      <c r="AT4372" s="31"/>
      <c r="AU4372" s="31"/>
      <c r="AV4372" s="94"/>
      <c r="AW4372" s="32"/>
      <c r="AX4372" s="32"/>
      <c r="AY4372" s="32"/>
      <c r="AZ4372" s="32"/>
      <c r="BA4372" s="32"/>
      <c r="BB4372" s="31"/>
      <c r="BC4372" s="31"/>
      <c r="BD4372" s="31"/>
      <c r="BE4372" s="31"/>
      <c r="BF4372" s="96"/>
    </row>
    <row r="4373" spans="42:58" x14ac:dyDescent="0.35">
      <c r="AP4373" s="92"/>
      <c r="AQ4373" s="67"/>
      <c r="AR4373" s="67"/>
      <c r="AS4373" s="73"/>
      <c r="AT4373" s="67"/>
      <c r="AU4373" s="67"/>
      <c r="AV4373" s="73"/>
      <c r="AW4373" s="68"/>
      <c r="AX4373" s="68"/>
      <c r="AY4373" s="68"/>
      <c r="AZ4373" s="68"/>
      <c r="BA4373" s="68"/>
      <c r="BB4373" s="67"/>
      <c r="BC4373" s="67"/>
      <c r="BD4373" s="67"/>
      <c r="BE4373" s="67"/>
      <c r="BF4373" s="95"/>
    </row>
    <row r="4374" spans="42:58" x14ac:dyDescent="0.35">
      <c r="AP4374" s="93"/>
      <c r="AQ4374" s="31"/>
      <c r="AR4374" s="31"/>
      <c r="AS4374" s="94"/>
      <c r="AT4374" s="31"/>
      <c r="AU4374" s="31"/>
      <c r="AV4374" s="94"/>
      <c r="AW4374" s="32"/>
      <c r="AX4374" s="32"/>
      <c r="AY4374" s="32"/>
      <c r="AZ4374" s="32"/>
      <c r="BA4374" s="32"/>
      <c r="BB4374" s="31"/>
      <c r="BC4374" s="31"/>
      <c r="BD4374" s="31"/>
      <c r="BE4374" s="31"/>
      <c r="BF4374" s="96"/>
    </row>
    <row r="4375" spans="42:58" x14ac:dyDescent="0.35">
      <c r="AP4375" s="92"/>
      <c r="AQ4375" s="67"/>
      <c r="AR4375" s="67"/>
      <c r="AS4375" s="73"/>
      <c r="AT4375" s="67"/>
      <c r="AU4375" s="67"/>
      <c r="AV4375" s="73"/>
      <c r="AW4375" s="68"/>
      <c r="AX4375" s="68"/>
      <c r="AY4375" s="68"/>
      <c r="AZ4375" s="68"/>
      <c r="BA4375" s="68"/>
      <c r="BB4375" s="67"/>
      <c r="BC4375" s="67"/>
      <c r="BD4375" s="67"/>
      <c r="BE4375" s="67"/>
      <c r="BF4375" s="95"/>
    </row>
    <row r="4376" spans="42:58" x14ac:dyDescent="0.35">
      <c r="AP4376" s="93"/>
      <c r="AQ4376" s="31"/>
      <c r="AR4376" s="31"/>
      <c r="AS4376" s="94"/>
      <c r="AT4376" s="31"/>
      <c r="AU4376" s="31"/>
      <c r="AV4376" s="94"/>
      <c r="AW4376" s="32"/>
      <c r="AX4376" s="32"/>
      <c r="AY4376" s="32"/>
      <c r="AZ4376" s="32"/>
      <c r="BA4376" s="32"/>
      <c r="BB4376" s="31"/>
      <c r="BC4376" s="31"/>
      <c r="BD4376" s="31"/>
      <c r="BE4376" s="31"/>
      <c r="BF4376" s="96"/>
    </row>
    <row r="4377" spans="42:58" x14ac:dyDescent="0.35">
      <c r="AP4377" s="92"/>
      <c r="AQ4377" s="67"/>
      <c r="AR4377" s="67"/>
      <c r="AS4377" s="73"/>
      <c r="AT4377" s="67"/>
      <c r="AU4377" s="67"/>
      <c r="AV4377" s="73"/>
      <c r="AW4377" s="68"/>
      <c r="AX4377" s="68"/>
      <c r="AY4377" s="68"/>
      <c r="AZ4377" s="68"/>
      <c r="BA4377" s="68"/>
      <c r="BB4377" s="67"/>
      <c r="BC4377" s="67"/>
      <c r="BD4377" s="67"/>
      <c r="BE4377" s="67"/>
      <c r="BF4377" s="95"/>
    </row>
    <row r="4378" spans="42:58" x14ac:dyDescent="0.35">
      <c r="AP4378" s="93"/>
      <c r="AQ4378" s="31"/>
      <c r="AR4378" s="31"/>
      <c r="AS4378" s="94"/>
      <c r="AT4378" s="31"/>
      <c r="AU4378" s="31"/>
      <c r="AV4378" s="94"/>
      <c r="AW4378" s="32"/>
      <c r="AX4378" s="32"/>
      <c r="AY4378" s="32"/>
      <c r="AZ4378" s="32"/>
      <c r="BA4378" s="32"/>
      <c r="BB4378" s="31"/>
      <c r="BC4378" s="31"/>
      <c r="BD4378" s="31"/>
      <c r="BE4378" s="31"/>
      <c r="BF4378" s="96"/>
    </row>
    <row r="4379" spans="42:58" x14ac:dyDescent="0.35">
      <c r="AP4379" s="92"/>
      <c r="AQ4379" s="67"/>
      <c r="AR4379" s="67"/>
      <c r="AS4379" s="73"/>
      <c r="AT4379" s="67"/>
      <c r="AU4379" s="67"/>
      <c r="AV4379" s="73"/>
      <c r="AW4379" s="68"/>
      <c r="AX4379" s="68"/>
      <c r="AY4379" s="68"/>
      <c r="AZ4379" s="68"/>
      <c r="BA4379" s="68"/>
      <c r="BB4379" s="67"/>
      <c r="BC4379" s="67"/>
      <c r="BD4379" s="67"/>
      <c r="BE4379" s="67"/>
      <c r="BF4379" s="95"/>
    </row>
    <row r="4380" spans="42:58" x14ac:dyDescent="0.35">
      <c r="AP4380" s="93"/>
      <c r="AQ4380" s="31"/>
      <c r="AR4380" s="31"/>
      <c r="AS4380" s="94"/>
      <c r="AT4380" s="31"/>
      <c r="AU4380" s="31"/>
      <c r="AV4380" s="94"/>
      <c r="AW4380" s="32"/>
      <c r="AX4380" s="32"/>
      <c r="AY4380" s="32"/>
      <c r="AZ4380" s="32"/>
      <c r="BA4380" s="32"/>
      <c r="BB4380" s="31"/>
      <c r="BC4380" s="31"/>
      <c r="BD4380" s="31"/>
      <c r="BE4380" s="31"/>
      <c r="BF4380" s="96"/>
    </row>
    <row r="4381" spans="42:58" x14ac:dyDescent="0.35">
      <c r="AP4381" s="92"/>
      <c r="AQ4381" s="67"/>
      <c r="AR4381" s="67"/>
      <c r="AS4381" s="73"/>
      <c r="AT4381" s="67"/>
      <c r="AU4381" s="67"/>
      <c r="AV4381" s="73"/>
      <c r="AW4381" s="68"/>
      <c r="AX4381" s="68"/>
      <c r="AY4381" s="68"/>
      <c r="AZ4381" s="68"/>
      <c r="BA4381" s="68"/>
      <c r="BB4381" s="67"/>
      <c r="BC4381" s="67"/>
      <c r="BD4381" s="67"/>
      <c r="BE4381" s="67"/>
      <c r="BF4381" s="95"/>
    </row>
    <row r="4382" spans="42:58" x14ac:dyDescent="0.35">
      <c r="AP4382" s="93"/>
      <c r="AQ4382" s="31"/>
      <c r="AR4382" s="31"/>
      <c r="AS4382" s="94"/>
      <c r="AT4382" s="31"/>
      <c r="AU4382" s="31"/>
      <c r="AV4382" s="94"/>
      <c r="AW4382" s="32"/>
      <c r="AX4382" s="32"/>
      <c r="AY4382" s="32"/>
      <c r="AZ4382" s="32"/>
      <c r="BA4382" s="32"/>
      <c r="BB4382" s="31"/>
      <c r="BC4382" s="31"/>
      <c r="BD4382" s="31"/>
      <c r="BE4382" s="31"/>
      <c r="BF4382" s="96"/>
    </row>
    <row r="4383" spans="42:58" x14ac:dyDescent="0.35">
      <c r="AP4383" s="92"/>
      <c r="AQ4383" s="67"/>
      <c r="AR4383" s="67"/>
      <c r="AS4383" s="73"/>
      <c r="AT4383" s="67"/>
      <c r="AU4383" s="67"/>
      <c r="AV4383" s="73"/>
      <c r="AW4383" s="68"/>
      <c r="AX4383" s="68"/>
      <c r="AY4383" s="68"/>
      <c r="AZ4383" s="68"/>
      <c r="BA4383" s="68"/>
      <c r="BB4383" s="67"/>
      <c r="BC4383" s="67"/>
      <c r="BD4383" s="67"/>
      <c r="BE4383" s="67"/>
      <c r="BF4383" s="95"/>
    </row>
    <row r="4384" spans="42:58" x14ac:dyDescent="0.35">
      <c r="AP4384" s="93"/>
      <c r="AQ4384" s="31"/>
      <c r="AR4384" s="31"/>
      <c r="AS4384" s="94"/>
      <c r="AT4384" s="31"/>
      <c r="AU4384" s="31"/>
      <c r="AV4384" s="94"/>
      <c r="AW4384" s="32"/>
      <c r="AX4384" s="32"/>
      <c r="AY4384" s="32"/>
      <c r="AZ4384" s="32"/>
      <c r="BA4384" s="32"/>
      <c r="BB4384" s="31"/>
      <c r="BC4384" s="31"/>
      <c r="BD4384" s="31"/>
      <c r="BE4384" s="31"/>
      <c r="BF4384" s="96"/>
    </row>
    <row r="4385" spans="42:58" x14ac:dyDescent="0.35">
      <c r="AP4385" s="92"/>
      <c r="AQ4385" s="67"/>
      <c r="AR4385" s="67"/>
      <c r="AS4385" s="73"/>
      <c r="AT4385" s="67"/>
      <c r="AU4385" s="67"/>
      <c r="AV4385" s="73"/>
      <c r="AW4385" s="68"/>
      <c r="AX4385" s="68"/>
      <c r="AY4385" s="68"/>
      <c r="AZ4385" s="68"/>
      <c r="BA4385" s="68"/>
      <c r="BB4385" s="67"/>
      <c r="BC4385" s="67"/>
      <c r="BD4385" s="67"/>
      <c r="BE4385" s="67"/>
      <c r="BF4385" s="95"/>
    </row>
    <row r="4386" spans="42:58" x14ac:dyDescent="0.35">
      <c r="AP4386" s="93"/>
      <c r="AQ4386" s="31"/>
      <c r="AR4386" s="31"/>
      <c r="AS4386" s="94"/>
      <c r="AT4386" s="31"/>
      <c r="AU4386" s="31"/>
      <c r="AV4386" s="94"/>
      <c r="AW4386" s="32"/>
      <c r="AX4386" s="32"/>
      <c r="AY4386" s="32"/>
      <c r="AZ4386" s="32"/>
      <c r="BA4386" s="32"/>
      <c r="BB4386" s="31"/>
      <c r="BC4386" s="31"/>
      <c r="BD4386" s="31"/>
      <c r="BE4386" s="31"/>
      <c r="BF4386" s="96"/>
    </row>
    <row r="4387" spans="42:58" x14ac:dyDescent="0.35">
      <c r="AP4387" s="92"/>
      <c r="AQ4387" s="67"/>
      <c r="AR4387" s="67"/>
      <c r="AS4387" s="73"/>
      <c r="AT4387" s="67"/>
      <c r="AU4387" s="67"/>
      <c r="AV4387" s="73"/>
      <c r="AW4387" s="68"/>
      <c r="AX4387" s="68"/>
      <c r="AY4387" s="68"/>
      <c r="AZ4387" s="68"/>
      <c r="BA4387" s="68"/>
      <c r="BB4387" s="67"/>
      <c r="BC4387" s="67"/>
      <c r="BD4387" s="67"/>
      <c r="BE4387" s="67"/>
      <c r="BF4387" s="95"/>
    </row>
    <row r="4388" spans="42:58" x14ac:dyDescent="0.35">
      <c r="AP4388" s="93"/>
      <c r="AQ4388" s="31"/>
      <c r="AR4388" s="31"/>
      <c r="AS4388" s="94"/>
      <c r="AT4388" s="31"/>
      <c r="AU4388" s="31"/>
      <c r="AV4388" s="94"/>
      <c r="AW4388" s="32"/>
      <c r="AX4388" s="32"/>
      <c r="AY4388" s="32"/>
      <c r="AZ4388" s="32"/>
      <c r="BA4388" s="32"/>
      <c r="BB4388" s="31"/>
      <c r="BC4388" s="31"/>
      <c r="BD4388" s="31"/>
      <c r="BE4388" s="31"/>
      <c r="BF4388" s="96"/>
    </row>
    <row r="4389" spans="42:58" x14ac:dyDescent="0.35">
      <c r="AP4389" s="92"/>
      <c r="AQ4389" s="67"/>
      <c r="AR4389" s="67"/>
      <c r="AS4389" s="73"/>
      <c r="AT4389" s="67"/>
      <c r="AU4389" s="67"/>
      <c r="AV4389" s="73"/>
      <c r="AW4389" s="68"/>
      <c r="AX4389" s="68"/>
      <c r="AY4389" s="68"/>
      <c r="AZ4389" s="68"/>
      <c r="BA4389" s="68"/>
      <c r="BB4389" s="67"/>
      <c r="BC4389" s="67"/>
      <c r="BD4389" s="67"/>
      <c r="BE4389" s="67"/>
      <c r="BF4389" s="95"/>
    </row>
    <row r="4390" spans="42:58" x14ac:dyDescent="0.35">
      <c r="AP4390" s="93"/>
      <c r="AQ4390" s="31"/>
      <c r="AR4390" s="31"/>
      <c r="AS4390" s="94"/>
      <c r="AT4390" s="31"/>
      <c r="AU4390" s="31"/>
      <c r="AV4390" s="94"/>
      <c r="AW4390" s="32"/>
      <c r="AX4390" s="32"/>
      <c r="AY4390" s="32"/>
      <c r="AZ4390" s="32"/>
      <c r="BA4390" s="32"/>
      <c r="BB4390" s="31"/>
      <c r="BC4390" s="31"/>
      <c r="BD4390" s="31"/>
      <c r="BE4390" s="31"/>
      <c r="BF4390" s="96"/>
    </row>
    <row r="4391" spans="42:58" x14ac:dyDescent="0.35">
      <c r="AP4391" s="92"/>
      <c r="AQ4391" s="67"/>
      <c r="AR4391" s="67"/>
      <c r="AS4391" s="73"/>
      <c r="AT4391" s="67"/>
      <c r="AU4391" s="67"/>
      <c r="AV4391" s="73"/>
      <c r="AW4391" s="68"/>
      <c r="AX4391" s="68"/>
      <c r="AY4391" s="68"/>
      <c r="AZ4391" s="68"/>
      <c r="BA4391" s="68"/>
      <c r="BB4391" s="67"/>
      <c r="BC4391" s="67"/>
      <c r="BD4391" s="67"/>
      <c r="BE4391" s="67"/>
      <c r="BF4391" s="95"/>
    </row>
    <row r="4392" spans="42:58" x14ac:dyDescent="0.35">
      <c r="AP4392" s="93"/>
      <c r="AQ4392" s="31"/>
      <c r="AR4392" s="31"/>
      <c r="AS4392" s="94"/>
      <c r="AT4392" s="31"/>
      <c r="AU4392" s="31"/>
      <c r="AV4392" s="94"/>
      <c r="AW4392" s="32"/>
      <c r="AX4392" s="32"/>
      <c r="AY4392" s="32"/>
      <c r="AZ4392" s="32"/>
      <c r="BA4392" s="32"/>
      <c r="BB4392" s="31"/>
      <c r="BC4392" s="31"/>
      <c r="BD4392" s="31"/>
      <c r="BE4392" s="31"/>
      <c r="BF4392" s="96"/>
    </row>
    <row r="4393" spans="42:58" x14ac:dyDescent="0.35">
      <c r="AP4393" s="92"/>
      <c r="AQ4393" s="67"/>
      <c r="AR4393" s="67"/>
      <c r="AS4393" s="73"/>
      <c r="AT4393" s="67"/>
      <c r="AU4393" s="67"/>
      <c r="AV4393" s="73"/>
      <c r="AW4393" s="68"/>
      <c r="AX4393" s="68"/>
      <c r="AY4393" s="68"/>
      <c r="AZ4393" s="68"/>
      <c r="BA4393" s="68"/>
      <c r="BB4393" s="67"/>
      <c r="BC4393" s="67"/>
      <c r="BD4393" s="67"/>
      <c r="BE4393" s="67"/>
      <c r="BF4393" s="95"/>
    </row>
    <row r="4394" spans="42:58" x14ac:dyDescent="0.35">
      <c r="AP4394" s="93"/>
      <c r="AQ4394" s="31"/>
      <c r="AR4394" s="31"/>
      <c r="AS4394" s="94"/>
      <c r="AT4394" s="31"/>
      <c r="AU4394" s="31"/>
      <c r="AV4394" s="94"/>
      <c r="AW4394" s="32"/>
      <c r="AX4394" s="32"/>
      <c r="AY4394" s="32"/>
      <c r="AZ4394" s="32"/>
      <c r="BA4394" s="32"/>
      <c r="BB4394" s="31"/>
      <c r="BC4394" s="31"/>
      <c r="BD4394" s="31"/>
      <c r="BE4394" s="31"/>
      <c r="BF4394" s="96"/>
    </row>
    <row r="4395" spans="42:58" x14ac:dyDescent="0.35">
      <c r="AP4395" s="92"/>
      <c r="AQ4395" s="67"/>
      <c r="AR4395" s="67"/>
      <c r="AS4395" s="73"/>
      <c r="AT4395" s="67"/>
      <c r="AU4395" s="67"/>
      <c r="AV4395" s="73"/>
      <c r="AW4395" s="68"/>
      <c r="AX4395" s="68"/>
      <c r="AY4395" s="68"/>
      <c r="AZ4395" s="68"/>
      <c r="BA4395" s="68"/>
      <c r="BB4395" s="67"/>
      <c r="BC4395" s="67"/>
      <c r="BD4395" s="67"/>
      <c r="BE4395" s="67"/>
      <c r="BF4395" s="95"/>
    </row>
    <row r="4396" spans="42:58" x14ac:dyDescent="0.35">
      <c r="AP4396" s="93"/>
      <c r="AQ4396" s="31"/>
      <c r="AR4396" s="31"/>
      <c r="AS4396" s="94"/>
      <c r="AT4396" s="31"/>
      <c r="AU4396" s="31"/>
      <c r="AV4396" s="94"/>
      <c r="AW4396" s="32"/>
      <c r="AX4396" s="32"/>
      <c r="AY4396" s="32"/>
      <c r="AZ4396" s="32"/>
      <c r="BA4396" s="32"/>
      <c r="BB4396" s="31"/>
      <c r="BC4396" s="31"/>
      <c r="BD4396" s="31"/>
      <c r="BE4396" s="31"/>
      <c r="BF4396" s="96"/>
    </row>
    <row r="4397" spans="42:58" x14ac:dyDescent="0.35">
      <c r="AP4397" s="92"/>
      <c r="AQ4397" s="67"/>
      <c r="AR4397" s="67"/>
      <c r="AS4397" s="73"/>
      <c r="AT4397" s="67"/>
      <c r="AU4397" s="67"/>
      <c r="AV4397" s="73"/>
      <c r="AW4397" s="68"/>
      <c r="AX4397" s="68"/>
      <c r="AY4397" s="68"/>
      <c r="AZ4397" s="68"/>
      <c r="BA4397" s="68"/>
      <c r="BB4397" s="67"/>
      <c r="BC4397" s="67"/>
      <c r="BD4397" s="67"/>
      <c r="BE4397" s="67"/>
      <c r="BF4397" s="95"/>
    </row>
    <row r="4398" spans="42:58" x14ac:dyDescent="0.35">
      <c r="AP4398" s="93"/>
      <c r="AQ4398" s="31"/>
      <c r="AR4398" s="31"/>
      <c r="AS4398" s="94"/>
      <c r="AT4398" s="31"/>
      <c r="AU4398" s="31"/>
      <c r="AV4398" s="94"/>
      <c r="AW4398" s="32"/>
      <c r="AX4398" s="32"/>
      <c r="AY4398" s="32"/>
      <c r="AZ4398" s="32"/>
      <c r="BA4398" s="32"/>
      <c r="BB4398" s="31"/>
      <c r="BC4398" s="31"/>
      <c r="BD4398" s="31"/>
      <c r="BE4398" s="31"/>
      <c r="BF4398" s="96"/>
    </row>
    <row r="4399" spans="42:58" x14ac:dyDescent="0.35">
      <c r="AP4399" s="92"/>
      <c r="AQ4399" s="67"/>
      <c r="AR4399" s="67"/>
      <c r="AS4399" s="73"/>
      <c r="AT4399" s="67"/>
      <c r="AU4399" s="67"/>
      <c r="AV4399" s="73"/>
      <c r="AW4399" s="68"/>
      <c r="AX4399" s="68"/>
      <c r="AY4399" s="68"/>
      <c r="AZ4399" s="68"/>
      <c r="BA4399" s="68"/>
      <c r="BB4399" s="67"/>
      <c r="BC4399" s="67"/>
      <c r="BD4399" s="67"/>
      <c r="BE4399" s="67"/>
      <c r="BF4399" s="95"/>
    </row>
    <row r="4400" spans="42:58" x14ac:dyDescent="0.35">
      <c r="AP4400" s="93"/>
      <c r="AQ4400" s="31"/>
      <c r="AR4400" s="31"/>
      <c r="AS4400" s="94"/>
      <c r="AT4400" s="31"/>
      <c r="AU4400" s="31"/>
      <c r="AV4400" s="94"/>
      <c r="AW4400" s="32"/>
      <c r="AX4400" s="32"/>
      <c r="AY4400" s="32"/>
      <c r="AZ4400" s="32"/>
      <c r="BA4400" s="32"/>
      <c r="BB4400" s="31"/>
      <c r="BC4400" s="31"/>
      <c r="BD4400" s="31"/>
      <c r="BE4400" s="31"/>
      <c r="BF4400" s="96"/>
    </row>
    <row r="4401" spans="42:58" x14ac:dyDescent="0.35">
      <c r="AP4401" s="92"/>
      <c r="AQ4401" s="67"/>
      <c r="AR4401" s="67"/>
      <c r="AS4401" s="73"/>
      <c r="AT4401" s="67"/>
      <c r="AU4401" s="67"/>
      <c r="AV4401" s="73"/>
      <c r="AW4401" s="68"/>
      <c r="AX4401" s="68"/>
      <c r="AY4401" s="68"/>
      <c r="AZ4401" s="68"/>
      <c r="BA4401" s="68"/>
      <c r="BB4401" s="67"/>
      <c r="BC4401" s="67"/>
      <c r="BD4401" s="67"/>
      <c r="BE4401" s="67"/>
      <c r="BF4401" s="95"/>
    </row>
    <row r="4402" spans="42:58" x14ac:dyDescent="0.35">
      <c r="AP4402" s="93"/>
      <c r="AQ4402" s="31"/>
      <c r="AR4402" s="31"/>
      <c r="AS4402" s="94"/>
      <c r="AT4402" s="31"/>
      <c r="AU4402" s="31"/>
      <c r="AV4402" s="94"/>
      <c r="AW4402" s="32"/>
      <c r="AX4402" s="32"/>
      <c r="AY4402" s="32"/>
      <c r="AZ4402" s="32"/>
      <c r="BA4402" s="32"/>
      <c r="BB4402" s="31"/>
      <c r="BC4402" s="31"/>
      <c r="BD4402" s="31"/>
      <c r="BE4402" s="31"/>
      <c r="BF4402" s="96"/>
    </row>
    <row r="4403" spans="42:58" x14ac:dyDescent="0.35">
      <c r="AP4403" s="92"/>
      <c r="AQ4403" s="67"/>
      <c r="AR4403" s="67"/>
      <c r="AS4403" s="73"/>
      <c r="AT4403" s="67"/>
      <c r="AU4403" s="67"/>
      <c r="AV4403" s="73"/>
      <c r="AW4403" s="68"/>
      <c r="AX4403" s="68"/>
      <c r="AY4403" s="68"/>
      <c r="AZ4403" s="68"/>
      <c r="BA4403" s="68"/>
      <c r="BB4403" s="67"/>
      <c r="BC4403" s="67"/>
      <c r="BD4403" s="67"/>
      <c r="BE4403" s="67"/>
      <c r="BF4403" s="95"/>
    </row>
    <row r="4404" spans="42:58" x14ac:dyDescent="0.35">
      <c r="AP4404" s="93"/>
      <c r="AQ4404" s="31"/>
      <c r="AR4404" s="31"/>
      <c r="AS4404" s="94"/>
      <c r="AT4404" s="31"/>
      <c r="AU4404" s="31"/>
      <c r="AV4404" s="94"/>
      <c r="AW4404" s="32"/>
      <c r="AX4404" s="32"/>
      <c r="AY4404" s="32"/>
      <c r="AZ4404" s="32"/>
      <c r="BA4404" s="32"/>
      <c r="BB4404" s="31"/>
      <c r="BC4404" s="31"/>
      <c r="BD4404" s="31"/>
      <c r="BE4404" s="31"/>
      <c r="BF4404" s="96"/>
    </row>
    <row r="4405" spans="42:58" x14ac:dyDescent="0.35">
      <c r="AP4405" s="92"/>
      <c r="AQ4405" s="67"/>
      <c r="AR4405" s="67"/>
      <c r="AS4405" s="73"/>
      <c r="AT4405" s="67"/>
      <c r="AU4405" s="67"/>
      <c r="AV4405" s="73"/>
      <c r="AW4405" s="68"/>
      <c r="AX4405" s="68"/>
      <c r="AY4405" s="68"/>
      <c r="AZ4405" s="68"/>
      <c r="BA4405" s="68"/>
      <c r="BB4405" s="67"/>
      <c r="BC4405" s="67"/>
      <c r="BD4405" s="67"/>
      <c r="BE4405" s="67"/>
      <c r="BF4405" s="95"/>
    </row>
    <row r="4406" spans="42:58" x14ac:dyDescent="0.35">
      <c r="AP4406" s="93"/>
      <c r="AQ4406" s="31"/>
      <c r="AR4406" s="31"/>
      <c r="AS4406" s="94"/>
      <c r="AT4406" s="31"/>
      <c r="AU4406" s="31"/>
      <c r="AV4406" s="94"/>
      <c r="AW4406" s="32"/>
      <c r="AX4406" s="32"/>
      <c r="AY4406" s="32"/>
      <c r="AZ4406" s="32"/>
      <c r="BA4406" s="32"/>
      <c r="BB4406" s="31"/>
      <c r="BC4406" s="31"/>
      <c r="BD4406" s="31"/>
      <c r="BE4406" s="31"/>
      <c r="BF4406" s="96"/>
    </row>
    <row r="4407" spans="42:58" x14ac:dyDescent="0.35">
      <c r="AP4407" s="92"/>
      <c r="AQ4407" s="67"/>
      <c r="AR4407" s="67"/>
      <c r="AS4407" s="73"/>
      <c r="AT4407" s="67"/>
      <c r="AU4407" s="67"/>
      <c r="AV4407" s="73"/>
      <c r="AW4407" s="68"/>
      <c r="AX4407" s="68"/>
      <c r="AY4407" s="68"/>
      <c r="AZ4407" s="68"/>
      <c r="BA4407" s="68"/>
      <c r="BB4407" s="67"/>
      <c r="BC4407" s="67"/>
      <c r="BD4407" s="67"/>
      <c r="BE4407" s="67"/>
      <c r="BF4407" s="95"/>
    </row>
    <row r="4408" spans="42:58" x14ac:dyDescent="0.35">
      <c r="AP4408" s="93"/>
      <c r="AQ4408" s="31"/>
      <c r="AR4408" s="31"/>
      <c r="AS4408" s="94"/>
      <c r="AT4408" s="31"/>
      <c r="AU4408" s="31"/>
      <c r="AV4408" s="94"/>
      <c r="AW4408" s="32"/>
      <c r="AX4408" s="32"/>
      <c r="AY4408" s="32"/>
      <c r="AZ4408" s="32"/>
      <c r="BA4408" s="32"/>
      <c r="BB4408" s="31"/>
      <c r="BC4408" s="31"/>
      <c r="BD4408" s="31"/>
      <c r="BE4408" s="31"/>
      <c r="BF4408" s="96"/>
    </row>
    <row r="4409" spans="42:58" x14ac:dyDescent="0.35">
      <c r="AP4409" s="92"/>
      <c r="AQ4409" s="67"/>
      <c r="AR4409" s="67"/>
      <c r="AS4409" s="73"/>
      <c r="AT4409" s="67"/>
      <c r="AU4409" s="67"/>
      <c r="AV4409" s="73"/>
      <c r="AW4409" s="68"/>
      <c r="AX4409" s="68"/>
      <c r="AY4409" s="68"/>
      <c r="AZ4409" s="68"/>
      <c r="BA4409" s="68"/>
      <c r="BB4409" s="67"/>
      <c r="BC4409" s="67"/>
      <c r="BD4409" s="67"/>
      <c r="BE4409" s="67"/>
      <c r="BF4409" s="95"/>
    </row>
    <row r="4410" spans="42:58" x14ac:dyDescent="0.35">
      <c r="AP4410" s="93"/>
      <c r="AQ4410" s="31"/>
      <c r="AR4410" s="31"/>
      <c r="AS4410" s="94"/>
      <c r="AT4410" s="31"/>
      <c r="AU4410" s="31"/>
      <c r="AV4410" s="94"/>
      <c r="AW4410" s="32"/>
      <c r="AX4410" s="32"/>
      <c r="AY4410" s="32"/>
      <c r="AZ4410" s="32"/>
      <c r="BA4410" s="32"/>
      <c r="BB4410" s="31"/>
      <c r="BC4410" s="31"/>
      <c r="BD4410" s="31"/>
      <c r="BE4410" s="31"/>
      <c r="BF4410" s="96"/>
    </row>
    <row r="4411" spans="42:58" x14ac:dyDescent="0.35">
      <c r="AP4411" s="92"/>
      <c r="AQ4411" s="67"/>
      <c r="AR4411" s="67"/>
      <c r="AS4411" s="73"/>
      <c r="AT4411" s="67"/>
      <c r="AU4411" s="67"/>
      <c r="AV4411" s="73"/>
      <c r="AW4411" s="68"/>
      <c r="AX4411" s="68"/>
      <c r="AY4411" s="68"/>
      <c r="AZ4411" s="68"/>
      <c r="BA4411" s="68"/>
      <c r="BB4411" s="67"/>
      <c r="BC4411" s="67"/>
      <c r="BD4411" s="67"/>
      <c r="BE4411" s="67"/>
      <c r="BF4411" s="95"/>
    </row>
    <row r="4412" spans="42:58" x14ac:dyDescent="0.35">
      <c r="AP4412" s="93"/>
      <c r="AQ4412" s="31"/>
      <c r="AR4412" s="31"/>
      <c r="AS4412" s="94"/>
      <c r="AT4412" s="31"/>
      <c r="AU4412" s="31"/>
      <c r="AV4412" s="94"/>
      <c r="AW4412" s="32"/>
      <c r="AX4412" s="32"/>
      <c r="AY4412" s="32"/>
      <c r="AZ4412" s="32"/>
      <c r="BA4412" s="32"/>
      <c r="BB4412" s="31"/>
      <c r="BC4412" s="31"/>
      <c r="BD4412" s="31"/>
      <c r="BE4412" s="31"/>
      <c r="BF4412" s="96"/>
    </row>
    <row r="4413" spans="42:58" x14ac:dyDescent="0.35">
      <c r="AP4413" s="92"/>
      <c r="AQ4413" s="67"/>
      <c r="AR4413" s="67"/>
      <c r="AS4413" s="73"/>
      <c r="AT4413" s="67"/>
      <c r="AU4413" s="67"/>
      <c r="AV4413" s="73"/>
      <c r="AW4413" s="68"/>
      <c r="AX4413" s="68"/>
      <c r="AY4413" s="68"/>
      <c r="AZ4413" s="68"/>
      <c r="BA4413" s="68"/>
      <c r="BB4413" s="67"/>
      <c r="BC4413" s="67"/>
      <c r="BD4413" s="67"/>
      <c r="BE4413" s="67"/>
      <c r="BF4413" s="95"/>
    </row>
    <row r="4414" spans="42:58" x14ac:dyDescent="0.35">
      <c r="AP4414" s="93"/>
      <c r="AQ4414" s="31"/>
      <c r="AR4414" s="31"/>
      <c r="AS4414" s="94"/>
      <c r="AT4414" s="31"/>
      <c r="AU4414" s="31"/>
      <c r="AV4414" s="94"/>
      <c r="AW4414" s="32"/>
      <c r="AX4414" s="32"/>
      <c r="AY4414" s="32"/>
      <c r="AZ4414" s="32"/>
      <c r="BA4414" s="32"/>
      <c r="BB4414" s="31"/>
      <c r="BC4414" s="31"/>
      <c r="BD4414" s="31"/>
      <c r="BE4414" s="31"/>
      <c r="BF4414" s="96"/>
    </row>
    <row r="4415" spans="42:58" x14ac:dyDescent="0.35">
      <c r="AP4415" s="92"/>
      <c r="AQ4415" s="67"/>
      <c r="AR4415" s="67"/>
      <c r="AS4415" s="73"/>
      <c r="AT4415" s="67"/>
      <c r="AU4415" s="67"/>
      <c r="AV4415" s="73"/>
      <c r="AW4415" s="68"/>
      <c r="AX4415" s="68"/>
      <c r="AY4415" s="68"/>
      <c r="AZ4415" s="68"/>
      <c r="BA4415" s="68"/>
      <c r="BB4415" s="67"/>
      <c r="BC4415" s="67"/>
      <c r="BD4415" s="67"/>
      <c r="BE4415" s="67"/>
      <c r="BF4415" s="95"/>
    </row>
    <row r="4416" spans="42:58" x14ac:dyDescent="0.35">
      <c r="AP4416" s="93"/>
      <c r="AQ4416" s="31"/>
      <c r="AR4416" s="31"/>
      <c r="AS4416" s="94"/>
      <c r="AT4416" s="31"/>
      <c r="AU4416" s="31"/>
      <c r="AV4416" s="94"/>
      <c r="AW4416" s="32"/>
      <c r="AX4416" s="32"/>
      <c r="AY4416" s="32"/>
      <c r="AZ4416" s="32"/>
      <c r="BA4416" s="32"/>
      <c r="BB4416" s="31"/>
      <c r="BC4416" s="31"/>
      <c r="BD4416" s="31"/>
      <c r="BE4416" s="31"/>
      <c r="BF4416" s="96"/>
    </row>
    <row r="4417" spans="42:58" x14ac:dyDescent="0.35">
      <c r="AP4417" s="92"/>
      <c r="AQ4417" s="67"/>
      <c r="AR4417" s="67"/>
      <c r="AS4417" s="73"/>
      <c r="AT4417" s="67"/>
      <c r="AU4417" s="67"/>
      <c r="AV4417" s="73"/>
      <c r="AW4417" s="68"/>
      <c r="AX4417" s="68"/>
      <c r="AY4417" s="68"/>
      <c r="AZ4417" s="68"/>
      <c r="BA4417" s="68"/>
      <c r="BB4417" s="67"/>
      <c r="BC4417" s="67"/>
      <c r="BD4417" s="67"/>
      <c r="BE4417" s="67"/>
      <c r="BF4417" s="95"/>
    </row>
    <row r="4418" spans="42:58" x14ac:dyDescent="0.35">
      <c r="AP4418" s="93"/>
      <c r="AQ4418" s="31"/>
      <c r="AR4418" s="31"/>
      <c r="AS4418" s="94"/>
      <c r="AT4418" s="31"/>
      <c r="AU4418" s="31"/>
      <c r="AV4418" s="94"/>
      <c r="AW4418" s="32"/>
      <c r="AX4418" s="32"/>
      <c r="AY4418" s="32"/>
      <c r="AZ4418" s="32"/>
      <c r="BA4418" s="32"/>
      <c r="BB4418" s="31"/>
      <c r="BC4418" s="31"/>
      <c r="BD4418" s="31"/>
      <c r="BE4418" s="31"/>
      <c r="BF4418" s="96"/>
    </row>
    <row r="4419" spans="42:58" x14ac:dyDescent="0.35">
      <c r="AP4419" s="92"/>
      <c r="AQ4419" s="67"/>
      <c r="AR4419" s="67"/>
      <c r="AS4419" s="73"/>
      <c r="AT4419" s="67"/>
      <c r="AU4419" s="67"/>
      <c r="AV4419" s="73"/>
      <c r="AW4419" s="68"/>
      <c r="AX4419" s="68"/>
      <c r="AY4419" s="68"/>
      <c r="AZ4419" s="68"/>
      <c r="BA4419" s="68"/>
      <c r="BB4419" s="67"/>
      <c r="BC4419" s="67"/>
      <c r="BD4419" s="67"/>
      <c r="BE4419" s="67"/>
      <c r="BF4419" s="95"/>
    </row>
    <row r="4420" spans="42:58" x14ac:dyDescent="0.35">
      <c r="AP4420" s="93"/>
      <c r="AQ4420" s="31"/>
      <c r="AR4420" s="31"/>
      <c r="AS4420" s="94"/>
      <c r="AT4420" s="31"/>
      <c r="AU4420" s="31"/>
      <c r="AV4420" s="94"/>
      <c r="AW4420" s="32"/>
      <c r="AX4420" s="32"/>
      <c r="AY4420" s="32"/>
      <c r="AZ4420" s="32"/>
      <c r="BA4420" s="32"/>
      <c r="BB4420" s="31"/>
      <c r="BC4420" s="31"/>
      <c r="BD4420" s="31"/>
      <c r="BE4420" s="31"/>
      <c r="BF4420" s="96"/>
    </row>
    <row r="4421" spans="42:58" x14ac:dyDescent="0.35">
      <c r="AP4421" s="92"/>
      <c r="AQ4421" s="67"/>
      <c r="AR4421" s="67"/>
      <c r="AS4421" s="73"/>
      <c r="AT4421" s="67"/>
      <c r="AU4421" s="67"/>
      <c r="AV4421" s="73"/>
      <c r="AW4421" s="68"/>
      <c r="AX4421" s="68"/>
      <c r="AY4421" s="68"/>
      <c r="AZ4421" s="68"/>
      <c r="BA4421" s="68"/>
      <c r="BB4421" s="67"/>
      <c r="BC4421" s="67"/>
      <c r="BD4421" s="67"/>
      <c r="BE4421" s="67"/>
      <c r="BF4421" s="95"/>
    </row>
    <row r="4422" spans="42:58" x14ac:dyDescent="0.35">
      <c r="AP4422" s="93"/>
      <c r="AQ4422" s="31"/>
      <c r="AR4422" s="31"/>
      <c r="AS4422" s="94"/>
      <c r="AT4422" s="31"/>
      <c r="AU4422" s="31"/>
      <c r="AV4422" s="94"/>
      <c r="AW4422" s="32"/>
      <c r="AX4422" s="32"/>
      <c r="AY4422" s="32"/>
      <c r="AZ4422" s="32"/>
      <c r="BA4422" s="32"/>
      <c r="BB4422" s="31"/>
      <c r="BC4422" s="31"/>
      <c r="BD4422" s="31"/>
      <c r="BE4422" s="31"/>
      <c r="BF4422" s="96"/>
    </row>
    <row r="4423" spans="42:58" x14ac:dyDescent="0.35">
      <c r="AP4423" s="92"/>
      <c r="AQ4423" s="67"/>
      <c r="AR4423" s="67"/>
      <c r="AS4423" s="73"/>
      <c r="AT4423" s="67"/>
      <c r="AU4423" s="67"/>
      <c r="AV4423" s="73"/>
      <c r="AW4423" s="68"/>
      <c r="AX4423" s="68"/>
      <c r="AY4423" s="68"/>
      <c r="AZ4423" s="68"/>
      <c r="BA4423" s="68"/>
      <c r="BB4423" s="67"/>
      <c r="BC4423" s="67"/>
      <c r="BD4423" s="67"/>
      <c r="BE4423" s="67"/>
      <c r="BF4423" s="95"/>
    </row>
    <row r="4424" spans="42:58" x14ac:dyDescent="0.35">
      <c r="AP4424" s="93"/>
      <c r="AQ4424" s="31"/>
      <c r="AR4424" s="31"/>
      <c r="AS4424" s="94"/>
      <c r="AT4424" s="31"/>
      <c r="AU4424" s="31"/>
      <c r="AV4424" s="94"/>
      <c r="AW4424" s="32"/>
      <c r="AX4424" s="32"/>
      <c r="AY4424" s="32"/>
      <c r="AZ4424" s="32"/>
      <c r="BA4424" s="32"/>
      <c r="BB4424" s="31"/>
      <c r="BC4424" s="31"/>
      <c r="BD4424" s="31"/>
      <c r="BE4424" s="31"/>
      <c r="BF4424" s="96"/>
    </row>
    <row r="4425" spans="42:58" x14ac:dyDescent="0.35">
      <c r="AP4425" s="92"/>
      <c r="AQ4425" s="67"/>
      <c r="AR4425" s="67"/>
      <c r="AS4425" s="73"/>
      <c r="AT4425" s="67"/>
      <c r="AU4425" s="67"/>
      <c r="AV4425" s="73"/>
      <c r="AW4425" s="68"/>
      <c r="AX4425" s="68"/>
      <c r="AY4425" s="68"/>
      <c r="AZ4425" s="68"/>
      <c r="BA4425" s="68"/>
      <c r="BB4425" s="67"/>
      <c r="BC4425" s="67"/>
      <c r="BD4425" s="67"/>
      <c r="BE4425" s="67"/>
      <c r="BF4425" s="95"/>
    </row>
    <row r="4426" spans="42:58" x14ac:dyDescent="0.35">
      <c r="AP4426" s="93"/>
      <c r="AQ4426" s="31"/>
      <c r="AR4426" s="31"/>
      <c r="AS4426" s="94"/>
      <c r="AT4426" s="31"/>
      <c r="AU4426" s="31"/>
      <c r="AV4426" s="94"/>
      <c r="AW4426" s="32"/>
      <c r="AX4426" s="32"/>
      <c r="AY4426" s="32"/>
      <c r="AZ4426" s="32"/>
      <c r="BA4426" s="32"/>
      <c r="BB4426" s="31"/>
      <c r="BC4426" s="31"/>
      <c r="BD4426" s="31"/>
      <c r="BE4426" s="31"/>
      <c r="BF4426" s="96"/>
    </row>
    <row r="4427" spans="42:58" x14ac:dyDescent="0.35">
      <c r="AP4427" s="92"/>
      <c r="AQ4427" s="67"/>
      <c r="AR4427" s="67"/>
      <c r="AS4427" s="73"/>
      <c r="AT4427" s="67"/>
      <c r="AU4427" s="67"/>
      <c r="AV4427" s="73"/>
      <c r="AW4427" s="68"/>
      <c r="AX4427" s="68"/>
      <c r="AY4427" s="68"/>
      <c r="AZ4427" s="68"/>
      <c r="BA4427" s="68"/>
      <c r="BB4427" s="67"/>
      <c r="BC4427" s="67"/>
      <c r="BD4427" s="67"/>
      <c r="BE4427" s="67"/>
      <c r="BF4427" s="95"/>
    </row>
    <row r="4428" spans="42:58" x14ac:dyDescent="0.35">
      <c r="AP4428" s="93"/>
      <c r="AQ4428" s="31"/>
      <c r="AR4428" s="31"/>
      <c r="AS4428" s="94"/>
      <c r="AT4428" s="31"/>
      <c r="AU4428" s="31"/>
      <c r="AV4428" s="94"/>
      <c r="AW4428" s="32"/>
      <c r="AX4428" s="32"/>
      <c r="AY4428" s="32"/>
      <c r="AZ4428" s="32"/>
      <c r="BA4428" s="32"/>
      <c r="BB4428" s="31"/>
      <c r="BC4428" s="31"/>
      <c r="BD4428" s="31"/>
      <c r="BE4428" s="31"/>
      <c r="BF4428" s="96"/>
    </row>
    <row r="4429" spans="42:58" x14ac:dyDescent="0.35">
      <c r="AP4429" s="92"/>
      <c r="AQ4429" s="67"/>
      <c r="AR4429" s="67"/>
      <c r="AS4429" s="73"/>
      <c r="AT4429" s="67"/>
      <c r="AU4429" s="67"/>
      <c r="AV4429" s="73"/>
      <c r="AW4429" s="68"/>
      <c r="AX4429" s="68"/>
      <c r="AY4429" s="68"/>
      <c r="AZ4429" s="68"/>
      <c r="BA4429" s="68"/>
      <c r="BB4429" s="67"/>
      <c r="BC4429" s="67"/>
      <c r="BD4429" s="67"/>
      <c r="BE4429" s="67"/>
      <c r="BF4429" s="95"/>
    </row>
    <row r="4430" spans="42:58" x14ac:dyDescent="0.35">
      <c r="AP4430" s="93"/>
      <c r="AQ4430" s="31"/>
      <c r="AR4430" s="31"/>
      <c r="AS4430" s="94"/>
      <c r="AT4430" s="31"/>
      <c r="AU4430" s="31"/>
      <c r="AV4430" s="94"/>
      <c r="AW4430" s="32"/>
      <c r="AX4430" s="32"/>
      <c r="AY4430" s="32"/>
      <c r="AZ4430" s="32"/>
      <c r="BA4430" s="32"/>
      <c r="BB4430" s="31"/>
      <c r="BC4430" s="31"/>
      <c r="BD4430" s="31"/>
      <c r="BE4430" s="31"/>
      <c r="BF4430" s="96"/>
    </row>
    <row r="4431" spans="42:58" x14ac:dyDescent="0.35">
      <c r="AP4431" s="92"/>
      <c r="AQ4431" s="67"/>
      <c r="AR4431" s="67"/>
      <c r="AS4431" s="73"/>
      <c r="AT4431" s="67"/>
      <c r="AU4431" s="67"/>
      <c r="AV4431" s="73"/>
      <c r="AW4431" s="68"/>
      <c r="AX4431" s="68"/>
      <c r="AY4431" s="68"/>
      <c r="AZ4431" s="68"/>
      <c r="BA4431" s="68"/>
      <c r="BB4431" s="67"/>
      <c r="BC4431" s="67"/>
      <c r="BD4431" s="67"/>
      <c r="BE4431" s="67"/>
      <c r="BF4431" s="95"/>
    </row>
    <row r="4432" spans="42:58" x14ac:dyDescent="0.35">
      <c r="AP4432" s="93"/>
      <c r="AQ4432" s="31"/>
      <c r="AR4432" s="31"/>
      <c r="AS4432" s="94"/>
      <c r="AT4432" s="31"/>
      <c r="AU4432" s="31"/>
      <c r="AV4432" s="94"/>
      <c r="AW4432" s="32"/>
      <c r="AX4432" s="32"/>
      <c r="AY4432" s="32"/>
      <c r="AZ4432" s="32"/>
      <c r="BA4432" s="32"/>
      <c r="BB4432" s="31"/>
      <c r="BC4432" s="31"/>
      <c r="BD4432" s="31"/>
      <c r="BE4432" s="31"/>
      <c r="BF4432" s="96"/>
    </row>
    <row r="4433" spans="42:58" x14ac:dyDescent="0.35">
      <c r="AP4433" s="92"/>
      <c r="AQ4433" s="67"/>
      <c r="AR4433" s="67"/>
      <c r="AS4433" s="73"/>
      <c r="AT4433" s="67"/>
      <c r="AU4433" s="67"/>
      <c r="AV4433" s="73"/>
      <c r="AW4433" s="68"/>
      <c r="AX4433" s="68"/>
      <c r="AY4433" s="68"/>
      <c r="AZ4433" s="68"/>
      <c r="BA4433" s="68"/>
      <c r="BB4433" s="67"/>
      <c r="BC4433" s="67"/>
      <c r="BD4433" s="67"/>
      <c r="BE4433" s="67"/>
      <c r="BF4433" s="95"/>
    </row>
    <row r="4434" spans="42:58" x14ac:dyDescent="0.35">
      <c r="AP4434" s="93"/>
      <c r="AQ4434" s="31"/>
      <c r="AR4434" s="31"/>
      <c r="AS4434" s="94"/>
      <c r="AT4434" s="31"/>
      <c r="AU4434" s="31"/>
      <c r="AV4434" s="94"/>
      <c r="AW4434" s="32"/>
      <c r="AX4434" s="32"/>
      <c r="AY4434" s="32"/>
      <c r="AZ4434" s="32"/>
      <c r="BA4434" s="32"/>
      <c r="BB4434" s="31"/>
      <c r="BC4434" s="31"/>
      <c r="BD4434" s="31"/>
      <c r="BE4434" s="31"/>
      <c r="BF4434" s="96"/>
    </row>
    <row r="4435" spans="42:58" x14ac:dyDescent="0.35">
      <c r="AP4435" s="92"/>
      <c r="AQ4435" s="67"/>
      <c r="AR4435" s="67"/>
      <c r="AS4435" s="73"/>
      <c r="AT4435" s="67"/>
      <c r="AU4435" s="67"/>
      <c r="AV4435" s="73"/>
      <c r="AW4435" s="68"/>
      <c r="AX4435" s="68"/>
      <c r="AY4435" s="68"/>
      <c r="AZ4435" s="68"/>
      <c r="BA4435" s="68"/>
      <c r="BB4435" s="67"/>
      <c r="BC4435" s="67"/>
      <c r="BD4435" s="67"/>
      <c r="BE4435" s="67"/>
      <c r="BF4435" s="95"/>
    </row>
    <row r="4436" spans="42:58" x14ac:dyDescent="0.35">
      <c r="AP4436" s="93"/>
      <c r="AQ4436" s="31"/>
      <c r="AR4436" s="31"/>
      <c r="AS4436" s="94"/>
      <c r="AT4436" s="31"/>
      <c r="AU4436" s="31"/>
      <c r="AV4436" s="94"/>
      <c r="AW4436" s="32"/>
      <c r="AX4436" s="32"/>
      <c r="AY4436" s="32"/>
      <c r="AZ4436" s="32"/>
      <c r="BA4436" s="32"/>
      <c r="BB4436" s="31"/>
      <c r="BC4436" s="31"/>
      <c r="BD4436" s="31"/>
      <c r="BE4436" s="31"/>
      <c r="BF4436" s="96"/>
    </row>
    <row r="4437" spans="42:58" x14ac:dyDescent="0.35">
      <c r="AP4437" s="92"/>
      <c r="AQ4437" s="67"/>
      <c r="AR4437" s="67"/>
      <c r="AS4437" s="73"/>
      <c r="AT4437" s="67"/>
      <c r="AU4437" s="67"/>
      <c r="AV4437" s="73"/>
      <c r="AW4437" s="68"/>
      <c r="AX4437" s="68"/>
      <c r="AY4437" s="68"/>
      <c r="AZ4437" s="68"/>
      <c r="BA4437" s="68"/>
      <c r="BB4437" s="67"/>
      <c r="BC4437" s="67"/>
      <c r="BD4437" s="67"/>
      <c r="BE4437" s="67"/>
      <c r="BF4437" s="95"/>
    </row>
    <row r="4438" spans="42:58" x14ac:dyDescent="0.35">
      <c r="AP4438" s="93"/>
      <c r="AQ4438" s="31"/>
      <c r="AR4438" s="31"/>
      <c r="AS4438" s="94"/>
      <c r="AT4438" s="31"/>
      <c r="AU4438" s="31"/>
      <c r="AV4438" s="94"/>
      <c r="AW4438" s="32"/>
      <c r="AX4438" s="32"/>
      <c r="AY4438" s="32"/>
      <c r="AZ4438" s="32"/>
      <c r="BA4438" s="32"/>
      <c r="BB4438" s="31"/>
      <c r="BC4438" s="31"/>
      <c r="BD4438" s="31"/>
      <c r="BE4438" s="31"/>
      <c r="BF4438" s="96"/>
    </row>
    <row r="4439" spans="42:58" x14ac:dyDescent="0.35">
      <c r="AP4439" s="92"/>
      <c r="AQ4439" s="67"/>
      <c r="AR4439" s="67"/>
      <c r="AS4439" s="73"/>
      <c r="AT4439" s="67"/>
      <c r="AU4439" s="67"/>
      <c r="AV4439" s="73"/>
      <c r="AW4439" s="68"/>
      <c r="AX4439" s="68"/>
      <c r="AY4439" s="68"/>
      <c r="AZ4439" s="68"/>
      <c r="BA4439" s="68"/>
      <c r="BB4439" s="67"/>
      <c r="BC4439" s="67"/>
      <c r="BD4439" s="67"/>
      <c r="BE4439" s="67"/>
      <c r="BF4439" s="95"/>
    </row>
    <row r="4440" spans="42:58" x14ac:dyDescent="0.35">
      <c r="AP4440" s="93"/>
      <c r="AQ4440" s="31"/>
      <c r="AR4440" s="31"/>
      <c r="AS4440" s="94"/>
      <c r="AT4440" s="31"/>
      <c r="AU4440" s="31"/>
      <c r="AV4440" s="94"/>
      <c r="AW4440" s="32"/>
      <c r="AX4440" s="32"/>
      <c r="AY4440" s="32"/>
      <c r="AZ4440" s="32"/>
      <c r="BA4440" s="32"/>
      <c r="BB4440" s="31"/>
      <c r="BC4440" s="31"/>
      <c r="BD4440" s="31"/>
      <c r="BE4440" s="31"/>
      <c r="BF4440" s="96"/>
    </row>
    <row r="4441" spans="42:58" x14ac:dyDescent="0.35">
      <c r="AP4441" s="92"/>
      <c r="AQ4441" s="67"/>
      <c r="AR4441" s="67"/>
      <c r="AS4441" s="73"/>
      <c r="AT4441" s="67"/>
      <c r="AU4441" s="67"/>
      <c r="AV4441" s="73"/>
      <c r="AW4441" s="68"/>
      <c r="AX4441" s="68"/>
      <c r="AY4441" s="68"/>
      <c r="AZ4441" s="68"/>
      <c r="BA4441" s="68"/>
      <c r="BB4441" s="67"/>
      <c r="BC4441" s="67"/>
      <c r="BD4441" s="67"/>
      <c r="BE4441" s="67"/>
      <c r="BF4441" s="95"/>
    </row>
    <row r="4442" spans="42:58" x14ac:dyDescent="0.35">
      <c r="AP4442" s="93"/>
      <c r="AQ4442" s="31"/>
      <c r="AR4442" s="31"/>
      <c r="AS4442" s="94"/>
      <c r="AT4442" s="31"/>
      <c r="AU4442" s="31"/>
      <c r="AV4442" s="94"/>
      <c r="AW4442" s="32"/>
      <c r="AX4442" s="32"/>
      <c r="AY4442" s="32"/>
      <c r="AZ4442" s="32"/>
      <c r="BA4442" s="32"/>
      <c r="BB4442" s="31"/>
      <c r="BC4442" s="31"/>
      <c r="BD4442" s="31"/>
      <c r="BE4442" s="31"/>
      <c r="BF4442" s="96"/>
    </row>
    <row r="4443" spans="42:58" x14ac:dyDescent="0.35">
      <c r="AP4443" s="92"/>
      <c r="AQ4443" s="67"/>
      <c r="AR4443" s="67"/>
      <c r="AS4443" s="73"/>
      <c r="AT4443" s="67"/>
      <c r="AU4443" s="67"/>
      <c r="AV4443" s="73"/>
      <c r="AW4443" s="68"/>
      <c r="AX4443" s="68"/>
      <c r="AY4443" s="68"/>
      <c r="AZ4443" s="68"/>
      <c r="BA4443" s="68"/>
      <c r="BB4443" s="67"/>
      <c r="BC4443" s="67"/>
      <c r="BD4443" s="67"/>
      <c r="BE4443" s="67"/>
      <c r="BF4443" s="95"/>
    </row>
    <row r="4444" spans="42:58" x14ac:dyDescent="0.35">
      <c r="AP4444" s="93"/>
      <c r="AQ4444" s="31"/>
      <c r="AR4444" s="31"/>
      <c r="AS4444" s="94"/>
      <c r="AT4444" s="31"/>
      <c r="AU4444" s="31"/>
      <c r="AV4444" s="94"/>
      <c r="AW4444" s="32"/>
      <c r="AX4444" s="32"/>
      <c r="AY4444" s="32"/>
      <c r="AZ4444" s="32"/>
      <c r="BA4444" s="32"/>
      <c r="BB4444" s="31"/>
      <c r="BC4444" s="31"/>
      <c r="BD4444" s="31"/>
      <c r="BE4444" s="31"/>
      <c r="BF4444" s="96"/>
    </row>
    <row r="4445" spans="42:58" x14ac:dyDescent="0.35">
      <c r="AP4445" s="92"/>
      <c r="AQ4445" s="67"/>
      <c r="AR4445" s="67"/>
      <c r="AS4445" s="73"/>
      <c r="AT4445" s="67"/>
      <c r="AU4445" s="67"/>
      <c r="AV4445" s="73"/>
      <c r="AW4445" s="68"/>
      <c r="AX4445" s="68"/>
      <c r="AY4445" s="68"/>
      <c r="AZ4445" s="68"/>
      <c r="BA4445" s="68"/>
      <c r="BB4445" s="67"/>
      <c r="BC4445" s="67"/>
      <c r="BD4445" s="67"/>
      <c r="BE4445" s="67"/>
      <c r="BF4445" s="95"/>
    </row>
    <row r="4446" spans="42:58" x14ac:dyDescent="0.35">
      <c r="AP4446" s="93"/>
      <c r="AQ4446" s="31"/>
      <c r="AR4446" s="31"/>
      <c r="AS4446" s="94"/>
      <c r="AT4446" s="31"/>
      <c r="AU4446" s="31"/>
      <c r="AV4446" s="94"/>
      <c r="AW4446" s="32"/>
      <c r="AX4446" s="32"/>
      <c r="AY4446" s="32"/>
      <c r="AZ4446" s="32"/>
      <c r="BA4446" s="32"/>
      <c r="BB4446" s="31"/>
      <c r="BC4446" s="31"/>
      <c r="BD4446" s="31"/>
      <c r="BE4446" s="31"/>
      <c r="BF4446" s="96"/>
    </row>
    <row r="4447" spans="42:58" x14ac:dyDescent="0.35">
      <c r="AP4447" s="92"/>
      <c r="AQ4447" s="67"/>
      <c r="AR4447" s="67"/>
      <c r="AS4447" s="73"/>
      <c r="AT4447" s="67"/>
      <c r="AU4447" s="67"/>
      <c r="AV4447" s="73"/>
      <c r="AW4447" s="68"/>
      <c r="AX4447" s="68"/>
      <c r="AY4447" s="68"/>
      <c r="AZ4447" s="68"/>
      <c r="BA4447" s="68"/>
      <c r="BB4447" s="67"/>
      <c r="BC4447" s="67"/>
      <c r="BD4447" s="67"/>
      <c r="BE4447" s="67"/>
      <c r="BF4447" s="95"/>
    </row>
    <row r="4448" spans="42:58" x14ac:dyDescent="0.35">
      <c r="AP4448" s="93"/>
      <c r="AQ4448" s="31"/>
      <c r="AR4448" s="31"/>
      <c r="AS4448" s="94"/>
      <c r="AT4448" s="31"/>
      <c r="AU4448" s="31"/>
      <c r="AV4448" s="94"/>
      <c r="AW4448" s="32"/>
      <c r="AX4448" s="32"/>
      <c r="AY4448" s="32"/>
      <c r="AZ4448" s="32"/>
      <c r="BA4448" s="32"/>
      <c r="BB4448" s="31"/>
      <c r="BC4448" s="31"/>
      <c r="BD4448" s="31"/>
      <c r="BE4448" s="31"/>
      <c r="BF4448" s="96"/>
    </row>
    <row r="4449" spans="42:58" x14ac:dyDescent="0.35">
      <c r="AP4449" s="92"/>
      <c r="AQ4449" s="67"/>
      <c r="AR4449" s="67"/>
      <c r="AS4449" s="73"/>
      <c r="AT4449" s="67"/>
      <c r="AU4449" s="67"/>
      <c r="AV4449" s="73"/>
      <c r="AW4449" s="68"/>
      <c r="AX4449" s="68"/>
      <c r="AY4449" s="68"/>
      <c r="AZ4449" s="68"/>
      <c r="BA4449" s="68"/>
      <c r="BB4449" s="67"/>
      <c r="BC4449" s="67"/>
      <c r="BD4449" s="67"/>
      <c r="BE4449" s="67"/>
      <c r="BF4449" s="95"/>
    </row>
    <row r="4450" spans="42:58" x14ac:dyDescent="0.35">
      <c r="AP4450" s="93"/>
      <c r="AQ4450" s="31"/>
      <c r="AR4450" s="31"/>
      <c r="AS4450" s="94"/>
      <c r="AT4450" s="31"/>
      <c r="AU4450" s="31"/>
      <c r="AV4450" s="94"/>
      <c r="AW4450" s="32"/>
      <c r="AX4450" s="32"/>
      <c r="AY4450" s="32"/>
      <c r="AZ4450" s="32"/>
      <c r="BA4450" s="32"/>
      <c r="BB4450" s="31"/>
      <c r="BC4450" s="31"/>
      <c r="BD4450" s="31"/>
      <c r="BE4450" s="31"/>
      <c r="BF4450" s="96"/>
    </row>
    <row r="4451" spans="42:58" x14ac:dyDescent="0.35">
      <c r="AP4451" s="92"/>
      <c r="AQ4451" s="67"/>
      <c r="AR4451" s="67"/>
      <c r="AS4451" s="73"/>
      <c r="AT4451" s="67"/>
      <c r="AU4451" s="67"/>
      <c r="AV4451" s="73"/>
      <c r="AW4451" s="68"/>
      <c r="AX4451" s="68"/>
      <c r="AY4451" s="68"/>
      <c r="AZ4451" s="68"/>
      <c r="BA4451" s="68"/>
      <c r="BB4451" s="67"/>
      <c r="BC4451" s="67"/>
      <c r="BD4451" s="67"/>
      <c r="BE4451" s="67"/>
      <c r="BF4451" s="95"/>
    </row>
    <row r="4452" spans="42:58" x14ac:dyDescent="0.35">
      <c r="AP4452" s="93"/>
      <c r="AQ4452" s="31"/>
      <c r="AR4452" s="31"/>
      <c r="AS4452" s="94"/>
      <c r="AT4452" s="31"/>
      <c r="AU4452" s="31"/>
      <c r="AV4452" s="94"/>
      <c r="AW4452" s="32"/>
      <c r="AX4452" s="32"/>
      <c r="AY4452" s="32"/>
      <c r="AZ4452" s="32"/>
      <c r="BA4452" s="32"/>
      <c r="BB4452" s="31"/>
      <c r="BC4452" s="31"/>
      <c r="BD4452" s="31"/>
      <c r="BE4452" s="31"/>
      <c r="BF4452" s="96"/>
    </row>
    <row r="4453" spans="42:58" x14ac:dyDescent="0.35">
      <c r="AP4453" s="92"/>
      <c r="AQ4453" s="67"/>
      <c r="AR4453" s="67"/>
      <c r="AS4453" s="73"/>
      <c r="AT4453" s="67"/>
      <c r="AU4453" s="67"/>
      <c r="AV4453" s="73"/>
      <c r="AW4453" s="68"/>
      <c r="AX4453" s="68"/>
      <c r="AY4453" s="68"/>
      <c r="AZ4453" s="68"/>
      <c r="BA4453" s="68"/>
      <c r="BB4453" s="67"/>
      <c r="BC4453" s="67"/>
      <c r="BD4453" s="67"/>
      <c r="BE4453" s="67"/>
      <c r="BF4453" s="95"/>
    </row>
    <row r="4454" spans="42:58" x14ac:dyDescent="0.35">
      <c r="AP4454" s="93"/>
      <c r="AQ4454" s="31"/>
      <c r="AR4454" s="31"/>
      <c r="AS4454" s="94"/>
      <c r="AT4454" s="31"/>
      <c r="AU4454" s="31"/>
      <c r="AV4454" s="94"/>
      <c r="AW4454" s="32"/>
      <c r="AX4454" s="32"/>
      <c r="AY4454" s="32"/>
      <c r="AZ4454" s="32"/>
      <c r="BA4454" s="32"/>
      <c r="BB4454" s="31"/>
      <c r="BC4454" s="31"/>
      <c r="BD4454" s="31"/>
      <c r="BE4454" s="31"/>
      <c r="BF4454" s="96"/>
    </row>
    <row r="4455" spans="42:58" x14ac:dyDescent="0.35">
      <c r="AP4455" s="92"/>
      <c r="AQ4455" s="67"/>
      <c r="AR4455" s="67"/>
      <c r="AS4455" s="73"/>
      <c r="AT4455" s="67"/>
      <c r="AU4455" s="67"/>
      <c r="AV4455" s="73"/>
      <c r="AW4455" s="68"/>
      <c r="AX4455" s="68"/>
      <c r="AY4455" s="68"/>
      <c r="AZ4455" s="68"/>
      <c r="BA4455" s="68"/>
      <c r="BB4455" s="67"/>
      <c r="BC4455" s="67"/>
      <c r="BD4455" s="67"/>
      <c r="BE4455" s="67"/>
      <c r="BF4455" s="95"/>
    </row>
    <row r="4456" spans="42:58" x14ac:dyDescent="0.35">
      <c r="AP4456" s="93"/>
      <c r="AQ4456" s="31"/>
      <c r="AR4456" s="31"/>
      <c r="AS4456" s="94"/>
      <c r="AT4456" s="31"/>
      <c r="AU4456" s="31"/>
      <c r="AV4456" s="94"/>
      <c r="AW4456" s="32"/>
      <c r="AX4456" s="32"/>
      <c r="AY4456" s="32"/>
      <c r="AZ4456" s="32"/>
      <c r="BA4456" s="32"/>
      <c r="BB4456" s="31"/>
      <c r="BC4456" s="31"/>
      <c r="BD4456" s="31"/>
      <c r="BE4456" s="31"/>
      <c r="BF4456" s="96"/>
    </row>
    <row r="4457" spans="42:58" x14ac:dyDescent="0.35">
      <c r="AP4457" s="92"/>
      <c r="AQ4457" s="67"/>
      <c r="AR4457" s="67"/>
      <c r="AS4457" s="73"/>
      <c r="AT4457" s="67"/>
      <c r="AU4457" s="67"/>
      <c r="AV4457" s="73"/>
      <c r="AW4457" s="68"/>
      <c r="AX4457" s="68"/>
      <c r="AY4457" s="68"/>
      <c r="AZ4457" s="68"/>
      <c r="BA4457" s="68"/>
      <c r="BB4457" s="67"/>
      <c r="BC4457" s="67"/>
      <c r="BD4457" s="67"/>
      <c r="BE4457" s="67"/>
      <c r="BF4457" s="95"/>
    </row>
    <row r="4458" spans="42:58" x14ac:dyDescent="0.35">
      <c r="AP4458" s="93"/>
      <c r="AQ4458" s="31"/>
      <c r="AR4458" s="31"/>
      <c r="AS4458" s="94"/>
      <c r="AT4458" s="31"/>
      <c r="AU4458" s="31"/>
      <c r="AV4458" s="94"/>
      <c r="AW4458" s="32"/>
      <c r="AX4458" s="32"/>
      <c r="AY4458" s="32"/>
      <c r="AZ4458" s="32"/>
      <c r="BA4458" s="32"/>
      <c r="BB4458" s="31"/>
      <c r="BC4458" s="31"/>
      <c r="BD4458" s="31"/>
      <c r="BE4458" s="31"/>
      <c r="BF4458" s="96"/>
    </row>
    <row r="4459" spans="42:58" x14ac:dyDescent="0.35">
      <c r="AP4459" s="92"/>
      <c r="AQ4459" s="67"/>
      <c r="AR4459" s="67"/>
      <c r="AS4459" s="73"/>
      <c r="AT4459" s="67"/>
      <c r="AU4459" s="67"/>
      <c r="AV4459" s="73"/>
      <c r="AW4459" s="68"/>
      <c r="AX4459" s="68"/>
      <c r="AY4459" s="68"/>
      <c r="AZ4459" s="68"/>
      <c r="BA4459" s="68"/>
      <c r="BB4459" s="67"/>
      <c r="BC4459" s="67"/>
      <c r="BD4459" s="67"/>
      <c r="BE4459" s="67"/>
      <c r="BF4459" s="95"/>
    </row>
    <row r="4460" spans="42:58" x14ac:dyDescent="0.35">
      <c r="AP4460" s="93"/>
      <c r="AQ4460" s="31"/>
      <c r="AR4460" s="31"/>
      <c r="AS4460" s="94"/>
      <c r="AT4460" s="31"/>
      <c r="AU4460" s="31"/>
      <c r="AV4460" s="94"/>
      <c r="AW4460" s="32"/>
      <c r="AX4460" s="32"/>
      <c r="AY4460" s="32"/>
      <c r="AZ4460" s="32"/>
      <c r="BA4460" s="32"/>
      <c r="BB4460" s="31"/>
      <c r="BC4460" s="31"/>
      <c r="BD4460" s="31"/>
      <c r="BE4460" s="31"/>
      <c r="BF4460" s="96"/>
    </row>
    <row r="4461" spans="42:58" x14ac:dyDescent="0.35">
      <c r="AP4461" s="92"/>
      <c r="AQ4461" s="67"/>
      <c r="AR4461" s="67"/>
      <c r="AS4461" s="73"/>
      <c r="AT4461" s="67"/>
      <c r="AU4461" s="67"/>
      <c r="AV4461" s="73"/>
      <c r="AW4461" s="68"/>
      <c r="AX4461" s="68"/>
      <c r="AY4461" s="68"/>
      <c r="AZ4461" s="68"/>
      <c r="BA4461" s="68"/>
      <c r="BB4461" s="67"/>
      <c r="BC4461" s="67"/>
      <c r="BD4461" s="67"/>
      <c r="BE4461" s="67"/>
      <c r="BF4461" s="95"/>
    </row>
    <row r="4462" spans="42:58" x14ac:dyDescent="0.35">
      <c r="AP4462" s="93"/>
      <c r="AQ4462" s="31"/>
      <c r="AR4462" s="31"/>
      <c r="AS4462" s="94"/>
      <c r="AT4462" s="31"/>
      <c r="AU4462" s="31"/>
      <c r="AV4462" s="94"/>
      <c r="AW4462" s="32"/>
      <c r="AX4462" s="32"/>
      <c r="AY4462" s="32"/>
      <c r="AZ4462" s="32"/>
      <c r="BA4462" s="32"/>
      <c r="BB4462" s="31"/>
      <c r="BC4462" s="31"/>
      <c r="BD4462" s="31"/>
      <c r="BE4462" s="31"/>
      <c r="BF4462" s="96"/>
    </row>
    <row r="4463" spans="42:58" x14ac:dyDescent="0.35">
      <c r="AP4463" s="92"/>
      <c r="AQ4463" s="67"/>
      <c r="AR4463" s="67"/>
      <c r="AS4463" s="73"/>
      <c r="AT4463" s="67"/>
      <c r="AU4463" s="67"/>
      <c r="AV4463" s="73"/>
      <c r="AW4463" s="68"/>
      <c r="AX4463" s="68"/>
      <c r="AY4463" s="68"/>
      <c r="AZ4463" s="68"/>
      <c r="BA4463" s="68"/>
      <c r="BB4463" s="67"/>
      <c r="BC4463" s="67"/>
      <c r="BD4463" s="67"/>
      <c r="BE4463" s="67"/>
      <c r="BF4463" s="95"/>
    </row>
    <row r="4464" spans="42:58" x14ac:dyDescent="0.35">
      <c r="AP4464" s="93"/>
      <c r="AQ4464" s="31"/>
      <c r="AR4464" s="31"/>
      <c r="AS4464" s="94"/>
      <c r="AT4464" s="31"/>
      <c r="AU4464" s="31"/>
      <c r="AV4464" s="94"/>
      <c r="AW4464" s="32"/>
      <c r="AX4464" s="32"/>
      <c r="AY4464" s="32"/>
      <c r="AZ4464" s="32"/>
      <c r="BA4464" s="32"/>
      <c r="BB4464" s="31"/>
      <c r="BC4464" s="31"/>
      <c r="BD4464" s="31"/>
      <c r="BE4464" s="31"/>
      <c r="BF4464" s="96"/>
    </row>
    <row r="4465" spans="42:58" x14ac:dyDescent="0.35">
      <c r="AP4465" s="92"/>
      <c r="AQ4465" s="67"/>
      <c r="AR4465" s="67"/>
      <c r="AS4465" s="73"/>
      <c r="AT4465" s="67"/>
      <c r="AU4465" s="67"/>
      <c r="AV4465" s="73"/>
      <c r="AW4465" s="68"/>
      <c r="AX4465" s="68"/>
      <c r="AY4465" s="68"/>
      <c r="AZ4465" s="68"/>
      <c r="BA4465" s="68"/>
      <c r="BB4465" s="67"/>
      <c r="BC4465" s="67"/>
      <c r="BD4465" s="67"/>
      <c r="BE4465" s="67"/>
      <c r="BF4465" s="95"/>
    </row>
    <row r="4466" spans="42:58" x14ac:dyDescent="0.35">
      <c r="AP4466" s="93"/>
      <c r="AQ4466" s="31"/>
      <c r="AR4466" s="31"/>
      <c r="AS4466" s="94"/>
      <c r="AT4466" s="31"/>
      <c r="AU4466" s="31"/>
      <c r="AV4466" s="94"/>
      <c r="AW4466" s="32"/>
      <c r="AX4466" s="32"/>
      <c r="AY4466" s="32"/>
      <c r="AZ4466" s="32"/>
      <c r="BA4466" s="32"/>
      <c r="BB4466" s="31"/>
      <c r="BC4466" s="31"/>
      <c r="BD4466" s="31"/>
      <c r="BE4466" s="31"/>
      <c r="BF4466" s="96"/>
    </row>
    <row r="4467" spans="42:58" x14ac:dyDescent="0.35">
      <c r="AP4467" s="92"/>
      <c r="AQ4467" s="67"/>
      <c r="AR4467" s="67"/>
      <c r="AS4467" s="73"/>
      <c r="AT4467" s="67"/>
      <c r="AU4467" s="67"/>
      <c r="AV4467" s="73"/>
      <c r="AW4467" s="68"/>
      <c r="AX4467" s="68"/>
      <c r="AY4467" s="68"/>
      <c r="AZ4467" s="68"/>
      <c r="BA4467" s="68"/>
      <c r="BB4467" s="67"/>
      <c r="BC4467" s="67"/>
      <c r="BD4467" s="67"/>
      <c r="BE4467" s="67"/>
      <c r="BF4467" s="95"/>
    </row>
    <row r="4468" spans="42:58" x14ac:dyDescent="0.35">
      <c r="AP4468" s="93"/>
      <c r="AQ4468" s="31"/>
      <c r="AR4468" s="31"/>
      <c r="AS4468" s="94"/>
      <c r="AT4468" s="31"/>
      <c r="AU4468" s="31"/>
      <c r="AV4468" s="94"/>
      <c r="AW4468" s="32"/>
      <c r="AX4468" s="32"/>
      <c r="AY4468" s="32"/>
      <c r="AZ4468" s="32"/>
      <c r="BA4468" s="32"/>
      <c r="BB4468" s="31"/>
      <c r="BC4468" s="31"/>
      <c r="BD4468" s="31"/>
      <c r="BE4468" s="31"/>
      <c r="BF4468" s="96"/>
    </row>
    <row r="4469" spans="42:58" x14ac:dyDescent="0.35">
      <c r="AP4469" s="92"/>
      <c r="AQ4469" s="67"/>
      <c r="AR4469" s="67"/>
      <c r="AS4469" s="73"/>
      <c r="AT4469" s="67"/>
      <c r="AU4469" s="67"/>
      <c r="AV4469" s="73"/>
      <c r="AW4469" s="68"/>
      <c r="AX4469" s="68"/>
      <c r="AY4469" s="68"/>
      <c r="AZ4469" s="68"/>
      <c r="BA4469" s="68"/>
      <c r="BB4469" s="67"/>
      <c r="BC4469" s="67"/>
      <c r="BD4469" s="67"/>
      <c r="BE4469" s="67"/>
      <c r="BF4469" s="95"/>
    </row>
    <row r="4470" spans="42:58" x14ac:dyDescent="0.35">
      <c r="AP4470" s="93"/>
      <c r="AQ4470" s="31"/>
      <c r="AR4470" s="31"/>
      <c r="AS4470" s="94"/>
      <c r="AT4470" s="31"/>
      <c r="AU4470" s="31"/>
      <c r="AV4470" s="94"/>
      <c r="AW4470" s="32"/>
      <c r="AX4470" s="32"/>
      <c r="AY4470" s="32"/>
      <c r="AZ4470" s="32"/>
      <c r="BA4470" s="32"/>
      <c r="BB4470" s="31"/>
      <c r="BC4470" s="31"/>
      <c r="BD4470" s="31"/>
      <c r="BE4470" s="31"/>
      <c r="BF4470" s="96"/>
    </row>
    <row r="4471" spans="42:58" x14ac:dyDescent="0.35">
      <c r="AP4471" s="92"/>
      <c r="AQ4471" s="67"/>
      <c r="AR4471" s="67"/>
      <c r="AS4471" s="73"/>
      <c r="AT4471" s="67"/>
      <c r="AU4471" s="67"/>
      <c r="AV4471" s="73"/>
      <c r="AW4471" s="68"/>
      <c r="AX4471" s="68"/>
      <c r="AY4471" s="68"/>
      <c r="AZ4471" s="68"/>
      <c r="BA4471" s="68"/>
      <c r="BB4471" s="67"/>
      <c r="BC4471" s="67"/>
      <c r="BD4471" s="67"/>
      <c r="BE4471" s="67"/>
      <c r="BF4471" s="95"/>
    </row>
    <row r="4472" spans="42:58" x14ac:dyDescent="0.35">
      <c r="AP4472" s="93"/>
      <c r="AQ4472" s="31"/>
      <c r="AR4472" s="31"/>
      <c r="AS4472" s="94"/>
      <c r="AT4472" s="31"/>
      <c r="AU4472" s="31"/>
      <c r="AV4472" s="94"/>
      <c r="AW4472" s="32"/>
      <c r="AX4472" s="32"/>
      <c r="AY4472" s="32"/>
      <c r="AZ4472" s="32"/>
      <c r="BA4472" s="32"/>
      <c r="BB4472" s="31"/>
      <c r="BC4472" s="31"/>
      <c r="BD4472" s="31"/>
      <c r="BE4472" s="31"/>
      <c r="BF4472" s="96"/>
    </row>
    <row r="4473" spans="42:58" x14ac:dyDescent="0.35">
      <c r="AP4473" s="92"/>
      <c r="AQ4473" s="67"/>
      <c r="AR4473" s="67"/>
      <c r="AS4473" s="73"/>
      <c r="AT4473" s="67"/>
      <c r="AU4473" s="67"/>
      <c r="AV4473" s="73"/>
      <c r="AW4473" s="68"/>
      <c r="AX4473" s="68"/>
      <c r="AY4473" s="68"/>
      <c r="AZ4473" s="68"/>
      <c r="BA4473" s="68"/>
      <c r="BB4473" s="67"/>
      <c r="BC4473" s="67"/>
      <c r="BD4473" s="67"/>
      <c r="BE4473" s="67"/>
      <c r="BF4473" s="95"/>
    </row>
    <row r="4474" spans="42:58" x14ac:dyDescent="0.35">
      <c r="AP4474" s="93"/>
      <c r="AQ4474" s="31"/>
      <c r="AR4474" s="31"/>
      <c r="AS4474" s="94"/>
      <c r="AT4474" s="31"/>
      <c r="AU4474" s="31"/>
      <c r="AV4474" s="94"/>
      <c r="AW4474" s="32"/>
      <c r="AX4474" s="32"/>
      <c r="AY4474" s="32"/>
      <c r="AZ4474" s="32"/>
      <c r="BA4474" s="32"/>
      <c r="BB4474" s="31"/>
      <c r="BC4474" s="31"/>
      <c r="BD4474" s="31"/>
      <c r="BE4474" s="31"/>
      <c r="BF4474" s="96"/>
    </row>
    <row r="4475" spans="42:58" x14ac:dyDescent="0.35">
      <c r="AP4475" s="92"/>
      <c r="AQ4475" s="67"/>
      <c r="AR4475" s="67"/>
      <c r="AS4475" s="73"/>
      <c r="AT4475" s="67"/>
      <c r="AU4475" s="67"/>
      <c r="AV4475" s="73"/>
      <c r="AW4475" s="68"/>
      <c r="AX4475" s="68"/>
      <c r="AY4475" s="68"/>
      <c r="AZ4475" s="68"/>
      <c r="BA4475" s="68"/>
      <c r="BB4475" s="67"/>
      <c r="BC4475" s="67"/>
      <c r="BD4475" s="67"/>
      <c r="BE4475" s="67"/>
      <c r="BF4475" s="95"/>
    </row>
    <row r="4476" spans="42:58" x14ac:dyDescent="0.35">
      <c r="AP4476" s="93"/>
      <c r="AQ4476" s="31"/>
      <c r="AR4476" s="31"/>
      <c r="AS4476" s="94"/>
      <c r="AT4476" s="31"/>
      <c r="AU4476" s="31"/>
      <c r="AV4476" s="94"/>
      <c r="AW4476" s="32"/>
      <c r="AX4476" s="32"/>
      <c r="AY4476" s="32"/>
      <c r="AZ4476" s="32"/>
      <c r="BA4476" s="32"/>
      <c r="BB4476" s="31"/>
      <c r="BC4476" s="31"/>
      <c r="BD4476" s="31"/>
      <c r="BE4476" s="31"/>
      <c r="BF4476" s="96"/>
    </row>
    <row r="4477" spans="42:58" x14ac:dyDescent="0.35">
      <c r="AP4477" s="92"/>
      <c r="AQ4477" s="67"/>
      <c r="AR4477" s="67"/>
      <c r="AS4477" s="73"/>
      <c r="AT4477" s="67"/>
      <c r="AU4477" s="67"/>
      <c r="AV4477" s="73"/>
      <c r="AW4477" s="68"/>
      <c r="AX4477" s="68"/>
      <c r="AY4477" s="68"/>
      <c r="AZ4477" s="68"/>
      <c r="BA4477" s="68"/>
      <c r="BB4477" s="67"/>
      <c r="BC4477" s="67"/>
      <c r="BD4477" s="67"/>
      <c r="BE4477" s="67"/>
      <c r="BF4477" s="95"/>
    </row>
    <row r="4478" spans="42:58" x14ac:dyDescent="0.35">
      <c r="AP4478" s="93"/>
      <c r="AQ4478" s="31"/>
      <c r="AR4478" s="31"/>
      <c r="AS4478" s="94"/>
      <c r="AT4478" s="31"/>
      <c r="AU4478" s="31"/>
      <c r="AV4478" s="94"/>
      <c r="AW4478" s="32"/>
      <c r="AX4478" s="32"/>
      <c r="AY4478" s="32"/>
      <c r="AZ4478" s="32"/>
      <c r="BA4478" s="32"/>
      <c r="BB4478" s="31"/>
      <c r="BC4478" s="31"/>
      <c r="BD4478" s="31"/>
      <c r="BE4478" s="31"/>
      <c r="BF4478" s="96"/>
    </row>
    <row r="4479" spans="42:58" x14ac:dyDescent="0.35">
      <c r="AP4479" s="92"/>
      <c r="AQ4479" s="67"/>
      <c r="AR4479" s="67"/>
      <c r="AS4479" s="73"/>
      <c r="AT4479" s="67"/>
      <c r="AU4479" s="67"/>
      <c r="AV4479" s="73"/>
      <c r="AW4479" s="68"/>
      <c r="AX4479" s="68"/>
      <c r="AY4479" s="68"/>
      <c r="AZ4479" s="68"/>
      <c r="BA4479" s="68"/>
      <c r="BB4479" s="67"/>
      <c r="BC4479" s="67"/>
      <c r="BD4479" s="67"/>
      <c r="BE4479" s="67"/>
      <c r="BF4479" s="95"/>
    </row>
    <row r="4480" spans="42:58" x14ac:dyDescent="0.35">
      <c r="AP4480" s="93"/>
      <c r="AQ4480" s="31"/>
      <c r="AR4480" s="31"/>
      <c r="AS4480" s="94"/>
      <c r="AT4480" s="31"/>
      <c r="AU4480" s="31"/>
      <c r="AV4480" s="94"/>
      <c r="AW4480" s="32"/>
      <c r="AX4480" s="32"/>
      <c r="AY4480" s="32"/>
      <c r="AZ4480" s="32"/>
      <c r="BA4480" s="32"/>
      <c r="BB4480" s="31"/>
      <c r="BC4480" s="31"/>
      <c r="BD4480" s="31"/>
      <c r="BE4480" s="31"/>
      <c r="BF4480" s="96"/>
    </row>
    <row r="4481" spans="42:58" x14ac:dyDescent="0.35">
      <c r="AP4481" s="92"/>
      <c r="AQ4481" s="67"/>
      <c r="AR4481" s="67"/>
      <c r="AS4481" s="73"/>
      <c r="AT4481" s="67"/>
      <c r="AU4481" s="67"/>
      <c r="AV4481" s="73"/>
      <c r="AW4481" s="68"/>
      <c r="AX4481" s="68"/>
      <c r="AY4481" s="68"/>
      <c r="AZ4481" s="68"/>
      <c r="BA4481" s="68"/>
      <c r="BB4481" s="67"/>
      <c r="BC4481" s="67"/>
      <c r="BD4481" s="67"/>
      <c r="BE4481" s="67"/>
      <c r="BF4481" s="95"/>
    </row>
    <row r="4482" spans="42:58" x14ac:dyDescent="0.35">
      <c r="AP4482" s="93"/>
      <c r="AQ4482" s="31"/>
      <c r="AR4482" s="31"/>
      <c r="AS4482" s="94"/>
      <c r="AT4482" s="31"/>
      <c r="AU4482" s="31"/>
      <c r="AV4482" s="94"/>
      <c r="AW4482" s="32"/>
      <c r="AX4482" s="32"/>
      <c r="AY4482" s="32"/>
      <c r="AZ4482" s="32"/>
      <c r="BA4482" s="32"/>
      <c r="BB4482" s="31"/>
      <c r="BC4482" s="31"/>
      <c r="BD4482" s="31"/>
      <c r="BE4482" s="31"/>
      <c r="BF4482" s="96"/>
    </row>
    <row r="4483" spans="42:58" x14ac:dyDescent="0.35">
      <c r="AP4483" s="92"/>
      <c r="AQ4483" s="67"/>
      <c r="AR4483" s="67"/>
      <c r="AS4483" s="73"/>
      <c r="AT4483" s="67"/>
      <c r="AU4483" s="67"/>
      <c r="AV4483" s="73"/>
      <c r="AW4483" s="68"/>
      <c r="AX4483" s="68"/>
      <c r="AY4483" s="68"/>
      <c r="AZ4483" s="68"/>
      <c r="BA4483" s="68"/>
      <c r="BB4483" s="67"/>
      <c r="BC4483" s="67"/>
      <c r="BD4483" s="67"/>
      <c r="BE4483" s="67"/>
      <c r="BF4483" s="95"/>
    </row>
    <row r="4484" spans="42:58" x14ac:dyDescent="0.35">
      <c r="AP4484" s="93"/>
      <c r="AQ4484" s="31"/>
      <c r="AR4484" s="31"/>
      <c r="AS4484" s="94"/>
      <c r="AT4484" s="31"/>
      <c r="AU4484" s="31"/>
      <c r="AV4484" s="94"/>
      <c r="AW4484" s="32"/>
      <c r="AX4484" s="32"/>
      <c r="AY4484" s="32"/>
      <c r="AZ4484" s="32"/>
      <c r="BA4484" s="32"/>
      <c r="BB4484" s="31"/>
      <c r="BC4484" s="31"/>
      <c r="BD4484" s="31"/>
      <c r="BE4484" s="31"/>
      <c r="BF4484" s="96"/>
    </row>
    <row r="4485" spans="42:58" x14ac:dyDescent="0.35">
      <c r="AP4485" s="92"/>
      <c r="AQ4485" s="67"/>
      <c r="AR4485" s="67"/>
      <c r="AS4485" s="73"/>
      <c r="AT4485" s="67"/>
      <c r="AU4485" s="67"/>
      <c r="AV4485" s="73"/>
      <c r="AW4485" s="68"/>
      <c r="AX4485" s="68"/>
      <c r="AY4485" s="68"/>
      <c r="AZ4485" s="68"/>
      <c r="BA4485" s="68"/>
      <c r="BB4485" s="67"/>
      <c r="BC4485" s="67"/>
      <c r="BD4485" s="67"/>
      <c r="BE4485" s="67"/>
      <c r="BF4485" s="95"/>
    </row>
    <row r="4486" spans="42:58" x14ac:dyDescent="0.35">
      <c r="AP4486" s="93"/>
      <c r="AQ4486" s="31"/>
      <c r="AR4486" s="31"/>
      <c r="AS4486" s="94"/>
      <c r="AT4486" s="31"/>
      <c r="AU4486" s="31"/>
      <c r="AV4486" s="94"/>
      <c r="AW4486" s="32"/>
      <c r="AX4486" s="32"/>
      <c r="AY4486" s="32"/>
      <c r="AZ4486" s="32"/>
      <c r="BA4486" s="32"/>
      <c r="BB4486" s="31"/>
      <c r="BC4486" s="31"/>
      <c r="BD4486" s="31"/>
      <c r="BE4486" s="31"/>
      <c r="BF4486" s="96"/>
    </row>
    <row r="4487" spans="42:58" x14ac:dyDescent="0.35">
      <c r="AP4487" s="92"/>
      <c r="AQ4487" s="67"/>
      <c r="AR4487" s="67"/>
      <c r="AS4487" s="73"/>
      <c r="AT4487" s="67"/>
      <c r="AU4487" s="67"/>
      <c r="AV4487" s="73"/>
      <c r="AW4487" s="68"/>
      <c r="AX4487" s="68"/>
      <c r="AY4487" s="68"/>
      <c r="AZ4487" s="68"/>
      <c r="BA4487" s="68"/>
      <c r="BB4487" s="67"/>
      <c r="BC4487" s="67"/>
      <c r="BD4487" s="67"/>
      <c r="BE4487" s="67"/>
      <c r="BF4487" s="95"/>
    </row>
    <row r="4488" spans="42:58" x14ac:dyDescent="0.35">
      <c r="AP4488" s="93"/>
      <c r="AQ4488" s="31"/>
      <c r="AR4488" s="31"/>
      <c r="AS4488" s="94"/>
      <c r="AT4488" s="31"/>
      <c r="AU4488" s="31"/>
      <c r="AV4488" s="94"/>
      <c r="AW4488" s="32"/>
      <c r="AX4488" s="32"/>
      <c r="AY4488" s="32"/>
      <c r="AZ4488" s="32"/>
      <c r="BA4488" s="32"/>
      <c r="BB4488" s="31"/>
      <c r="BC4488" s="31"/>
      <c r="BD4488" s="31"/>
      <c r="BE4488" s="31"/>
      <c r="BF4488" s="96"/>
    </row>
    <row r="4489" spans="42:58" x14ac:dyDescent="0.35">
      <c r="AP4489" s="92"/>
      <c r="AQ4489" s="67"/>
      <c r="AR4489" s="67"/>
      <c r="AS4489" s="73"/>
      <c r="AT4489" s="67"/>
      <c r="AU4489" s="67"/>
      <c r="AV4489" s="73"/>
      <c r="AW4489" s="68"/>
      <c r="AX4489" s="68"/>
      <c r="AY4489" s="68"/>
      <c r="AZ4489" s="68"/>
      <c r="BA4489" s="68"/>
      <c r="BB4489" s="67"/>
      <c r="BC4489" s="67"/>
      <c r="BD4489" s="67"/>
      <c r="BE4489" s="67"/>
      <c r="BF4489" s="95"/>
    </row>
    <row r="4490" spans="42:58" x14ac:dyDescent="0.35">
      <c r="AP4490" s="93"/>
      <c r="AQ4490" s="31"/>
      <c r="AR4490" s="31"/>
      <c r="AS4490" s="94"/>
      <c r="AT4490" s="31"/>
      <c r="AU4490" s="31"/>
      <c r="AV4490" s="94"/>
      <c r="AW4490" s="32"/>
      <c r="AX4490" s="32"/>
      <c r="AY4490" s="32"/>
      <c r="AZ4490" s="32"/>
      <c r="BA4490" s="32"/>
      <c r="BB4490" s="31"/>
      <c r="BC4490" s="31"/>
      <c r="BD4490" s="31"/>
      <c r="BE4490" s="31"/>
      <c r="BF4490" s="96"/>
    </row>
    <row r="4491" spans="42:58" x14ac:dyDescent="0.35">
      <c r="AP4491" s="92"/>
      <c r="AQ4491" s="67"/>
      <c r="AR4491" s="67"/>
      <c r="AS4491" s="73"/>
      <c r="AT4491" s="67"/>
      <c r="AU4491" s="67"/>
      <c r="AV4491" s="73"/>
      <c r="AW4491" s="68"/>
      <c r="AX4491" s="68"/>
      <c r="AY4491" s="68"/>
      <c r="AZ4491" s="68"/>
      <c r="BA4491" s="68"/>
      <c r="BB4491" s="67"/>
      <c r="BC4491" s="67"/>
      <c r="BD4491" s="67"/>
      <c r="BE4491" s="67"/>
      <c r="BF4491" s="95"/>
    </row>
    <row r="4492" spans="42:58" x14ac:dyDescent="0.35">
      <c r="AP4492" s="93"/>
      <c r="AQ4492" s="31"/>
      <c r="AR4492" s="31"/>
      <c r="AS4492" s="94"/>
      <c r="AT4492" s="31"/>
      <c r="AU4492" s="31"/>
      <c r="AV4492" s="94"/>
      <c r="AW4492" s="32"/>
      <c r="AX4492" s="32"/>
      <c r="AY4492" s="32"/>
      <c r="AZ4492" s="32"/>
      <c r="BA4492" s="32"/>
      <c r="BB4492" s="31"/>
      <c r="BC4492" s="31"/>
      <c r="BD4492" s="31"/>
      <c r="BE4492" s="31"/>
      <c r="BF4492" s="96"/>
    </row>
    <row r="4493" spans="42:58" x14ac:dyDescent="0.35">
      <c r="AP4493" s="92"/>
      <c r="AQ4493" s="67"/>
      <c r="AR4493" s="67"/>
      <c r="AS4493" s="73"/>
      <c r="AT4493" s="67"/>
      <c r="AU4493" s="67"/>
      <c r="AV4493" s="73"/>
      <c r="AW4493" s="68"/>
      <c r="AX4493" s="68"/>
      <c r="AY4493" s="68"/>
      <c r="AZ4493" s="68"/>
      <c r="BA4493" s="68"/>
      <c r="BB4493" s="67"/>
      <c r="BC4493" s="67"/>
      <c r="BD4493" s="67"/>
      <c r="BE4493" s="67"/>
      <c r="BF4493" s="95"/>
    </row>
    <row r="4494" spans="42:58" x14ac:dyDescent="0.35">
      <c r="AP4494" s="93"/>
      <c r="AQ4494" s="31"/>
      <c r="AR4494" s="31"/>
      <c r="AS4494" s="94"/>
      <c r="AT4494" s="31"/>
      <c r="AU4494" s="31"/>
      <c r="AV4494" s="94"/>
      <c r="AW4494" s="32"/>
      <c r="AX4494" s="32"/>
      <c r="AY4494" s="32"/>
      <c r="AZ4494" s="32"/>
      <c r="BA4494" s="32"/>
      <c r="BB4494" s="31"/>
      <c r="BC4494" s="31"/>
      <c r="BD4494" s="31"/>
      <c r="BE4494" s="31"/>
      <c r="BF4494" s="96"/>
    </row>
    <row r="4495" spans="42:58" x14ac:dyDescent="0.35">
      <c r="AP4495" s="92"/>
      <c r="AQ4495" s="67"/>
      <c r="AR4495" s="67"/>
      <c r="AS4495" s="73"/>
      <c r="AT4495" s="67"/>
      <c r="AU4495" s="67"/>
      <c r="AV4495" s="73"/>
      <c r="AW4495" s="68"/>
      <c r="AX4495" s="68"/>
      <c r="AY4495" s="68"/>
      <c r="AZ4495" s="68"/>
      <c r="BA4495" s="68"/>
      <c r="BB4495" s="67"/>
      <c r="BC4495" s="67"/>
      <c r="BD4495" s="67"/>
      <c r="BE4495" s="67"/>
      <c r="BF4495" s="95"/>
    </row>
    <row r="4496" spans="42:58" x14ac:dyDescent="0.35">
      <c r="AP4496" s="93"/>
      <c r="AQ4496" s="31"/>
      <c r="AR4496" s="31"/>
      <c r="AS4496" s="94"/>
      <c r="AT4496" s="31"/>
      <c r="AU4496" s="31"/>
      <c r="AV4496" s="94"/>
      <c r="AW4496" s="32"/>
      <c r="AX4496" s="32"/>
      <c r="AY4496" s="32"/>
      <c r="AZ4496" s="32"/>
      <c r="BA4496" s="32"/>
      <c r="BB4496" s="31"/>
      <c r="BC4496" s="31"/>
      <c r="BD4496" s="31"/>
      <c r="BE4496" s="31"/>
      <c r="BF4496" s="96"/>
    </row>
    <row r="4497" spans="42:58" x14ac:dyDescent="0.35">
      <c r="AP4497" s="92"/>
      <c r="AQ4497" s="67"/>
      <c r="AR4497" s="67"/>
      <c r="AS4497" s="73"/>
      <c r="AT4497" s="67"/>
      <c r="AU4497" s="67"/>
      <c r="AV4497" s="73"/>
      <c r="AW4497" s="68"/>
      <c r="AX4497" s="68"/>
      <c r="AY4497" s="68"/>
      <c r="AZ4497" s="68"/>
      <c r="BA4497" s="68"/>
      <c r="BB4497" s="67"/>
      <c r="BC4497" s="67"/>
      <c r="BD4497" s="67"/>
      <c r="BE4497" s="67"/>
      <c r="BF4497" s="95"/>
    </row>
    <row r="4498" spans="42:58" x14ac:dyDescent="0.35">
      <c r="AP4498" s="93"/>
      <c r="AQ4498" s="31"/>
      <c r="AR4498" s="31"/>
      <c r="AS4498" s="94"/>
      <c r="AT4498" s="31"/>
      <c r="AU4498" s="31"/>
      <c r="AV4498" s="94"/>
      <c r="AW4498" s="32"/>
      <c r="AX4498" s="32"/>
      <c r="AY4498" s="32"/>
      <c r="AZ4498" s="32"/>
      <c r="BA4498" s="32"/>
      <c r="BB4498" s="31"/>
      <c r="BC4498" s="31"/>
      <c r="BD4498" s="31"/>
      <c r="BE4498" s="31"/>
      <c r="BF4498" s="96"/>
    </row>
    <row r="4499" spans="42:58" x14ac:dyDescent="0.35">
      <c r="AP4499" s="92"/>
      <c r="AQ4499" s="67"/>
      <c r="AR4499" s="67"/>
      <c r="AS4499" s="73"/>
      <c r="AT4499" s="67"/>
      <c r="AU4499" s="67"/>
      <c r="AV4499" s="73"/>
      <c r="AW4499" s="68"/>
      <c r="AX4499" s="68"/>
      <c r="AY4499" s="68"/>
      <c r="AZ4499" s="68"/>
      <c r="BA4499" s="68"/>
      <c r="BB4499" s="67"/>
      <c r="BC4499" s="67"/>
      <c r="BD4499" s="67"/>
      <c r="BE4499" s="67"/>
      <c r="BF4499" s="95"/>
    </row>
    <row r="4500" spans="42:58" x14ac:dyDescent="0.35">
      <c r="AP4500" s="93"/>
      <c r="AQ4500" s="31"/>
      <c r="AR4500" s="31"/>
      <c r="AS4500" s="94"/>
      <c r="AT4500" s="31"/>
      <c r="AU4500" s="31"/>
      <c r="AV4500" s="94"/>
      <c r="AW4500" s="32"/>
      <c r="AX4500" s="32"/>
      <c r="AY4500" s="32"/>
      <c r="AZ4500" s="32"/>
      <c r="BA4500" s="32"/>
      <c r="BB4500" s="31"/>
      <c r="BC4500" s="31"/>
      <c r="BD4500" s="31"/>
      <c r="BE4500" s="31"/>
      <c r="BF4500" s="96"/>
    </row>
    <row r="4501" spans="42:58" x14ac:dyDescent="0.35">
      <c r="AP4501" s="92"/>
      <c r="AQ4501" s="67"/>
      <c r="AR4501" s="67"/>
      <c r="AS4501" s="73"/>
      <c r="AT4501" s="67"/>
      <c r="AU4501" s="67"/>
      <c r="AV4501" s="73"/>
      <c r="AW4501" s="68"/>
      <c r="AX4501" s="68"/>
      <c r="AY4501" s="68"/>
      <c r="AZ4501" s="68"/>
      <c r="BA4501" s="68"/>
      <c r="BB4501" s="67"/>
      <c r="BC4501" s="67"/>
      <c r="BD4501" s="67"/>
      <c r="BE4501" s="67"/>
      <c r="BF4501" s="95"/>
    </row>
    <row r="4502" spans="42:58" x14ac:dyDescent="0.35">
      <c r="AP4502" s="93"/>
      <c r="AQ4502" s="31"/>
      <c r="AR4502" s="31"/>
      <c r="AS4502" s="94"/>
      <c r="AT4502" s="31"/>
      <c r="AU4502" s="31"/>
      <c r="AV4502" s="94"/>
      <c r="AW4502" s="32"/>
      <c r="AX4502" s="32"/>
      <c r="AY4502" s="32"/>
      <c r="AZ4502" s="32"/>
      <c r="BA4502" s="32"/>
      <c r="BB4502" s="31"/>
      <c r="BC4502" s="31"/>
      <c r="BD4502" s="31"/>
      <c r="BE4502" s="31"/>
      <c r="BF4502" s="96"/>
    </row>
    <row r="4503" spans="42:58" x14ac:dyDescent="0.35">
      <c r="AP4503" s="92"/>
      <c r="AQ4503" s="67"/>
      <c r="AR4503" s="67"/>
      <c r="AS4503" s="73"/>
      <c r="AT4503" s="67"/>
      <c r="AU4503" s="67"/>
      <c r="AV4503" s="73"/>
      <c r="AW4503" s="68"/>
      <c r="AX4503" s="68"/>
      <c r="AY4503" s="68"/>
      <c r="AZ4503" s="68"/>
      <c r="BA4503" s="68"/>
      <c r="BB4503" s="67"/>
      <c r="BC4503" s="67"/>
      <c r="BD4503" s="67"/>
      <c r="BE4503" s="67"/>
      <c r="BF4503" s="95"/>
    </row>
    <row r="4504" spans="42:58" x14ac:dyDescent="0.35">
      <c r="AP4504" s="93"/>
      <c r="AQ4504" s="31"/>
      <c r="AR4504" s="31"/>
      <c r="AS4504" s="94"/>
      <c r="AT4504" s="31"/>
      <c r="AU4504" s="31"/>
      <c r="AV4504" s="94"/>
      <c r="AW4504" s="32"/>
      <c r="AX4504" s="32"/>
      <c r="AY4504" s="32"/>
      <c r="AZ4504" s="32"/>
      <c r="BA4504" s="32"/>
      <c r="BB4504" s="31"/>
      <c r="BC4504" s="31"/>
      <c r="BD4504" s="31"/>
      <c r="BE4504" s="31"/>
      <c r="BF4504" s="96"/>
    </row>
    <row r="4505" spans="42:58" x14ac:dyDescent="0.35">
      <c r="AP4505" s="92"/>
      <c r="AQ4505" s="67"/>
      <c r="AR4505" s="67"/>
      <c r="AS4505" s="73"/>
      <c r="AT4505" s="67"/>
      <c r="AU4505" s="67"/>
      <c r="AV4505" s="73"/>
      <c r="AW4505" s="68"/>
      <c r="AX4505" s="68"/>
      <c r="AY4505" s="68"/>
      <c r="AZ4505" s="68"/>
      <c r="BA4505" s="68"/>
      <c r="BB4505" s="67"/>
      <c r="BC4505" s="67"/>
      <c r="BD4505" s="67"/>
      <c r="BE4505" s="67"/>
      <c r="BF4505" s="95"/>
    </row>
    <row r="4506" spans="42:58" x14ac:dyDescent="0.35">
      <c r="AP4506" s="93"/>
      <c r="AQ4506" s="31"/>
      <c r="AR4506" s="31"/>
      <c r="AS4506" s="94"/>
      <c r="AT4506" s="31"/>
      <c r="AU4506" s="31"/>
      <c r="AV4506" s="94"/>
      <c r="AW4506" s="32"/>
      <c r="AX4506" s="32"/>
      <c r="AY4506" s="32"/>
      <c r="AZ4506" s="32"/>
      <c r="BA4506" s="32"/>
      <c r="BB4506" s="31"/>
      <c r="BC4506" s="31"/>
      <c r="BD4506" s="31"/>
      <c r="BE4506" s="31"/>
      <c r="BF4506" s="96"/>
    </row>
    <row r="4507" spans="42:58" x14ac:dyDescent="0.35">
      <c r="AP4507" s="92"/>
      <c r="AQ4507" s="67"/>
      <c r="AR4507" s="67"/>
      <c r="AS4507" s="73"/>
      <c r="AT4507" s="67"/>
      <c r="AU4507" s="67"/>
      <c r="AV4507" s="73"/>
      <c r="AW4507" s="68"/>
      <c r="AX4507" s="68"/>
      <c r="AY4507" s="68"/>
      <c r="AZ4507" s="68"/>
      <c r="BA4507" s="68"/>
      <c r="BB4507" s="67"/>
      <c r="BC4507" s="67"/>
      <c r="BD4507" s="67"/>
      <c r="BE4507" s="67"/>
      <c r="BF4507" s="95"/>
    </row>
    <row r="4508" spans="42:58" x14ac:dyDescent="0.35">
      <c r="AP4508" s="93"/>
      <c r="AQ4508" s="31"/>
      <c r="AR4508" s="31"/>
      <c r="AS4508" s="94"/>
      <c r="AT4508" s="31"/>
      <c r="AU4508" s="31"/>
      <c r="AV4508" s="94"/>
      <c r="AW4508" s="32"/>
      <c r="AX4508" s="32"/>
      <c r="AY4508" s="32"/>
      <c r="AZ4508" s="32"/>
      <c r="BA4508" s="32"/>
      <c r="BB4508" s="31"/>
      <c r="BC4508" s="31"/>
      <c r="BD4508" s="31"/>
      <c r="BE4508" s="31"/>
      <c r="BF4508" s="96"/>
    </row>
    <row r="4509" spans="42:58" x14ac:dyDescent="0.35">
      <c r="AP4509" s="92"/>
      <c r="AQ4509" s="67"/>
      <c r="AR4509" s="67"/>
      <c r="AS4509" s="73"/>
      <c r="AT4509" s="67"/>
      <c r="AU4509" s="67"/>
      <c r="AV4509" s="73"/>
      <c r="AW4509" s="68"/>
      <c r="AX4509" s="68"/>
      <c r="AY4509" s="68"/>
      <c r="AZ4509" s="68"/>
      <c r="BA4509" s="68"/>
      <c r="BB4509" s="67"/>
      <c r="BC4509" s="67"/>
      <c r="BD4509" s="67"/>
      <c r="BE4509" s="67"/>
      <c r="BF4509" s="95"/>
    </row>
    <row r="4510" spans="42:58" x14ac:dyDescent="0.35">
      <c r="AP4510" s="93"/>
      <c r="AQ4510" s="31"/>
      <c r="AR4510" s="31"/>
      <c r="AS4510" s="94"/>
      <c r="AT4510" s="31"/>
      <c r="AU4510" s="31"/>
      <c r="AV4510" s="94"/>
      <c r="AW4510" s="32"/>
      <c r="AX4510" s="32"/>
      <c r="AY4510" s="32"/>
      <c r="AZ4510" s="32"/>
      <c r="BA4510" s="32"/>
      <c r="BB4510" s="31"/>
      <c r="BC4510" s="31"/>
      <c r="BD4510" s="31"/>
      <c r="BE4510" s="31"/>
      <c r="BF4510" s="96"/>
    </row>
    <row r="4511" spans="42:58" x14ac:dyDescent="0.35">
      <c r="AP4511" s="92"/>
      <c r="AQ4511" s="67"/>
      <c r="AR4511" s="67"/>
      <c r="AS4511" s="73"/>
      <c r="AT4511" s="67"/>
      <c r="AU4511" s="67"/>
      <c r="AV4511" s="73"/>
      <c r="AW4511" s="68"/>
      <c r="AX4511" s="68"/>
      <c r="AY4511" s="68"/>
      <c r="AZ4511" s="68"/>
      <c r="BA4511" s="68"/>
      <c r="BB4511" s="67"/>
      <c r="BC4511" s="67"/>
      <c r="BD4511" s="67"/>
      <c r="BE4511" s="67"/>
      <c r="BF4511" s="95"/>
    </row>
    <row r="4512" spans="42:58" x14ac:dyDescent="0.35">
      <c r="AP4512" s="93"/>
      <c r="AQ4512" s="31"/>
      <c r="AR4512" s="31"/>
      <c r="AS4512" s="94"/>
      <c r="AT4512" s="31"/>
      <c r="AU4512" s="31"/>
      <c r="AV4512" s="94"/>
      <c r="AW4512" s="32"/>
      <c r="AX4512" s="32"/>
      <c r="AY4512" s="32"/>
      <c r="AZ4512" s="32"/>
      <c r="BA4512" s="32"/>
      <c r="BB4512" s="31"/>
      <c r="BC4512" s="31"/>
      <c r="BD4512" s="31"/>
      <c r="BE4512" s="31"/>
      <c r="BF4512" s="96"/>
    </row>
    <row r="4513" spans="42:58" x14ac:dyDescent="0.35">
      <c r="AP4513" s="92"/>
      <c r="AQ4513" s="67"/>
      <c r="AR4513" s="67"/>
      <c r="AS4513" s="73"/>
      <c r="AT4513" s="67"/>
      <c r="AU4513" s="67"/>
      <c r="AV4513" s="73"/>
      <c r="AW4513" s="68"/>
      <c r="AX4513" s="68"/>
      <c r="AY4513" s="68"/>
      <c r="AZ4513" s="68"/>
      <c r="BA4513" s="68"/>
      <c r="BB4513" s="67"/>
      <c r="BC4513" s="67"/>
      <c r="BD4513" s="67"/>
      <c r="BE4513" s="67"/>
      <c r="BF4513" s="95"/>
    </row>
    <row r="4514" spans="42:58" x14ac:dyDescent="0.35">
      <c r="AP4514" s="93"/>
      <c r="AQ4514" s="31"/>
      <c r="AR4514" s="31"/>
      <c r="AS4514" s="94"/>
      <c r="AT4514" s="31"/>
      <c r="AU4514" s="31"/>
      <c r="AV4514" s="94"/>
      <c r="AW4514" s="32"/>
      <c r="AX4514" s="32"/>
      <c r="AY4514" s="32"/>
      <c r="AZ4514" s="32"/>
      <c r="BA4514" s="32"/>
      <c r="BB4514" s="31"/>
      <c r="BC4514" s="31"/>
      <c r="BD4514" s="31"/>
      <c r="BE4514" s="31"/>
      <c r="BF4514" s="96"/>
    </row>
    <row r="4515" spans="42:58" x14ac:dyDescent="0.35">
      <c r="AP4515" s="92"/>
      <c r="AQ4515" s="67"/>
      <c r="AR4515" s="67"/>
      <c r="AS4515" s="73"/>
      <c r="AT4515" s="67"/>
      <c r="AU4515" s="67"/>
      <c r="AV4515" s="73"/>
      <c r="AW4515" s="68"/>
      <c r="AX4515" s="68"/>
      <c r="AY4515" s="68"/>
      <c r="AZ4515" s="68"/>
      <c r="BA4515" s="68"/>
      <c r="BB4515" s="67"/>
      <c r="BC4515" s="67"/>
      <c r="BD4515" s="67"/>
      <c r="BE4515" s="67"/>
      <c r="BF4515" s="95"/>
    </row>
    <row r="4516" spans="42:58" x14ac:dyDescent="0.35">
      <c r="AP4516" s="93"/>
      <c r="AQ4516" s="31"/>
      <c r="AR4516" s="31"/>
      <c r="AS4516" s="94"/>
      <c r="AT4516" s="31"/>
      <c r="AU4516" s="31"/>
      <c r="AV4516" s="94"/>
      <c r="AW4516" s="32"/>
      <c r="AX4516" s="32"/>
      <c r="AY4516" s="32"/>
      <c r="AZ4516" s="32"/>
      <c r="BA4516" s="32"/>
      <c r="BB4516" s="31"/>
      <c r="BC4516" s="31"/>
      <c r="BD4516" s="31"/>
      <c r="BE4516" s="31"/>
      <c r="BF4516" s="96"/>
    </row>
    <row r="4517" spans="42:58" x14ac:dyDescent="0.35">
      <c r="AP4517" s="92"/>
      <c r="AQ4517" s="67"/>
      <c r="AR4517" s="67"/>
      <c r="AS4517" s="73"/>
      <c r="AT4517" s="67"/>
      <c r="AU4517" s="67"/>
      <c r="AV4517" s="73"/>
      <c r="AW4517" s="68"/>
      <c r="AX4517" s="68"/>
      <c r="AY4517" s="68"/>
      <c r="AZ4517" s="68"/>
      <c r="BA4517" s="68"/>
      <c r="BB4517" s="67"/>
      <c r="BC4517" s="67"/>
      <c r="BD4517" s="67"/>
      <c r="BE4517" s="67"/>
      <c r="BF4517" s="95"/>
    </row>
    <row r="4518" spans="42:58" x14ac:dyDescent="0.35">
      <c r="AP4518" s="93"/>
      <c r="AQ4518" s="31"/>
      <c r="AR4518" s="31"/>
      <c r="AS4518" s="94"/>
      <c r="AT4518" s="31"/>
      <c r="AU4518" s="31"/>
      <c r="AV4518" s="94"/>
      <c r="AW4518" s="32"/>
      <c r="AX4518" s="32"/>
      <c r="AY4518" s="32"/>
      <c r="AZ4518" s="32"/>
      <c r="BA4518" s="32"/>
      <c r="BB4518" s="31"/>
      <c r="BC4518" s="31"/>
      <c r="BD4518" s="31"/>
      <c r="BE4518" s="31"/>
      <c r="BF4518" s="96"/>
    </row>
    <row r="4519" spans="42:58" x14ac:dyDescent="0.35">
      <c r="AP4519" s="92"/>
      <c r="AQ4519" s="67"/>
      <c r="AR4519" s="67"/>
      <c r="AS4519" s="73"/>
      <c r="AT4519" s="67"/>
      <c r="AU4519" s="67"/>
      <c r="AV4519" s="73"/>
      <c r="AW4519" s="68"/>
      <c r="AX4519" s="68"/>
      <c r="AY4519" s="68"/>
      <c r="AZ4519" s="68"/>
      <c r="BA4519" s="68"/>
      <c r="BB4519" s="67"/>
      <c r="BC4519" s="67"/>
      <c r="BD4519" s="67"/>
      <c r="BE4519" s="67"/>
      <c r="BF4519" s="95"/>
    </row>
    <row r="4520" spans="42:58" x14ac:dyDescent="0.35">
      <c r="AP4520" s="93"/>
      <c r="AQ4520" s="31"/>
      <c r="AR4520" s="31"/>
      <c r="AS4520" s="94"/>
      <c r="AT4520" s="31"/>
      <c r="AU4520" s="31"/>
      <c r="AV4520" s="94"/>
      <c r="AW4520" s="32"/>
      <c r="AX4520" s="32"/>
      <c r="AY4520" s="32"/>
      <c r="AZ4520" s="32"/>
      <c r="BA4520" s="32"/>
      <c r="BB4520" s="31"/>
      <c r="BC4520" s="31"/>
      <c r="BD4520" s="31"/>
      <c r="BE4520" s="31"/>
      <c r="BF4520" s="96"/>
    </row>
    <row r="4521" spans="42:58" x14ac:dyDescent="0.35">
      <c r="AP4521" s="92"/>
      <c r="AQ4521" s="67"/>
      <c r="AR4521" s="67"/>
      <c r="AS4521" s="73"/>
      <c r="AT4521" s="67"/>
      <c r="AU4521" s="67"/>
      <c r="AV4521" s="73"/>
      <c r="AW4521" s="68"/>
      <c r="AX4521" s="68"/>
      <c r="AY4521" s="68"/>
      <c r="AZ4521" s="68"/>
      <c r="BA4521" s="68"/>
      <c r="BB4521" s="67"/>
      <c r="BC4521" s="67"/>
      <c r="BD4521" s="67"/>
      <c r="BE4521" s="67"/>
      <c r="BF4521" s="95"/>
    </row>
    <row r="4522" spans="42:58" x14ac:dyDescent="0.35">
      <c r="AP4522" s="93"/>
      <c r="AQ4522" s="31"/>
      <c r="AR4522" s="31"/>
      <c r="AS4522" s="94"/>
      <c r="AT4522" s="31"/>
      <c r="AU4522" s="31"/>
      <c r="AV4522" s="94"/>
      <c r="AW4522" s="32"/>
      <c r="AX4522" s="32"/>
      <c r="AY4522" s="32"/>
      <c r="AZ4522" s="32"/>
      <c r="BA4522" s="32"/>
      <c r="BB4522" s="31"/>
      <c r="BC4522" s="31"/>
      <c r="BD4522" s="31"/>
      <c r="BE4522" s="31"/>
      <c r="BF4522" s="96"/>
    </row>
    <row r="4523" spans="42:58" x14ac:dyDescent="0.35">
      <c r="AP4523" s="92"/>
      <c r="AQ4523" s="67"/>
      <c r="AR4523" s="67"/>
      <c r="AS4523" s="73"/>
      <c r="AT4523" s="67"/>
      <c r="AU4523" s="67"/>
      <c r="AV4523" s="73"/>
      <c r="AW4523" s="68"/>
      <c r="AX4523" s="68"/>
      <c r="AY4523" s="68"/>
      <c r="AZ4523" s="68"/>
      <c r="BA4523" s="68"/>
      <c r="BB4523" s="67"/>
      <c r="BC4523" s="67"/>
      <c r="BD4523" s="67"/>
      <c r="BE4523" s="67"/>
      <c r="BF4523" s="95"/>
    </row>
    <row r="4524" spans="42:58" x14ac:dyDescent="0.35">
      <c r="AP4524" s="93"/>
      <c r="AQ4524" s="31"/>
      <c r="AR4524" s="31"/>
      <c r="AS4524" s="94"/>
      <c r="AT4524" s="31"/>
      <c r="AU4524" s="31"/>
      <c r="AV4524" s="94"/>
      <c r="AW4524" s="32"/>
      <c r="AX4524" s="32"/>
      <c r="AY4524" s="32"/>
      <c r="AZ4524" s="32"/>
      <c r="BA4524" s="32"/>
      <c r="BB4524" s="31"/>
      <c r="BC4524" s="31"/>
      <c r="BD4524" s="31"/>
      <c r="BE4524" s="31"/>
      <c r="BF4524" s="96"/>
    </row>
    <row r="4525" spans="42:58" x14ac:dyDescent="0.35">
      <c r="AP4525" s="92"/>
      <c r="AQ4525" s="67"/>
      <c r="AR4525" s="67"/>
      <c r="AS4525" s="73"/>
      <c r="AT4525" s="67"/>
      <c r="AU4525" s="67"/>
      <c r="AV4525" s="73"/>
      <c r="AW4525" s="68"/>
      <c r="AX4525" s="68"/>
      <c r="AY4525" s="68"/>
      <c r="AZ4525" s="68"/>
      <c r="BA4525" s="68"/>
      <c r="BB4525" s="67"/>
      <c r="BC4525" s="67"/>
      <c r="BD4525" s="67"/>
      <c r="BE4525" s="67"/>
      <c r="BF4525" s="95"/>
    </row>
    <row r="4526" spans="42:58" x14ac:dyDescent="0.35">
      <c r="AP4526" s="93"/>
      <c r="AQ4526" s="31"/>
      <c r="AR4526" s="31"/>
      <c r="AS4526" s="94"/>
      <c r="AT4526" s="31"/>
      <c r="AU4526" s="31"/>
      <c r="AV4526" s="94"/>
      <c r="AW4526" s="32"/>
      <c r="AX4526" s="32"/>
      <c r="AY4526" s="32"/>
      <c r="AZ4526" s="32"/>
      <c r="BA4526" s="32"/>
      <c r="BB4526" s="31"/>
      <c r="BC4526" s="31"/>
      <c r="BD4526" s="31"/>
      <c r="BE4526" s="31"/>
      <c r="BF4526" s="96"/>
    </row>
    <row r="4527" spans="42:58" x14ac:dyDescent="0.35">
      <c r="AP4527" s="92"/>
      <c r="AQ4527" s="67"/>
      <c r="AR4527" s="67"/>
      <c r="AS4527" s="73"/>
      <c r="AT4527" s="67"/>
      <c r="AU4527" s="67"/>
      <c r="AV4527" s="73"/>
      <c r="AW4527" s="68"/>
      <c r="AX4527" s="68"/>
      <c r="AY4527" s="68"/>
      <c r="AZ4527" s="68"/>
      <c r="BA4527" s="68"/>
      <c r="BB4527" s="67"/>
      <c r="BC4527" s="67"/>
      <c r="BD4527" s="67"/>
      <c r="BE4527" s="67"/>
      <c r="BF4527" s="95"/>
    </row>
    <row r="4528" spans="42:58" x14ac:dyDescent="0.35">
      <c r="AP4528" s="93"/>
      <c r="AQ4528" s="31"/>
      <c r="AR4528" s="31"/>
      <c r="AS4528" s="94"/>
      <c r="AT4528" s="31"/>
      <c r="AU4528" s="31"/>
      <c r="AV4528" s="94"/>
      <c r="AW4528" s="32"/>
      <c r="AX4528" s="32"/>
      <c r="AY4528" s="32"/>
      <c r="AZ4528" s="32"/>
      <c r="BA4528" s="32"/>
      <c r="BB4528" s="31"/>
      <c r="BC4528" s="31"/>
      <c r="BD4528" s="31"/>
      <c r="BE4528" s="31"/>
      <c r="BF4528" s="96"/>
    </row>
    <row r="4529" spans="42:58" x14ac:dyDescent="0.35">
      <c r="AP4529" s="92"/>
      <c r="AQ4529" s="67"/>
      <c r="AR4529" s="67"/>
      <c r="AS4529" s="73"/>
      <c r="AT4529" s="67"/>
      <c r="AU4529" s="67"/>
      <c r="AV4529" s="73"/>
      <c r="AW4529" s="68"/>
      <c r="AX4529" s="68"/>
      <c r="AY4529" s="68"/>
      <c r="AZ4529" s="68"/>
      <c r="BA4529" s="68"/>
      <c r="BB4529" s="67"/>
      <c r="BC4529" s="67"/>
      <c r="BD4529" s="67"/>
      <c r="BE4529" s="67"/>
      <c r="BF4529" s="95"/>
    </row>
    <row r="4530" spans="42:58" x14ac:dyDescent="0.35">
      <c r="AP4530" s="93"/>
      <c r="AQ4530" s="31"/>
      <c r="AR4530" s="31"/>
      <c r="AS4530" s="94"/>
      <c r="AT4530" s="31"/>
      <c r="AU4530" s="31"/>
      <c r="AV4530" s="94"/>
      <c r="AW4530" s="32"/>
      <c r="AX4530" s="32"/>
      <c r="AY4530" s="32"/>
      <c r="AZ4530" s="32"/>
      <c r="BA4530" s="32"/>
      <c r="BB4530" s="31"/>
      <c r="BC4530" s="31"/>
      <c r="BD4530" s="31"/>
      <c r="BE4530" s="31"/>
      <c r="BF4530" s="96"/>
    </row>
    <row r="4531" spans="42:58" x14ac:dyDescent="0.35">
      <c r="AP4531" s="92"/>
      <c r="AQ4531" s="67"/>
      <c r="AR4531" s="67"/>
      <c r="AS4531" s="73"/>
      <c r="AT4531" s="67"/>
      <c r="AU4531" s="67"/>
      <c r="AV4531" s="73"/>
      <c r="AW4531" s="68"/>
      <c r="AX4531" s="68"/>
      <c r="AY4531" s="68"/>
      <c r="AZ4531" s="68"/>
      <c r="BA4531" s="68"/>
      <c r="BB4531" s="67"/>
      <c r="BC4531" s="67"/>
      <c r="BD4531" s="67"/>
      <c r="BE4531" s="67"/>
      <c r="BF4531" s="95"/>
    </row>
    <row r="4532" spans="42:58" x14ac:dyDescent="0.35">
      <c r="AP4532" s="93"/>
      <c r="AQ4532" s="31"/>
      <c r="AR4532" s="31"/>
      <c r="AS4532" s="94"/>
      <c r="AT4532" s="31"/>
      <c r="AU4532" s="31"/>
      <c r="AV4532" s="94"/>
      <c r="AW4532" s="32"/>
      <c r="AX4532" s="32"/>
      <c r="AY4532" s="32"/>
      <c r="AZ4532" s="32"/>
      <c r="BA4532" s="32"/>
      <c r="BB4532" s="31"/>
      <c r="BC4532" s="31"/>
      <c r="BD4532" s="31"/>
      <c r="BE4532" s="31"/>
      <c r="BF4532" s="96"/>
    </row>
    <row r="4533" spans="42:58" x14ac:dyDescent="0.35">
      <c r="AP4533" s="92"/>
      <c r="AQ4533" s="67"/>
      <c r="AR4533" s="67"/>
      <c r="AS4533" s="73"/>
      <c r="AT4533" s="67"/>
      <c r="AU4533" s="67"/>
      <c r="AV4533" s="73"/>
      <c r="AW4533" s="68"/>
      <c r="AX4533" s="68"/>
      <c r="AY4533" s="68"/>
      <c r="AZ4533" s="68"/>
      <c r="BA4533" s="68"/>
      <c r="BB4533" s="67"/>
      <c r="BC4533" s="67"/>
      <c r="BD4533" s="67"/>
      <c r="BE4533" s="67"/>
      <c r="BF4533" s="95"/>
    </row>
    <row r="4534" spans="42:58" x14ac:dyDescent="0.35">
      <c r="AP4534" s="93"/>
      <c r="AQ4534" s="31"/>
      <c r="AR4534" s="31"/>
      <c r="AS4534" s="94"/>
      <c r="AT4534" s="31"/>
      <c r="AU4534" s="31"/>
      <c r="AV4534" s="94"/>
      <c r="AW4534" s="32"/>
      <c r="AX4534" s="32"/>
      <c r="AY4534" s="32"/>
      <c r="AZ4534" s="32"/>
      <c r="BA4534" s="32"/>
      <c r="BB4534" s="31"/>
      <c r="BC4534" s="31"/>
      <c r="BD4534" s="31"/>
      <c r="BE4534" s="31"/>
      <c r="BF4534" s="96"/>
    </row>
    <row r="4535" spans="42:58" x14ac:dyDescent="0.35">
      <c r="AP4535" s="92"/>
      <c r="AQ4535" s="67"/>
      <c r="AR4535" s="67"/>
      <c r="AS4535" s="73"/>
      <c r="AT4535" s="67"/>
      <c r="AU4535" s="67"/>
      <c r="AV4535" s="73"/>
      <c r="AW4535" s="68"/>
      <c r="AX4535" s="68"/>
      <c r="AY4535" s="68"/>
      <c r="AZ4535" s="68"/>
      <c r="BA4535" s="68"/>
      <c r="BB4535" s="67"/>
      <c r="BC4535" s="67"/>
      <c r="BD4535" s="67"/>
      <c r="BE4535" s="67"/>
      <c r="BF4535" s="95"/>
    </row>
    <row r="4536" spans="42:58" x14ac:dyDescent="0.35">
      <c r="AP4536" s="93"/>
      <c r="AQ4536" s="31"/>
      <c r="AR4536" s="31"/>
      <c r="AS4536" s="94"/>
      <c r="AT4536" s="31"/>
      <c r="AU4536" s="31"/>
      <c r="AV4536" s="94"/>
      <c r="AW4536" s="32"/>
      <c r="AX4536" s="32"/>
      <c r="AY4536" s="32"/>
      <c r="AZ4536" s="32"/>
      <c r="BA4536" s="32"/>
      <c r="BB4536" s="31"/>
      <c r="BC4536" s="31"/>
      <c r="BD4536" s="31"/>
      <c r="BE4536" s="31"/>
      <c r="BF4536" s="96"/>
    </row>
    <row r="4537" spans="42:58" x14ac:dyDescent="0.35">
      <c r="AP4537" s="92"/>
      <c r="AQ4537" s="67"/>
      <c r="AR4537" s="67"/>
      <c r="AS4537" s="73"/>
      <c r="AT4537" s="67"/>
      <c r="AU4537" s="67"/>
      <c r="AV4537" s="73"/>
      <c r="AW4537" s="68"/>
      <c r="AX4537" s="68"/>
      <c r="AY4537" s="68"/>
      <c r="AZ4537" s="68"/>
      <c r="BA4537" s="68"/>
      <c r="BB4537" s="67"/>
      <c r="BC4537" s="67"/>
      <c r="BD4537" s="67"/>
      <c r="BE4537" s="67"/>
      <c r="BF4537" s="95"/>
    </row>
    <row r="4538" spans="42:58" x14ac:dyDescent="0.35">
      <c r="AP4538" s="93"/>
      <c r="AQ4538" s="31"/>
      <c r="AR4538" s="31"/>
      <c r="AS4538" s="94"/>
      <c r="AT4538" s="31"/>
      <c r="AU4538" s="31"/>
      <c r="AV4538" s="94"/>
      <c r="AW4538" s="32"/>
      <c r="AX4538" s="32"/>
      <c r="AY4538" s="32"/>
      <c r="AZ4538" s="32"/>
      <c r="BA4538" s="32"/>
      <c r="BB4538" s="31"/>
      <c r="BC4538" s="31"/>
      <c r="BD4538" s="31"/>
      <c r="BE4538" s="31"/>
      <c r="BF4538" s="96"/>
    </row>
    <row r="4539" spans="42:58" x14ac:dyDescent="0.35">
      <c r="AP4539" s="92"/>
      <c r="AQ4539" s="67"/>
      <c r="AR4539" s="67"/>
      <c r="AS4539" s="73"/>
      <c r="AT4539" s="67"/>
      <c r="AU4539" s="67"/>
      <c r="AV4539" s="73"/>
      <c r="AW4539" s="68"/>
      <c r="AX4539" s="68"/>
      <c r="AY4539" s="68"/>
      <c r="AZ4539" s="68"/>
      <c r="BA4539" s="68"/>
      <c r="BB4539" s="67"/>
      <c r="BC4539" s="67"/>
      <c r="BD4539" s="67"/>
      <c r="BE4539" s="67"/>
      <c r="BF4539" s="95"/>
    </row>
    <row r="4540" spans="42:58" x14ac:dyDescent="0.35">
      <c r="AP4540" s="93"/>
      <c r="AQ4540" s="31"/>
      <c r="AR4540" s="31"/>
      <c r="AS4540" s="94"/>
      <c r="AT4540" s="31"/>
      <c r="AU4540" s="31"/>
      <c r="AV4540" s="94"/>
      <c r="AW4540" s="32"/>
      <c r="AX4540" s="32"/>
      <c r="AY4540" s="32"/>
      <c r="AZ4540" s="32"/>
      <c r="BA4540" s="32"/>
      <c r="BB4540" s="31"/>
      <c r="BC4540" s="31"/>
      <c r="BD4540" s="31"/>
      <c r="BE4540" s="31"/>
      <c r="BF4540" s="96"/>
    </row>
    <row r="4541" spans="42:58" x14ac:dyDescent="0.35">
      <c r="AP4541" s="92"/>
      <c r="AQ4541" s="67"/>
      <c r="AR4541" s="67"/>
      <c r="AS4541" s="73"/>
      <c r="AT4541" s="67"/>
      <c r="AU4541" s="67"/>
      <c r="AV4541" s="73"/>
      <c r="AW4541" s="68"/>
      <c r="AX4541" s="68"/>
      <c r="AY4541" s="68"/>
      <c r="AZ4541" s="68"/>
      <c r="BA4541" s="68"/>
      <c r="BB4541" s="67"/>
      <c r="BC4541" s="67"/>
      <c r="BD4541" s="67"/>
      <c r="BE4541" s="67"/>
      <c r="BF4541" s="95"/>
    </row>
    <row r="4542" spans="42:58" x14ac:dyDescent="0.35">
      <c r="AP4542" s="93"/>
      <c r="AQ4542" s="31"/>
      <c r="AR4542" s="31"/>
      <c r="AS4542" s="94"/>
      <c r="AT4542" s="31"/>
      <c r="AU4542" s="31"/>
      <c r="AV4542" s="94"/>
      <c r="AW4542" s="32"/>
      <c r="AX4542" s="32"/>
      <c r="AY4542" s="32"/>
      <c r="AZ4542" s="32"/>
      <c r="BA4542" s="32"/>
      <c r="BB4542" s="31"/>
      <c r="BC4542" s="31"/>
      <c r="BD4542" s="31"/>
      <c r="BE4542" s="31"/>
      <c r="BF4542" s="96"/>
    </row>
    <row r="4543" spans="42:58" x14ac:dyDescent="0.35">
      <c r="AP4543" s="92"/>
      <c r="AQ4543" s="67"/>
      <c r="AR4543" s="67"/>
      <c r="AS4543" s="73"/>
      <c r="AT4543" s="67"/>
      <c r="AU4543" s="67"/>
      <c r="AV4543" s="73"/>
      <c r="AW4543" s="68"/>
      <c r="AX4543" s="68"/>
      <c r="AY4543" s="68"/>
      <c r="AZ4543" s="68"/>
      <c r="BA4543" s="68"/>
      <c r="BB4543" s="67"/>
      <c r="BC4543" s="67"/>
      <c r="BD4543" s="67"/>
      <c r="BE4543" s="67"/>
      <c r="BF4543" s="95"/>
    </row>
    <row r="4544" spans="42:58" x14ac:dyDescent="0.35">
      <c r="AP4544" s="93"/>
      <c r="AQ4544" s="31"/>
      <c r="AR4544" s="31"/>
      <c r="AS4544" s="94"/>
      <c r="AT4544" s="31"/>
      <c r="AU4544" s="31"/>
      <c r="AV4544" s="94"/>
      <c r="AW4544" s="32"/>
      <c r="AX4544" s="32"/>
      <c r="AY4544" s="32"/>
      <c r="AZ4544" s="32"/>
      <c r="BA4544" s="32"/>
      <c r="BB4544" s="31"/>
      <c r="BC4544" s="31"/>
      <c r="BD4544" s="31"/>
      <c r="BE4544" s="31"/>
      <c r="BF4544" s="96"/>
    </row>
    <row r="4545" spans="42:58" x14ac:dyDescent="0.35">
      <c r="AP4545" s="92"/>
      <c r="AQ4545" s="67"/>
      <c r="AR4545" s="67"/>
      <c r="AS4545" s="73"/>
      <c r="AT4545" s="67"/>
      <c r="AU4545" s="67"/>
      <c r="AV4545" s="73"/>
      <c r="AW4545" s="68"/>
      <c r="AX4545" s="68"/>
      <c r="AY4545" s="68"/>
      <c r="AZ4545" s="68"/>
      <c r="BA4545" s="68"/>
      <c r="BB4545" s="67"/>
      <c r="BC4545" s="67"/>
      <c r="BD4545" s="67"/>
      <c r="BE4545" s="67"/>
      <c r="BF4545" s="95"/>
    </row>
    <row r="4546" spans="42:58" x14ac:dyDescent="0.35">
      <c r="AP4546" s="93"/>
      <c r="AQ4546" s="31"/>
      <c r="AR4546" s="31"/>
      <c r="AS4546" s="94"/>
      <c r="AT4546" s="31"/>
      <c r="AU4546" s="31"/>
      <c r="AV4546" s="94"/>
      <c r="AW4546" s="32"/>
      <c r="AX4546" s="32"/>
      <c r="AY4546" s="32"/>
      <c r="AZ4546" s="32"/>
      <c r="BA4546" s="32"/>
      <c r="BB4546" s="31"/>
      <c r="BC4546" s="31"/>
      <c r="BD4546" s="31"/>
      <c r="BE4546" s="31"/>
      <c r="BF4546" s="96"/>
    </row>
    <row r="4547" spans="42:58" x14ac:dyDescent="0.35">
      <c r="AP4547" s="92"/>
      <c r="AQ4547" s="67"/>
      <c r="AR4547" s="67"/>
      <c r="AS4547" s="73"/>
      <c r="AT4547" s="67"/>
      <c r="AU4547" s="67"/>
      <c r="AV4547" s="73"/>
      <c r="AW4547" s="68"/>
      <c r="AX4547" s="68"/>
      <c r="AY4547" s="68"/>
      <c r="AZ4547" s="68"/>
      <c r="BA4547" s="68"/>
      <c r="BB4547" s="67"/>
      <c r="BC4547" s="67"/>
      <c r="BD4547" s="67"/>
      <c r="BE4547" s="67"/>
      <c r="BF4547" s="95"/>
    </row>
    <row r="4548" spans="42:58" x14ac:dyDescent="0.35">
      <c r="AP4548" s="93"/>
      <c r="AQ4548" s="31"/>
      <c r="AR4548" s="31"/>
      <c r="AS4548" s="94"/>
      <c r="AT4548" s="31"/>
      <c r="AU4548" s="31"/>
      <c r="AV4548" s="94"/>
      <c r="AW4548" s="32"/>
      <c r="AX4548" s="32"/>
      <c r="AY4548" s="32"/>
      <c r="AZ4548" s="32"/>
      <c r="BA4548" s="32"/>
      <c r="BB4548" s="31"/>
      <c r="BC4548" s="31"/>
      <c r="BD4548" s="31"/>
      <c r="BE4548" s="31"/>
      <c r="BF4548" s="96"/>
    </row>
    <row r="4549" spans="42:58" x14ac:dyDescent="0.35">
      <c r="AP4549" s="92"/>
      <c r="AQ4549" s="67"/>
      <c r="AR4549" s="67"/>
      <c r="AS4549" s="73"/>
      <c r="AT4549" s="67"/>
      <c r="AU4549" s="67"/>
      <c r="AV4549" s="73"/>
      <c r="AW4549" s="68"/>
      <c r="AX4549" s="68"/>
      <c r="AY4549" s="68"/>
      <c r="AZ4549" s="68"/>
      <c r="BA4549" s="68"/>
      <c r="BB4549" s="67"/>
      <c r="BC4549" s="67"/>
      <c r="BD4549" s="67"/>
      <c r="BE4549" s="67"/>
      <c r="BF4549" s="95"/>
    </row>
    <row r="4550" spans="42:58" x14ac:dyDescent="0.35">
      <c r="AP4550" s="93"/>
      <c r="AQ4550" s="31"/>
      <c r="AR4550" s="31"/>
      <c r="AS4550" s="94"/>
      <c r="AT4550" s="31"/>
      <c r="AU4550" s="31"/>
      <c r="AV4550" s="94"/>
      <c r="AW4550" s="32"/>
      <c r="AX4550" s="32"/>
      <c r="AY4550" s="32"/>
      <c r="AZ4550" s="32"/>
      <c r="BA4550" s="32"/>
      <c r="BB4550" s="31"/>
      <c r="BC4550" s="31"/>
      <c r="BD4550" s="31"/>
      <c r="BE4550" s="31"/>
      <c r="BF4550" s="96"/>
    </row>
    <row r="4551" spans="42:58" x14ac:dyDescent="0.35">
      <c r="AP4551" s="92"/>
      <c r="AQ4551" s="67"/>
      <c r="AR4551" s="67"/>
      <c r="AS4551" s="73"/>
      <c r="AT4551" s="67"/>
      <c r="AU4551" s="67"/>
      <c r="AV4551" s="73"/>
      <c r="AW4551" s="68"/>
      <c r="AX4551" s="68"/>
      <c r="AY4551" s="68"/>
      <c r="AZ4551" s="68"/>
      <c r="BA4551" s="68"/>
      <c r="BB4551" s="67"/>
      <c r="BC4551" s="67"/>
      <c r="BD4551" s="67"/>
      <c r="BE4551" s="67"/>
      <c r="BF4551" s="95"/>
    </row>
    <row r="4552" spans="42:58" x14ac:dyDescent="0.35">
      <c r="AP4552" s="93"/>
      <c r="AQ4552" s="31"/>
      <c r="AR4552" s="31"/>
      <c r="AS4552" s="94"/>
      <c r="AT4552" s="31"/>
      <c r="AU4552" s="31"/>
      <c r="AV4552" s="94"/>
      <c r="AW4552" s="32"/>
      <c r="AX4552" s="32"/>
      <c r="AY4552" s="32"/>
      <c r="AZ4552" s="32"/>
      <c r="BA4552" s="32"/>
      <c r="BB4552" s="31"/>
      <c r="BC4552" s="31"/>
      <c r="BD4552" s="31"/>
      <c r="BE4552" s="31"/>
      <c r="BF4552" s="96"/>
    </row>
    <row r="4553" spans="42:58" x14ac:dyDescent="0.35">
      <c r="AP4553" s="92"/>
      <c r="AQ4553" s="67"/>
      <c r="AR4553" s="67"/>
      <c r="AS4553" s="73"/>
      <c r="AT4553" s="67"/>
      <c r="AU4553" s="67"/>
      <c r="AV4553" s="73"/>
      <c r="AW4553" s="68"/>
      <c r="AX4553" s="68"/>
      <c r="AY4553" s="68"/>
      <c r="AZ4553" s="68"/>
      <c r="BA4553" s="68"/>
      <c r="BB4553" s="67"/>
      <c r="BC4553" s="67"/>
      <c r="BD4553" s="67"/>
      <c r="BE4553" s="67"/>
      <c r="BF4553" s="95"/>
    </row>
    <row r="4554" spans="42:58" x14ac:dyDescent="0.35">
      <c r="AP4554" s="93"/>
      <c r="AQ4554" s="31"/>
      <c r="AR4554" s="31"/>
      <c r="AS4554" s="94"/>
      <c r="AT4554" s="31"/>
      <c r="AU4554" s="31"/>
      <c r="AV4554" s="94"/>
      <c r="AW4554" s="32"/>
      <c r="AX4554" s="32"/>
      <c r="AY4554" s="32"/>
      <c r="AZ4554" s="32"/>
      <c r="BA4554" s="32"/>
      <c r="BB4554" s="31"/>
      <c r="BC4554" s="31"/>
      <c r="BD4554" s="31"/>
      <c r="BE4554" s="31"/>
      <c r="BF4554" s="96"/>
    </row>
    <row r="4555" spans="42:58" x14ac:dyDescent="0.35">
      <c r="AP4555" s="92"/>
      <c r="AQ4555" s="67"/>
      <c r="AR4555" s="67"/>
      <c r="AS4555" s="73"/>
      <c r="AT4555" s="67"/>
      <c r="AU4555" s="67"/>
      <c r="AV4555" s="73"/>
      <c r="AW4555" s="68"/>
      <c r="AX4555" s="68"/>
      <c r="AY4555" s="68"/>
      <c r="AZ4555" s="68"/>
      <c r="BA4555" s="68"/>
      <c r="BB4555" s="67"/>
      <c r="BC4555" s="67"/>
      <c r="BD4555" s="67"/>
      <c r="BE4555" s="67"/>
      <c r="BF4555" s="95"/>
    </row>
    <row r="4556" spans="42:58" x14ac:dyDescent="0.35">
      <c r="AP4556" s="93"/>
      <c r="AQ4556" s="31"/>
      <c r="AR4556" s="31"/>
      <c r="AS4556" s="94"/>
      <c r="AT4556" s="31"/>
      <c r="AU4556" s="31"/>
      <c r="AV4556" s="94"/>
      <c r="AW4556" s="32"/>
      <c r="AX4556" s="32"/>
      <c r="AY4556" s="32"/>
      <c r="AZ4556" s="32"/>
      <c r="BA4556" s="32"/>
      <c r="BB4556" s="31"/>
      <c r="BC4556" s="31"/>
      <c r="BD4556" s="31"/>
      <c r="BE4556" s="31"/>
      <c r="BF4556" s="96"/>
    </row>
    <row r="4557" spans="42:58" x14ac:dyDescent="0.35">
      <c r="AP4557" s="92"/>
      <c r="AQ4557" s="67"/>
      <c r="AR4557" s="67"/>
      <c r="AS4557" s="73"/>
      <c r="AT4557" s="67"/>
      <c r="AU4557" s="67"/>
      <c r="AV4557" s="73"/>
      <c r="AW4557" s="68"/>
      <c r="AX4557" s="68"/>
      <c r="AY4557" s="68"/>
      <c r="AZ4557" s="68"/>
      <c r="BA4557" s="68"/>
      <c r="BB4557" s="67"/>
      <c r="BC4557" s="67"/>
      <c r="BD4557" s="67"/>
      <c r="BE4557" s="67"/>
      <c r="BF4557" s="95"/>
    </row>
    <row r="4558" spans="42:58" x14ac:dyDescent="0.35">
      <c r="AP4558" s="93"/>
      <c r="AQ4558" s="31"/>
      <c r="AR4558" s="31"/>
      <c r="AS4558" s="94"/>
      <c r="AT4558" s="31"/>
      <c r="AU4558" s="31"/>
      <c r="AV4558" s="94"/>
      <c r="AW4558" s="32"/>
      <c r="AX4558" s="32"/>
      <c r="AY4558" s="32"/>
      <c r="AZ4558" s="32"/>
      <c r="BA4558" s="32"/>
      <c r="BB4558" s="31"/>
      <c r="BC4558" s="31"/>
      <c r="BD4558" s="31"/>
      <c r="BE4558" s="31"/>
      <c r="BF4558" s="96"/>
    </row>
    <row r="4559" spans="42:58" x14ac:dyDescent="0.35">
      <c r="AP4559" s="92"/>
      <c r="AQ4559" s="67"/>
      <c r="AR4559" s="67"/>
      <c r="AS4559" s="73"/>
      <c r="AT4559" s="67"/>
      <c r="AU4559" s="67"/>
      <c r="AV4559" s="73"/>
      <c r="AW4559" s="68"/>
      <c r="AX4559" s="68"/>
      <c r="AY4559" s="68"/>
      <c r="AZ4559" s="68"/>
      <c r="BA4559" s="68"/>
      <c r="BB4559" s="67"/>
      <c r="BC4559" s="67"/>
      <c r="BD4559" s="67"/>
      <c r="BE4559" s="67"/>
      <c r="BF4559" s="95"/>
    </row>
    <row r="4560" spans="42:58" x14ac:dyDescent="0.35">
      <c r="AP4560" s="93"/>
      <c r="AQ4560" s="31"/>
      <c r="AR4560" s="31"/>
      <c r="AS4560" s="94"/>
      <c r="AT4560" s="31"/>
      <c r="AU4560" s="31"/>
      <c r="AV4560" s="94"/>
      <c r="AW4560" s="32"/>
      <c r="AX4560" s="32"/>
      <c r="AY4560" s="32"/>
      <c r="AZ4560" s="32"/>
      <c r="BA4560" s="32"/>
      <c r="BB4560" s="31"/>
      <c r="BC4560" s="31"/>
      <c r="BD4560" s="31"/>
      <c r="BE4560" s="31"/>
      <c r="BF4560" s="96"/>
    </row>
    <row r="4561" spans="42:58" x14ac:dyDescent="0.35">
      <c r="AP4561" s="92"/>
      <c r="AQ4561" s="67"/>
      <c r="AR4561" s="67"/>
      <c r="AS4561" s="73"/>
      <c r="AT4561" s="67"/>
      <c r="AU4561" s="67"/>
      <c r="AV4561" s="73"/>
      <c r="AW4561" s="68"/>
      <c r="AX4561" s="68"/>
      <c r="AY4561" s="68"/>
      <c r="AZ4561" s="68"/>
      <c r="BA4561" s="68"/>
      <c r="BB4561" s="67"/>
      <c r="BC4561" s="67"/>
      <c r="BD4561" s="67"/>
      <c r="BE4561" s="67"/>
      <c r="BF4561" s="95"/>
    </row>
    <row r="4562" spans="42:58" x14ac:dyDescent="0.35">
      <c r="AP4562" s="93"/>
      <c r="AQ4562" s="31"/>
      <c r="AR4562" s="31"/>
      <c r="AS4562" s="94"/>
      <c r="AT4562" s="31"/>
      <c r="AU4562" s="31"/>
      <c r="AV4562" s="94"/>
      <c r="AW4562" s="32"/>
      <c r="AX4562" s="32"/>
      <c r="AY4562" s="32"/>
      <c r="AZ4562" s="32"/>
      <c r="BA4562" s="32"/>
      <c r="BB4562" s="31"/>
      <c r="BC4562" s="31"/>
      <c r="BD4562" s="31"/>
      <c r="BE4562" s="31"/>
      <c r="BF4562" s="96"/>
    </row>
    <row r="4563" spans="42:58" x14ac:dyDescent="0.35">
      <c r="AP4563" s="92"/>
      <c r="AQ4563" s="67"/>
      <c r="AR4563" s="67"/>
      <c r="AS4563" s="73"/>
      <c r="AT4563" s="67"/>
      <c r="AU4563" s="67"/>
      <c r="AV4563" s="73"/>
      <c r="AW4563" s="68"/>
      <c r="AX4563" s="68"/>
      <c r="AY4563" s="68"/>
      <c r="AZ4563" s="68"/>
      <c r="BA4563" s="68"/>
      <c r="BB4563" s="67"/>
      <c r="BC4563" s="67"/>
      <c r="BD4563" s="67"/>
      <c r="BE4563" s="67"/>
      <c r="BF4563" s="95"/>
    </row>
    <row r="4564" spans="42:58" x14ac:dyDescent="0.35">
      <c r="AP4564" s="93"/>
      <c r="AQ4564" s="31"/>
      <c r="AR4564" s="31"/>
      <c r="AS4564" s="94"/>
      <c r="AT4564" s="31"/>
      <c r="AU4564" s="31"/>
      <c r="AV4564" s="94"/>
      <c r="AW4564" s="32"/>
      <c r="AX4564" s="32"/>
      <c r="AY4564" s="32"/>
      <c r="AZ4564" s="32"/>
      <c r="BA4564" s="32"/>
      <c r="BB4564" s="31"/>
      <c r="BC4564" s="31"/>
      <c r="BD4564" s="31"/>
      <c r="BE4564" s="31"/>
      <c r="BF4564" s="96"/>
    </row>
    <row r="4565" spans="42:58" x14ac:dyDescent="0.35">
      <c r="AP4565" s="92"/>
      <c r="AQ4565" s="67"/>
      <c r="AR4565" s="67"/>
      <c r="AS4565" s="73"/>
      <c r="AT4565" s="67"/>
      <c r="AU4565" s="67"/>
      <c r="AV4565" s="73"/>
      <c r="AW4565" s="68"/>
      <c r="AX4565" s="68"/>
      <c r="AY4565" s="68"/>
      <c r="AZ4565" s="68"/>
      <c r="BA4565" s="68"/>
      <c r="BB4565" s="67"/>
      <c r="BC4565" s="67"/>
      <c r="BD4565" s="67"/>
      <c r="BE4565" s="67"/>
      <c r="BF4565" s="95"/>
    </row>
    <row r="4566" spans="42:58" x14ac:dyDescent="0.35">
      <c r="AP4566" s="93"/>
      <c r="AQ4566" s="31"/>
      <c r="AR4566" s="31"/>
      <c r="AS4566" s="94"/>
      <c r="AT4566" s="31"/>
      <c r="AU4566" s="31"/>
      <c r="AV4566" s="94"/>
      <c r="AW4566" s="32"/>
      <c r="AX4566" s="32"/>
      <c r="AY4566" s="32"/>
      <c r="AZ4566" s="32"/>
      <c r="BA4566" s="32"/>
      <c r="BB4566" s="31"/>
      <c r="BC4566" s="31"/>
      <c r="BD4566" s="31"/>
      <c r="BE4566" s="31"/>
      <c r="BF4566" s="96"/>
    </row>
    <row r="4567" spans="42:58" x14ac:dyDescent="0.35">
      <c r="AP4567" s="92"/>
      <c r="AQ4567" s="67"/>
      <c r="AR4567" s="67"/>
      <c r="AS4567" s="73"/>
      <c r="AT4567" s="67"/>
      <c r="AU4567" s="67"/>
      <c r="AV4567" s="73"/>
      <c r="AW4567" s="68"/>
      <c r="AX4567" s="68"/>
      <c r="AY4567" s="68"/>
      <c r="AZ4567" s="68"/>
      <c r="BA4567" s="68"/>
      <c r="BB4567" s="67"/>
      <c r="BC4567" s="67"/>
      <c r="BD4567" s="67"/>
      <c r="BE4567" s="67"/>
      <c r="BF4567" s="95"/>
    </row>
    <row r="4568" spans="42:58" x14ac:dyDescent="0.35">
      <c r="AP4568" s="93"/>
      <c r="AQ4568" s="31"/>
      <c r="AR4568" s="31"/>
      <c r="AS4568" s="94"/>
      <c r="AT4568" s="31"/>
      <c r="AU4568" s="31"/>
      <c r="AV4568" s="94"/>
      <c r="AW4568" s="32"/>
      <c r="AX4568" s="32"/>
      <c r="AY4568" s="32"/>
      <c r="AZ4568" s="32"/>
      <c r="BA4568" s="32"/>
      <c r="BB4568" s="31"/>
      <c r="BC4568" s="31"/>
      <c r="BD4568" s="31"/>
      <c r="BE4568" s="31"/>
      <c r="BF4568" s="96"/>
    </row>
    <row r="4569" spans="42:58" x14ac:dyDescent="0.35">
      <c r="AP4569" s="92"/>
      <c r="AQ4569" s="67"/>
      <c r="AR4569" s="67"/>
      <c r="AS4569" s="73"/>
      <c r="AT4569" s="67"/>
      <c r="AU4569" s="67"/>
      <c r="AV4569" s="73"/>
      <c r="AW4569" s="68"/>
      <c r="AX4569" s="68"/>
      <c r="AY4569" s="68"/>
      <c r="AZ4569" s="68"/>
      <c r="BA4569" s="68"/>
      <c r="BB4569" s="67"/>
      <c r="BC4569" s="67"/>
      <c r="BD4569" s="67"/>
      <c r="BE4569" s="67"/>
      <c r="BF4569" s="95"/>
    </row>
    <row r="4570" spans="42:58" x14ac:dyDescent="0.35">
      <c r="AP4570" s="93"/>
      <c r="AQ4570" s="31"/>
      <c r="AR4570" s="31"/>
      <c r="AS4570" s="94"/>
      <c r="AT4570" s="31"/>
      <c r="AU4570" s="31"/>
      <c r="AV4570" s="94"/>
      <c r="AW4570" s="32"/>
      <c r="AX4570" s="32"/>
      <c r="AY4570" s="32"/>
      <c r="AZ4570" s="32"/>
      <c r="BA4570" s="32"/>
      <c r="BB4570" s="31"/>
      <c r="BC4570" s="31"/>
      <c r="BD4570" s="31"/>
      <c r="BE4570" s="31"/>
      <c r="BF4570" s="96"/>
    </row>
    <row r="4571" spans="42:58" x14ac:dyDescent="0.35">
      <c r="AP4571" s="92"/>
      <c r="AQ4571" s="67"/>
      <c r="AR4571" s="67"/>
      <c r="AS4571" s="73"/>
      <c r="AT4571" s="67"/>
      <c r="AU4571" s="67"/>
      <c r="AV4571" s="73"/>
      <c r="AW4571" s="68"/>
      <c r="AX4571" s="68"/>
      <c r="AY4571" s="68"/>
      <c r="AZ4571" s="68"/>
      <c r="BA4571" s="68"/>
      <c r="BB4571" s="67"/>
      <c r="BC4571" s="67"/>
      <c r="BD4571" s="67"/>
      <c r="BE4571" s="67"/>
      <c r="BF4571" s="95"/>
    </row>
    <row r="4572" spans="42:58" x14ac:dyDescent="0.35">
      <c r="AP4572" s="93"/>
      <c r="AQ4572" s="31"/>
      <c r="AR4572" s="31"/>
      <c r="AS4572" s="94"/>
      <c r="AT4572" s="31"/>
      <c r="AU4572" s="31"/>
      <c r="AV4572" s="94"/>
      <c r="AW4572" s="32"/>
      <c r="AX4572" s="32"/>
      <c r="AY4572" s="32"/>
      <c r="AZ4572" s="32"/>
      <c r="BA4572" s="32"/>
      <c r="BB4572" s="31"/>
      <c r="BC4572" s="31"/>
      <c r="BD4572" s="31"/>
      <c r="BE4572" s="31"/>
      <c r="BF4572" s="96"/>
    </row>
    <row r="4573" spans="42:58" x14ac:dyDescent="0.35">
      <c r="AP4573" s="92"/>
      <c r="AQ4573" s="67"/>
      <c r="AR4573" s="67"/>
      <c r="AS4573" s="73"/>
      <c r="AT4573" s="67"/>
      <c r="AU4573" s="67"/>
      <c r="AV4573" s="73"/>
      <c r="AW4573" s="68"/>
      <c r="AX4573" s="68"/>
      <c r="AY4573" s="68"/>
      <c r="AZ4573" s="68"/>
      <c r="BA4573" s="68"/>
      <c r="BB4573" s="67"/>
      <c r="BC4573" s="67"/>
      <c r="BD4573" s="67"/>
      <c r="BE4573" s="67"/>
      <c r="BF4573" s="95"/>
    </row>
    <row r="4574" spans="42:58" x14ac:dyDescent="0.35">
      <c r="AP4574" s="93"/>
      <c r="AQ4574" s="31"/>
      <c r="AR4574" s="31"/>
      <c r="AS4574" s="94"/>
      <c r="AT4574" s="31"/>
      <c r="AU4574" s="31"/>
      <c r="AV4574" s="94"/>
      <c r="AW4574" s="32"/>
      <c r="AX4574" s="32"/>
      <c r="AY4574" s="32"/>
      <c r="AZ4574" s="32"/>
      <c r="BA4574" s="32"/>
      <c r="BB4574" s="31"/>
      <c r="BC4574" s="31"/>
      <c r="BD4574" s="31"/>
      <c r="BE4574" s="31"/>
      <c r="BF4574" s="96"/>
    </row>
    <row r="4575" spans="42:58" x14ac:dyDescent="0.35">
      <c r="AP4575" s="92"/>
      <c r="AQ4575" s="67"/>
      <c r="AR4575" s="67"/>
      <c r="AS4575" s="73"/>
      <c r="AT4575" s="67"/>
      <c r="AU4575" s="67"/>
      <c r="AV4575" s="73"/>
      <c r="AW4575" s="68"/>
      <c r="AX4575" s="68"/>
      <c r="AY4575" s="68"/>
      <c r="AZ4575" s="68"/>
      <c r="BA4575" s="68"/>
      <c r="BB4575" s="67"/>
      <c r="BC4575" s="67"/>
      <c r="BD4575" s="67"/>
      <c r="BE4575" s="67"/>
      <c r="BF4575" s="95"/>
    </row>
    <row r="4576" spans="42:58" x14ac:dyDescent="0.35">
      <c r="AP4576" s="93"/>
      <c r="AQ4576" s="31"/>
      <c r="AR4576" s="31"/>
      <c r="AS4576" s="94"/>
      <c r="AT4576" s="31"/>
      <c r="AU4576" s="31"/>
      <c r="AV4576" s="94"/>
      <c r="AW4576" s="32"/>
      <c r="AX4576" s="32"/>
      <c r="AY4576" s="32"/>
      <c r="AZ4576" s="32"/>
      <c r="BA4576" s="32"/>
      <c r="BB4576" s="31"/>
      <c r="BC4576" s="31"/>
      <c r="BD4576" s="31"/>
      <c r="BE4576" s="31"/>
      <c r="BF4576" s="96"/>
    </row>
    <row r="4577" spans="42:58" x14ac:dyDescent="0.35">
      <c r="AP4577" s="92"/>
      <c r="AQ4577" s="67"/>
      <c r="AR4577" s="67"/>
      <c r="AS4577" s="73"/>
      <c r="AT4577" s="67"/>
      <c r="AU4577" s="67"/>
      <c r="AV4577" s="73"/>
      <c r="AW4577" s="68"/>
      <c r="AX4577" s="68"/>
      <c r="AY4577" s="68"/>
      <c r="AZ4577" s="68"/>
      <c r="BA4577" s="68"/>
      <c r="BB4577" s="67"/>
      <c r="BC4577" s="67"/>
      <c r="BD4577" s="67"/>
      <c r="BE4577" s="67"/>
      <c r="BF4577" s="95"/>
    </row>
    <row r="4578" spans="42:58" x14ac:dyDescent="0.35">
      <c r="AP4578" s="93"/>
      <c r="AQ4578" s="31"/>
      <c r="AR4578" s="31"/>
      <c r="AS4578" s="94"/>
      <c r="AT4578" s="31"/>
      <c r="AU4578" s="31"/>
      <c r="AV4578" s="94"/>
      <c r="AW4578" s="32"/>
      <c r="AX4578" s="32"/>
      <c r="AY4578" s="32"/>
      <c r="AZ4578" s="32"/>
      <c r="BA4578" s="32"/>
      <c r="BB4578" s="31"/>
      <c r="BC4578" s="31"/>
      <c r="BD4578" s="31"/>
      <c r="BE4578" s="31"/>
      <c r="BF4578" s="96"/>
    </row>
    <row r="4579" spans="42:58" x14ac:dyDescent="0.35">
      <c r="AP4579" s="92"/>
      <c r="AQ4579" s="67"/>
      <c r="AR4579" s="67"/>
      <c r="AS4579" s="73"/>
      <c r="AT4579" s="67"/>
      <c r="AU4579" s="67"/>
      <c r="AV4579" s="73"/>
      <c r="AW4579" s="68"/>
      <c r="AX4579" s="68"/>
      <c r="AY4579" s="68"/>
      <c r="AZ4579" s="68"/>
      <c r="BA4579" s="68"/>
      <c r="BB4579" s="67"/>
      <c r="BC4579" s="67"/>
      <c r="BD4579" s="67"/>
      <c r="BE4579" s="67"/>
      <c r="BF4579" s="95"/>
    </row>
    <row r="4580" spans="42:58" x14ac:dyDescent="0.35">
      <c r="AP4580" s="93"/>
      <c r="AQ4580" s="31"/>
      <c r="AR4580" s="31"/>
      <c r="AS4580" s="94"/>
      <c r="AT4580" s="31"/>
      <c r="AU4580" s="31"/>
      <c r="AV4580" s="94"/>
      <c r="AW4580" s="32"/>
      <c r="AX4580" s="32"/>
      <c r="AY4580" s="32"/>
      <c r="AZ4580" s="32"/>
      <c r="BA4580" s="32"/>
      <c r="BB4580" s="31"/>
      <c r="BC4580" s="31"/>
      <c r="BD4580" s="31"/>
      <c r="BE4580" s="31"/>
      <c r="BF4580" s="96"/>
    </row>
    <row r="4581" spans="42:58" x14ac:dyDescent="0.35">
      <c r="AP4581" s="92"/>
      <c r="AQ4581" s="67"/>
      <c r="AR4581" s="67"/>
      <c r="AS4581" s="73"/>
      <c r="AT4581" s="67"/>
      <c r="AU4581" s="67"/>
      <c r="AV4581" s="73"/>
      <c r="AW4581" s="68"/>
      <c r="AX4581" s="68"/>
      <c r="AY4581" s="68"/>
      <c r="AZ4581" s="68"/>
      <c r="BA4581" s="68"/>
      <c r="BB4581" s="67"/>
      <c r="BC4581" s="67"/>
      <c r="BD4581" s="67"/>
      <c r="BE4581" s="67"/>
      <c r="BF4581" s="95"/>
    </row>
    <row r="4582" spans="42:58" x14ac:dyDescent="0.35">
      <c r="AP4582" s="93"/>
      <c r="AQ4582" s="31"/>
      <c r="AR4582" s="31"/>
      <c r="AS4582" s="94"/>
      <c r="AT4582" s="31"/>
      <c r="AU4582" s="31"/>
      <c r="AV4582" s="94"/>
      <c r="AW4582" s="32"/>
      <c r="AX4582" s="32"/>
      <c r="AY4582" s="32"/>
      <c r="AZ4582" s="32"/>
      <c r="BA4582" s="32"/>
      <c r="BB4582" s="31"/>
      <c r="BC4582" s="31"/>
      <c r="BD4582" s="31"/>
      <c r="BE4582" s="31"/>
      <c r="BF4582" s="96"/>
    </row>
    <row r="4583" spans="42:58" x14ac:dyDescent="0.35">
      <c r="AP4583" s="92"/>
      <c r="AQ4583" s="67"/>
      <c r="AR4583" s="67"/>
      <c r="AS4583" s="73"/>
      <c r="AT4583" s="67"/>
      <c r="AU4583" s="67"/>
      <c r="AV4583" s="73"/>
      <c r="AW4583" s="68"/>
      <c r="AX4583" s="68"/>
      <c r="AY4583" s="68"/>
      <c r="AZ4583" s="68"/>
      <c r="BA4583" s="68"/>
      <c r="BB4583" s="67"/>
      <c r="BC4583" s="67"/>
      <c r="BD4583" s="67"/>
      <c r="BE4583" s="67"/>
      <c r="BF4583" s="95"/>
    </row>
    <row r="4584" spans="42:58" x14ac:dyDescent="0.35">
      <c r="AP4584" s="93"/>
      <c r="AQ4584" s="31"/>
      <c r="AR4584" s="31"/>
      <c r="AS4584" s="94"/>
      <c r="AT4584" s="31"/>
      <c r="AU4584" s="31"/>
      <c r="AV4584" s="94"/>
      <c r="AW4584" s="32"/>
      <c r="AX4584" s="32"/>
      <c r="AY4584" s="32"/>
      <c r="AZ4584" s="32"/>
      <c r="BA4584" s="32"/>
      <c r="BB4584" s="31"/>
      <c r="BC4584" s="31"/>
      <c r="BD4584" s="31"/>
      <c r="BE4584" s="31"/>
      <c r="BF4584" s="96"/>
    </row>
    <row r="4585" spans="42:58" x14ac:dyDescent="0.35">
      <c r="AP4585" s="92"/>
      <c r="AQ4585" s="67"/>
      <c r="AR4585" s="67"/>
      <c r="AS4585" s="73"/>
      <c r="AT4585" s="67"/>
      <c r="AU4585" s="67"/>
      <c r="AV4585" s="73"/>
      <c r="AW4585" s="68"/>
      <c r="AX4585" s="68"/>
      <c r="AY4585" s="68"/>
      <c r="AZ4585" s="68"/>
      <c r="BA4585" s="68"/>
      <c r="BB4585" s="67"/>
      <c r="BC4585" s="67"/>
      <c r="BD4585" s="67"/>
      <c r="BE4585" s="67"/>
      <c r="BF4585" s="95"/>
    </row>
    <row r="4586" spans="42:58" x14ac:dyDescent="0.35">
      <c r="AP4586" s="93"/>
      <c r="AQ4586" s="31"/>
      <c r="AR4586" s="31"/>
      <c r="AS4586" s="94"/>
      <c r="AT4586" s="31"/>
      <c r="AU4586" s="31"/>
      <c r="AV4586" s="94"/>
      <c r="AW4586" s="32"/>
      <c r="AX4586" s="32"/>
      <c r="AY4586" s="32"/>
      <c r="AZ4586" s="32"/>
      <c r="BA4586" s="32"/>
      <c r="BB4586" s="31"/>
      <c r="BC4586" s="31"/>
      <c r="BD4586" s="31"/>
      <c r="BE4586" s="31"/>
      <c r="BF4586" s="96"/>
    </row>
    <row r="4587" spans="42:58" x14ac:dyDescent="0.35">
      <c r="AP4587" s="92"/>
      <c r="AQ4587" s="67"/>
      <c r="AR4587" s="67"/>
      <c r="AS4587" s="73"/>
      <c r="AT4587" s="67"/>
      <c r="AU4587" s="67"/>
      <c r="AV4587" s="73"/>
      <c r="AW4587" s="68"/>
      <c r="AX4587" s="68"/>
      <c r="AY4587" s="68"/>
      <c r="AZ4587" s="68"/>
      <c r="BA4587" s="68"/>
      <c r="BB4587" s="67"/>
      <c r="BC4587" s="67"/>
      <c r="BD4587" s="67"/>
      <c r="BE4587" s="67"/>
      <c r="BF4587" s="95"/>
    </row>
    <row r="4588" spans="42:58" x14ac:dyDescent="0.35">
      <c r="AP4588" s="93"/>
      <c r="AQ4588" s="31"/>
      <c r="AR4588" s="31"/>
      <c r="AS4588" s="94"/>
      <c r="AT4588" s="31"/>
      <c r="AU4588" s="31"/>
      <c r="AV4588" s="94"/>
      <c r="AW4588" s="32"/>
      <c r="AX4588" s="32"/>
      <c r="AY4588" s="32"/>
      <c r="AZ4588" s="32"/>
      <c r="BA4588" s="32"/>
      <c r="BB4588" s="31"/>
      <c r="BC4588" s="31"/>
      <c r="BD4588" s="31"/>
      <c r="BE4588" s="31"/>
      <c r="BF4588" s="96"/>
    </row>
    <row r="4589" spans="42:58" x14ac:dyDescent="0.35">
      <c r="AP4589" s="92"/>
      <c r="AQ4589" s="67"/>
      <c r="AR4589" s="67"/>
      <c r="AS4589" s="73"/>
      <c r="AT4589" s="67"/>
      <c r="AU4589" s="67"/>
      <c r="AV4589" s="73"/>
      <c r="AW4589" s="68"/>
      <c r="AX4589" s="68"/>
      <c r="AY4589" s="68"/>
      <c r="AZ4589" s="68"/>
      <c r="BA4589" s="68"/>
      <c r="BB4589" s="67"/>
      <c r="BC4589" s="67"/>
      <c r="BD4589" s="67"/>
      <c r="BE4589" s="67"/>
      <c r="BF4589" s="95"/>
    </row>
    <row r="4590" spans="42:58" x14ac:dyDescent="0.35">
      <c r="AP4590" s="93"/>
      <c r="AQ4590" s="31"/>
      <c r="AR4590" s="31"/>
      <c r="AS4590" s="94"/>
      <c r="AT4590" s="31"/>
      <c r="AU4590" s="31"/>
      <c r="AV4590" s="94"/>
      <c r="AW4590" s="32"/>
      <c r="AX4590" s="32"/>
      <c r="AY4590" s="32"/>
      <c r="AZ4590" s="32"/>
      <c r="BA4590" s="32"/>
      <c r="BB4590" s="31"/>
      <c r="BC4590" s="31"/>
      <c r="BD4590" s="31"/>
      <c r="BE4590" s="31"/>
      <c r="BF4590" s="96"/>
    </row>
    <row r="4591" spans="42:58" x14ac:dyDescent="0.35">
      <c r="AP4591" s="92"/>
      <c r="AQ4591" s="67"/>
      <c r="AR4591" s="67"/>
      <c r="AS4591" s="73"/>
      <c r="AT4591" s="67"/>
      <c r="AU4591" s="67"/>
      <c r="AV4591" s="73"/>
      <c r="AW4591" s="68"/>
      <c r="AX4591" s="68"/>
      <c r="AY4591" s="68"/>
      <c r="AZ4591" s="68"/>
      <c r="BA4591" s="68"/>
      <c r="BB4591" s="67"/>
      <c r="BC4591" s="67"/>
      <c r="BD4591" s="67"/>
      <c r="BE4591" s="67"/>
      <c r="BF4591" s="95"/>
    </row>
    <row r="4592" spans="42:58" x14ac:dyDescent="0.35">
      <c r="AP4592" s="93"/>
      <c r="AQ4592" s="31"/>
      <c r="AR4592" s="31"/>
      <c r="AS4592" s="94"/>
      <c r="AT4592" s="31"/>
      <c r="AU4592" s="31"/>
      <c r="AV4592" s="94"/>
      <c r="AW4592" s="32"/>
      <c r="AX4592" s="32"/>
      <c r="AY4592" s="32"/>
      <c r="AZ4592" s="32"/>
      <c r="BA4592" s="32"/>
      <c r="BB4592" s="31"/>
      <c r="BC4592" s="31"/>
      <c r="BD4592" s="31"/>
      <c r="BE4592" s="31"/>
      <c r="BF4592" s="96"/>
    </row>
    <row r="4593" spans="42:58" x14ac:dyDescent="0.35">
      <c r="AP4593" s="92"/>
      <c r="AQ4593" s="67"/>
      <c r="AR4593" s="67"/>
      <c r="AS4593" s="73"/>
      <c r="AT4593" s="67"/>
      <c r="AU4593" s="67"/>
      <c r="AV4593" s="73"/>
      <c r="AW4593" s="68"/>
      <c r="AX4593" s="68"/>
      <c r="AY4593" s="68"/>
      <c r="AZ4593" s="68"/>
      <c r="BA4593" s="68"/>
      <c r="BB4593" s="67"/>
      <c r="BC4593" s="67"/>
      <c r="BD4593" s="67"/>
      <c r="BE4593" s="67"/>
      <c r="BF4593" s="95"/>
    </row>
    <row r="4594" spans="42:58" x14ac:dyDescent="0.35">
      <c r="AP4594" s="93"/>
      <c r="AQ4594" s="31"/>
      <c r="AR4594" s="31"/>
      <c r="AS4594" s="94"/>
      <c r="AT4594" s="31"/>
      <c r="AU4594" s="31"/>
      <c r="AV4594" s="94"/>
      <c r="AW4594" s="32"/>
      <c r="AX4594" s="32"/>
      <c r="AY4594" s="32"/>
      <c r="AZ4594" s="32"/>
      <c r="BA4594" s="32"/>
      <c r="BB4594" s="31"/>
      <c r="BC4594" s="31"/>
      <c r="BD4594" s="31"/>
      <c r="BE4594" s="31"/>
      <c r="BF4594" s="96"/>
    </row>
    <row r="4595" spans="42:58" x14ac:dyDescent="0.35">
      <c r="AP4595" s="92"/>
      <c r="AQ4595" s="67"/>
      <c r="AR4595" s="67"/>
      <c r="AS4595" s="73"/>
      <c r="AT4595" s="67"/>
      <c r="AU4595" s="67"/>
      <c r="AV4595" s="73"/>
      <c r="AW4595" s="68"/>
      <c r="AX4595" s="68"/>
      <c r="AY4595" s="68"/>
      <c r="AZ4595" s="68"/>
      <c r="BA4595" s="68"/>
      <c r="BB4595" s="67"/>
      <c r="BC4595" s="67"/>
      <c r="BD4595" s="67"/>
      <c r="BE4595" s="67"/>
      <c r="BF4595" s="95"/>
    </row>
    <row r="4596" spans="42:58" x14ac:dyDescent="0.35">
      <c r="AP4596" s="93"/>
      <c r="AQ4596" s="31"/>
      <c r="AR4596" s="31"/>
      <c r="AS4596" s="94"/>
      <c r="AT4596" s="31"/>
      <c r="AU4596" s="31"/>
      <c r="AV4596" s="94"/>
      <c r="AW4596" s="32"/>
      <c r="AX4596" s="32"/>
      <c r="AY4596" s="32"/>
      <c r="AZ4596" s="32"/>
      <c r="BA4596" s="32"/>
      <c r="BB4596" s="31"/>
      <c r="BC4596" s="31"/>
      <c r="BD4596" s="31"/>
      <c r="BE4596" s="31"/>
      <c r="BF4596" s="96"/>
    </row>
    <row r="4597" spans="42:58" x14ac:dyDescent="0.35">
      <c r="AP4597" s="92"/>
      <c r="AQ4597" s="67"/>
      <c r="AR4597" s="67"/>
      <c r="AS4597" s="73"/>
      <c r="AT4597" s="67"/>
      <c r="AU4597" s="67"/>
      <c r="AV4597" s="73"/>
      <c r="AW4597" s="68"/>
      <c r="AX4597" s="68"/>
      <c r="AY4597" s="68"/>
      <c r="AZ4597" s="68"/>
      <c r="BA4597" s="68"/>
      <c r="BB4597" s="67"/>
      <c r="BC4597" s="67"/>
      <c r="BD4597" s="67"/>
      <c r="BE4597" s="67"/>
      <c r="BF4597" s="95"/>
    </row>
    <row r="4598" spans="42:58" x14ac:dyDescent="0.35">
      <c r="AP4598" s="93"/>
      <c r="AQ4598" s="31"/>
      <c r="AR4598" s="31"/>
      <c r="AS4598" s="94"/>
      <c r="AT4598" s="31"/>
      <c r="AU4598" s="31"/>
      <c r="AV4598" s="94"/>
      <c r="AW4598" s="32"/>
      <c r="AX4598" s="32"/>
      <c r="AY4598" s="32"/>
      <c r="AZ4598" s="32"/>
      <c r="BA4598" s="32"/>
      <c r="BB4598" s="31"/>
      <c r="BC4598" s="31"/>
      <c r="BD4598" s="31"/>
      <c r="BE4598" s="31"/>
      <c r="BF4598" s="96"/>
    </row>
    <row r="4599" spans="42:58" x14ac:dyDescent="0.35">
      <c r="AP4599" s="92"/>
      <c r="AQ4599" s="67"/>
      <c r="AR4599" s="67"/>
      <c r="AS4599" s="73"/>
      <c r="AT4599" s="67"/>
      <c r="AU4599" s="67"/>
      <c r="AV4599" s="73"/>
      <c r="AW4599" s="68"/>
      <c r="AX4599" s="68"/>
      <c r="AY4599" s="68"/>
      <c r="AZ4599" s="68"/>
      <c r="BA4599" s="68"/>
      <c r="BB4599" s="67"/>
      <c r="BC4599" s="67"/>
      <c r="BD4599" s="67"/>
      <c r="BE4599" s="67"/>
      <c r="BF4599" s="95"/>
    </row>
    <row r="4600" spans="42:58" x14ac:dyDescent="0.35">
      <c r="AP4600" s="93"/>
      <c r="AQ4600" s="31"/>
      <c r="AR4600" s="31"/>
      <c r="AS4600" s="94"/>
      <c r="AT4600" s="31"/>
      <c r="AU4600" s="31"/>
      <c r="AV4600" s="94"/>
      <c r="AW4600" s="32"/>
      <c r="AX4600" s="32"/>
      <c r="AY4600" s="32"/>
      <c r="AZ4600" s="32"/>
      <c r="BA4600" s="32"/>
      <c r="BB4600" s="31"/>
      <c r="BC4600" s="31"/>
      <c r="BD4600" s="31"/>
      <c r="BE4600" s="31"/>
      <c r="BF4600" s="96"/>
    </row>
    <row r="4601" spans="42:58" x14ac:dyDescent="0.35">
      <c r="AP4601" s="92"/>
      <c r="AQ4601" s="67"/>
      <c r="AR4601" s="67"/>
      <c r="AS4601" s="73"/>
      <c r="AT4601" s="67"/>
      <c r="AU4601" s="67"/>
      <c r="AV4601" s="73"/>
      <c r="AW4601" s="68"/>
      <c r="AX4601" s="68"/>
      <c r="AY4601" s="68"/>
      <c r="AZ4601" s="68"/>
      <c r="BA4601" s="68"/>
      <c r="BB4601" s="67"/>
      <c r="BC4601" s="67"/>
      <c r="BD4601" s="67"/>
      <c r="BE4601" s="67"/>
      <c r="BF4601" s="95"/>
    </row>
    <row r="4602" spans="42:58" x14ac:dyDescent="0.35">
      <c r="AP4602" s="93"/>
      <c r="AQ4602" s="31"/>
      <c r="AR4602" s="31"/>
      <c r="AS4602" s="94"/>
      <c r="AT4602" s="31"/>
      <c r="AU4602" s="31"/>
      <c r="AV4602" s="94"/>
      <c r="AW4602" s="32"/>
      <c r="AX4602" s="32"/>
      <c r="AY4602" s="32"/>
      <c r="AZ4602" s="32"/>
      <c r="BA4602" s="32"/>
      <c r="BB4602" s="31"/>
      <c r="BC4602" s="31"/>
      <c r="BD4602" s="31"/>
      <c r="BE4602" s="31"/>
      <c r="BF4602" s="96"/>
    </row>
    <row r="4603" spans="42:58" x14ac:dyDescent="0.35">
      <c r="AP4603" s="92"/>
      <c r="AQ4603" s="67"/>
      <c r="AR4603" s="67"/>
      <c r="AS4603" s="73"/>
      <c r="AT4603" s="67"/>
      <c r="AU4603" s="67"/>
      <c r="AV4603" s="73"/>
      <c r="AW4603" s="68"/>
      <c r="AX4603" s="68"/>
      <c r="AY4603" s="68"/>
      <c r="AZ4603" s="68"/>
      <c r="BA4603" s="68"/>
      <c r="BB4603" s="67"/>
      <c r="BC4603" s="67"/>
      <c r="BD4603" s="67"/>
      <c r="BE4603" s="67"/>
      <c r="BF4603" s="95"/>
    </row>
    <row r="4604" spans="42:58" x14ac:dyDescent="0.35">
      <c r="AP4604" s="93"/>
      <c r="AQ4604" s="31"/>
      <c r="AR4604" s="31"/>
      <c r="AS4604" s="94"/>
      <c r="AT4604" s="31"/>
      <c r="AU4604" s="31"/>
      <c r="AV4604" s="94"/>
      <c r="AW4604" s="32"/>
      <c r="AX4604" s="32"/>
      <c r="AY4604" s="32"/>
      <c r="AZ4604" s="32"/>
      <c r="BA4604" s="32"/>
      <c r="BB4604" s="31"/>
      <c r="BC4604" s="31"/>
      <c r="BD4604" s="31"/>
      <c r="BE4604" s="31"/>
      <c r="BF4604" s="96"/>
    </row>
    <row r="4605" spans="42:58" x14ac:dyDescent="0.35">
      <c r="AP4605" s="92"/>
      <c r="AQ4605" s="67"/>
      <c r="AR4605" s="67"/>
      <c r="AS4605" s="73"/>
      <c r="AT4605" s="67"/>
      <c r="AU4605" s="67"/>
      <c r="AV4605" s="73"/>
      <c r="AW4605" s="68"/>
      <c r="AX4605" s="68"/>
      <c r="AY4605" s="68"/>
      <c r="AZ4605" s="68"/>
      <c r="BA4605" s="68"/>
      <c r="BB4605" s="67"/>
      <c r="BC4605" s="67"/>
      <c r="BD4605" s="67"/>
      <c r="BE4605" s="67"/>
      <c r="BF4605" s="95"/>
    </row>
    <row r="4606" spans="42:58" x14ac:dyDescent="0.35">
      <c r="AP4606" s="93"/>
      <c r="AQ4606" s="31"/>
      <c r="AR4606" s="31"/>
      <c r="AS4606" s="94"/>
      <c r="AT4606" s="31"/>
      <c r="AU4606" s="31"/>
      <c r="AV4606" s="94"/>
      <c r="AW4606" s="32"/>
      <c r="AX4606" s="32"/>
      <c r="AY4606" s="32"/>
      <c r="AZ4606" s="32"/>
      <c r="BA4606" s="32"/>
      <c r="BB4606" s="31"/>
      <c r="BC4606" s="31"/>
      <c r="BD4606" s="31"/>
      <c r="BE4606" s="31"/>
      <c r="BF4606" s="96"/>
    </row>
    <row r="4607" spans="42:58" x14ac:dyDescent="0.35">
      <c r="AP4607" s="92"/>
      <c r="AQ4607" s="67"/>
      <c r="AR4607" s="67"/>
      <c r="AS4607" s="73"/>
      <c r="AT4607" s="67"/>
      <c r="AU4607" s="67"/>
      <c r="AV4607" s="73"/>
      <c r="AW4607" s="68"/>
      <c r="AX4607" s="68"/>
      <c r="AY4607" s="68"/>
      <c r="AZ4607" s="68"/>
      <c r="BA4607" s="68"/>
      <c r="BB4607" s="67"/>
      <c r="BC4607" s="67"/>
      <c r="BD4607" s="67"/>
      <c r="BE4607" s="67"/>
      <c r="BF4607" s="95"/>
    </row>
    <row r="4608" spans="42:58" x14ac:dyDescent="0.35">
      <c r="AP4608" s="93"/>
      <c r="AQ4608" s="31"/>
      <c r="AR4608" s="31"/>
      <c r="AS4608" s="94"/>
      <c r="AT4608" s="31"/>
      <c r="AU4608" s="31"/>
      <c r="AV4608" s="94"/>
      <c r="AW4608" s="32"/>
      <c r="AX4608" s="32"/>
      <c r="AY4608" s="32"/>
      <c r="AZ4608" s="32"/>
      <c r="BA4608" s="32"/>
      <c r="BB4608" s="31"/>
      <c r="BC4608" s="31"/>
      <c r="BD4608" s="31"/>
      <c r="BE4608" s="31"/>
      <c r="BF4608" s="96"/>
    </row>
    <row r="4609" spans="42:58" x14ac:dyDescent="0.35">
      <c r="AP4609" s="92"/>
      <c r="AQ4609" s="67"/>
      <c r="AR4609" s="67"/>
      <c r="AS4609" s="73"/>
      <c r="AT4609" s="67"/>
      <c r="AU4609" s="67"/>
      <c r="AV4609" s="73"/>
      <c r="AW4609" s="68"/>
      <c r="AX4609" s="68"/>
      <c r="AY4609" s="68"/>
      <c r="AZ4609" s="68"/>
      <c r="BA4609" s="68"/>
      <c r="BB4609" s="67"/>
      <c r="BC4609" s="67"/>
      <c r="BD4609" s="67"/>
      <c r="BE4609" s="67"/>
      <c r="BF4609" s="95"/>
    </row>
    <row r="4610" spans="42:58" x14ac:dyDescent="0.35">
      <c r="AP4610" s="93"/>
      <c r="AQ4610" s="31"/>
      <c r="AR4610" s="31"/>
      <c r="AS4610" s="94"/>
      <c r="AT4610" s="31"/>
      <c r="AU4610" s="31"/>
      <c r="AV4610" s="94"/>
      <c r="AW4610" s="32"/>
      <c r="AX4610" s="32"/>
      <c r="AY4610" s="32"/>
      <c r="AZ4610" s="32"/>
      <c r="BA4610" s="32"/>
      <c r="BB4610" s="31"/>
      <c r="BC4610" s="31"/>
      <c r="BD4610" s="31"/>
      <c r="BE4610" s="31"/>
      <c r="BF4610" s="96"/>
    </row>
    <row r="4611" spans="42:58" x14ac:dyDescent="0.35">
      <c r="AP4611" s="92"/>
      <c r="AQ4611" s="67"/>
      <c r="AR4611" s="67"/>
      <c r="AS4611" s="73"/>
      <c r="AT4611" s="67"/>
      <c r="AU4611" s="67"/>
      <c r="AV4611" s="73"/>
      <c r="AW4611" s="68"/>
      <c r="AX4611" s="68"/>
      <c r="AY4611" s="68"/>
      <c r="AZ4611" s="68"/>
      <c r="BA4611" s="68"/>
      <c r="BB4611" s="67"/>
      <c r="BC4611" s="67"/>
      <c r="BD4611" s="67"/>
      <c r="BE4611" s="67"/>
      <c r="BF4611" s="95"/>
    </row>
    <row r="4612" spans="42:58" x14ac:dyDescent="0.35">
      <c r="AP4612" s="93"/>
      <c r="AQ4612" s="31"/>
      <c r="AR4612" s="31"/>
      <c r="AS4612" s="94"/>
      <c r="AT4612" s="31"/>
      <c r="AU4612" s="31"/>
      <c r="AV4612" s="94"/>
      <c r="AW4612" s="32"/>
      <c r="AX4612" s="32"/>
      <c r="AY4612" s="32"/>
      <c r="AZ4612" s="32"/>
      <c r="BA4612" s="32"/>
      <c r="BB4612" s="31"/>
      <c r="BC4612" s="31"/>
      <c r="BD4612" s="31"/>
      <c r="BE4612" s="31"/>
      <c r="BF4612" s="96"/>
    </row>
    <row r="4613" spans="42:58" x14ac:dyDescent="0.35">
      <c r="AP4613" s="92"/>
      <c r="AQ4613" s="67"/>
      <c r="AR4613" s="67"/>
      <c r="AS4613" s="73"/>
      <c r="AT4613" s="67"/>
      <c r="AU4613" s="67"/>
      <c r="AV4613" s="73"/>
      <c r="AW4613" s="68"/>
      <c r="AX4613" s="68"/>
      <c r="AY4613" s="68"/>
      <c r="AZ4613" s="68"/>
      <c r="BA4613" s="68"/>
      <c r="BB4613" s="67"/>
      <c r="BC4613" s="67"/>
      <c r="BD4613" s="67"/>
      <c r="BE4613" s="67"/>
      <c r="BF4613" s="95"/>
    </row>
    <row r="4614" spans="42:58" x14ac:dyDescent="0.35">
      <c r="AP4614" s="93"/>
      <c r="AQ4614" s="31"/>
      <c r="AR4614" s="31"/>
      <c r="AS4614" s="94"/>
      <c r="AT4614" s="31"/>
      <c r="AU4614" s="31"/>
      <c r="AV4614" s="94"/>
      <c r="AW4614" s="32"/>
      <c r="AX4614" s="32"/>
      <c r="AY4614" s="32"/>
      <c r="AZ4614" s="32"/>
      <c r="BA4614" s="32"/>
      <c r="BB4614" s="31"/>
      <c r="BC4614" s="31"/>
      <c r="BD4614" s="31"/>
      <c r="BE4614" s="31"/>
      <c r="BF4614" s="96"/>
    </row>
    <row r="4615" spans="42:58" x14ac:dyDescent="0.35">
      <c r="AP4615" s="92"/>
      <c r="AQ4615" s="67"/>
      <c r="AR4615" s="67"/>
      <c r="AS4615" s="73"/>
      <c r="AT4615" s="67"/>
      <c r="AU4615" s="67"/>
      <c r="AV4615" s="73"/>
      <c r="AW4615" s="68"/>
      <c r="AX4615" s="68"/>
      <c r="AY4615" s="68"/>
      <c r="AZ4615" s="68"/>
      <c r="BA4615" s="68"/>
      <c r="BB4615" s="67"/>
      <c r="BC4615" s="67"/>
      <c r="BD4615" s="67"/>
      <c r="BE4615" s="67"/>
      <c r="BF4615" s="95"/>
    </row>
    <row r="4616" spans="42:58" x14ac:dyDescent="0.35">
      <c r="AP4616" s="93"/>
      <c r="AQ4616" s="31"/>
      <c r="AR4616" s="31"/>
      <c r="AS4616" s="94"/>
      <c r="AT4616" s="31"/>
      <c r="AU4616" s="31"/>
      <c r="AV4616" s="94"/>
      <c r="AW4616" s="32"/>
      <c r="AX4616" s="32"/>
      <c r="AY4616" s="32"/>
      <c r="AZ4616" s="32"/>
      <c r="BA4616" s="32"/>
      <c r="BB4616" s="31"/>
      <c r="BC4616" s="31"/>
      <c r="BD4616" s="31"/>
      <c r="BE4616" s="31"/>
      <c r="BF4616" s="96"/>
    </row>
    <row r="4617" spans="42:58" x14ac:dyDescent="0.35">
      <c r="AP4617" s="92"/>
      <c r="AQ4617" s="67"/>
      <c r="AR4617" s="67"/>
      <c r="AS4617" s="73"/>
      <c r="AT4617" s="67"/>
      <c r="AU4617" s="67"/>
      <c r="AV4617" s="73"/>
      <c r="AW4617" s="68"/>
      <c r="AX4617" s="68"/>
      <c r="AY4617" s="68"/>
      <c r="AZ4617" s="68"/>
      <c r="BA4617" s="68"/>
      <c r="BB4617" s="67"/>
      <c r="BC4617" s="67"/>
      <c r="BD4617" s="67"/>
      <c r="BE4617" s="67"/>
      <c r="BF4617" s="95"/>
    </row>
    <row r="4618" spans="42:58" x14ac:dyDescent="0.35">
      <c r="AP4618" s="93"/>
      <c r="AQ4618" s="31"/>
      <c r="AR4618" s="31"/>
      <c r="AS4618" s="94"/>
      <c r="AT4618" s="31"/>
      <c r="AU4618" s="31"/>
      <c r="AV4618" s="94"/>
      <c r="AW4618" s="32"/>
      <c r="AX4618" s="32"/>
      <c r="AY4618" s="32"/>
      <c r="AZ4618" s="32"/>
      <c r="BA4618" s="32"/>
      <c r="BB4618" s="31"/>
      <c r="BC4618" s="31"/>
      <c r="BD4618" s="31"/>
      <c r="BE4618" s="31"/>
      <c r="BF4618" s="96"/>
    </row>
    <row r="4619" spans="42:58" x14ac:dyDescent="0.35">
      <c r="AP4619" s="92"/>
      <c r="AQ4619" s="67"/>
      <c r="AR4619" s="67"/>
      <c r="AS4619" s="73"/>
      <c r="AT4619" s="67"/>
      <c r="AU4619" s="67"/>
      <c r="AV4619" s="73"/>
      <c r="AW4619" s="68"/>
      <c r="AX4619" s="68"/>
      <c r="AY4619" s="68"/>
      <c r="AZ4619" s="68"/>
      <c r="BA4619" s="68"/>
      <c r="BB4619" s="67"/>
      <c r="BC4619" s="67"/>
      <c r="BD4619" s="67"/>
      <c r="BE4619" s="67"/>
      <c r="BF4619" s="95"/>
    </row>
    <row r="4620" spans="42:58" x14ac:dyDescent="0.35">
      <c r="AP4620" s="93"/>
      <c r="AQ4620" s="31"/>
      <c r="AR4620" s="31"/>
      <c r="AS4620" s="94"/>
      <c r="AT4620" s="31"/>
      <c r="AU4620" s="31"/>
      <c r="AV4620" s="94"/>
      <c r="AW4620" s="32"/>
      <c r="AX4620" s="32"/>
      <c r="AY4620" s="32"/>
      <c r="AZ4620" s="32"/>
      <c r="BA4620" s="32"/>
      <c r="BB4620" s="31"/>
      <c r="BC4620" s="31"/>
      <c r="BD4620" s="31"/>
      <c r="BE4620" s="31"/>
      <c r="BF4620" s="96"/>
    </row>
    <row r="4621" spans="42:58" x14ac:dyDescent="0.35">
      <c r="AP4621" s="92"/>
      <c r="AQ4621" s="67"/>
      <c r="AR4621" s="67"/>
      <c r="AS4621" s="73"/>
      <c r="AT4621" s="67"/>
      <c r="AU4621" s="67"/>
      <c r="AV4621" s="73"/>
      <c r="AW4621" s="68"/>
      <c r="AX4621" s="68"/>
      <c r="AY4621" s="68"/>
      <c r="AZ4621" s="68"/>
      <c r="BA4621" s="68"/>
      <c r="BB4621" s="67"/>
      <c r="BC4621" s="67"/>
      <c r="BD4621" s="67"/>
      <c r="BE4621" s="67"/>
      <c r="BF4621" s="95"/>
    </row>
    <row r="4622" spans="42:58" x14ac:dyDescent="0.35">
      <c r="AP4622" s="93"/>
      <c r="AQ4622" s="31"/>
      <c r="AR4622" s="31"/>
      <c r="AS4622" s="94"/>
      <c r="AT4622" s="31"/>
      <c r="AU4622" s="31"/>
      <c r="AV4622" s="94"/>
      <c r="AW4622" s="32"/>
      <c r="AX4622" s="32"/>
      <c r="AY4622" s="32"/>
      <c r="AZ4622" s="32"/>
      <c r="BA4622" s="32"/>
      <c r="BB4622" s="31"/>
      <c r="BC4622" s="31"/>
      <c r="BD4622" s="31"/>
      <c r="BE4622" s="31"/>
      <c r="BF4622" s="96"/>
    </row>
    <row r="4623" spans="42:58" x14ac:dyDescent="0.35">
      <c r="AP4623" s="92"/>
      <c r="AQ4623" s="67"/>
      <c r="AR4623" s="67"/>
      <c r="AS4623" s="73"/>
      <c r="AT4623" s="67"/>
      <c r="AU4623" s="67"/>
      <c r="AV4623" s="73"/>
      <c r="AW4623" s="68"/>
      <c r="AX4623" s="68"/>
      <c r="AY4623" s="68"/>
      <c r="AZ4623" s="68"/>
      <c r="BA4623" s="68"/>
      <c r="BB4623" s="67"/>
      <c r="BC4623" s="67"/>
      <c r="BD4623" s="67"/>
      <c r="BE4623" s="67"/>
      <c r="BF4623" s="95"/>
    </row>
    <row r="4624" spans="42:58" x14ac:dyDescent="0.35">
      <c r="AP4624" s="93"/>
      <c r="AQ4624" s="31"/>
      <c r="AR4624" s="31"/>
      <c r="AS4624" s="94"/>
      <c r="AT4624" s="31"/>
      <c r="AU4624" s="31"/>
      <c r="AV4624" s="94"/>
      <c r="AW4624" s="32"/>
      <c r="AX4624" s="32"/>
      <c r="AY4624" s="32"/>
      <c r="AZ4624" s="32"/>
      <c r="BA4624" s="32"/>
      <c r="BB4624" s="31"/>
      <c r="BC4624" s="31"/>
      <c r="BD4624" s="31"/>
      <c r="BE4624" s="31"/>
      <c r="BF4624" s="96"/>
    </row>
    <row r="4625" spans="42:58" x14ac:dyDescent="0.35">
      <c r="AP4625" s="92"/>
      <c r="AQ4625" s="67"/>
      <c r="AR4625" s="67"/>
      <c r="AS4625" s="73"/>
      <c r="AT4625" s="67"/>
      <c r="AU4625" s="67"/>
      <c r="AV4625" s="73"/>
      <c r="AW4625" s="68"/>
      <c r="AX4625" s="68"/>
      <c r="AY4625" s="68"/>
      <c r="AZ4625" s="68"/>
      <c r="BA4625" s="68"/>
      <c r="BB4625" s="67"/>
      <c r="BC4625" s="67"/>
      <c r="BD4625" s="67"/>
      <c r="BE4625" s="67"/>
      <c r="BF4625" s="95"/>
    </row>
    <row r="4626" spans="42:58" x14ac:dyDescent="0.35">
      <c r="AP4626" s="93"/>
      <c r="AQ4626" s="31"/>
      <c r="AR4626" s="31"/>
      <c r="AS4626" s="94"/>
      <c r="AT4626" s="31"/>
      <c r="AU4626" s="31"/>
      <c r="AV4626" s="94"/>
      <c r="AW4626" s="32"/>
      <c r="AX4626" s="32"/>
      <c r="AY4626" s="32"/>
      <c r="AZ4626" s="32"/>
      <c r="BA4626" s="32"/>
      <c r="BB4626" s="31"/>
      <c r="BC4626" s="31"/>
      <c r="BD4626" s="31"/>
      <c r="BE4626" s="31"/>
      <c r="BF4626" s="96"/>
    </row>
    <row r="4627" spans="42:58" x14ac:dyDescent="0.35">
      <c r="AP4627" s="92"/>
      <c r="AQ4627" s="67"/>
      <c r="AR4627" s="67"/>
      <c r="AS4627" s="73"/>
      <c r="AT4627" s="67"/>
      <c r="AU4627" s="67"/>
      <c r="AV4627" s="73"/>
      <c r="AW4627" s="68"/>
      <c r="AX4627" s="68"/>
      <c r="AY4627" s="68"/>
      <c r="AZ4627" s="68"/>
      <c r="BA4627" s="68"/>
      <c r="BB4627" s="67"/>
      <c r="BC4627" s="67"/>
      <c r="BD4627" s="67"/>
      <c r="BE4627" s="67"/>
      <c r="BF4627" s="95"/>
    </row>
    <row r="4628" spans="42:58" x14ac:dyDescent="0.35">
      <c r="AP4628" s="93"/>
      <c r="AQ4628" s="31"/>
      <c r="AR4628" s="31"/>
      <c r="AS4628" s="94"/>
      <c r="AT4628" s="31"/>
      <c r="AU4628" s="31"/>
      <c r="AV4628" s="94"/>
      <c r="AW4628" s="32"/>
      <c r="AX4628" s="32"/>
      <c r="AY4628" s="32"/>
      <c r="AZ4628" s="32"/>
      <c r="BA4628" s="32"/>
      <c r="BB4628" s="31"/>
      <c r="BC4628" s="31"/>
      <c r="BD4628" s="31"/>
      <c r="BE4628" s="31"/>
      <c r="BF4628" s="96"/>
    </row>
    <row r="4629" spans="42:58" x14ac:dyDescent="0.35">
      <c r="AP4629" s="92"/>
      <c r="AQ4629" s="67"/>
      <c r="AR4629" s="67"/>
      <c r="AS4629" s="73"/>
      <c r="AT4629" s="67"/>
      <c r="AU4629" s="67"/>
      <c r="AV4629" s="73"/>
      <c r="AW4629" s="68"/>
      <c r="AX4629" s="68"/>
      <c r="AY4629" s="68"/>
      <c r="AZ4629" s="68"/>
      <c r="BA4629" s="68"/>
      <c r="BB4629" s="67"/>
      <c r="BC4629" s="67"/>
      <c r="BD4629" s="67"/>
      <c r="BE4629" s="67"/>
      <c r="BF4629" s="95"/>
    </row>
    <row r="4630" spans="42:58" x14ac:dyDescent="0.35">
      <c r="AP4630" s="93"/>
      <c r="AQ4630" s="31"/>
      <c r="AR4630" s="31"/>
      <c r="AS4630" s="94"/>
      <c r="AT4630" s="31"/>
      <c r="AU4630" s="31"/>
      <c r="AV4630" s="94"/>
      <c r="AW4630" s="32"/>
      <c r="AX4630" s="32"/>
      <c r="AY4630" s="32"/>
      <c r="AZ4630" s="32"/>
      <c r="BA4630" s="32"/>
      <c r="BB4630" s="31"/>
      <c r="BC4630" s="31"/>
      <c r="BD4630" s="31"/>
      <c r="BE4630" s="31"/>
      <c r="BF4630" s="96"/>
    </row>
    <row r="4631" spans="42:58" x14ac:dyDescent="0.35">
      <c r="AP4631" s="92"/>
      <c r="AQ4631" s="67"/>
      <c r="AR4631" s="67"/>
      <c r="AS4631" s="73"/>
      <c r="AT4631" s="67"/>
      <c r="AU4631" s="67"/>
      <c r="AV4631" s="73"/>
      <c r="AW4631" s="68"/>
      <c r="AX4631" s="68"/>
      <c r="AY4631" s="68"/>
      <c r="AZ4631" s="68"/>
      <c r="BA4631" s="68"/>
      <c r="BB4631" s="67"/>
      <c r="BC4631" s="67"/>
      <c r="BD4631" s="67"/>
      <c r="BE4631" s="67"/>
      <c r="BF4631" s="95"/>
    </row>
    <row r="4632" spans="42:58" x14ac:dyDescent="0.35">
      <c r="AP4632" s="93"/>
      <c r="AQ4632" s="31"/>
      <c r="AR4632" s="31"/>
      <c r="AS4632" s="94"/>
      <c r="AT4632" s="31"/>
      <c r="AU4632" s="31"/>
      <c r="AV4632" s="94"/>
      <c r="AW4632" s="32"/>
      <c r="AX4632" s="32"/>
      <c r="AY4632" s="32"/>
      <c r="AZ4632" s="32"/>
      <c r="BA4632" s="32"/>
      <c r="BB4632" s="31"/>
      <c r="BC4632" s="31"/>
      <c r="BD4632" s="31"/>
      <c r="BE4632" s="31"/>
      <c r="BF4632" s="96"/>
    </row>
    <row r="4633" spans="42:58" x14ac:dyDescent="0.35">
      <c r="AP4633" s="92"/>
      <c r="AQ4633" s="67"/>
      <c r="AR4633" s="67"/>
      <c r="AS4633" s="73"/>
      <c r="AT4633" s="67"/>
      <c r="AU4633" s="67"/>
      <c r="AV4633" s="73"/>
      <c r="AW4633" s="68"/>
      <c r="AX4633" s="68"/>
      <c r="AY4633" s="68"/>
      <c r="AZ4633" s="68"/>
      <c r="BA4633" s="68"/>
      <c r="BB4633" s="67"/>
      <c r="BC4633" s="67"/>
      <c r="BD4633" s="67"/>
      <c r="BE4633" s="67"/>
      <c r="BF4633" s="95"/>
    </row>
    <row r="4634" spans="42:58" x14ac:dyDescent="0.35">
      <c r="AP4634" s="93"/>
      <c r="AQ4634" s="31"/>
      <c r="AR4634" s="31"/>
      <c r="AS4634" s="94"/>
      <c r="AT4634" s="31"/>
      <c r="AU4634" s="31"/>
      <c r="AV4634" s="94"/>
      <c r="AW4634" s="32"/>
      <c r="AX4634" s="32"/>
      <c r="AY4634" s="32"/>
      <c r="AZ4634" s="32"/>
      <c r="BA4634" s="32"/>
      <c r="BB4634" s="31"/>
      <c r="BC4634" s="31"/>
      <c r="BD4634" s="31"/>
      <c r="BE4634" s="31"/>
      <c r="BF4634" s="96"/>
    </row>
    <row r="4635" spans="42:58" x14ac:dyDescent="0.35">
      <c r="AP4635" s="92"/>
      <c r="AQ4635" s="67"/>
      <c r="AR4635" s="67"/>
      <c r="AS4635" s="73"/>
      <c r="AT4635" s="67"/>
      <c r="AU4635" s="67"/>
      <c r="AV4635" s="73"/>
      <c r="AW4635" s="68"/>
      <c r="AX4635" s="68"/>
      <c r="AY4635" s="68"/>
      <c r="AZ4635" s="68"/>
      <c r="BA4635" s="68"/>
      <c r="BB4635" s="67"/>
      <c r="BC4635" s="67"/>
      <c r="BD4635" s="67"/>
      <c r="BE4635" s="67"/>
      <c r="BF4635" s="95"/>
    </row>
    <row r="4636" spans="42:58" x14ac:dyDescent="0.35">
      <c r="AP4636" s="93"/>
      <c r="AQ4636" s="31"/>
      <c r="AR4636" s="31"/>
      <c r="AS4636" s="94"/>
      <c r="AT4636" s="31"/>
      <c r="AU4636" s="31"/>
      <c r="AV4636" s="94"/>
      <c r="AW4636" s="32"/>
      <c r="AX4636" s="32"/>
      <c r="AY4636" s="32"/>
      <c r="AZ4636" s="32"/>
      <c r="BA4636" s="32"/>
      <c r="BB4636" s="31"/>
      <c r="BC4636" s="31"/>
      <c r="BD4636" s="31"/>
      <c r="BE4636" s="31"/>
      <c r="BF4636" s="96"/>
    </row>
    <row r="4637" spans="42:58" x14ac:dyDescent="0.35">
      <c r="AP4637" s="92"/>
      <c r="AQ4637" s="67"/>
      <c r="AR4637" s="67"/>
      <c r="AS4637" s="73"/>
      <c r="AT4637" s="67"/>
      <c r="AU4637" s="67"/>
      <c r="AV4637" s="73"/>
      <c r="AW4637" s="68"/>
      <c r="AX4637" s="68"/>
      <c r="AY4637" s="68"/>
      <c r="AZ4637" s="68"/>
      <c r="BA4637" s="68"/>
      <c r="BB4637" s="67"/>
      <c r="BC4637" s="67"/>
      <c r="BD4637" s="67"/>
      <c r="BE4637" s="67"/>
      <c r="BF4637" s="95"/>
    </row>
    <row r="4638" spans="42:58" x14ac:dyDescent="0.35">
      <c r="AP4638" s="93"/>
      <c r="AQ4638" s="31"/>
      <c r="AR4638" s="31"/>
      <c r="AS4638" s="94"/>
      <c r="AT4638" s="31"/>
      <c r="AU4638" s="31"/>
      <c r="AV4638" s="94"/>
      <c r="AW4638" s="32"/>
      <c r="AX4638" s="32"/>
      <c r="AY4638" s="32"/>
      <c r="AZ4638" s="32"/>
      <c r="BA4638" s="32"/>
      <c r="BB4638" s="31"/>
      <c r="BC4638" s="31"/>
      <c r="BD4638" s="31"/>
      <c r="BE4638" s="31"/>
      <c r="BF4638" s="96"/>
    </row>
    <row r="4639" spans="42:58" x14ac:dyDescent="0.35">
      <c r="AP4639" s="92"/>
      <c r="AQ4639" s="67"/>
      <c r="AR4639" s="67"/>
      <c r="AS4639" s="73"/>
      <c r="AT4639" s="67"/>
      <c r="AU4639" s="67"/>
      <c r="AV4639" s="73"/>
      <c r="AW4639" s="68"/>
      <c r="AX4639" s="68"/>
      <c r="AY4639" s="68"/>
      <c r="AZ4639" s="68"/>
      <c r="BA4639" s="68"/>
      <c r="BB4639" s="67"/>
      <c r="BC4639" s="67"/>
      <c r="BD4639" s="67"/>
      <c r="BE4639" s="67"/>
      <c r="BF4639" s="95"/>
    </row>
    <row r="4640" spans="42:58" x14ac:dyDescent="0.35">
      <c r="AP4640" s="93"/>
      <c r="AQ4640" s="31"/>
      <c r="AR4640" s="31"/>
      <c r="AS4640" s="94"/>
      <c r="AT4640" s="31"/>
      <c r="AU4640" s="31"/>
      <c r="AV4640" s="94"/>
      <c r="AW4640" s="32"/>
      <c r="AX4640" s="32"/>
      <c r="AY4640" s="32"/>
      <c r="AZ4640" s="32"/>
      <c r="BA4640" s="32"/>
      <c r="BB4640" s="31"/>
      <c r="BC4640" s="31"/>
      <c r="BD4640" s="31"/>
      <c r="BE4640" s="31"/>
      <c r="BF4640" s="96"/>
    </row>
    <row r="4641" spans="42:58" x14ac:dyDescent="0.35">
      <c r="AP4641" s="92"/>
      <c r="AQ4641" s="67"/>
      <c r="AR4641" s="67"/>
      <c r="AS4641" s="73"/>
      <c r="AT4641" s="67"/>
      <c r="AU4641" s="67"/>
      <c r="AV4641" s="73"/>
      <c r="AW4641" s="68"/>
      <c r="AX4641" s="68"/>
      <c r="AY4641" s="68"/>
      <c r="AZ4641" s="68"/>
      <c r="BA4641" s="68"/>
      <c r="BB4641" s="67"/>
      <c r="BC4641" s="67"/>
      <c r="BD4641" s="67"/>
      <c r="BE4641" s="67"/>
      <c r="BF4641" s="95"/>
    </row>
    <row r="4642" spans="42:58" x14ac:dyDescent="0.35">
      <c r="AP4642" s="93"/>
      <c r="AQ4642" s="31"/>
      <c r="AR4642" s="31"/>
      <c r="AS4642" s="94"/>
      <c r="AT4642" s="31"/>
      <c r="AU4642" s="31"/>
      <c r="AV4642" s="94"/>
      <c r="AW4642" s="32"/>
      <c r="AX4642" s="32"/>
      <c r="AY4642" s="32"/>
      <c r="AZ4642" s="32"/>
      <c r="BA4642" s="32"/>
      <c r="BB4642" s="31"/>
      <c r="BC4642" s="31"/>
      <c r="BD4642" s="31"/>
      <c r="BE4642" s="31"/>
      <c r="BF4642" s="96"/>
    </row>
    <row r="4643" spans="42:58" x14ac:dyDescent="0.35">
      <c r="AP4643" s="92"/>
      <c r="AQ4643" s="67"/>
      <c r="AR4643" s="67"/>
      <c r="AS4643" s="73"/>
      <c r="AT4643" s="67"/>
      <c r="AU4643" s="67"/>
      <c r="AV4643" s="73"/>
      <c r="AW4643" s="68"/>
      <c r="AX4643" s="68"/>
      <c r="AY4643" s="68"/>
      <c r="AZ4643" s="68"/>
      <c r="BA4643" s="68"/>
      <c r="BB4643" s="67"/>
      <c r="BC4643" s="67"/>
      <c r="BD4643" s="67"/>
      <c r="BE4643" s="67"/>
      <c r="BF4643" s="95"/>
    </row>
    <row r="4644" spans="42:58" x14ac:dyDescent="0.35">
      <c r="AP4644" s="93"/>
      <c r="AQ4644" s="31"/>
      <c r="AR4644" s="31"/>
      <c r="AS4644" s="94"/>
      <c r="AT4644" s="31"/>
      <c r="AU4644" s="31"/>
      <c r="AV4644" s="94"/>
      <c r="AW4644" s="32"/>
      <c r="AX4644" s="32"/>
      <c r="AY4644" s="32"/>
      <c r="AZ4644" s="32"/>
      <c r="BA4644" s="32"/>
      <c r="BB4644" s="31"/>
      <c r="BC4644" s="31"/>
      <c r="BD4644" s="31"/>
      <c r="BE4644" s="31"/>
      <c r="BF4644" s="96"/>
    </row>
    <row r="4645" spans="42:58" x14ac:dyDescent="0.35">
      <c r="AP4645" s="92"/>
      <c r="AQ4645" s="67"/>
      <c r="AR4645" s="67"/>
      <c r="AS4645" s="73"/>
      <c r="AT4645" s="67"/>
      <c r="AU4645" s="67"/>
      <c r="AV4645" s="73"/>
      <c r="AW4645" s="68"/>
      <c r="AX4645" s="68"/>
      <c r="AY4645" s="68"/>
      <c r="AZ4645" s="68"/>
      <c r="BA4645" s="68"/>
      <c r="BB4645" s="67"/>
      <c r="BC4645" s="67"/>
      <c r="BD4645" s="67"/>
      <c r="BE4645" s="67"/>
      <c r="BF4645" s="95"/>
    </row>
    <row r="4646" spans="42:58" x14ac:dyDescent="0.35">
      <c r="AP4646" s="93"/>
      <c r="AQ4646" s="31"/>
      <c r="AR4646" s="31"/>
      <c r="AS4646" s="94"/>
      <c r="AT4646" s="31"/>
      <c r="AU4646" s="31"/>
      <c r="AV4646" s="94"/>
      <c r="AW4646" s="32"/>
      <c r="AX4646" s="32"/>
      <c r="AY4646" s="32"/>
      <c r="AZ4646" s="32"/>
      <c r="BA4646" s="32"/>
      <c r="BB4646" s="31"/>
      <c r="BC4646" s="31"/>
      <c r="BD4646" s="31"/>
      <c r="BE4646" s="31"/>
      <c r="BF4646" s="96"/>
    </row>
    <row r="4647" spans="42:58" x14ac:dyDescent="0.35">
      <c r="AP4647" s="92"/>
      <c r="AQ4647" s="67"/>
      <c r="AR4647" s="67"/>
      <c r="AS4647" s="73"/>
      <c r="AT4647" s="67"/>
      <c r="AU4647" s="67"/>
      <c r="AV4647" s="73"/>
      <c r="AW4647" s="68"/>
      <c r="AX4647" s="68"/>
      <c r="AY4647" s="68"/>
      <c r="AZ4647" s="68"/>
      <c r="BA4647" s="68"/>
      <c r="BB4647" s="67"/>
      <c r="BC4647" s="67"/>
      <c r="BD4647" s="67"/>
      <c r="BE4647" s="67"/>
      <c r="BF4647" s="95"/>
    </row>
    <row r="4648" spans="42:58" x14ac:dyDescent="0.35">
      <c r="AP4648" s="93"/>
      <c r="AQ4648" s="31"/>
      <c r="AR4648" s="31"/>
      <c r="AS4648" s="94"/>
      <c r="AT4648" s="31"/>
      <c r="AU4648" s="31"/>
      <c r="AV4648" s="94"/>
      <c r="AW4648" s="32"/>
      <c r="AX4648" s="32"/>
      <c r="AY4648" s="32"/>
      <c r="AZ4648" s="32"/>
      <c r="BA4648" s="32"/>
      <c r="BB4648" s="31"/>
      <c r="BC4648" s="31"/>
      <c r="BD4648" s="31"/>
      <c r="BE4648" s="31"/>
      <c r="BF4648" s="96"/>
    </row>
    <row r="4649" spans="42:58" x14ac:dyDescent="0.35">
      <c r="AP4649" s="92"/>
      <c r="AQ4649" s="67"/>
      <c r="AR4649" s="67"/>
      <c r="AS4649" s="73"/>
      <c r="AT4649" s="67"/>
      <c r="AU4649" s="67"/>
      <c r="AV4649" s="73"/>
      <c r="AW4649" s="68"/>
      <c r="AX4649" s="68"/>
      <c r="AY4649" s="68"/>
      <c r="AZ4649" s="68"/>
      <c r="BA4649" s="68"/>
      <c r="BB4649" s="67"/>
      <c r="BC4649" s="67"/>
      <c r="BD4649" s="67"/>
      <c r="BE4649" s="67"/>
      <c r="BF4649" s="95"/>
    </row>
    <row r="4650" spans="42:58" x14ac:dyDescent="0.35">
      <c r="AP4650" s="93"/>
      <c r="AQ4650" s="31"/>
      <c r="AR4650" s="31"/>
      <c r="AS4650" s="94"/>
      <c r="AT4650" s="31"/>
      <c r="AU4650" s="31"/>
      <c r="AV4650" s="94"/>
      <c r="AW4650" s="32"/>
      <c r="AX4650" s="32"/>
      <c r="AY4650" s="32"/>
      <c r="AZ4650" s="32"/>
      <c r="BA4650" s="32"/>
      <c r="BB4650" s="31"/>
      <c r="BC4650" s="31"/>
      <c r="BD4650" s="31"/>
      <c r="BE4650" s="31"/>
      <c r="BF4650" s="96"/>
    </row>
    <row r="4651" spans="42:58" x14ac:dyDescent="0.35">
      <c r="AP4651" s="92"/>
      <c r="AQ4651" s="67"/>
      <c r="AR4651" s="67"/>
      <c r="AS4651" s="73"/>
      <c r="AT4651" s="67"/>
      <c r="AU4651" s="67"/>
      <c r="AV4651" s="73"/>
      <c r="AW4651" s="68"/>
      <c r="AX4651" s="68"/>
      <c r="AY4651" s="68"/>
      <c r="AZ4651" s="68"/>
      <c r="BA4651" s="68"/>
      <c r="BB4651" s="67"/>
      <c r="BC4651" s="67"/>
      <c r="BD4651" s="67"/>
      <c r="BE4651" s="67"/>
      <c r="BF4651" s="95"/>
    </row>
    <row r="4652" spans="42:58" x14ac:dyDescent="0.35">
      <c r="AP4652" s="93"/>
      <c r="AQ4652" s="31"/>
      <c r="AR4652" s="31"/>
      <c r="AS4652" s="94"/>
      <c r="AT4652" s="31"/>
      <c r="AU4652" s="31"/>
      <c r="AV4652" s="94"/>
      <c r="AW4652" s="32"/>
      <c r="AX4652" s="32"/>
      <c r="AY4652" s="32"/>
      <c r="AZ4652" s="32"/>
      <c r="BA4652" s="32"/>
      <c r="BB4652" s="31"/>
      <c r="BC4652" s="31"/>
      <c r="BD4652" s="31"/>
      <c r="BE4652" s="31"/>
      <c r="BF4652" s="96"/>
    </row>
    <row r="4653" spans="42:58" x14ac:dyDescent="0.35">
      <c r="AP4653" s="92"/>
      <c r="AQ4653" s="67"/>
      <c r="AR4653" s="67"/>
      <c r="AS4653" s="73"/>
      <c r="AT4653" s="67"/>
      <c r="AU4653" s="67"/>
      <c r="AV4653" s="73"/>
      <c r="AW4653" s="68"/>
      <c r="AX4653" s="68"/>
      <c r="AY4653" s="68"/>
      <c r="AZ4653" s="68"/>
      <c r="BA4653" s="68"/>
      <c r="BB4653" s="67"/>
      <c r="BC4653" s="67"/>
      <c r="BD4653" s="67"/>
      <c r="BE4653" s="67"/>
      <c r="BF4653" s="95"/>
    </row>
    <row r="4654" spans="42:58" x14ac:dyDescent="0.35">
      <c r="AP4654" s="93"/>
      <c r="AQ4654" s="31"/>
      <c r="AR4654" s="31"/>
      <c r="AS4654" s="94"/>
      <c r="AT4654" s="31"/>
      <c r="AU4654" s="31"/>
      <c r="AV4654" s="94"/>
      <c r="AW4654" s="32"/>
      <c r="AX4654" s="32"/>
      <c r="AY4654" s="32"/>
      <c r="AZ4654" s="32"/>
      <c r="BA4654" s="32"/>
      <c r="BB4654" s="31"/>
      <c r="BC4654" s="31"/>
      <c r="BD4654" s="31"/>
      <c r="BE4654" s="31"/>
      <c r="BF4654" s="96"/>
    </row>
    <row r="4655" spans="42:58" x14ac:dyDescent="0.35">
      <c r="AP4655" s="92"/>
      <c r="AQ4655" s="67"/>
      <c r="AR4655" s="67"/>
      <c r="AS4655" s="73"/>
      <c r="AT4655" s="67"/>
      <c r="AU4655" s="67"/>
      <c r="AV4655" s="73"/>
      <c r="AW4655" s="68"/>
      <c r="AX4655" s="68"/>
      <c r="AY4655" s="68"/>
      <c r="AZ4655" s="68"/>
      <c r="BA4655" s="68"/>
      <c r="BB4655" s="67"/>
      <c r="BC4655" s="67"/>
      <c r="BD4655" s="67"/>
      <c r="BE4655" s="67"/>
      <c r="BF4655" s="95"/>
    </row>
    <row r="4656" spans="42:58" x14ac:dyDescent="0.35">
      <c r="AP4656" s="93"/>
      <c r="AQ4656" s="31"/>
      <c r="AR4656" s="31"/>
      <c r="AS4656" s="94"/>
      <c r="AT4656" s="31"/>
      <c r="AU4656" s="31"/>
      <c r="AV4656" s="94"/>
      <c r="AW4656" s="32"/>
      <c r="AX4656" s="32"/>
      <c r="AY4656" s="32"/>
      <c r="AZ4656" s="32"/>
      <c r="BA4656" s="32"/>
      <c r="BB4656" s="31"/>
      <c r="BC4656" s="31"/>
      <c r="BD4656" s="31"/>
      <c r="BE4656" s="31"/>
      <c r="BF4656" s="96"/>
    </row>
    <row r="4657" spans="42:58" x14ac:dyDescent="0.35">
      <c r="AP4657" s="92"/>
      <c r="AQ4657" s="67"/>
      <c r="AR4657" s="67"/>
      <c r="AS4657" s="73"/>
      <c r="AT4657" s="67"/>
      <c r="AU4657" s="67"/>
      <c r="AV4657" s="73"/>
      <c r="AW4657" s="68"/>
      <c r="AX4657" s="68"/>
      <c r="AY4657" s="68"/>
      <c r="AZ4657" s="68"/>
      <c r="BA4657" s="68"/>
      <c r="BB4657" s="67"/>
      <c r="BC4657" s="67"/>
      <c r="BD4657" s="67"/>
      <c r="BE4657" s="67"/>
      <c r="BF4657" s="95"/>
    </row>
    <row r="4658" spans="42:58" x14ac:dyDescent="0.35">
      <c r="AP4658" s="93"/>
      <c r="AQ4658" s="31"/>
      <c r="AR4658" s="31"/>
      <c r="AS4658" s="94"/>
      <c r="AT4658" s="31"/>
      <c r="AU4658" s="31"/>
      <c r="AV4658" s="94"/>
      <c r="AW4658" s="32"/>
      <c r="AX4658" s="32"/>
      <c r="AY4658" s="32"/>
      <c r="AZ4658" s="32"/>
      <c r="BA4658" s="32"/>
      <c r="BB4658" s="31"/>
      <c r="BC4658" s="31"/>
      <c r="BD4658" s="31"/>
      <c r="BE4658" s="31"/>
      <c r="BF4658" s="96"/>
    </row>
    <row r="4659" spans="42:58" x14ac:dyDescent="0.35">
      <c r="AP4659" s="92"/>
      <c r="AQ4659" s="67"/>
      <c r="AR4659" s="67"/>
      <c r="AS4659" s="73"/>
      <c r="AT4659" s="67"/>
      <c r="AU4659" s="67"/>
      <c r="AV4659" s="73"/>
      <c r="AW4659" s="68"/>
      <c r="AX4659" s="68"/>
      <c r="AY4659" s="68"/>
      <c r="AZ4659" s="68"/>
      <c r="BA4659" s="68"/>
      <c r="BB4659" s="67"/>
      <c r="BC4659" s="67"/>
      <c r="BD4659" s="67"/>
      <c r="BE4659" s="67"/>
      <c r="BF4659" s="95"/>
    </row>
    <row r="4660" spans="42:58" x14ac:dyDescent="0.35">
      <c r="AP4660" s="93"/>
      <c r="AQ4660" s="31"/>
      <c r="AR4660" s="31"/>
      <c r="AS4660" s="94"/>
      <c r="AT4660" s="31"/>
      <c r="AU4660" s="31"/>
      <c r="AV4660" s="94"/>
      <c r="AW4660" s="32"/>
      <c r="AX4660" s="32"/>
      <c r="AY4660" s="32"/>
      <c r="AZ4660" s="32"/>
      <c r="BA4660" s="32"/>
      <c r="BB4660" s="31"/>
      <c r="BC4660" s="31"/>
      <c r="BD4660" s="31"/>
      <c r="BE4660" s="31"/>
      <c r="BF4660" s="96"/>
    </row>
    <row r="4661" spans="42:58" x14ac:dyDescent="0.35">
      <c r="AP4661" s="92"/>
      <c r="AQ4661" s="67"/>
      <c r="AR4661" s="67"/>
      <c r="AS4661" s="73"/>
      <c r="AT4661" s="67"/>
      <c r="AU4661" s="67"/>
      <c r="AV4661" s="73"/>
      <c r="AW4661" s="68"/>
      <c r="AX4661" s="68"/>
      <c r="AY4661" s="68"/>
      <c r="AZ4661" s="68"/>
      <c r="BA4661" s="68"/>
      <c r="BB4661" s="67"/>
      <c r="BC4661" s="67"/>
      <c r="BD4661" s="67"/>
      <c r="BE4661" s="67"/>
      <c r="BF4661" s="95"/>
    </row>
    <row r="4662" spans="42:58" x14ac:dyDescent="0.35">
      <c r="AP4662" s="93"/>
      <c r="AQ4662" s="31"/>
      <c r="AR4662" s="31"/>
      <c r="AS4662" s="94"/>
      <c r="AT4662" s="31"/>
      <c r="AU4662" s="31"/>
      <c r="AV4662" s="94"/>
      <c r="AW4662" s="32"/>
      <c r="AX4662" s="32"/>
      <c r="AY4662" s="32"/>
      <c r="AZ4662" s="32"/>
      <c r="BA4662" s="32"/>
      <c r="BB4662" s="31"/>
      <c r="BC4662" s="31"/>
      <c r="BD4662" s="31"/>
      <c r="BE4662" s="31"/>
      <c r="BF4662" s="96"/>
    </row>
    <row r="4663" spans="42:58" x14ac:dyDescent="0.35">
      <c r="AP4663" s="92"/>
      <c r="AQ4663" s="67"/>
      <c r="AR4663" s="67"/>
      <c r="AS4663" s="73"/>
      <c r="AT4663" s="67"/>
      <c r="AU4663" s="67"/>
      <c r="AV4663" s="73"/>
      <c r="AW4663" s="68"/>
      <c r="AX4663" s="68"/>
      <c r="AY4663" s="68"/>
      <c r="AZ4663" s="68"/>
      <c r="BA4663" s="68"/>
      <c r="BB4663" s="67"/>
      <c r="BC4663" s="67"/>
      <c r="BD4663" s="67"/>
      <c r="BE4663" s="67"/>
      <c r="BF4663" s="95"/>
    </row>
    <row r="4664" spans="42:58" x14ac:dyDescent="0.35">
      <c r="AP4664" s="93"/>
      <c r="AQ4664" s="31"/>
      <c r="AR4664" s="31"/>
      <c r="AS4664" s="94"/>
      <c r="AT4664" s="31"/>
      <c r="AU4664" s="31"/>
      <c r="AV4664" s="94"/>
      <c r="AW4664" s="32"/>
      <c r="AX4664" s="32"/>
      <c r="AY4664" s="32"/>
      <c r="AZ4664" s="32"/>
      <c r="BA4664" s="32"/>
      <c r="BB4664" s="31"/>
      <c r="BC4664" s="31"/>
      <c r="BD4664" s="31"/>
      <c r="BE4664" s="31"/>
      <c r="BF4664" s="96"/>
    </row>
    <row r="4665" spans="42:58" x14ac:dyDescent="0.35">
      <c r="AP4665" s="92"/>
      <c r="AQ4665" s="67"/>
      <c r="AR4665" s="67"/>
      <c r="AS4665" s="73"/>
      <c r="AT4665" s="67"/>
      <c r="AU4665" s="67"/>
      <c r="AV4665" s="73"/>
      <c r="AW4665" s="68"/>
      <c r="AX4665" s="68"/>
      <c r="AY4665" s="68"/>
      <c r="AZ4665" s="68"/>
      <c r="BA4665" s="68"/>
      <c r="BB4665" s="67"/>
      <c r="BC4665" s="67"/>
      <c r="BD4665" s="67"/>
      <c r="BE4665" s="67"/>
      <c r="BF4665" s="95"/>
    </row>
    <row r="4666" spans="42:58" x14ac:dyDescent="0.35">
      <c r="AP4666" s="93"/>
      <c r="AQ4666" s="31"/>
      <c r="AR4666" s="31"/>
      <c r="AS4666" s="94"/>
      <c r="AT4666" s="31"/>
      <c r="AU4666" s="31"/>
      <c r="AV4666" s="94"/>
      <c r="AW4666" s="32"/>
      <c r="AX4666" s="32"/>
      <c r="AY4666" s="32"/>
      <c r="AZ4666" s="32"/>
      <c r="BA4666" s="32"/>
      <c r="BB4666" s="31"/>
      <c r="BC4666" s="31"/>
      <c r="BD4666" s="31"/>
      <c r="BE4666" s="31"/>
      <c r="BF4666" s="96"/>
    </row>
    <row r="4667" spans="42:58" x14ac:dyDescent="0.35">
      <c r="AP4667" s="92"/>
      <c r="AQ4667" s="67"/>
      <c r="AR4667" s="67"/>
      <c r="AS4667" s="73"/>
      <c r="AT4667" s="67"/>
      <c r="AU4667" s="67"/>
      <c r="AV4667" s="73"/>
      <c r="AW4667" s="68"/>
      <c r="AX4667" s="68"/>
      <c r="AY4667" s="68"/>
      <c r="AZ4667" s="68"/>
      <c r="BA4667" s="68"/>
      <c r="BB4667" s="67"/>
      <c r="BC4667" s="67"/>
      <c r="BD4667" s="67"/>
      <c r="BE4667" s="67"/>
      <c r="BF4667" s="95"/>
    </row>
    <row r="4668" spans="42:58" x14ac:dyDescent="0.35">
      <c r="AP4668" s="93"/>
      <c r="AQ4668" s="31"/>
      <c r="AR4668" s="31"/>
      <c r="AS4668" s="94"/>
      <c r="AT4668" s="31"/>
      <c r="AU4668" s="31"/>
      <c r="AV4668" s="94"/>
      <c r="AW4668" s="32"/>
      <c r="AX4668" s="32"/>
      <c r="AY4668" s="32"/>
      <c r="AZ4668" s="32"/>
      <c r="BA4668" s="32"/>
      <c r="BB4668" s="31"/>
      <c r="BC4668" s="31"/>
      <c r="BD4668" s="31"/>
      <c r="BE4668" s="31"/>
      <c r="BF4668" s="96"/>
    </row>
    <row r="4669" spans="42:58" x14ac:dyDescent="0.35">
      <c r="AP4669" s="92"/>
      <c r="AQ4669" s="67"/>
      <c r="AR4669" s="67"/>
      <c r="AS4669" s="73"/>
      <c r="AT4669" s="67"/>
      <c r="AU4669" s="67"/>
      <c r="AV4669" s="73"/>
      <c r="AW4669" s="68"/>
      <c r="AX4669" s="68"/>
      <c r="AY4669" s="68"/>
      <c r="AZ4669" s="68"/>
      <c r="BA4669" s="68"/>
      <c r="BB4669" s="67"/>
      <c r="BC4669" s="67"/>
      <c r="BD4669" s="67"/>
      <c r="BE4669" s="67"/>
      <c r="BF4669" s="95"/>
    </row>
    <row r="4670" spans="42:58" x14ac:dyDescent="0.35">
      <c r="AP4670" s="93"/>
      <c r="AQ4670" s="31"/>
      <c r="AR4670" s="31"/>
      <c r="AS4670" s="94"/>
      <c r="AT4670" s="31"/>
      <c r="AU4670" s="31"/>
      <c r="AV4670" s="94"/>
      <c r="AW4670" s="32"/>
      <c r="AX4670" s="32"/>
      <c r="AY4670" s="32"/>
      <c r="AZ4670" s="32"/>
      <c r="BA4670" s="32"/>
      <c r="BB4670" s="31"/>
      <c r="BC4670" s="31"/>
      <c r="BD4670" s="31"/>
      <c r="BE4670" s="31"/>
      <c r="BF4670" s="96"/>
    </row>
    <row r="4671" spans="42:58" x14ac:dyDescent="0.35">
      <c r="AP4671" s="92"/>
      <c r="AQ4671" s="67"/>
      <c r="AR4671" s="67"/>
      <c r="AS4671" s="73"/>
      <c r="AT4671" s="67"/>
      <c r="AU4671" s="67"/>
      <c r="AV4671" s="73"/>
      <c r="AW4671" s="68"/>
      <c r="AX4671" s="68"/>
      <c r="AY4671" s="68"/>
      <c r="AZ4671" s="68"/>
      <c r="BA4671" s="68"/>
      <c r="BB4671" s="67"/>
      <c r="BC4671" s="67"/>
      <c r="BD4671" s="67"/>
      <c r="BE4671" s="67"/>
      <c r="BF4671" s="95"/>
    </row>
    <row r="4672" spans="42:58" x14ac:dyDescent="0.35">
      <c r="AP4672" s="93"/>
      <c r="AQ4672" s="31"/>
      <c r="AR4672" s="31"/>
      <c r="AS4672" s="94"/>
      <c r="AT4672" s="31"/>
      <c r="AU4672" s="31"/>
      <c r="AV4672" s="94"/>
      <c r="AW4672" s="32"/>
      <c r="AX4672" s="32"/>
      <c r="AY4672" s="32"/>
      <c r="AZ4672" s="32"/>
      <c r="BA4672" s="32"/>
      <c r="BB4672" s="31"/>
      <c r="BC4672" s="31"/>
      <c r="BD4672" s="31"/>
      <c r="BE4672" s="31"/>
      <c r="BF4672" s="96"/>
    </row>
    <row r="4673" spans="42:58" x14ac:dyDescent="0.35">
      <c r="AP4673" s="92"/>
      <c r="AQ4673" s="67"/>
      <c r="AR4673" s="67"/>
      <c r="AS4673" s="73"/>
      <c r="AT4673" s="67"/>
      <c r="AU4673" s="67"/>
      <c r="AV4673" s="73"/>
      <c r="AW4673" s="68"/>
      <c r="AX4673" s="68"/>
      <c r="AY4673" s="68"/>
      <c r="AZ4673" s="68"/>
      <c r="BA4673" s="68"/>
      <c r="BB4673" s="67"/>
      <c r="BC4673" s="67"/>
      <c r="BD4673" s="67"/>
      <c r="BE4673" s="67"/>
      <c r="BF4673" s="95"/>
    </row>
    <row r="4674" spans="42:58" x14ac:dyDescent="0.35">
      <c r="AP4674" s="93"/>
      <c r="AQ4674" s="31"/>
      <c r="AR4674" s="31"/>
      <c r="AS4674" s="94"/>
      <c r="AT4674" s="31"/>
      <c r="AU4674" s="31"/>
      <c r="AV4674" s="94"/>
      <c r="AW4674" s="32"/>
      <c r="AX4674" s="32"/>
      <c r="AY4674" s="32"/>
      <c r="AZ4674" s="32"/>
      <c r="BA4674" s="32"/>
      <c r="BB4674" s="31"/>
      <c r="BC4674" s="31"/>
      <c r="BD4674" s="31"/>
      <c r="BE4674" s="31"/>
      <c r="BF4674" s="96"/>
    </row>
    <row r="4675" spans="42:58" x14ac:dyDescent="0.35">
      <c r="AP4675" s="92"/>
      <c r="AQ4675" s="67"/>
      <c r="AR4675" s="67"/>
      <c r="AS4675" s="73"/>
      <c r="AT4675" s="67"/>
      <c r="AU4675" s="67"/>
      <c r="AV4675" s="73"/>
      <c r="AW4675" s="68"/>
      <c r="AX4675" s="68"/>
      <c r="AY4675" s="68"/>
      <c r="AZ4675" s="68"/>
      <c r="BA4675" s="68"/>
      <c r="BB4675" s="67"/>
      <c r="BC4675" s="67"/>
      <c r="BD4675" s="67"/>
      <c r="BE4675" s="67"/>
      <c r="BF4675" s="95"/>
    </row>
    <row r="4676" spans="42:58" x14ac:dyDescent="0.35">
      <c r="AP4676" s="93"/>
      <c r="AQ4676" s="31"/>
      <c r="AR4676" s="31"/>
      <c r="AS4676" s="94"/>
      <c r="AT4676" s="31"/>
      <c r="AU4676" s="31"/>
      <c r="AV4676" s="94"/>
      <c r="AW4676" s="32"/>
      <c r="AX4676" s="32"/>
      <c r="AY4676" s="32"/>
      <c r="AZ4676" s="32"/>
      <c r="BA4676" s="32"/>
      <c r="BB4676" s="31"/>
      <c r="BC4676" s="31"/>
      <c r="BD4676" s="31"/>
      <c r="BE4676" s="31"/>
      <c r="BF4676" s="96"/>
    </row>
    <row r="4677" spans="42:58" x14ac:dyDescent="0.35">
      <c r="AP4677" s="92"/>
      <c r="AQ4677" s="67"/>
      <c r="AR4677" s="67"/>
      <c r="AS4677" s="73"/>
      <c r="AT4677" s="67"/>
      <c r="AU4677" s="67"/>
      <c r="AV4677" s="73"/>
      <c r="AW4677" s="68"/>
      <c r="AX4677" s="68"/>
      <c r="AY4677" s="68"/>
      <c r="AZ4677" s="68"/>
      <c r="BA4677" s="68"/>
      <c r="BB4677" s="67"/>
      <c r="BC4677" s="67"/>
      <c r="BD4677" s="67"/>
      <c r="BE4677" s="67"/>
      <c r="BF4677" s="95"/>
    </row>
    <row r="4678" spans="42:58" x14ac:dyDescent="0.35">
      <c r="AP4678" s="93"/>
      <c r="AQ4678" s="31"/>
      <c r="AR4678" s="31"/>
      <c r="AS4678" s="94"/>
      <c r="AT4678" s="31"/>
      <c r="AU4678" s="31"/>
      <c r="AV4678" s="94"/>
      <c r="AW4678" s="32"/>
      <c r="AX4678" s="32"/>
      <c r="AY4678" s="32"/>
      <c r="AZ4678" s="32"/>
      <c r="BA4678" s="32"/>
      <c r="BB4678" s="31"/>
      <c r="BC4678" s="31"/>
      <c r="BD4678" s="31"/>
      <c r="BE4678" s="31"/>
      <c r="BF4678" s="96"/>
    </row>
    <row r="4679" spans="42:58" x14ac:dyDescent="0.35">
      <c r="AP4679" s="92"/>
      <c r="AQ4679" s="67"/>
      <c r="AR4679" s="67"/>
      <c r="AS4679" s="73"/>
      <c r="AT4679" s="67"/>
      <c r="AU4679" s="67"/>
      <c r="AV4679" s="73"/>
      <c r="AW4679" s="68"/>
      <c r="AX4679" s="68"/>
      <c r="AY4679" s="68"/>
      <c r="AZ4679" s="68"/>
      <c r="BA4679" s="68"/>
      <c r="BB4679" s="67"/>
      <c r="BC4679" s="67"/>
      <c r="BD4679" s="67"/>
      <c r="BE4679" s="67"/>
      <c r="BF4679" s="95"/>
    </row>
    <row r="4680" spans="42:58" x14ac:dyDescent="0.35">
      <c r="AP4680" s="93"/>
      <c r="AQ4680" s="31"/>
      <c r="AR4680" s="31"/>
      <c r="AS4680" s="94"/>
      <c r="AT4680" s="31"/>
      <c r="AU4680" s="31"/>
      <c r="AV4680" s="94"/>
      <c r="AW4680" s="32"/>
      <c r="AX4680" s="32"/>
      <c r="AY4680" s="32"/>
      <c r="AZ4680" s="32"/>
      <c r="BA4680" s="32"/>
      <c r="BB4680" s="31"/>
      <c r="BC4680" s="31"/>
      <c r="BD4680" s="31"/>
      <c r="BE4680" s="31"/>
      <c r="BF4680" s="96"/>
    </row>
    <row r="4681" spans="42:58" x14ac:dyDescent="0.35">
      <c r="AP4681" s="92"/>
      <c r="AQ4681" s="67"/>
      <c r="AR4681" s="67"/>
      <c r="AS4681" s="73"/>
      <c r="AT4681" s="67"/>
      <c r="AU4681" s="67"/>
      <c r="AV4681" s="73"/>
      <c r="AW4681" s="68"/>
      <c r="AX4681" s="68"/>
      <c r="AY4681" s="68"/>
      <c r="AZ4681" s="68"/>
      <c r="BA4681" s="68"/>
      <c r="BB4681" s="67"/>
      <c r="BC4681" s="67"/>
      <c r="BD4681" s="67"/>
      <c r="BE4681" s="67"/>
      <c r="BF4681" s="95"/>
    </row>
    <row r="4682" spans="42:58" x14ac:dyDescent="0.35">
      <c r="AP4682" s="93"/>
      <c r="AQ4682" s="31"/>
      <c r="AR4682" s="31"/>
      <c r="AS4682" s="94"/>
      <c r="AT4682" s="31"/>
      <c r="AU4682" s="31"/>
      <c r="AV4682" s="94"/>
      <c r="AW4682" s="32"/>
      <c r="AX4682" s="32"/>
      <c r="AY4682" s="32"/>
      <c r="AZ4682" s="32"/>
      <c r="BA4682" s="32"/>
      <c r="BB4682" s="31"/>
      <c r="BC4682" s="31"/>
      <c r="BD4682" s="31"/>
      <c r="BE4682" s="31"/>
      <c r="BF4682" s="96"/>
    </row>
    <row r="4683" spans="42:58" x14ac:dyDescent="0.35">
      <c r="AP4683" s="92"/>
      <c r="AQ4683" s="67"/>
      <c r="AR4683" s="67"/>
      <c r="AS4683" s="73"/>
      <c r="AT4683" s="67"/>
      <c r="AU4683" s="67"/>
      <c r="AV4683" s="73"/>
      <c r="AW4683" s="68"/>
      <c r="AX4683" s="68"/>
      <c r="AY4683" s="68"/>
      <c r="AZ4683" s="68"/>
      <c r="BA4683" s="68"/>
      <c r="BB4683" s="67"/>
      <c r="BC4683" s="67"/>
      <c r="BD4683" s="67"/>
      <c r="BE4683" s="67"/>
      <c r="BF4683" s="95"/>
    </row>
    <row r="4684" spans="42:58" x14ac:dyDescent="0.35">
      <c r="AP4684" s="93"/>
      <c r="AQ4684" s="31"/>
      <c r="AR4684" s="31"/>
      <c r="AS4684" s="94"/>
      <c r="AT4684" s="31"/>
      <c r="AU4684" s="31"/>
      <c r="AV4684" s="94"/>
      <c r="AW4684" s="32"/>
      <c r="AX4684" s="32"/>
      <c r="AY4684" s="32"/>
      <c r="AZ4684" s="32"/>
      <c r="BA4684" s="32"/>
      <c r="BB4684" s="31"/>
      <c r="BC4684" s="31"/>
      <c r="BD4684" s="31"/>
      <c r="BE4684" s="31"/>
      <c r="BF4684" s="96"/>
    </row>
    <row r="4685" spans="42:58" x14ac:dyDescent="0.35">
      <c r="AP4685" s="92"/>
      <c r="AQ4685" s="67"/>
      <c r="AR4685" s="67"/>
      <c r="AS4685" s="73"/>
      <c r="AT4685" s="67"/>
      <c r="AU4685" s="67"/>
      <c r="AV4685" s="73"/>
      <c r="AW4685" s="68"/>
      <c r="AX4685" s="68"/>
      <c r="AY4685" s="68"/>
      <c r="AZ4685" s="68"/>
      <c r="BA4685" s="68"/>
      <c r="BB4685" s="67"/>
      <c r="BC4685" s="67"/>
      <c r="BD4685" s="67"/>
      <c r="BE4685" s="67"/>
      <c r="BF4685" s="95"/>
    </row>
    <row r="4686" spans="42:58" x14ac:dyDescent="0.35">
      <c r="AP4686" s="93"/>
      <c r="AQ4686" s="31"/>
      <c r="AR4686" s="31"/>
      <c r="AS4686" s="94"/>
      <c r="AT4686" s="31"/>
      <c r="AU4686" s="31"/>
      <c r="AV4686" s="94"/>
      <c r="AW4686" s="32"/>
      <c r="AX4686" s="32"/>
      <c r="AY4686" s="32"/>
      <c r="AZ4686" s="32"/>
      <c r="BA4686" s="32"/>
      <c r="BB4686" s="31"/>
      <c r="BC4686" s="31"/>
      <c r="BD4686" s="31"/>
      <c r="BE4686" s="31"/>
      <c r="BF4686" s="96"/>
    </row>
    <row r="4687" spans="42:58" x14ac:dyDescent="0.35">
      <c r="AP4687" s="92"/>
      <c r="AQ4687" s="67"/>
      <c r="AR4687" s="67"/>
      <c r="AS4687" s="73"/>
      <c r="AT4687" s="67"/>
      <c r="AU4687" s="67"/>
      <c r="AV4687" s="73"/>
      <c r="AW4687" s="68"/>
      <c r="AX4687" s="68"/>
      <c r="AY4687" s="68"/>
      <c r="AZ4687" s="68"/>
      <c r="BA4687" s="68"/>
      <c r="BB4687" s="67"/>
      <c r="BC4687" s="67"/>
      <c r="BD4687" s="67"/>
      <c r="BE4687" s="67"/>
      <c r="BF4687" s="95"/>
    </row>
    <row r="4688" spans="42:58" x14ac:dyDescent="0.35">
      <c r="AP4688" s="93"/>
      <c r="AQ4688" s="31"/>
      <c r="AR4688" s="31"/>
      <c r="AS4688" s="94"/>
      <c r="AT4688" s="31"/>
      <c r="AU4688" s="31"/>
      <c r="AV4688" s="94"/>
      <c r="AW4688" s="32"/>
      <c r="AX4688" s="32"/>
      <c r="AY4688" s="32"/>
      <c r="AZ4688" s="32"/>
      <c r="BA4688" s="32"/>
      <c r="BB4688" s="31"/>
      <c r="BC4688" s="31"/>
      <c r="BD4688" s="31"/>
      <c r="BE4688" s="31"/>
      <c r="BF4688" s="96"/>
    </row>
    <row r="4689" spans="42:58" x14ac:dyDescent="0.35">
      <c r="AP4689" s="92"/>
      <c r="AQ4689" s="67"/>
      <c r="AR4689" s="67"/>
      <c r="AS4689" s="73"/>
      <c r="AT4689" s="67"/>
      <c r="AU4689" s="67"/>
      <c r="AV4689" s="73"/>
      <c r="AW4689" s="68"/>
      <c r="AX4689" s="68"/>
      <c r="AY4689" s="68"/>
      <c r="AZ4689" s="68"/>
      <c r="BA4689" s="68"/>
      <c r="BB4689" s="67"/>
      <c r="BC4689" s="67"/>
      <c r="BD4689" s="67"/>
      <c r="BE4689" s="67"/>
      <c r="BF4689" s="95"/>
    </row>
    <row r="4690" spans="42:58" x14ac:dyDescent="0.35">
      <c r="AP4690" s="93"/>
      <c r="AQ4690" s="31"/>
      <c r="AR4690" s="31"/>
      <c r="AS4690" s="94"/>
      <c r="AT4690" s="31"/>
      <c r="AU4690" s="31"/>
      <c r="AV4690" s="94"/>
      <c r="AW4690" s="32"/>
      <c r="AX4690" s="32"/>
      <c r="AY4690" s="32"/>
      <c r="AZ4690" s="32"/>
      <c r="BA4690" s="32"/>
      <c r="BB4690" s="31"/>
      <c r="BC4690" s="31"/>
      <c r="BD4690" s="31"/>
      <c r="BE4690" s="31"/>
      <c r="BF4690" s="96"/>
    </row>
    <row r="4691" spans="42:58" x14ac:dyDescent="0.35">
      <c r="AP4691" s="92"/>
      <c r="AQ4691" s="67"/>
      <c r="AR4691" s="67"/>
      <c r="AS4691" s="73"/>
      <c r="AT4691" s="67"/>
      <c r="AU4691" s="67"/>
      <c r="AV4691" s="73"/>
      <c r="AW4691" s="68"/>
      <c r="AX4691" s="68"/>
      <c r="AY4691" s="68"/>
      <c r="AZ4691" s="68"/>
      <c r="BA4691" s="68"/>
      <c r="BB4691" s="67"/>
      <c r="BC4691" s="67"/>
      <c r="BD4691" s="67"/>
      <c r="BE4691" s="67"/>
      <c r="BF4691" s="95"/>
    </row>
    <row r="4692" spans="42:58" x14ac:dyDescent="0.35">
      <c r="AP4692" s="93"/>
      <c r="AQ4692" s="31"/>
      <c r="AR4692" s="31"/>
      <c r="AS4692" s="94"/>
      <c r="AT4692" s="31"/>
      <c r="AU4692" s="31"/>
      <c r="AV4692" s="94"/>
      <c r="AW4692" s="32"/>
      <c r="AX4692" s="32"/>
      <c r="AY4692" s="32"/>
      <c r="AZ4692" s="32"/>
      <c r="BA4692" s="32"/>
      <c r="BB4692" s="31"/>
      <c r="BC4692" s="31"/>
      <c r="BD4692" s="31"/>
      <c r="BE4692" s="31"/>
      <c r="BF4692" s="96"/>
    </row>
    <row r="4693" spans="42:58" x14ac:dyDescent="0.35">
      <c r="AP4693" s="92"/>
      <c r="AQ4693" s="67"/>
      <c r="AR4693" s="67"/>
      <c r="AS4693" s="73"/>
      <c r="AT4693" s="67"/>
      <c r="AU4693" s="67"/>
      <c r="AV4693" s="73"/>
      <c r="AW4693" s="68"/>
      <c r="AX4693" s="68"/>
      <c r="AY4693" s="68"/>
      <c r="AZ4693" s="68"/>
      <c r="BA4693" s="68"/>
      <c r="BB4693" s="67"/>
      <c r="BC4693" s="67"/>
      <c r="BD4693" s="67"/>
      <c r="BE4693" s="67"/>
      <c r="BF4693" s="95"/>
    </row>
    <row r="4694" spans="42:58" x14ac:dyDescent="0.35">
      <c r="AP4694" s="93"/>
      <c r="AQ4694" s="31"/>
      <c r="AR4694" s="31"/>
      <c r="AS4694" s="94"/>
      <c r="AT4694" s="31"/>
      <c r="AU4694" s="31"/>
      <c r="AV4694" s="94"/>
      <c r="AW4694" s="32"/>
      <c r="AX4694" s="32"/>
      <c r="AY4694" s="32"/>
      <c r="AZ4694" s="32"/>
      <c r="BA4694" s="32"/>
      <c r="BB4694" s="31"/>
      <c r="BC4694" s="31"/>
      <c r="BD4694" s="31"/>
      <c r="BE4694" s="31"/>
      <c r="BF4694" s="96"/>
    </row>
    <row r="4695" spans="42:58" x14ac:dyDescent="0.35">
      <c r="AP4695" s="92"/>
      <c r="AQ4695" s="67"/>
      <c r="AR4695" s="67"/>
      <c r="AS4695" s="73"/>
      <c r="AT4695" s="67"/>
      <c r="AU4695" s="67"/>
      <c r="AV4695" s="73"/>
      <c r="AW4695" s="68"/>
      <c r="AX4695" s="68"/>
      <c r="AY4695" s="68"/>
      <c r="AZ4695" s="68"/>
      <c r="BA4695" s="68"/>
      <c r="BB4695" s="67"/>
      <c r="BC4695" s="67"/>
      <c r="BD4695" s="67"/>
      <c r="BE4695" s="67"/>
      <c r="BF4695" s="95"/>
    </row>
    <row r="4696" spans="42:58" x14ac:dyDescent="0.35">
      <c r="AP4696" s="93"/>
      <c r="AQ4696" s="31"/>
      <c r="AR4696" s="31"/>
      <c r="AS4696" s="94"/>
      <c r="AT4696" s="31"/>
      <c r="AU4696" s="31"/>
      <c r="AV4696" s="94"/>
      <c r="AW4696" s="32"/>
      <c r="AX4696" s="32"/>
      <c r="AY4696" s="32"/>
      <c r="AZ4696" s="32"/>
      <c r="BA4696" s="32"/>
      <c r="BB4696" s="31"/>
      <c r="BC4696" s="31"/>
      <c r="BD4696" s="31"/>
      <c r="BE4696" s="31"/>
      <c r="BF4696" s="96"/>
    </row>
    <row r="4697" spans="42:58" x14ac:dyDescent="0.35">
      <c r="AP4697" s="92"/>
      <c r="AQ4697" s="67"/>
      <c r="AR4697" s="67"/>
      <c r="AS4697" s="73"/>
      <c r="AT4697" s="67"/>
      <c r="AU4697" s="67"/>
      <c r="AV4697" s="73"/>
      <c r="AW4697" s="68"/>
      <c r="AX4697" s="68"/>
      <c r="AY4697" s="68"/>
      <c r="AZ4697" s="68"/>
      <c r="BA4697" s="68"/>
      <c r="BB4697" s="67"/>
      <c r="BC4697" s="67"/>
      <c r="BD4697" s="67"/>
      <c r="BE4697" s="67"/>
      <c r="BF4697" s="95"/>
    </row>
    <row r="4698" spans="42:58" x14ac:dyDescent="0.35">
      <c r="AP4698" s="93"/>
      <c r="AQ4698" s="31"/>
      <c r="AR4698" s="31"/>
      <c r="AS4698" s="94"/>
      <c r="AT4698" s="31"/>
      <c r="AU4698" s="31"/>
      <c r="AV4698" s="94"/>
      <c r="AW4698" s="32"/>
      <c r="AX4698" s="32"/>
      <c r="AY4698" s="32"/>
      <c r="AZ4698" s="32"/>
      <c r="BA4698" s="32"/>
      <c r="BB4698" s="31"/>
      <c r="BC4698" s="31"/>
      <c r="BD4698" s="31"/>
      <c r="BE4698" s="31"/>
      <c r="BF4698" s="96"/>
    </row>
    <row r="4699" spans="42:58" x14ac:dyDescent="0.35">
      <c r="AP4699" s="92"/>
      <c r="AQ4699" s="67"/>
      <c r="AR4699" s="67"/>
      <c r="AS4699" s="73"/>
      <c r="AT4699" s="67"/>
      <c r="AU4699" s="67"/>
      <c r="AV4699" s="73"/>
      <c r="AW4699" s="68"/>
      <c r="AX4699" s="68"/>
      <c r="AY4699" s="68"/>
      <c r="AZ4699" s="68"/>
      <c r="BA4699" s="68"/>
      <c r="BB4699" s="67"/>
      <c r="BC4699" s="67"/>
      <c r="BD4699" s="67"/>
      <c r="BE4699" s="67"/>
      <c r="BF4699" s="95"/>
    </row>
    <row r="4700" spans="42:58" x14ac:dyDescent="0.35">
      <c r="AP4700" s="93"/>
      <c r="AQ4700" s="31"/>
      <c r="AR4700" s="31"/>
      <c r="AS4700" s="94"/>
      <c r="AT4700" s="31"/>
      <c r="AU4700" s="31"/>
      <c r="AV4700" s="94"/>
      <c r="AW4700" s="32"/>
      <c r="AX4700" s="32"/>
      <c r="AY4700" s="32"/>
      <c r="AZ4700" s="32"/>
      <c r="BA4700" s="32"/>
      <c r="BB4700" s="31"/>
      <c r="BC4700" s="31"/>
      <c r="BD4700" s="31"/>
      <c r="BE4700" s="31"/>
      <c r="BF4700" s="96"/>
    </row>
    <row r="4701" spans="42:58" x14ac:dyDescent="0.35">
      <c r="AP4701" s="92"/>
      <c r="AQ4701" s="67"/>
      <c r="AR4701" s="67"/>
      <c r="AS4701" s="73"/>
      <c r="AT4701" s="67"/>
      <c r="AU4701" s="67"/>
      <c r="AV4701" s="73"/>
      <c r="AW4701" s="68"/>
      <c r="AX4701" s="68"/>
      <c r="AY4701" s="68"/>
      <c r="AZ4701" s="68"/>
      <c r="BA4701" s="68"/>
      <c r="BB4701" s="67"/>
      <c r="BC4701" s="67"/>
      <c r="BD4701" s="67"/>
      <c r="BE4701" s="67"/>
      <c r="BF4701" s="95"/>
    </row>
    <row r="4702" spans="42:58" x14ac:dyDescent="0.35">
      <c r="AP4702" s="93"/>
      <c r="AQ4702" s="31"/>
      <c r="AR4702" s="31"/>
      <c r="AS4702" s="94"/>
      <c r="AT4702" s="31"/>
      <c r="AU4702" s="31"/>
      <c r="AV4702" s="94"/>
      <c r="AW4702" s="32"/>
      <c r="AX4702" s="32"/>
      <c r="AY4702" s="32"/>
      <c r="AZ4702" s="32"/>
      <c r="BA4702" s="32"/>
      <c r="BB4702" s="31"/>
      <c r="BC4702" s="31"/>
      <c r="BD4702" s="31"/>
      <c r="BE4702" s="31"/>
      <c r="BF4702" s="96"/>
    </row>
    <row r="4703" spans="42:58" x14ac:dyDescent="0.35">
      <c r="AP4703" s="92"/>
      <c r="AQ4703" s="67"/>
      <c r="AR4703" s="67"/>
      <c r="AS4703" s="73"/>
      <c r="AT4703" s="67"/>
      <c r="AU4703" s="67"/>
      <c r="AV4703" s="73"/>
      <c r="AW4703" s="68"/>
      <c r="AX4703" s="68"/>
      <c r="AY4703" s="68"/>
      <c r="AZ4703" s="68"/>
      <c r="BA4703" s="68"/>
      <c r="BB4703" s="67"/>
      <c r="BC4703" s="67"/>
      <c r="BD4703" s="67"/>
      <c r="BE4703" s="67"/>
      <c r="BF4703" s="95"/>
    </row>
    <row r="4704" spans="42:58" x14ac:dyDescent="0.35">
      <c r="AP4704" s="93"/>
      <c r="AQ4704" s="31"/>
      <c r="AR4704" s="31"/>
      <c r="AS4704" s="94"/>
      <c r="AT4704" s="31"/>
      <c r="AU4704" s="31"/>
      <c r="AV4704" s="94"/>
      <c r="AW4704" s="32"/>
      <c r="AX4704" s="32"/>
      <c r="AY4704" s="32"/>
      <c r="AZ4704" s="32"/>
      <c r="BA4704" s="32"/>
      <c r="BB4704" s="31"/>
      <c r="BC4704" s="31"/>
      <c r="BD4704" s="31"/>
      <c r="BE4704" s="31"/>
      <c r="BF4704" s="96"/>
    </row>
    <row r="4705" spans="42:58" x14ac:dyDescent="0.35">
      <c r="AP4705" s="92"/>
      <c r="AQ4705" s="67"/>
      <c r="AR4705" s="67"/>
      <c r="AS4705" s="73"/>
      <c r="AT4705" s="67"/>
      <c r="AU4705" s="67"/>
      <c r="AV4705" s="73"/>
      <c r="AW4705" s="68"/>
      <c r="AX4705" s="68"/>
      <c r="AY4705" s="68"/>
      <c r="AZ4705" s="68"/>
      <c r="BA4705" s="68"/>
      <c r="BB4705" s="67"/>
      <c r="BC4705" s="67"/>
      <c r="BD4705" s="67"/>
      <c r="BE4705" s="67"/>
      <c r="BF4705" s="95"/>
    </row>
    <row r="4706" spans="42:58" x14ac:dyDescent="0.35">
      <c r="AP4706" s="93"/>
      <c r="AQ4706" s="31"/>
      <c r="AR4706" s="31"/>
      <c r="AS4706" s="94"/>
      <c r="AT4706" s="31"/>
      <c r="AU4706" s="31"/>
      <c r="AV4706" s="94"/>
      <c r="AW4706" s="32"/>
      <c r="AX4706" s="32"/>
      <c r="AY4706" s="32"/>
      <c r="AZ4706" s="32"/>
      <c r="BA4706" s="32"/>
      <c r="BB4706" s="31"/>
      <c r="BC4706" s="31"/>
      <c r="BD4706" s="31"/>
      <c r="BE4706" s="31"/>
      <c r="BF4706" s="96"/>
    </row>
    <row r="4707" spans="42:58" x14ac:dyDescent="0.35">
      <c r="AP4707" s="92"/>
      <c r="AQ4707" s="67"/>
      <c r="AR4707" s="67"/>
      <c r="AS4707" s="73"/>
      <c r="AT4707" s="67"/>
      <c r="AU4707" s="67"/>
      <c r="AV4707" s="73"/>
      <c r="AW4707" s="68"/>
      <c r="AX4707" s="68"/>
      <c r="AY4707" s="68"/>
      <c r="AZ4707" s="68"/>
      <c r="BA4707" s="68"/>
      <c r="BB4707" s="67"/>
      <c r="BC4707" s="67"/>
      <c r="BD4707" s="67"/>
      <c r="BE4707" s="67"/>
      <c r="BF4707" s="95"/>
    </row>
    <row r="4708" spans="42:58" x14ac:dyDescent="0.35">
      <c r="AP4708" s="93"/>
      <c r="AQ4708" s="31"/>
      <c r="AR4708" s="31"/>
      <c r="AS4708" s="94"/>
      <c r="AT4708" s="31"/>
      <c r="AU4708" s="31"/>
      <c r="AV4708" s="94"/>
      <c r="AW4708" s="32"/>
      <c r="AX4708" s="32"/>
      <c r="AY4708" s="32"/>
      <c r="AZ4708" s="32"/>
      <c r="BA4708" s="32"/>
      <c r="BB4708" s="31"/>
      <c r="BC4708" s="31"/>
      <c r="BD4708" s="31"/>
      <c r="BE4708" s="31"/>
      <c r="BF4708" s="96"/>
    </row>
    <row r="4709" spans="42:58" x14ac:dyDescent="0.35">
      <c r="AP4709" s="92"/>
      <c r="AQ4709" s="67"/>
      <c r="AR4709" s="67"/>
      <c r="AS4709" s="73"/>
      <c r="AT4709" s="67"/>
      <c r="AU4709" s="67"/>
      <c r="AV4709" s="73"/>
      <c r="AW4709" s="68"/>
      <c r="AX4709" s="68"/>
      <c r="AY4709" s="68"/>
      <c r="AZ4709" s="68"/>
      <c r="BA4709" s="68"/>
      <c r="BB4709" s="67"/>
      <c r="BC4709" s="67"/>
      <c r="BD4709" s="67"/>
      <c r="BE4709" s="67"/>
      <c r="BF4709" s="95"/>
    </row>
    <row r="4710" spans="42:58" x14ac:dyDescent="0.35">
      <c r="AP4710" s="93"/>
      <c r="AQ4710" s="31"/>
      <c r="AR4710" s="31"/>
      <c r="AS4710" s="94"/>
      <c r="AT4710" s="31"/>
      <c r="AU4710" s="31"/>
      <c r="AV4710" s="94"/>
      <c r="AW4710" s="32"/>
      <c r="AX4710" s="32"/>
      <c r="AY4710" s="32"/>
      <c r="AZ4710" s="32"/>
      <c r="BA4710" s="32"/>
      <c r="BB4710" s="31"/>
      <c r="BC4710" s="31"/>
      <c r="BD4710" s="31"/>
      <c r="BE4710" s="31"/>
      <c r="BF4710" s="96"/>
    </row>
    <row r="4711" spans="42:58" x14ac:dyDescent="0.35">
      <c r="AP4711" s="92"/>
      <c r="AQ4711" s="67"/>
      <c r="AR4711" s="67"/>
      <c r="AS4711" s="73"/>
      <c r="AT4711" s="67"/>
      <c r="AU4711" s="67"/>
      <c r="AV4711" s="73"/>
      <c r="AW4711" s="68"/>
      <c r="AX4711" s="68"/>
      <c r="AY4711" s="68"/>
      <c r="AZ4711" s="68"/>
      <c r="BA4711" s="68"/>
      <c r="BB4711" s="67"/>
      <c r="BC4711" s="67"/>
      <c r="BD4711" s="67"/>
      <c r="BE4711" s="67"/>
      <c r="BF4711" s="95"/>
    </row>
    <row r="4712" spans="42:58" x14ac:dyDescent="0.35">
      <c r="AP4712" s="93"/>
      <c r="AQ4712" s="31"/>
      <c r="AR4712" s="31"/>
      <c r="AS4712" s="94"/>
      <c r="AT4712" s="31"/>
      <c r="AU4712" s="31"/>
      <c r="AV4712" s="94"/>
      <c r="AW4712" s="32"/>
      <c r="AX4712" s="32"/>
      <c r="AY4712" s="32"/>
      <c r="AZ4712" s="32"/>
      <c r="BA4712" s="32"/>
      <c r="BB4712" s="31"/>
      <c r="BC4712" s="31"/>
      <c r="BD4712" s="31"/>
      <c r="BE4712" s="31"/>
      <c r="BF4712" s="96"/>
    </row>
    <row r="4713" spans="42:58" x14ac:dyDescent="0.35">
      <c r="AP4713" s="92"/>
      <c r="AQ4713" s="67"/>
      <c r="AR4713" s="67"/>
      <c r="AS4713" s="73"/>
      <c r="AT4713" s="67"/>
      <c r="AU4713" s="67"/>
      <c r="AV4713" s="73"/>
      <c r="AW4713" s="68"/>
      <c r="AX4713" s="68"/>
      <c r="AY4713" s="68"/>
      <c r="AZ4713" s="68"/>
      <c r="BA4713" s="68"/>
      <c r="BB4713" s="67"/>
      <c r="BC4713" s="67"/>
      <c r="BD4713" s="67"/>
      <c r="BE4713" s="67"/>
      <c r="BF4713" s="95"/>
    </row>
    <row r="4714" spans="42:58" x14ac:dyDescent="0.35">
      <c r="AP4714" s="93"/>
      <c r="AQ4714" s="31"/>
      <c r="AR4714" s="31"/>
      <c r="AS4714" s="94"/>
      <c r="AT4714" s="31"/>
      <c r="AU4714" s="31"/>
      <c r="AV4714" s="94"/>
      <c r="AW4714" s="32"/>
      <c r="AX4714" s="32"/>
      <c r="AY4714" s="32"/>
      <c r="AZ4714" s="32"/>
      <c r="BA4714" s="32"/>
      <c r="BB4714" s="31"/>
      <c r="BC4714" s="31"/>
      <c r="BD4714" s="31"/>
      <c r="BE4714" s="31"/>
      <c r="BF4714" s="96"/>
    </row>
    <row r="4715" spans="42:58" x14ac:dyDescent="0.35">
      <c r="AP4715" s="92"/>
      <c r="AQ4715" s="67"/>
      <c r="AR4715" s="67"/>
      <c r="AS4715" s="73"/>
      <c r="AT4715" s="67"/>
      <c r="AU4715" s="67"/>
      <c r="AV4715" s="73"/>
      <c r="AW4715" s="68"/>
      <c r="AX4715" s="68"/>
      <c r="AY4715" s="68"/>
      <c r="AZ4715" s="68"/>
      <c r="BA4715" s="68"/>
      <c r="BB4715" s="67"/>
      <c r="BC4715" s="67"/>
      <c r="BD4715" s="67"/>
      <c r="BE4715" s="67"/>
      <c r="BF4715" s="95"/>
    </row>
    <row r="4716" spans="42:58" x14ac:dyDescent="0.35">
      <c r="AP4716" s="93"/>
      <c r="AQ4716" s="31"/>
      <c r="AR4716" s="31"/>
      <c r="AS4716" s="94"/>
      <c r="AT4716" s="31"/>
      <c r="AU4716" s="31"/>
      <c r="AV4716" s="94"/>
      <c r="AW4716" s="32"/>
      <c r="AX4716" s="32"/>
      <c r="AY4716" s="32"/>
      <c r="AZ4716" s="32"/>
      <c r="BA4716" s="32"/>
      <c r="BB4716" s="31"/>
      <c r="BC4716" s="31"/>
      <c r="BD4716" s="31"/>
      <c r="BE4716" s="31"/>
      <c r="BF4716" s="96"/>
    </row>
    <row r="4717" spans="42:58" x14ac:dyDescent="0.35">
      <c r="AP4717" s="92"/>
      <c r="AQ4717" s="67"/>
      <c r="AR4717" s="67"/>
      <c r="AS4717" s="73"/>
      <c r="AT4717" s="67"/>
      <c r="AU4717" s="67"/>
      <c r="AV4717" s="73"/>
      <c r="AW4717" s="68"/>
      <c r="AX4717" s="68"/>
      <c r="AY4717" s="68"/>
      <c r="AZ4717" s="68"/>
      <c r="BA4717" s="68"/>
      <c r="BB4717" s="67"/>
      <c r="BC4717" s="67"/>
      <c r="BD4717" s="67"/>
      <c r="BE4717" s="67"/>
      <c r="BF4717" s="95"/>
    </row>
    <row r="4718" spans="42:58" x14ac:dyDescent="0.35">
      <c r="AP4718" s="93"/>
      <c r="AQ4718" s="31"/>
      <c r="AR4718" s="31"/>
      <c r="AS4718" s="94"/>
      <c r="AT4718" s="31"/>
      <c r="AU4718" s="31"/>
      <c r="AV4718" s="94"/>
      <c r="AW4718" s="32"/>
      <c r="AX4718" s="32"/>
      <c r="AY4718" s="32"/>
      <c r="AZ4718" s="32"/>
      <c r="BA4718" s="32"/>
      <c r="BB4718" s="31"/>
      <c r="BC4718" s="31"/>
      <c r="BD4718" s="31"/>
      <c r="BE4718" s="31"/>
      <c r="BF4718" s="96"/>
    </row>
    <row r="4719" spans="42:58" x14ac:dyDescent="0.35">
      <c r="AP4719" s="92"/>
      <c r="AQ4719" s="67"/>
      <c r="AR4719" s="67"/>
      <c r="AS4719" s="73"/>
      <c r="AT4719" s="67"/>
      <c r="AU4719" s="67"/>
      <c r="AV4719" s="73"/>
      <c r="AW4719" s="68"/>
      <c r="AX4719" s="68"/>
      <c r="AY4719" s="68"/>
      <c r="AZ4719" s="68"/>
      <c r="BA4719" s="68"/>
      <c r="BB4719" s="67"/>
      <c r="BC4719" s="67"/>
      <c r="BD4719" s="67"/>
      <c r="BE4719" s="67"/>
      <c r="BF4719" s="95"/>
    </row>
    <row r="4720" spans="42:58" x14ac:dyDescent="0.35">
      <c r="AP4720" s="93"/>
      <c r="AQ4720" s="31"/>
      <c r="AR4720" s="31"/>
      <c r="AS4720" s="94"/>
      <c r="AT4720" s="31"/>
      <c r="AU4720" s="31"/>
      <c r="AV4720" s="94"/>
      <c r="AW4720" s="32"/>
      <c r="AX4720" s="32"/>
      <c r="AY4720" s="32"/>
      <c r="AZ4720" s="32"/>
      <c r="BA4720" s="32"/>
      <c r="BB4720" s="31"/>
      <c r="BC4720" s="31"/>
      <c r="BD4720" s="31"/>
      <c r="BE4720" s="31"/>
      <c r="BF4720" s="96"/>
    </row>
    <row r="4721" spans="42:58" x14ac:dyDescent="0.35">
      <c r="AP4721" s="92"/>
      <c r="AQ4721" s="67"/>
      <c r="AR4721" s="67"/>
      <c r="AS4721" s="73"/>
      <c r="AT4721" s="67"/>
      <c r="AU4721" s="67"/>
      <c r="AV4721" s="73"/>
      <c r="AW4721" s="68"/>
      <c r="AX4721" s="68"/>
      <c r="AY4721" s="68"/>
      <c r="AZ4721" s="68"/>
      <c r="BA4721" s="68"/>
      <c r="BB4721" s="67"/>
      <c r="BC4721" s="67"/>
      <c r="BD4721" s="67"/>
      <c r="BE4721" s="67"/>
      <c r="BF4721" s="95"/>
    </row>
    <row r="4722" spans="42:58" x14ac:dyDescent="0.35">
      <c r="AP4722" s="93"/>
      <c r="AQ4722" s="31"/>
      <c r="AR4722" s="31"/>
      <c r="AS4722" s="94"/>
      <c r="AT4722" s="31"/>
      <c r="AU4722" s="31"/>
      <c r="AV4722" s="94"/>
      <c r="AW4722" s="32"/>
      <c r="AX4722" s="32"/>
      <c r="AY4722" s="32"/>
      <c r="AZ4722" s="32"/>
      <c r="BA4722" s="32"/>
      <c r="BB4722" s="31"/>
      <c r="BC4722" s="31"/>
      <c r="BD4722" s="31"/>
      <c r="BE4722" s="31"/>
      <c r="BF4722" s="96"/>
    </row>
    <row r="4723" spans="42:58" x14ac:dyDescent="0.35">
      <c r="AP4723" s="92"/>
      <c r="AQ4723" s="67"/>
      <c r="AR4723" s="67"/>
      <c r="AS4723" s="73"/>
      <c r="AT4723" s="67"/>
      <c r="AU4723" s="67"/>
      <c r="AV4723" s="73"/>
      <c r="AW4723" s="68"/>
      <c r="AX4723" s="68"/>
      <c r="AY4723" s="68"/>
      <c r="AZ4723" s="68"/>
      <c r="BA4723" s="68"/>
      <c r="BB4723" s="67"/>
      <c r="BC4723" s="67"/>
      <c r="BD4723" s="67"/>
      <c r="BE4723" s="67"/>
      <c r="BF4723" s="95"/>
    </row>
    <row r="4724" spans="42:58" x14ac:dyDescent="0.35">
      <c r="AP4724" s="93"/>
      <c r="AQ4724" s="31"/>
      <c r="AR4724" s="31"/>
      <c r="AS4724" s="94"/>
      <c r="AT4724" s="31"/>
      <c r="AU4724" s="31"/>
      <c r="AV4724" s="94"/>
      <c r="AW4724" s="32"/>
      <c r="AX4724" s="32"/>
      <c r="AY4724" s="32"/>
      <c r="AZ4724" s="32"/>
      <c r="BA4724" s="32"/>
      <c r="BB4724" s="31"/>
      <c r="BC4724" s="31"/>
      <c r="BD4724" s="31"/>
      <c r="BE4724" s="31"/>
      <c r="BF4724" s="96"/>
    </row>
    <row r="4725" spans="42:58" x14ac:dyDescent="0.35">
      <c r="AP4725" s="92"/>
      <c r="AQ4725" s="67"/>
      <c r="AR4725" s="67"/>
      <c r="AS4725" s="73"/>
      <c r="AT4725" s="67"/>
      <c r="AU4725" s="67"/>
      <c r="AV4725" s="73"/>
      <c r="AW4725" s="68"/>
      <c r="AX4725" s="68"/>
      <c r="AY4725" s="68"/>
      <c r="AZ4725" s="68"/>
      <c r="BA4725" s="68"/>
      <c r="BB4725" s="67"/>
      <c r="BC4725" s="67"/>
      <c r="BD4725" s="67"/>
      <c r="BE4725" s="67"/>
      <c r="BF4725" s="95"/>
    </row>
    <row r="4726" spans="42:58" x14ac:dyDescent="0.35">
      <c r="AP4726" s="93"/>
      <c r="AQ4726" s="31"/>
      <c r="AR4726" s="31"/>
      <c r="AS4726" s="94"/>
      <c r="AT4726" s="31"/>
      <c r="AU4726" s="31"/>
      <c r="AV4726" s="94"/>
      <c r="AW4726" s="32"/>
      <c r="AX4726" s="32"/>
      <c r="AY4726" s="32"/>
      <c r="AZ4726" s="32"/>
      <c r="BA4726" s="32"/>
      <c r="BB4726" s="31"/>
      <c r="BC4726" s="31"/>
      <c r="BD4726" s="31"/>
      <c r="BE4726" s="31"/>
      <c r="BF4726" s="96"/>
    </row>
    <row r="4727" spans="42:58" x14ac:dyDescent="0.35">
      <c r="AP4727" s="92"/>
      <c r="AQ4727" s="67"/>
      <c r="AR4727" s="67"/>
      <c r="AS4727" s="73"/>
      <c r="AT4727" s="67"/>
      <c r="AU4727" s="67"/>
      <c r="AV4727" s="73"/>
      <c r="AW4727" s="68"/>
      <c r="AX4727" s="68"/>
      <c r="AY4727" s="68"/>
      <c r="AZ4727" s="68"/>
      <c r="BA4727" s="68"/>
      <c r="BB4727" s="67"/>
      <c r="BC4727" s="67"/>
      <c r="BD4727" s="67"/>
      <c r="BE4727" s="67"/>
      <c r="BF4727" s="95"/>
    </row>
    <row r="4728" spans="42:58" x14ac:dyDescent="0.35">
      <c r="AP4728" s="93"/>
      <c r="AQ4728" s="31"/>
      <c r="AR4728" s="31"/>
      <c r="AS4728" s="94"/>
      <c r="AT4728" s="31"/>
      <c r="AU4728" s="31"/>
      <c r="AV4728" s="94"/>
      <c r="AW4728" s="32"/>
      <c r="AX4728" s="32"/>
      <c r="AY4728" s="32"/>
      <c r="AZ4728" s="32"/>
      <c r="BA4728" s="32"/>
      <c r="BB4728" s="31"/>
      <c r="BC4728" s="31"/>
      <c r="BD4728" s="31"/>
      <c r="BE4728" s="31"/>
      <c r="BF4728" s="96"/>
    </row>
    <row r="4729" spans="42:58" x14ac:dyDescent="0.35">
      <c r="AP4729" s="92"/>
      <c r="AQ4729" s="67"/>
      <c r="AR4729" s="67"/>
      <c r="AS4729" s="73"/>
      <c r="AT4729" s="67"/>
      <c r="AU4729" s="67"/>
      <c r="AV4729" s="73"/>
      <c r="AW4729" s="68"/>
      <c r="AX4729" s="68"/>
      <c r="AY4729" s="68"/>
      <c r="AZ4729" s="68"/>
      <c r="BA4729" s="68"/>
      <c r="BB4729" s="67"/>
      <c r="BC4729" s="67"/>
      <c r="BD4729" s="67"/>
      <c r="BE4729" s="67"/>
      <c r="BF4729" s="95"/>
    </row>
    <row r="4730" spans="42:58" x14ac:dyDescent="0.35">
      <c r="AP4730" s="93"/>
      <c r="AQ4730" s="31"/>
      <c r="AR4730" s="31"/>
      <c r="AS4730" s="94"/>
      <c r="AT4730" s="31"/>
      <c r="AU4730" s="31"/>
      <c r="AV4730" s="94"/>
      <c r="AW4730" s="32"/>
      <c r="AX4730" s="32"/>
      <c r="AY4730" s="32"/>
      <c r="AZ4730" s="32"/>
      <c r="BA4730" s="32"/>
      <c r="BB4730" s="31"/>
      <c r="BC4730" s="31"/>
      <c r="BD4730" s="31"/>
      <c r="BE4730" s="31"/>
      <c r="BF4730" s="96"/>
    </row>
    <row r="4731" spans="42:58" x14ac:dyDescent="0.35">
      <c r="AP4731" s="92"/>
      <c r="AQ4731" s="67"/>
      <c r="AR4731" s="67"/>
      <c r="AS4731" s="73"/>
      <c r="AT4731" s="67"/>
      <c r="AU4731" s="67"/>
      <c r="AV4731" s="73"/>
      <c r="AW4731" s="68"/>
      <c r="AX4731" s="68"/>
      <c r="AY4731" s="68"/>
      <c r="AZ4731" s="68"/>
      <c r="BA4731" s="68"/>
      <c r="BB4731" s="67"/>
      <c r="BC4731" s="67"/>
      <c r="BD4731" s="67"/>
      <c r="BE4731" s="67"/>
      <c r="BF4731" s="95"/>
    </row>
    <row r="4732" spans="42:58" x14ac:dyDescent="0.35">
      <c r="AP4732" s="93"/>
      <c r="AQ4732" s="31"/>
      <c r="AR4732" s="31"/>
      <c r="AS4732" s="94"/>
      <c r="AT4732" s="31"/>
      <c r="AU4732" s="31"/>
      <c r="AV4732" s="94"/>
      <c r="AW4732" s="32"/>
      <c r="AX4732" s="32"/>
      <c r="AY4732" s="32"/>
      <c r="AZ4732" s="32"/>
      <c r="BA4732" s="32"/>
      <c r="BB4732" s="31"/>
      <c r="BC4732" s="31"/>
      <c r="BD4732" s="31"/>
      <c r="BE4732" s="31"/>
      <c r="BF4732" s="96"/>
    </row>
    <row r="4733" spans="42:58" x14ac:dyDescent="0.35">
      <c r="AP4733" s="92"/>
      <c r="AQ4733" s="67"/>
      <c r="AR4733" s="67"/>
      <c r="AS4733" s="73"/>
      <c r="AT4733" s="67"/>
      <c r="AU4733" s="67"/>
      <c r="AV4733" s="73"/>
      <c r="AW4733" s="68"/>
      <c r="AX4733" s="68"/>
      <c r="AY4733" s="68"/>
      <c r="AZ4733" s="68"/>
      <c r="BA4733" s="68"/>
      <c r="BB4733" s="67"/>
      <c r="BC4733" s="67"/>
      <c r="BD4733" s="67"/>
      <c r="BE4733" s="67"/>
      <c r="BF4733" s="95"/>
    </row>
    <row r="4734" spans="42:58" x14ac:dyDescent="0.35">
      <c r="AP4734" s="93"/>
      <c r="AQ4734" s="31"/>
      <c r="AR4734" s="31"/>
      <c r="AS4734" s="94"/>
      <c r="AT4734" s="31"/>
      <c r="AU4734" s="31"/>
      <c r="AV4734" s="94"/>
      <c r="AW4734" s="32"/>
      <c r="AX4734" s="32"/>
      <c r="AY4734" s="32"/>
      <c r="AZ4734" s="32"/>
      <c r="BA4734" s="32"/>
      <c r="BB4734" s="31"/>
      <c r="BC4734" s="31"/>
      <c r="BD4734" s="31"/>
      <c r="BE4734" s="31"/>
      <c r="BF4734" s="96"/>
    </row>
    <row r="4735" spans="42:58" x14ac:dyDescent="0.35">
      <c r="AP4735" s="92"/>
      <c r="AQ4735" s="67"/>
      <c r="AR4735" s="67"/>
      <c r="AS4735" s="73"/>
      <c r="AT4735" s="67"/>
      <c r="AU4735" s="67"/>
      <c r="AV4735" s="73"/>
      <c r="AW4735" s="68"/>
      <c r="AX4735" s="68"/>
      <c r="AY4735" s="68"/>
      <c r="AZ4735" s="68"/>
      <c r="BA4735" s="68"/>
      <c r="BB4735" s="67"/>
      <c r="BC4735" s="67"/>
      <c r="BD4735" s="67"/>
      <c r="BE4735" s="67"/>
      <c r="BF4735" s="95"/>
    </row>
    <row r="4736" spans="42:58" x14ac:dyDescent="0.35">
      <c r="AP4736" s="93"/>
      <c r="AQ4736" s="31"/>
      <c r="AR4736" s="31"/>
      <c r="AS4736" s="94"/>
      <c r="AT4736" s="31"/>
      <c r="AU4736" s="31"/>
      <c r="AV4736" s="94"/>
      <c r="AW4736" s="32"/>
      <c r="AX4736" s="32"/>
      <c r="AY4736" s="32"/>
      <c r="AZ4736" s="32"/>
      <c r="BA4736" s="32"/>
      <c r="BB4736" s="31"/>
      <c r="BC4736" s="31"/>
      <c r="BD4736" s="31"/>
      <c r="BE4736" s="31"/>
      <c r="BF4736" s="96"/>
    </row>
    <row r="4737" spans="42:58" x14ac:dyDescent="0.35">
      <c r="AP4737" s="92"/>
      <c r="AQ4737" s="67"/>
      <c r="AR4737" s="67"/>
      <c r="AS4737" s="73"/>
      <c r="AT4737" s="67"/>
      <c r="AU4737" s="67"/>
      <c r="AV4737" s="73"/>
      <c r="AW4737" s="68"/>
      <c r="AX4737" s="68"/>
      <c r="AY4737" s="68"/>
      <c r="AZ4737" s="68"/>
      <c r="BA4737" s="68"/>
      <c r="BB4737" s="67"/>
      <c r="BC4737" s="67"/>
      <c r="BD4737" s="67"/>
      <c r="BE4737" s="67"/>
      <c r="BF4737" s="95"/>
    </row>
    <row r="4738" spans="42:58" x14ac:dyDescent="0.35">
      <c r="AP4738" s="93"/>
      <c r="AQ4738" s="31"/>
      <c r="AR4738" s="31"/>
      <c r="AS4738" s="94"/>
      <c r="AT4738" s="31"/>
      <c r="AU4738" s="31"/>
      <c r="AV4738" s="94"/>
      <c r="AW4738" s="32"/>
      <c r="AX4738" s="32"/>
      <c r="AY4738" s="32"/>
      <c r="AZ4738" s="32"/>
      <c r="BA4738" s="32"/>
      <c r="BB4738" s="31"/>
      <c r="BC4738" s="31"/>
      <c r="BD4738" s="31"/>
      <c r="BE4738" s="31"/>
      <c r="BF4738" s="96"/>
    </row>
    <row r="4739" spans="42:58" x14ac:dyDescent="0.35">
      <c r="AP4739" s="92"/>
      <c r="AQ4739" s="67"/>
      <c r="AR4739" s="67"/>
      <c r="AS4739" s="73"/>
      <c r="AT4739" s="67"/>
      <c r="AU4739" s="67"/>
      <c r="AV4739" s="73"/>
      <c r="AW4739" s="68"/>
      <c r="AX4739" s="68"/>
      <c r="AY4739" s="68"/>
      <c r="AZ4739" s="68"/>
      <c r="BA4739" s="68"/>
      <c r="BB4739" s="67"/>
      <c r="BC4739" s="67"/>
      <c r="BD4739" s="67"/>
      <c r="BE4739" s="67"/>
      <c r="BF4739" s="95"/>
    </row>
    <row r="4740" spans="42:58" x14ac:dyDescent="0.35">
      <c r="AP4740" s="93"/>
      <c r="AQ4740" s="31"/>
      <c r="AR4740" s="31"/>
      <c r="AS4740" s="94"/>
      <c r="AT4740" s="31"/>
      <c r="AU4740" s="31"/>
      <c r="AV4740" s="94"/>
      <c r="AW4740" s="32"/>
      <c r="AX4740" s="32"/>
      <c r="AY4740" s="32"/>
      <c r="AZ4740" s="32"/>
      <c r="BA4740" s="32"/>
      <c r="BB4740" s="31"/>
      <c r="BC4740" s="31"/>
      <c r="BD4740" s="31"/>
      <c r="BE4740" s="31"/>
      <c r="BF4740" s="96"/>
    </row>
    <row r="4741" spans="42:58" x14ac:dyDescent="0.35">
      <c r="AP4741" s="92"/>
      <c r="AQ4741" s="67"/>
      <c r="AR4741" s="67"/>
      <c r="AS4741" s="73"/>
      <c r="AT4741" s="67"/>
      <c r="AU4741" s="67"/>
      <c r="AV4741" s="73"/>
      <c r="AW4741" s="68"/>
      <c r="AX4741" s="68"/>
      <c r="AY4741" s="68"/>
      <c r="AZ4741" s="68"/>
      <c r="BA4741" s="68"/>
      <c r="BB4741" s="67"/>
      <c r="BC4741" s="67"/>
      <c r="BD4741" s="67"/>
      <c r="BE4741" s="67"/>
      <c r="BF4741" s="95"/>
    </row>
    <row r="4742" spans="42:58" x14ac:dyDescent="0.35">
      <c r="AP4742" s="93"/>
      <c r="AQ4742" s="31"/>
      <c r="AR4742" s="31"/>
      <c r="AS4742" s="94"/>
      <c r="AT4742" s="31"/>
      <c r="AU4742" s="31"/>
      <c r="AV4742" s="94"/>
      <c r="AW4742" s="32"/>
      <c r="AX4742" s="32"/>
      <c r="AY4742" s="32"/>
      <c r="AZ4742" s="32"/>
      <c r="BA4742" s="32"/>
      <c r="BB4742" s="31"/>
      <c r="BC4742" s="31"/>
      <c r="BD4742" s="31"/>
      <c r="BE4742" s="31"/>
      <c r="BF4742" s="96"/>
    </row>
    <row r="4743" spans="42:58" x14ac:dyDescent="0.35">
      <c r="AP4743" s="92"/>
      <c r="AQ4743" s="67"/>
      <c r="AR4743" s="67"/>
      <c r="AS4743" s="73"/>
      <c r="AT4743" s="67"/>
      <c r="AU4743" s="67"/>
      <c r="AV4743" s="73"/>
      <c r="AW4743" s="68"/>
      <c r="AX4743" s="68"/>
      <c r="AY4743" s="68"/>
      <c r="AZ4743" s="68"/>
      <c r="BA4743" s="68"/>
      <c r="BB4743" s="67"/>
      <c r="BC4743" s="67"/>
      <c r="BD4743" s="67"/>
      <c r="BE4743" s="67"/>
      <c r="BF4743" s="95"/>
    </row>
    <row r="4744" spans="42:58" x14ac:dyDescent="0.35">
      <c r="AP4744" s="93"/>
      <c r="AQ4744" s="31"/>
      <c r="AR4744" s="31"/>
      <c r="AS4744" s="94"/>
      <c r="AT4744" s="31"/>
      <c r="AU4744" s="31"/>
      <c r="AV4744" s="94"/>
      <c r="AW4744" s="32"/>
      <c r="AX4744" s="32"/>
      <c r="AY4744" s="32"/>
      <c r="AZ4744" s="32"/>
      <c r="BA4744" s="32"/>
      <c r="BB4744" s="31"/>
      <c r="BC4744" s="31"/>
      <c r="BD4744" s="31"/>
      <c r="BE4744" s="31"/>
      <c r="BF4744" s="96"/>
    </row>
    <row r="4745" spans="42:58" x14ac:dyDescent="0.35">
      <c r="AP4745" s="92"/>
      <c r="AQ4745" s="67"/>
      <c r="AR4745" s="67"/>
      <c r="AS4745" s="73"/>
      <c r="AT4745" s="67"/>
      <c r="AU4745" s="67"/>
      <c r="AV4745" s="73"/>
      <c r="AW4745" s="68"/>
      <c r="AX4745" s="68"/>
      <c r="AY4745" s="68"/>
      <c r="AZ4745" s="68"/>
      <c r="BA4745" s="68"/>
      <c r="BB4745" s="67"/>
      <c r="BC4745" s="67"/>
      <c r="BD4745" s="67"/>
      <c r="BE4745" s="67"/>
      <c r="BF4745" s="95"/>
    </row>
    <row r="4746" spans="42:58" x14ac:dyDescent="0.35">
      <c r="AP4746" s="93"/>
      <c r="AQ4746" s="31"/>
      <c r="AR4746" s="31"/>
      <c r="AS4746" s="94"/>
      <c r="AT4746" s="31"/>
      <c r="AU4746" s="31"/>
      <c r="AV4746" s="94"/>
      <c r="AW4746" s="32"/>
      <c r="AX4746" s="32"/>
      <c r="AY4746" s="32"/>
      <c r="AZ4746" s="32"/>
      <c r="BA4746" s="32"/>
      <c r="BB4746" s="31"/>
      <c r="BC4746" s="31"/>
      <c r="BD4746" s="31"/>
      <c r="BE4746" s="31"/>
      <c r="BF4746" s="96"/>
    </row>
    <row r="4747" spans="42:58" x14ac:dyDescent="0.35">
      <c r="AP4747" s="92"/>
      <c r="AQ4747" s="67"/>
      <c r="AR4747" s="67"/>
      <c r="AS4747" s="73"/>
      <c r="AT4747" s="67"/>
      <c r="AU4747" s="67"/>
      <c r="AV4747" s="73"/>
      <c r="AW4747" s="68"/>
      <c r="AX4747" s="68"/>
      <c r="AY4747" s="68"/>
      <c r="AZ4747" s="68"/>
      <c r="BA4747" s="68"/>
      <c r="BB4747" s="67"/>
      <c r="BC4747" s="67"/>
      <c r="BD4747" s="67"/>
      <c r="BE4747" s="67"/>
      <c r="BF4747" s="95"/>
    </row>
    <row r="4748" spans="42:58" x14ac:dyDescent="0.35">
      <c r="AP4748" s="93"/>
      <c r="AQ4748" s="31"/>
      <c r="AR4748" s="31"/>
      <c r="AS4748" s="94"/>
      <c r="AT4748" s="31"/>
      <c r="AU4748" s="31"/>
      <c r="AV4748" s="94"/>
      <c r="AW4748" s="32"/>
      <c r="AX4748" s="32"/>
      <c r="AY4748" s="32"/>
      <c r="AZ4748" s="32"/>
      <c r="BA4748" s="32"/>
      <c r="BB4748" s="31"/>
      <c r="BC4748" s="31"/>
      <c r="BD4748" s="31"/>
      <c r="BE4748" s="31"/>
      <c r="BF4748" s="96"/>
    </row>
    <row r="4749" spans="42:58" x14ac:dyDescent="0.35">
      <c r="AP4749" s="92"/>
      <c r="AQ4749" s="67"/>
      <c r="AR4749" s="67"/>
      <c r="AS4749" s="73"/>
      <c r="AT4749" s="67"/>
      <c r="AU4749" s="67"/>
      <c r="AV4749" s="73"/>
      <c r="AW4749" s="68"/>
      <c r="AX4749" s="68"/>
      <c r="AY4749" s="68"/>
      <c r="AZ4749" s="68"/>
      <c r="BA4749" s="68"/>
      <c r="BB4749" s="67"/>
      <c r="BC4749" s="67"/>
      <c r="BD4749" s="67"/>
      <c r="BE4749" s="67"/>
      <c r="BF4749" s="95"/>
    </row>
    <row r="4750" spans="42:58" x14ac:dyDescent="0.35">
      <c r="AP4750" s="93"/>
      <c r="AQ4750" s="31"/>
      <c r="AR4750" s="31"/>
      <c r="AS4750" s="94"/>
      <c r="AT4750" s="31"/>
      <c r="AU4750" s="31"/>
      <c r="AV4750" s="94"/>
      <c r="AW4750" s="32"/>
      <c r="AX4750" s="32"/>
      <c r="AY4750" s="32"/>
      <c r="AZ4750" s="32"/>
      <c r="BA4750" s="32"/>
      <c r="BB4750" s="31"/>
      <c r="BC4750" s="31"/>
      <c r="BD4750" s="31"/>
      <c r="BE4750" s="31"/>
      <c r="BF4750" s="96"/>
    </row>
    <row r="4751" spans="42:58" x14ac:dyDescent="0.35">
      <c r="AP4751" s="92"/>
      <c r="AQ4751" s="67"/>
      <c r="AR4751" s="67"/>
      <c r="AS4751" s="73"/>
      <c r="AT4751" s="67"/>
      <c r="AU4751" s="67"/>
      <c r="AV4751" s="73"/>
      <c r="AW4751" s="68"/>
      <c r="AX4751" s="68"/>
      <c r="AY4751" s="68"/>
      <c r="AZ4751" s="68"/>
      <c r="BA4751" s="68"/>
      <c r="BB4751" s="67"/>
      <c r="BC4751" s="67"/>
      <c r="BD4751" s="67"/>
      <c r="BE4751" s="67"/>
      <c r="BF4751" s="95"/>
    </row>
    <row r="4752" spans="42:58" x14ac:dyDescent="0.35">
      <c r="AP4752" s="93"/>
      <c r="AQ4752" s="31"/>
      <c r="AR4752" s="31"/>
      <c r="AS4752" s="94"/>
      <c r="AT4752" s="31"/>
      <c r="AU4752" s="31"/>
      <c r="AV4752" s="94"/>
      <c r="AW4752" s="32"/>
      <c r="AX4752" s="32"/>
      <c r="AY4752" s="32"/>
      <c r="AZ4752" s="32"/>
      <c r="BA4752" s="32"/>
      <c r="BB4752" s="31"/>
      <c r="BC4752" s="31"/>
      <c r="BD4752" s="31"/>
      <c r="BE4752" s="31"/>
      <c r="BF4752" s="96"/>
    </row>
    <row r="4753" spans="42:58" x14ac:dyDescent="0.35">
      <c r="AP4753" s="92"/>
      <c r="AQ4753" s="67"/>
      <c r="AR4753" s="67"/>
      <c r="AS4753" s="73"/>
      <c r="AT4753" s="67"/>
      <c r="AU4753" s="67"/>
      <c r="AV4753" s="73"/>
      <c r="AW4753" s="68"/>
      <c r="AX4753" s="68"/>
      <c r="AY4753" s="68"/>
      <c r="AZ4753" s="68"/>
      <c r="BA4753" s="68"/>
      <c r="BB4753" s="67"/>
      <c r="BC4753" s="67"/>
      <c r="BD4753" s="67"/>
      <c r="BE4753" s="67"/>
      <c r="BF4753" s="95"/>
    </row>
    <row r="4754" spans="42:58" x14ac:dyDescent="0.35">
      <c r="AP4754" s="93"/>
      <c r="AQ4754" s="31"/>
      <c r="AR4754" s="31"/>
      <c r="AS4754" s="94"/>
      <c r="AT4754" s="31"/>
      <c r="AU4754" s="31"/>
      <c r="AV4754" s="94"/>
      <c r="AW4754" s="32"/>
      <c r="AX4754" s="32"/>
      <c r="AY4754" s="32"/>
      <c r="AZ4754" s="32"/>
      <c r="BA4754" s="32"/>
      <c r="BB4754" s="31"/>
      <c r="BC4754" s="31"/>
      <c r="BD4754" s="31"/>
      <c r="BE4754" s="31"/>
      <c r="BF4754" s="96"/>
    </row>
    <row r="4755" spans="42:58" x14ac:dyDescent="0.35">
      <c r="AP4755" s="92"/>
      <c r="AQ4755" s="67"/>
      <c r="AR4755" s="67"/>
      <c r="AS4755" s="73"/>
      <c r="AT4755" s="67"/>
      <c r="AU4755" s="67"/>
      <c r="AV4755" s="73"/>
      <c r="AW4755" s="68"/>
      <c r="AX4755" s="68"/>
      <c r="AY4755" s="68"/>
      <c r="AZ4755" s="68"/>
      <c r="BA4755" s="68"/>
      <c r="BB4755" s="67"/>
      <c r="BC4755" s="67"/>
      <c r="BD4755" s="67"/>
      <c r="BE4755" s="67"/>
      <c r="BF4755" s="95"/>
    </row>
    <row r="4756" spans="42:58" x14ac:dyDescent="0.35">
      <c r="AP4756" s="93"/>
      <c r="AQ4756" s="31"/>
      <c r="AR4756" s="31"/>
      <c r="AS4756" s="94"/>
      <c r="AT4756" s="31"/>
      <c r="AU4756" s="31"/>
      <c r="AV4756" s="94"/>
      <c r="AW4756" s="32"/>
      <c r="AX4756" s="32"/>
      <c r="AY4756" s="32"/>
      <c r="AZ4756" s="32"/>
      <c r="BA4756" s="32"/>
      <c r="BB4756" s="31"/>
      <c r="BC4756" s="31"/>
      <c r="BD4756" s="31"/>
      <c r="BE4756" s="31"/>
      <c r="BF4756" s="96"/>
    </row>
    <row r="4757" spans="42:58" x14ac:dyDescent="0.35">
      <c r="AP4757" s="92"/>
      <c r="AQ4757" s="67"/>
      <c r="AR4757" s="67"/>
      <c r="AS4757" s="73"/>
      <c r="AT4757" s="67"/>
      <c r="AU4757" s="67"/>
      <c r="AV4757" s="73"/>
      <c r="AW4757" s="68"/>
      <c r="AX4757" s="68"/>
      <c r="AY4757" s="68"/>
      <c r="AZ4757" s="68"/>
      <c r="BA4757" s="68"/>
      <c r="BB4757" s="67"/>
      <c r="BC4757" s="67"/>
      <c r="BD4757" s="67"/>
      <c r="BE4757" s="67"/>
      <c r="BF4757" s="95"/>
    </row>
    <row r="4758" spans="42:58" x14ac:dyDescent="0.35">
      <c r="AP4758" s="93"/>
      <c r="AQ4758" s="31"/>
      <c r="AR4758" s="31"/>
      <c r="AS4758" s="94"/>
      <c r="AT4758" s="31"/>
      <c r="AU4758" s="31"/>
      <c r="AV4758" s="94"/>
      <c r="AW4758" s="32"/>
      <c r="AX4758" s="32"/>
      <c r="AY4758" s="32"/>
      <c r="AZ4758" s="32"/>
      <c r="BA4758" s="32"/>
      <c r="BB4758" s="31"/>
      <c r="BC4758" s="31"/>
      <c r="BD4758" s="31"/>
      <c r="BE4758" s="31"/>
      <c r="BF4758" s="96"/>
    </row>
    <row r="4759" spans="42:58" x14ac:dyDescent="0.35">
      <c r="AP4759" s="92"/>
      <c r="AQ4759" s="67"/>
      <c r="AR4759" s="67"/>
      <c r="AS4759" s="73"/>
      <c r="AT4759" s="67"/>
      <c r="AU4759" s="67"/>
      <c r="AV4759" s="73"/>
      <c r="AW4759" s="68"/>
      <c r="AX4759" s="68"/>
      <c r="AY4759" s="68"/>
      <c r="AZ4759" s="68"/>
      <c r="BA4759" s="68"/>
      <c r="BB4759" s="67"/>
      <c r="BC4759" s="67"/>
      <c r="BD4759" s="67"/>
      <c r="BE4759" s="67"/>
      <c r="BF4759" s="95"/>
    </row>
    <row r="4760" spans="42:58" x14ac:dyDescent="0.35">
      <c r="AP4760" s="93"/>
      <c r="AQ4760" s="31"/>
      <c r="AR4760" s="31"/>
      <c r="AS4760" s="94"/>
      <c r="AT4760" s="31"/>
      <c r="AU4760" s="31"/>
      <c r="AV4760" s="94"/>
      <c r="AW4760" s="32"/>
      <c r="AX4760" s="32"/>
      <c r="AY4760" s="32"/>
      <c r="AZ4760" s="32"/>
      <c r="BA4760" s="32"/>
      <c r="BB4760" s="31"/>
      <c r="BC4760" s="31"/>
      <c r="BD4760" s="31"/>
      <c r="BE4760" s="31"/>
      <c r="BF4760" s="96"/>
    </row>
    <row r="4761" spans="42:58" x14ac:dyDescent="0.35">
      <c r="AP4761" s="92"/>
      <c r="AQ4761" s="67"/>
      <c r="AR4761" s="67"/>
      <c r="AS4761" s="73"/>
      <c r="AT4761" s="67"/>
      <c r="AU4761" s="67"/>
      <c r="AV4761" s="73"/>
      <c r="AW4761" s="68"/>
      <c r="AX4761" s="68"/>
      <c r="AY4761" s="68"/>
      <c r="AZ4761" s="68"/>
      <c r="BA4761" s="68"/>
      <c r="BB4761" s="67"/>
      <c r="BC4761" s="67"/>
      <c r="BD4761" s="67"/>
      <c r="BE4761" s="67"/>
      <c r="BF4761" s="95"/>
    </row>
    <row r="4762" spans="42:58" x14ac:dyDescent="0.35">
      <c r="AP4762" s="93"/>
      <c r="AQ4762" s="31"/>
      <c r="AR4762" s="31"/>
      <c r="AS4762" s="94"/>
      <c r="AT4762" s="31"/>
      <c r="AU4762" s="31"/>
      <c r="AV4762" s="94"/>
      <c r="AW4762" s="32"/>
      <c r="AX4762" s="32"/>
      <c r="AY4762" s="32"/>
      <c r="AZ4762" s="32"/>
      <c r="BA4762" s="32"/>
      <c r="BB4762" s="31"/>
      <c r="BC4762" s="31"/>
      <c r="BD4762" s="31"/>
      <c r="BE4762" s="31"/>
      <c r="BF4762" s="96"/>
    </row>
    <row r="4763" spans="42:58" x14ac:dyDescent="0.35">
      <c r="AP4763" s="92"/>
      <c r="AQ4763" s="67"/>
      <c r="AR4763" s="67"/>
      <c r="AS4763" s="73"/>
      <c r="AT4763" s="67"/>
      <c r="AU4763" s="67"/>
      <c r="AV4763" s="73"/>
      <c r="AW4763" s="68"/>
      <c r="AX4763" s="68"/>
      <c r="AY4763" s="68"/>
      <c r="AZ4763" s="68"/>
      <c r="BA4763" s="68"/>
      <c r="BB4763" s="67"/>
      <c r="BC4763" s="67"/>
      <c r="BD4763" s="67"/>
      <c r="BE4763" s="67"/>
      <c r="BF4763" s="95"/>
    </row>
    <row r="4764" spans="42:58" x14ac:dyDescent="0.35">
      <c r="AP4764" s="93"/>
      <c r="AQ4764" s="31"/>
      <c r="AR4764" s="31"/>
      <c r="AS4764" s="94"/>
      <c r="AT4764" s="31"/>
      <c r="AU4764" s="31"/>
      <c r="AV4764" s="94"/>
      <c r="AW4764" s="32"/>
      <c r="AX4764" s="32"/>
      <c r="AY4764" s="32"/>
      <c r="AZ4764" s="32"/>
      <c r="BA4764" s="32"/>
      <c r="BB4764" s="31"/>
      <c r="BC4764" s="31"/>
      <c r="BD4764" s="31"/>
      <c r="BE4764" s="31"/>
      <c r="BF4764" s="96"/>
    </row>
    <row r="4765" spans="42:58" x14ac:dyDescent="0.35">
      <c r="AP4765" s="92"/>
      <c r="AQ4765" s="67"/>
      <c r="AR4765" s="67"/>
      <c r="AS4765" s="73"/>
      <c r="AT4765" s="67"/>
      <c r="AU4765" s="67"/>
      <c r="AV4765" s="73"/>
      <c r="AW4765" s="68"/>
      <c r="AX4765" s="68"/>
      <c r="AY4765" s="68"/>
      <c r="AZ4765" s="68"/>
      <c r="BA4765" s="68"/>
      <c r="BB4765" s="67"/>
      <c r="BC4765" s="67"/>
      <c r="BD4765" s="67"/>
      <c r="BE4765" s="67"/>
      <c r="BF4765" s="95"/>
    </row>
    <row r="4766" spans="42:58" x14ac:dyDescent="0.35">
      <c r="AP4766" s="93"/>
      <c r="AQ4766" s="31"/>
      <c r="AR4766" s="31"/>
      <c r="AS4766" s="94"/>
      <c r="AT4766" s="31"/>
      <c r="AU4766" s="31"/>
      <c r="AV4766" s="94"/>
      <c r="AW4766" s="32"/>
      <c r="AX4766" s="32"/>
      <c r="AY4766" s="32"/>
      <c r="AZ4766" s="32"/>
      <c r="BA4766" s="32"/>
      <c r="BB4766" s="31"/>
      <c r="BC4766" s="31"/>
      <c r="BD4766" s="31"/>
      <c r="BE4766" s="31"/>
      <c r="BF4766" s="96"/>
    </row>
    <row r="4767" spans="42:58" x14ac:dyDescent="0.35">
      <c r="AP4767" s="92"/>
      <c r="AQ4767" s="67"/>
      <c r="AR4767" s="67"/>
      <c r="AS4767" s="73"/>
      <c r="AT4767" s="67"/>
      <c r="AU4767" s="67"/>
      <c r="AV4767" s="73"/>
      <c r="AW4767" s="68"/>
      <c r="AX4767" s="68"/>
      <c r="AY4767" s="68"/>
      <c r="AZ4767" s="68"/>
      <c r="BA4767" s="68"/>
      <c r="BB4767" s="67"/>
      <c r="BC4767" s="67"/>
      <c r="BD4767" s="67"/>
      <c r="BE4767" s="67"/>
      <c r="BF4767" s="95"/>
    </row>
    <row r="4768" spans="42:58" x14ac:dyDescent="0.35">
      <c r="AP4768" s="93"/>
      <c r="AQ4768" s="31"/>
      <c r="AR4768" s="31"/>
      <c r="AS4768" s="94"/>
      <c r="AT4768" s="31"/>
      <c r="AU4768" s="31"/>
      <c r="AV4768" s="94"/>
      <c r="AW4768" s="32"/>
      <c r="AX4768" s="32"/>
      <c r="AY4768" s="32"/>
      <c r="AZ4768" s="32"/>
      <c r="BA4768" s="32"/>
      <c r="BB4768" s="31"/>
      <c r="BC4768" s="31"/>
      <c r="BD4768" s="31"/>
      <c r="BE4768" s="31"/>
      <c r="BF4768" s="96"/>
    </row>
    <row r="4769" spans="42:58" x14ac:dyDescent="0.35">
      <c r="AP4769" s="92"/>
      <c r="AQ4769" s="67"/>
      <c r="AR4769" s="67"/>
      <c r="AS4769" s="73"/>
      <c r="AT4769" s="67"/>
      <c r="AU4769" s="67"/>
      <c r="AV4769" s="73"/>
      <c r="AW4769" s="68"/>
      <c r="AX4769" s="68"/>
      <c r="AY4769" s="68"/>
      <c r="AZ4769" s="68"/>
      <c r="BA4769" s="68"/>
      <c r="BB4769" s="67"/>
      <c r="BC4769" s="67"/>
      <c r="BD4769" s="67"/>
      <c r="BE4769" s="67"/>
      <c r="BF4769" s="95"/>
    </row>
    <row r="4770" spans="42:58" x14ac:dyDescent="0.35">
      <c r="AP4770" s="93"/>
      <c r="AQ4770" s="31"/>
      <c r="AR4770" s="31"/>
      <c r="AS4770" s="94"/>
      <c r="AT4770" s="31"/>
      <c r="AU4770" s="31"/>
      <c r="AV4770" s="94"/>
      <c r="AW4770" s="32"/>
      <c r="AX4770" s="32"/>
      <c r="AY4770" s="32"/>
      <c r="AZ4770" s="32"/>
      <c r="BA4770" s="32"/>
      <c r="BB4770" s="31"/>
      <c r="BC4770" s="31"/>
      <c r="BD4770" s="31"/>
      <c r="BE4770" s="31"/>
      <c r="BF4770" s="96"/>
    </row>
    <row r="4771" spans="42:58" x14ac:dyDescent="0.35">
      <c r="AP4771" s="92"/>
      <c r="AQ4771" s="67"/>
      <c r="AR4771" s="67"/>
      <c r="AS4771" s="73"/>
      <c r="AT4771" s="67"/>
      <c r="AU4771" s="67"/>
      <c r="AV4771" s="73"/>
      <c r="AW4771" s="68"/>
      <c r="AX4771" s="68"/>
      <c r="AY4771" s="68"/>
      <c r="AZ4771" s="68"/>
      <c r="BA4771" s="68"/>
      <c r="BB4771" s="67"/>
      <c r="BC4771" s="67"/>
      <c r="BD4771" s="67"/>
      <c r="BE4771" s="67"/>
      <c r="BF4771" s="95"/>
    </row>
    <row r="4772" spans="42:58" x14ac:dyDescent="0.35">
      <c r="AP4772" s="93"/>
      <c r="AQ4772" s="31"/>
      <c r="AR4772" s="31"/>
      <c r="AS4772" s="94"/>
      <c r="AT4772" s="31"/>
      <c r="AU4772" s="31"/>
      <c r="AV4772" s="94"/>
      <c r="AW4772" s="32"/>
      <c r="AX4772" s="32"/>
      <c r="AY4772" s="32"/>
      <c r="AZ4772" s="32"/>
      <c r="BA4772" s="32"/>
      <c r="BB4772" s="31"/>
      <c r="BC4772" s="31"/>
      <c r="BD4772" s="31"/>
      <c r="BE4772" s="31"/>
      <c r="BF4772" s="96"/>
    </row>
    <row r="4773" spans="42:58" x14ac:dyDescent="0.35">
      <c r="AP4773" s="92"/>
      <c r="AQ4773" s="67"/>
      <c r="AR4773" s="67"/>
      <c r="AS4773" s="73"/>
      <c r="AT4773" s="67"/>
      <c r="AU4773" s="67"/>
      <c r="AV4773" s="73"/>
      <c r="AW4773" s="68"/>
      <c r="AX4773" s="68"/>
      <c r="AY4773" s="68"/>
      <c r="AZ4773" s="68"/>
      <c r="BA4773" s="68"/>
      <c r="BB4773" s="67"/>
      <c r="BC4773" s="67"/>
      <c r="BD4773" s="67"/>
      <c r="BE4773" s="67"/>
      <c r="BF4773" s="95"/>
    </row>
    <row r="4774" spans="42:58" x14ac:dyDescent="0.35">
      <c r="AP4774" s="93"/>
      <c r="AQ4774" s="31"/>
      <c r="AR4774" s="31"/>
      <c r="AS4774" s="94"/>
      <c r="AT4774" s="31"/>
      <c r="AU4774" s="31"/>
      <c r="AV4774" s="94"/>
      <c r="AW4774" s="32"/>
      <c r="AX4774" s="32"/>
      <c r="AY4774" s="32"/>
      <c r="AZ4774" s="32"/>
      <c r="BA4774" s="32"/>
      <c r="BB4774" s="31"/>
      <c r="BC4774" s="31"/>
      <c r="BD4774" s="31"/>
      <c r="BE4774" s="31"/>
      <c r="BF4774" s="96"/>
    </row>
    <row r="4775" spans="42:58" x14ac:dyDescent="0.35">
      <c r="AP4775" s="92"/>
      <c r="AQ4775" s="67"/>
      <c r="AR4775" s="67"/>
      <c r="AS4775" s="73"/>
      <c r="AT4775" s="67"/>
      <c r="AU4775" s="67"/>
      <c r="AV4775" s="73"/>
      <c r="AW4775" s="68"/>
      <c r="AX4775" s="68"/>
      <c r="AY4775" s="68"/>
      <c r="AZ4775" s="68"/>
      <c r="BA4775" s="68"/>
      <c r="BB4775" s="67"/>
      <c r="BC4775" s="67"/>
      <c r="BD4775" s="67"/>
      <c r="BE4775" s="67"/>
      <c r="BF4775" s="95"/>
    </row>
    <row r="4776" spans="42:58" x14ac:dyDescent="0.35">
      <c r="AP4776" s="93"/>
      <c r="AQ4776" s="31"/>
      <c r="AR4776" s="31"/>
      <c r="AS4776" s="94"/>
      <c r="AT4776" s="31"/>
      <c r="AU4776" s="31"/>
      <c r="AV4776" s="94"/>
      <c r="AW4776" s="32"/>
      <c r="AX4776" s="32"/>
      <c r="AY4776" s="32"/>
      <c r="AZ4776" s="32"/>
      <c r="BA4776" s="32"/>
      <c r="BB4776" s="31"/>
      <c r="BC4776" s="31"/>
      <c r="BD4776" s="31"/>
      <c r="BE4776" s="31"/>
      <c r="BF4776" s="96"/>
    </row>
    <row r="4777" spans="42:58" x14ac:dyDescent="0.35">
      <c r="AP4777" s="92"/>
      <c r="AQ4777" s="67"/>
      <c r="AR4777" s="67"/>
      <c r="AS4777" s="73"/>
      <c r="AT4777" s="67"/>
      <c r="AU4777" s="67"/>
      <c r="AV4777" s="73"/>
      <c r="AW4777" s="68"/>
      <c r="AX4777" s="68"/>
      <c r="AY4777" s="68"/>
      <c r="AZ4777" s="68"/>
      <c r="BA4777" s="68"/>
      <c r="BB4777" s="67"/>
      <c r="BC4777" s="67"/>
      <c r="BD4777" s="67"/>
      <c r="BE4777" s="67"/>
      <c r="BF4777" s="95"/>
    </row>
    <row r="4778" spans="42:58" x14ac:dyDescent="0.35">
      <c r="AP4778" s="93"/>
      <c r="AQ4778" s="31"/>
      <c r="AR4778" s="31"/>
      <c r="AS4778" s="94"/>
      <c r="AT4778" s="31"/>
      <c r="AU4778" s="31"/>
      <c r="AV4778" s="94"/>
      <c r="AW4778" s="32"/>
      <c r="AX4778" s="32"/>
      <c r="AY4778" s="32"/>
      <c r="AZ4778" s="32"/>
      <c r="BA4778" s="32"/>
      <c r="BB4778" s="31"/>
      <c r="BC4778" s="31"/>
      <c r="BD4778" s="31"/>
      <c r="BE4778" s="31"/>
      <c r="BF4778" s="96"/>
    </row>
    <row r="4779" spans="42:58" x14ac:dyDescent="0.35">
      <c r="AP4779" s="92"/>
      <c r="AQ4779" s="67"/>
      <c r="AR4779" s="67"/>
      <c r="AS4779" s="73"/>
      <c r="AT4779" s="67"/>
      <c r="AU4779" s="67"/>
      <c r="AV4779" s="73"/>
      <c r="AW4779" s="68"/>
      <c r="AX4779" s="68"/>
      <c r="AY4779" s="68"/>
      <c r="AZ4779" s="68"/>
      <c r="BA4779" s="68"/>
      <c r="BB4779" s="67"/>
      <c r="BC4779" s="67"/>
      <c r="BD4779" s="67"/>
      <c r="BE4779" s="67"/>
      <c r="BF4779" s="95"/>
    </row>
    <row r="4780" spans="42:58" x14ac:dyDescent="0.35">
      <c r="AP4780" s="93"/>
      <c r="AQ4780" s="31"/>
      <c r="AR4780" s="31"/>
      <c r="AS4780" s="94"/>
      <c r="AT4780" s="31"/>
      <c r="AU4780" s="31"/>
      <c r="AV4780" s="94"/>
      <c r="AW4780" s="32"/>
      <c r="AX4780" s="32"/>
      <c r="AY4780" s="32"/>
      <c r="AZ4780" s="32"/>
      <c r="BA4780" s="32"/>
      <c r="BB4780" s="31"/>
      <c r="BC4780" s="31"/>
      <c r="BD4780" s="31"/>
      <c r="BE4780" s="31"/>
      <c r="BF4780" s="96"/>
    </row>
    <row r="4781" spans="42:58" x14ac:dyDescent="0.35">
      <c r="AP4781" s="92"/>
      <c r="AQ4781" s="67"/>
      <c r="AR4781" s="67"/>
      <c r="AS4781" s="73"/>
      <c r="AT4781" s="67"/>
      <c r="AU4781" s="67"/>
      <c r="AV4781" s="73"/>
      <c r="AW4781" s="68"/>
      <c r="AX4781" s="68"/>
      <c r="AY4781" s="68"/>
      <c r="AZ4781" s="68"/>
      <c r="BA4781" s="68"/>
      <c r="BB4781" s="67"/>
      <c r="BC4781" s="67"/>
      <c r="BD4781" s="67"/>
      <c r="BE4781" s="67"/>
      <c r="BF4781" s="95"/>
    </row>
    <row r="4782" spans="42:58" x14ac:dyDescent="0.35">
      <c r="AP4782" s="93"/>
      <c r="AQ4782" s="31"/>
      <c r="AR4782" s="31"/>
      <c r="AS4782" s="94"/>
      <c r="AT4782" s="31"/>
      <c r="AU4782" s="31"/>
      <c r="AV4782" s="94"/>
      <c r="AW4782" s="32"/>
      <c r="AX4782" s="32"/>
      <c r="AY4782" s="32"/>
      <c r="AZ4782" s="32"/>
      <c r="BA4782" s="32"/>
      <c r="BB4782" s="31"/>
      <c r="BC4782" s="31"/>
      <c r="BD4782" s="31"/>
      <c r="BE4782" s="31"/>
      <c r="BF4782" s="96"/>
    </row>
    <row r="4783" spans="42:58" x14ac:dyDescent="0.35">
      <c r="AP4783" s="92"/>
      <c r="AQ4783" s="67"/>
      <c r="AR4783" s="67"/>
      <c r="AS4783" s="73"/>
      <c r="AT4783" s="67"/>
      <c r="AU4783" s="67"/>
      <c r="AV4783" s="73"/>
      <c r="AW4783" s="68"/>
      <c r="AX4783" s="68"/>
      <c r="AY4783" s="68"/>
      <c r="AZ4783" s="68"/>
      <c r="BA4783" s="68"/>
      <c r="BB4783" s="67"/>
      <c r="BC4783" s="67"/>
      <c r="BD4783" s="67"/>
      <c r="BE4783" s="67"/>
      <c r="BF4783" s="95"/>
    </row>
    <row r="4784" spans="42:58" x14ac:dyDescent="0.35">
      <c r="AP4784" s="93"/>
      <c r="AQ4784" s="31"/>
      <c r="AR4784" s="31"/>
      <c r="AS4784" s="94"/>
      <c r="AT4784" s="31"/>
      <c r="AU4784" s="31"/>
      <c r="AV4784" s="94"/>
      <c r="AW4784" s="32"/>
      <c r="AX4784" s="32"/>
      <c r="AY4784" s="32"/>
      <c r="AZ4784" s="32"/>
      <c r="BA4784" s="32"/>
      <c r="BB4784" s="31"/>
      <c r="BC4784" s="31"/>
      <c r="BD4784" s="31"/>
      <c r="BE4784" s="31"/>
      <c r="BF4784" s="96"/>
    </row>
    <row r="4785" spans="42:58" x14ac:dyDescent="0.35">
      <c r="AP4785" s="92"/>
      <c r="AQ4785" s="67"/>
      <c r="AR4785" s="67"/>
      <c r="AS4785" s="73"/>
      <c r="AT4785" s="67"/>
      <c r="AU4785" s="67"/>
      <c r="AV4785" s="73"/>
      <c r="AW4785" s="68"/>
      <c r="AX4785" s="68"/>
      <c r="AY4785" s="68"/>
      <c r="AZ4785" s="68"/>
      <c r="BA4785" s="68"/>
      <c r="BB4785" s="67"/>
      <c r="BC4785" s="67"/>
      <c r="BD4785" s="67"/>
      <c r="BE4785" s="67"/>
      <c r="BF4785" s="95"/>
    </row>
    <row r="4786" spans="42:58" x14ac:dyDescent="0.35">
      <c r="AP4786" s="93"/>
      <c r="AQ4786" s="31"/>
      <c r="AR4786" s="31"/>
      <c r="AS4786" s="94"/>
      <c r="AT4786" s="31"/>
      <c r="AU4786" s="31"/>
      <c r="AV4786" s="94"/>
      <c r="AW4786" s="32"/>
      <c r="AX4786" s="32"/>
      <c r="AY4786" s="32"/>
      <c r="AZ4786" s="32"/>
      <c r="BA4786" s="32"/>
      <c r="BB4786" s="31"/>
      <c r="BC4786" s="31"/>
      <c r="BD4786" s="31"/>
      <c r="BE4786" s="31"/>
      <c r="BF4786" s="96"/>
    </row>
    <row r="4787" spans="42:58" x14ac:dyDescent="0.35">
      <c r="AP4787" s="92"/>
      <c r="AQ4787" s="67"/>
      <c r="AR4787" s="67"/>
      <c r="AS4787" s="73"/>
      <c r="AT4787" s="67"/>
      <c r="AU4787" s="67"/>
      <c r="AV4787" s="73"/>
      <c r="AW4787" s="68"/>
      <c r="AX4787" s="68"/>
      <c r="AY4787" s="68"/>
      <c r="AZ4787" s="68"/>
      <c r="BA4787" s="68"/>
      <c r="BB4787" s="67"/>
      <c r="BC4787" s="67"/>
      <c r="BD4787" s="67"/>
      <c r="BE4787" s="67"/>
      <c r="BF4787" s="95"/>
    </row>
    <row r="4788" spans="42:58" x14ac:dyDescent="0.35">
      <c r="AP4788" s="93"/>
      <c r="AQ4788" s="31"/>
      <c r="AR4788" s="31"/>
      <c r="AS4788" s="94"/>
      <c r="AT4788" s="31"/>
      <c r="AU4788" s="31"/>
      <c r="AV4788" s="94"/>
      <c r="AW4788" s="32"/>
      <c r="AX4788" s="32"/>
      <c r="AY4788" s="32"/>
      <c r="AZ4788" s="32"/>
      <c r="BA4788" s="32"/>
      <c r="BB4788" s="31"/>
      <c r="BC4788" s="31"/>
      <c r="BD4788" s="31"/>
      <c r="BE4788" s="31"/>
      <c r="BF4788" s="96"/>
    </row>
    <row r="4789" spans="42:58" x14ac:dyDescent="0.35">
      <c r="AP4789" s="92"/>
      <c r="AQ4789" s="67"/>
      <c r="AR4789" s="67"/>
      <c r="AS4789" s="73"/>
      <c r="AT4789" s="67"/>
      <c r="AU4789" s="67"/>
      <c r="AV4789" s="73"/>
      <c r="AW4789" s="68"/>
      <c r="AX4789" s="68"/>
      <c r="AY4789" s="68"/>
      <c r="AZ4789" s="68"/>
      <c r="BA4789" s="68"/>
      <c r="BB4789" s="67"/>
      <c r="BC4789" s="67"/>
      <c r="BD4789" s="67"/>
      <c r="BE4789" s="67"/>
      <c r="BF4789" s="95"/>
    </row>
    <row r="4790" spans="42:58" x14ac:dyDescent="0.35">
      <c r="AP4790" s="93"/>
      <c r="AQ4790" s="31"/>
      <c r="AR4790" s="31"/>
      <c r="AS4790" s="94"/>
      <c r="AT4790" s="31"/>
      <c r="AU4790" s="31"/>
      <c r="AV4790" s="94"/>
      <c r="AW4790" s="32"/>
      <c r="AX4790" s="32"/>
      <c r="AY4790" s="32"/>
      <c r="AZ4790" s="32"/>
      <c r="BA4790" s="32"/>
      <c r="BB4790" s="31"/>
      <c r="BC4790" s="31"/>
      <c r="BD4790" s="31"/>
      <c r="BE4790" s="31"/>
      <c r="BF4790" s="96"/>
    </row>
    <row r="4791" spans="42:58" x14ac:dyDescent="0.35">
      <c r="AP4791" s="92"/>
      <c r="AQ4791" s="67"/>
      <c r="AR4791" s="67"/>
      <c r="AS4791" s="73"/>
      <c r="AT4791" s="67"/>
      <c r="AU4791" s="67"/>
      <c r="AV4791" s="73"/>
      <c r="AW4791" s="68"/>
      <c r="AX4791" s="68"/>
      <c r="AY4791" s="68"/>
      <c r="AZ4791" s="68"/>
      <c r="BA4791" s="68"/>
      <c r="BB4791" s="67"/>
      <c r="BC4791" s="67"/>
      <c r="BD4791" s="67"/>
      <c r="BE4791" s="67"/>
      <c r="BF4791" s="95"/>
    </row>
    <row r="4792" spans="42:58" x14ac:dyDescent="0.35">
      <c r="AP4792" s="93"/>
      <c r="AQ4792" s="31"/>
      <c r="AR4792" s="31"/>
      <c r="AS4792" s="94"/>
      <c r="AT4792" s="31"/>
      <c r="AU4792" s="31"/>
      <c r="AV4792" s="94"/>
      <c r="AW4792" s="32"/>
      <c r="AX4792" s="32"/>
      <c r="AY4792" s="32"/>
      <c r="AZ4792" s="32"/>
      <c r="BA4792" s="32"/>
      <c r="BB4792" s="31"/>
      <c r="BC4792" s="31"/>
      <c r="BD4792" s="31"/>
      <c r="BE4792" s="31"/>
      <c r="BF4792" s="96"/>
    </row>
    <row r="4793" spans="42:58" x14ac:dyDescent="0.35">
      <c r="AP4793" s="92"/>
      <c r="AQ4793" s="67"/>
      <c r="AR4793" s="67"/>
      <c r="AS4793" s="73"/>
      <c r="AT4793" s="67"/>
      <c r="AU4793" s="67"/>
      <c r="AV4793" s="73"/>
      <c r="AW4793" s="68"/>
      <c r="AX4793" s="68"/>
      <c r="AY4793" s="68"/>
      <c r="AZ4793" s="68"/>
      <c r="BA4793" s="68"/>
      <c r="BB4793" s="67"/>
      <c r="BC4793" s="67"/>
      <c r="BD4793" s="67"/>
      <c r="BE4793" s="67"/>
      <c r="BF4793" s="95"/>
    </row>
    <row r="4794" spans="42:58" x14ac:dyDescent="0.35">
      <c r="AP4794" s="93"/>
      <c r="AQ4794" s="31"/>
      <c r="AR4794" s="31"/>
      <c r="AS4794" s="94"/>
      <c r="AT4794" s="31"/>
      <c r="AU4794" s="31"/>
      <c r="AV4794" s="94"/>
      <c r="AW4794" s="32"/>
      <c r="AX4794" s="32"/>
      <c r="AY4794" s="32"/>
      <c r="AZ4794" s="32"/>
      <c r="BA4794" s="32"/>
      <c r="BB4794" s="31"/>
      <c r="BC4794" s="31"/>
      <c r="BD4794" s="31"/>
      <c r="BE4794" s="31"/>
      <c r="BF4794" s="96"/>
    </row>
    <row r="4795" spans="42:58" x14ac:dyDescent="0.35">
      <c r="AP4795" s="92"/>
      <c r="AQ4795" s="67"/>
      <c r="AR4795" s="67"/>
      <c r="AS4795" s="73"/>
      <c r="AT4795" s="67"/>
      <c r="AU4795" s="67"/>
      <c r="AV4795" s="73"/>
      <c r="AW4795" s="68"/>
      <c r="AX4795" s="68"/>
      <c r="AY4795" s="68"/>
      <c r="AZ4795" s="68"/>
      <c r="BA4795" s="68"/>
      <c r="BB4795" s="67"/>
      <c r="BC4795" s="67"/>
      <c r="BD4795" s="67"/>
      <c r="BE4795" s="67"/>
      <c r="BF4795" s="95"/>
    </row>
    <row r="4796" spans="42:58" x14ac:dyDescent="0.35">
      <c r="AP4796" s="93"/>
      <c r="AQ4796" s="31"/>
      <c r="AR4796" s="31"/>
      <c r="AS4796" s="94"/>
      <c r="AT4796" s="31"/>
      <c r="AU4796" s="31"/>
      <c r="AV4796" s="94"/>
      <c r="AW4796" s="32"/>
      <c r="AX4796" s="32"/>
      <c r="AY4796" s="32"/>
      <c r="AZ4796" s="32"/>
      <c r="BA4796" s="32"/>
      <c r="BB4796" s="31"/>
      <c r="BC4796" s="31"/>
      <c r="BD4796" s="31"/>
      <c r="BE4796" s="31"/>
      <c r="BF4796" s="96"/>
    </row>
    <row r="4797" spans="42:58" x14ac:dyDescent="0.35">
      <c r="AP4797" s="92"/>
      <c r="AQ4797" s="67"/>
      <c r="AR4797" s="67"/>
      <c r="AS4797" s="73"/>
      <c r="AT4797" s="67"/>
      <c r="AU4797" s="67"/>
      <c r="AV4797" s="73"/>
      <c r="AW4797" s="68"/>
      <c r="AX4797" s="68"/>
      <c r="AY4797" s="68"/>
      <c r="AZ4797" s="68"/>
      <c r="BA4797" s="68"/>
      <c r="BB4797" s="67"/>
      <c r="BC4797" s="67"/>
      <c r="BD4797" s="67"/>
      <c r="BE4797" s="67"/>
      <c r="BF4797" s="95"/>
    </row>
    <row r="4798" spans="42:58" x14ac:dyDescent="0.35">
      <c r="AP4798" s="93"/>
      <c r="AQ4798" s="31"/>
      <c r="AR4798" s="31"/>
      <c r="AS4798" s="94"/>
      <c r="AT4798" s="31"/>
      <c r="AU4798" s="31"/>
      <c r="AV4798" s="94"/>
      <c r="AW4798" s="32"/>
      <c r="AX4798" s="32"/>
      <c r="AY4798" s="32"/>
      <c r="AZ4798" s="32"/>
      <c r="BA4798" s="32"/>
      <c r="BB4798" s="31"/>
      <c r="BC4798" s="31"/>
      <c r="BD4798" s="31"/>
      <c r="BE4798" s="31"/>
      <c r="BF4798" s="96"/>
    </row>
    <row r="4799" spans="42:58" x14ac:dyDescent="0.35">
      <c r="AP4799" s="92"/>
      <c r="AQ4799" s="67"/>
      <c r="AR4799" s="67"/>
      <c r="AS4799" s="73"/>
      <c r="AT4799" s="67"/>
      <c r="AU4799" s="67"/>
      <c r="AV4799" s="73"/>
      <c r="AW4799" s="68"/>
      <c r="AX4799" s="68"/>
      <c r="AY4799" s="68"/>
      <c r="AZ4799" s="68"/>
      <c r="BA4799" s="68"/>
      <c r="BB4799" s="67"/>
      <c r="BC4799" s="67"/>
      <c r="BD4799" s="67"/>
      <c r="BE4799" s="67"/>
      <c r="BF4799" s="95"/>
    </row>
    <row r="4800" spans="42:58" x14ac:dyDescent="0.35">
      <c r="AP4800" s="93"/>
      <c r="AQ4800" s="31"/>
      <c r="AR4800" s="31"/>
      <c r="AS4800" s="94"/>
      <c r="AT4800" s="31"/>
      <c r="AU4800" s="31"/>
      <c r="AV4800" s="94"/>
      <c r="AW4800" s="32"/>
      <c r="AX4800" s="32"/>
      <c r="AY4800" s="32"/>
      <c r="AZ4800" s="32"/>
      <c r="BA4800" s="32"/>
      <c r="BB4800" s="31"/>
      <c r="BC4800" s="31"/>
      <c r="BD4800" s="31"/>
      <c r="BE4800" s="31"/>
      <c r="BF4800" s="96"/>
    </row>
    <row r="4801" spans="42:58" x14ac:dyDescent="0.35">
      <c r="AP4801" s="92"/>
      <c r="AQ4801" s="67"/>
      <c r="AR4801" s="67"/>
      <c r="AS4801" s="73"/>
      <c r="AT4801" s="67"/>
      <c r="AU4801" s="67"/>
      <c r="AV4801" s="73"/>
      <c r="AW4801" s="68"/>
      <c r="AX4801" s="68"/>
      <c r="AY4801" s="68"/>
      <c r="AZ4801" s="68"/>
      <c r="BA4801" s="68"/>
      <c r="BB4801" s="67"/>
      <c r="BC4801" s="67"/>
      <c r="BD4801" s="67"/>
      <c r="BE4801" s="67"/>
      <c r="BF4801" s="95"/>
    </row>
    <row r="4802" spans="42:58" x14ac:dyDescent="0.35">
      <c r="AP4802" s="93"/>
      <c r="AQ4802" s="31"/>
      <c r="AR4802" s="31"/>
      <c r="AS4802" s="94"/>
      <c r="AT4802" s="31"/>
      <c r="AU4802" s="31"/>
      <c r="AV4802" s="94"/>
      <c r="AW4802" s="32"/>
      <c r="AX4802" s="32"/>
      <c r="AY4802" s="32"/>
      <c r="AZ4802" s="32"/>
      <c r="BA4802" s="32"/>
      <c r="BB4802" s="31"/>
      <c r="BC4802" s="31"/>
      <c r="BD4802" s="31"/>
      <c r="BE4802" s="31"/>
      <c r="BF4802" s="96"/>
    </row>
    <row r="4803" spans="42:58" x14ac:dyDescent="0.35">
      <c r="AP4803" s="92"/>
      <c r="AQ4803" s="67"/>
      <c r="AR4803" s="67"/>
      <c r="AS4803" s="73"/>
      <c r="AT4803" s="67"/>
      <c r="AU4803" s="67"/>
      <c r="AV4803" s="73"/>
      <c r="AW4803" s="68"/>
      <c r="AX4803" s="68"/>
      <c r="AY4803" s="68"/>
      <c r="AZ4803" s="68"/>
      <c r="BA4803" s="68"/>
      <c r="BB4803" s="67"/>
      <c r="BC4803" s="67"/>
      <c r="BD4803" s="67"/>
      <c r="BE4803" s="67"/>
      <c r="BF4803" s="95"/>
    </row>
    <row r="4804" spans="42:58" x14ac:dyDescent="0.35">
      <c r="AP4804" s="93"/>
      <c r="AQ4804" s="31"/>
      <c r="AR4804" s="31"/>
      <c r="AS4804" s="94"/>
      <c r="AT4804" s="31"/>
      <c r="AU4804" s="31"/>
      <c r="AV4804" s="94"/>
      <c r="AW4804" s="32"/>
      <c r="AX4804" s="32"/>
      <c r="AY4804" s="32"/>
      <c r="AZ4804" s="32"/>
      <c r="BA4804" s="32"/>
      <c r="BB4804" s="31"/>
      <c r="BC4804" s="31"/>
      <c r="BD4804" s="31"/>
      <c r="BE4804" s="31"/>
      <c r="BF4804" s="96"/>
    </row>
    <row r="4805" spans="42:58" x14ac:dyDescent="0.35">
      <c r="AP4805" s="92"/>
      <c r="AQ4805" s="67"/>
      <c r="AR4805" s="67"/>
      <c r="AS4805" s="73"/>
      <c r="AT4805" s="67"/>
      <c r="AU4805" s="67"/>
      <c r="AV4805" s="73"/>
      <c r="AW4805" s="68"/>
      <c r="AX4805" s="68"/>
      <c r="AY4805" s="68"/>
      <c r="AZ4805" s="68"/>
      <c r="BA4805" s="68"/>
      <c r="BB4805" s="67"/>
      <c r="BC4805" s="67"/>
      <c r="BD4805" s="67"/>
      <c r="BE4805" s="67"/>
      <c r="BF4805" s="95"/>
    </row>
    <row r="4806" spans="42:58" x14ac:dyDescent="0.35">
      <c r="AP4806" s="93"/>
      <c r="AQ4806" s="31"/>
      <c r="AR4806" s="31"/>
      <c r="AS4806" s="94"/>
      <c r="AT4806" s="31"/>
      <c r="AU4806" s="31"/>
      <c r="AV4806" s="94"/>
      <c r="AW4806" s="32"/>
      <c r="AX4806" s="32"/>
      <c r="AY4806" s="32"/>
      <c r="AZ4806" s="32"/>
      <c r="BA4806" s="32"/>
      <c r="BB4806" s="31"/>
      <c r="BC4806" s="31"/>
      <c r="BD4806" s="31"/>
      <c r="BE4806" s="31"/>
      <c r="BF4806" s="96"/>
    </row>
    <row r="4807" spans="42:58" x14ac:dyDescent="0.35">
      <c r="AP4807" s="92"/>
      <c r="AQ4807" s="67"/>
      <c r="AR4807" s="67"/>
      <c r="AS4807" s="73"/>
      <c r="AT4807" s="67"/>
      <c r="AU4807" s="67"/>
      <c r="AV4807" s="73"/>
      <c r="AW4807" s="68"/>
      <c r="AX4807" s="68"/>
      <c r="AY4807" s="68"/>
      <c r="AZ4807" s="68"/>
      <c r="BA4807" s="68"/>
      <c r="BB4807" s="67"/>
      <c r="BC4807" s="67"/>
      <c r="BD4807" s="67"/>
      <c r="BE4807" s="67"/>
      <c r="BF4807" s="95"/>
    </row>
    <row r="4808" spans="42:58" x14ac:dyDescent="0.35">
      <c r="AP4808" s="93"/>
      <c r="AQ4808" s="31"/>
      <c r="AR4808" s="31"/>
      <c r="AS4808" s="94"/>
      <c r="AT4808" s="31"/>
      <c r="AU4808" s="31"/>
      <c r="AV4808" s="94"/>
      <c r="AW4808" s="32"/>
      <c r="AX4808" s="32"/>
      <c r="AY4808" s="32"/>
      <c r="AZ4808" s="32"/>
      <c r="BA4808" s="32"/>
      <c r="BB4808" s="31"/>
      <c r="BC4808" s="31"/>
      <c r="BD4808" s="31"/>
      <c r="BE4808" s="31"/>
      <c r="BF4808" s="96"/>
    </row>
    <row r="4809" spans="42:58" x14ac:dyDescent="0.35">
      <c r="AP4809" s="92"/>
      <c r="AQ4809" s="67"/>
      <c r="AR4809" s="67"/>
      <c r="AS4809" s="73"/>
      <c r="AT4809" s="67"/>
      <c r="AU4809" s="67"/>
      <c r="AV4809" s="73"/>
      <c r="AW4809" s="68"/>
      <c r="AX4809" s="68"/>
      <c r="AY4809" s="68"/>
      <c r="AZ4809" s="68"/>
      <c r="BA4809" s="68"/>
      <c r="BB4809" s="67"/>
      <c r="BC4809" s="67"/>
      <c r="BD4809" s="67"/>
      <c r="BE4809" s="67"/>
      <c r="BF4809" s="95"/>
    </row>
    <row r="4810" spans="42:58" x14ac:dyDescent="0.35">
      <c r="AP4810" s="93"/>
      <c r="AQ4810" s="31"/>
      <c r="AR4810" s="31"/>
      <c r="AS4810" s="94"/>
      <c r="AT4810" s="31"/>
      <c r="AU4810" s="31"/>
      <c r="AV4810" s="94"/>
      <c r="AW4810" s="32"/>
      <c r="AX4810" s="32"/>
      <c r="AY4810" s="32"/>
      <c r="AZ4810" s="32"/>
      <c r="BA4810" s="32"/>
      <c r="BB4810" s="31"/>
      <c r="BC4810" s="31"/>
      <c r="BD4810" s="31"/>
      <c r="BE4810" s="31"/>
      <c r="BF4810" s="96"/>
    </row>
    <row r="4811" spans="42:58" x14ac:dyDescent="0.35">
      <c r="AP4811" s="92"/>
      <c r="AQ4811" s="67"/>
      <c r="AR4811" s="67"/>
      <c r="AS4811" s="73"/>
      <c r="AT4811" s="67"/>
      <c r="AU4811" s="67"/>
      <c r="AV4811" s="73"/>
      <c r="AW4811" s="68"/>
      <c r="AX4811" s="68"/>
      <c r="AY4811" s="68"/>
      <c r="AZ4811" s="68"/>
      <c r="BA4811" s="68"/>
      <c r="BB4811" s="67"/>
      <c r="BC4811" s="67"/>
      <c r="BD4811" s="67"/>
      <c r="BE4811" s="67"/>
      <c r="BF4811" s="95"/>
    </row>
    <row r="4812" spans="42:58" x14ac:dyDescent="0.35">
      <c r="AP4812" s="93"/>
      <c r="AQ4812" s="31"/>
      <c r="AR4812" s="31"/>
      <c r="AS4812" s="94"/>
      <c r="AT4812" s="31"/>
      <c r="AU4812" s="31"/>
      <c r="AV4812" s="94"/>
      <c r="AW4812" s="32"/>
      <c r="AX4812" s="32"/>
      <c r="AY4812" s="32"/>
      <c r="AZ4812" s="32"/>
      <c r="BA4812" s="32"/>
      <c r="BB4812" s="31"/>
      <c r="BC4812" s="31"/>
      <c r="BD4812" s="31"/>
      <c r="BE4812" s="31"/>
      <c r="BF4812" s="96"/>
    </row>
    <row r="4813" spans="42:58" x14ac:dyDescent="0.35">
      <c r="AP4813" s="92"/>
      <c r="AQ4813" s="67"/>
      <c r="AR4813" s="67"/>
      <c r="AS4813" s="73"/>
      <c r="AT4813" s="67"/>
      <c r="AU4813" s="67"/>
      <c r="AV4813" s="73"/>
      <c r="AW4813" s="68"/>
      <c r="AX4813" s="68"/>
      <c r="AY4813" s="68"/>
      <c r="AZ4813" s="68"/>
      <c r="BA4813" s="68"/>
      <c r="BB4813" s="67"/>
      <c r="BC4813" s="67"/>
      <c r="BD4813" s="67"/>
      <c r="BE4813" s="67"/>
      <c r="BF4813" s="95"/>
    </row>
    <row r="4814" spans="42:58" x14ac:dyDescent="0.35">
      <c r="AP4814" s="93"/>
      <c r="AQ4814" s="31"/>
      <c r="AR4814" s="31"/>
      <c r="AS4814" s="94"/>
      <c r="AT4814" s="31"/>
      <c r="AU4814" s="31"/>
      <c r="AV4814" s="94"/>
      <c r="AW4814" s="32"/>
      <c r="AX4814" s="32"/>
      <c r="AY4814" s="32"/>
      <c r="AZ4814" s="32"/>
      <c r="BA4814" s="32"/>
      <c r="BB4814" s="31"/>
      <c r="BC4814" s="31"/>
      <c r="BD4814" s="31"/>
      <c r="BE4814" s="31"/>
      <c r="BF4814" s="96"/>
    </row>
    <row r="4815" spans="42:58" x14ac:dyDescent="0.35">
      <c r="AP4815" s="92"/>
      <c r="AQ4815" s="67"/>
      <c r="AR4815" s="67"/>
      <c r="AS4815" s="73"/>
      <c r="AT4815" s="67"/>
      <c r="AU4815" s="67"/>
      <c r="AV4815" s="73"/>
      <c r="AW4815" s="68"/>
      <c r="AX4815" s="68"/>
      <c r="AY4815" s="68"/>
      <c r="AZ4815" s="68"/>
      <c r="BA4815" s="68"/>
      <c r="BB4815" s="67"/>
      <c r="BC4815" s="67"/>
      <c r="BD4815" s="67"/>
      <c r="BE4815" s="67"/>
      <c r="BF4815" s="95"/>
    </row>
    <row r="4816" spans="42:58" x14ac:dyDescent="0.35">
      <c r="AP4816" s="93"/>
      <c r="AQ4816" s="31"/>
      <c r="AR4816" s="31"/>
      <c r="AS4816" s="94"/>
      <c r="AT4816" s="31"/>
      <c r="AU4816" s="31"/>
      <c r="AV4816" s="94"/>
      <c r="AW4816" s="32"/>
      <c r="AX4816" s="32"/>
      <c r="AY4816" s="32"/>
      <c r="AZ4816" s="32"/>
      <c r="BA4816" s="32"/>
      <c r="BB4816" s="31"/>
      <c r="BC4816" s="31"/>
      <c r="BD4816" s="31"/>
      <c r="BE4816" s="31"/>
      <c r="BF4816" s="96"/>
    </row>
    <row r="4817" spans="42:58" x14ac:dyDescent="0.35">
      <c r="AP4817" s="92"/>
      <c r="AQ4817" s="67"/>
      <c r="AR4817" s="67"/>
      <c r="AS4817" s="73"/>
      <c r="AT4817" s="67"/>
      <c r="AU4817" s="67"/>
      <c r="AV4817" s="73"/>
      <c r="AW4817" s="68"/>
      <c r="AX4817" s="68"/>
      <c r="AY4817" s="68"/>
      <c r="AZ4817" s="68"/>
      <c r="BA4817" s="68"/>
      <c r="BB4817" s="67"/>
      <c r="BC4817" s="67"/>
      <c r="BD4817" s="67"/>
      <c r="BE4817" s="67"/>
      <c r="BF4817" s="95"/>
    </row>
    <row r="4818" spans="42:58" x14ac:dyDescent="0.35">
      <c r="AP4818" s="93"/>
      <c r="AQ4818" s="31"/>
      <c r="AR4818" s="31"/>
      <c r="AS4818" s="94"/>
      <c r="AT4818" s="31"/>
      <c r="AU4818" s="31"/>
      <c r="AV4818" s="94"/>
      <c r="AW4818" s="32"/>
      <c r="AX4818" s="32"/>
      <c r="AY4818" s="32"/>
      <c r="AZ4818" s="32"/>
      <c r="BA4818" s="32"/>
      <c r="BB4818" s="31"/>
      <c r="BC4818" s="31"/>
      <c r="BD4818" s="31"/>
      <c r="BE4818" s="31"/>
      <c r="BF4818" s="96"/>
    </row>
    <row r="4819" spans="42:58" x14ac:dyDescent="0.35">
      <c r="AP4819" s="92"/>
      <c r="AQ4819" s="67"/>
      <c r="AR4819" s="67"/>
      <c r="AS4819" s="73"/>
      <c r="AT4819" s="67"/>
      <c r="AU4819" s="67"/>
      <c r="AV4819" s="73"/>
      <c r="AW4819" s="68"/>
      <c r="AX4819" s="68"/>
      <c r="AY4819" s="68"/>
      <c r="AZ4819" s="68"/>
      <c r="BA4819" s="68"/>
      <c r="BB4819" s="67"/>
      <c r="BC4819" s="67"/>
      <c r="BD4819" s="67"/>
      <c r="BE4819" s="67"/>
      <c r="BF4819" s="95"/>
    </row>
    <row r="4820" spans="42:58" x14ac:dyDescent="0.35">
      <c r="AP4820" s="93"/>
      <c r="AQ4820" s="31"/>
      <c r="AR4820" s="31"/>
      <c r="AS4820" s="94"/>
      <c r="AT4820" s="31"/>
      <c r="AU4820" s="31"/>
      <c r="AV4820" s="94"/>
      <c r="AW4820" s="32"/>
      <c r="AX4820" s="32"/>
      <c r="AY4820" s="32"/>
      <c r="AZ4820" s="32"/>
      <c r="BA4820" s="32"/>
      <c r="BB4820" s="31"/>
      <c r="BC4820" s="31"/>
      <c r="BD4820" s="31"/>
      <c r="BE4820" s="31"/>
      <c r="BF4820" s="96"/>
    </row>
    <row r="4821" spans="42:58" x14ac:dyDescent="0.35">
      <c r="AP4821" s="92"/>
      <c r="AQ4821" s="67"/>
      <c r="AR4821" s="67"/>
      <c r="AS4821" s="73"/>
      <c r="AT4821" s="67"/>
      <c r="AU4821" s="67"/>
      <c r="AV4821" s="73"/>
      <c r="AW4821" s="68"/>
      <c r="AX4821" s="68"/>
      <c r="AY4821" s="68"/>
      <c r="AZ4821" s="68"/>
      <c r="BA4821" s="68"/>
      <c r="BB4821" s="67"/>
      <c r="BC4821" s="67"/>
      <c r="BD4821" s="67"/>
      <c r="BE4821" s="67"/>
      <c r="BF4821" s="95"/>
    </row>
    <row r="4822" spans="42:58" x14ac:dyDescent="0.35">
      <c r="AP4822" s="93"/>
      <c r="AQ4822" s="31"/>
      <c r="AR4822" s="31"/>
      <c r="AS4822" s="94"/>
      <c r="AT4822" s="31"/>
      <c r="AU4822" s="31"/>
      <c r="AV4822" s="94"/>
      <c r="AW4822" s="32"/>
      <c r="AX4822" s="32"/>
      <c r="AY4822" s="32"/>
      <c r="AZ4822" s="32"/>
      <c r="BA4822" s="32"/>
      <c r="BB4822" s="31"/>
      <c r="BC4822" s="31"/>
      <c r="BD4822" s="31"/>
      <c r="BE4822" s="31"/>
      <c r="BF4822" s="96"/>
    </row>
    <row r="4823" spans="42:58" x14ac:dyDescent="0.35">
      <c r="AP4823" s="92"/>
      <c r="AQ4823" s="67"/>
      <c r="AR4823" s="67"/>
      <c r="AS4823" s="73"/>
      <c r="AT4823" s="67"/>
      <c r="AU4823" s="67"/>
      <c r="AV4823" s="73"/>
      <c r="AW4823" s="68"/>
      <c r="AX4823" s="68"/>
      <c r="AY4823" s="68"/>
      <c r="AZ4823" s="68"/>
      <c r="BA4823" s="68"/>
      <c r="BB4823" s="67"/>
      <c r="BC4823" s="67"/>
      <c r="BD4823" s="67"/>
      <c r="BE4823" s="67"/>
      <c r="BF4823" s="95"/>
    </row>
    <row r="4824" spans="42:58" x14ac:dyDescent="0.35">
      <c r="AP4824" s="93"/>
      <c r="AQ4824" s="31"/>
      <c r="AR4824" s="31"/>
      <c r="AS4824" s="94"/>
      <c r="AT4824" s="31"/>
      <c r="AU4824" s="31"/>
      <c r="AV4824" s="94"/>
      <c r="AW4824" s="32"/>
      <c r="AX4824" s="32"/>
      <c r="AY4824" s="32"/>
      <c r="AZ4824" s="32"/>
      <c r="BA4824" s="32"/>
      <c r="BB4824" s="31"/>
      <c r="BC4824" s="31"/>
      <c r="BD4824" s="31"/>
      <c r="BE4824" s="31"/>
      <c r="BF4824" s="96"/>
    </row>
    <row r="4825" spans="42:58" x14ac:dyDescent="0.35">
      <c r="AP4825" s="92"/>
      <c r="AQ4825" s="67"/>
      <c r="AR4825" s="67"/>
      <c r="AS4825" s="73"/>
      <c r="AT4825" s="67"/>
      <c r="AU4825" s="67"/>
      <c r="AV4825" s="73"/>
      <c r="AW4825" s="68"/>
      <c r="AX4825" s="68"/>
      <c r="AY4825" s="68"/>
      <c r="AZ4825" s="68"/>
      <c r="BA4825" s="68"/>
      <c r="BB4825" s="67"/>
      <c r="BC4825" s="67"/>
      <c r="BD4825" s="67"/>
      <c r="BE4825" s="67"/>
      <c r="BF4825" s="95"/>
    </row>
    <row r="4826" spans="42:58" x14ac:dyDescent="0.35">
      <c r="AP4826" s="93"/>
      <c r="AQ4826" s="31"/>
      <c r="AR4826" s="31"/>
      <c r="AS4826" s="94"/>
      <c r="AT4826" s="31"/>
      <c r="AU4826" s="31"/>
      <c r="AV4826" s="94"/>
      <c r="AW4826" s="32"/>
      <c r="AX4826" s="32"/>
      <c r="AY4826" s="32"/>
      <c r="AZ4826" s="32"/>
      <c r="BA4826" s="32"/>
      <c r="BB4826" s="31"/>
      <c r="BC4826" s="31"/>
      <c r="BD4826" s="31"/>
      <c r="BE4826" s="31"/>
      <c r="BF4826" s="96"/>
    </row>
    <row r="4827" spans="42:58" x14ac:dyDescent="0.35">
      <c r="AP4827" s="92"/>
      <c r="AQ4827" s="67"/>
      <c r="AR4827" s="67"/>
      <c r="AS4827" s="73"/>
      <c r="AT4827" s="67"/>
      <c r="AU4827" s="67"/>
      <c r="AV4827" s="73"/>
      <c r="AW4827" s="68"/>
      <c r="AX4827" s="68"/>
      <c r="AY4827" s="68"/>
      <c r="AZ4827" s="68"/>
      <c r="BA4827" s="68"/>
      <c r="BB4827" s="67"/>
      <c r="BC4827" s="67"/>
      <c r="BD4827" s="67"/>
      <c r="BE4827" s="67"/>
      <c r="BF4827" s="95"/>
    </row>
    <row r="4828" spans="42:58" x14ac:dyDescent="0.35">
      <c r="AP4828" s="93"/>
      <c r="AQ4828" s="31"/>
      <c r="AR4828" s="31"/>
      <c r="AS4828" s="94"/>
      <c r="AT4828" s="31"/>
      <c r="AU4828" s="31"/>
      <c r="AV4828" s="94"/>
      <c r="AW4828" s="32"/>
      <c r="AX4828" s="32"/>
      <c r="AY4828" s="32"/>
      <c r="AZ4828" s="32"/>
      <c r="BA4828" s="32"/>
      <c r="BB4828" s="31"/>
      <c r="BC4828" s="31"/>
      <c r="BD4828" s="31"/>
      <c r="BE4828" s="31"/>
      <c r="BF4828" s="96"/>
    </row>
    <row r="4829" spans="42:58" x14ac:dyDescent="0.35">
      <c r="AP4829" s="92"/>
      <c r="AQ4829" s="67"/>
      <c r="AR4829" s="67"/>
      <c r="AS4829" s="73"/>
      <c r="AT4829" s="67"/>
      <c r="AU4829" s="67"/>
      <c r="AV4829" s="73"/>
      <c r="AW4829" s="68"/>
      <c r="AX4829" s="68"/>
      <c r="AY4829" s="68"/>
      <c r="AZ4829" s="68"/>
      <c r="BA4829" s="68"/>
      <c r="BB4829" s="67"/>
      <c r="BC4829" s="67"/>
      <c r="BD4829" s="67"/>
      <c r="BE4829" s="67"/>
      <c r="BF4829" s="95"/>
    </row>
    <row r="4830" spans="42:58" x14ac:dyDescent="0.35">
      <c r="AP4830" s="93"/>
      <c r="AQ4830" s="31"/>
      <c r="AR4830" s="31"/>
      <c r="AS4830" s="94"/>
      <c r="AT4830" s="31"/>
      <c r="AU4830" s="31"/>
      <c r="AV4830" s="94"/>
      <c r="AW4830" s="32"/>
      <c r="AX4830" s="32"/>
      <c r="AY4830" s="32"/>
      <c r="AZ4830" s="32"/>
      <c r="BA4830" s="32"/>
      <c r="BB4830" s="31"/>
      <c r="BC4830" s="31"/>
      <c r="BD4830" s="31"/>
      <c r="BE4830" s="31"/>
      <c r="BF4830" s="96"/>
    </row>
    <row r="4831" spans="42:58" x14ac:dyDescent="0.35">
      <c r="AP4831" s="92"/>
      <c r="AQ4831" s="67"/>
      <c r="AR4831" s="67"/>
      <c r="AS4831" s="73"/>
      <c r="AT4831" s="67"/>
      <c r="AU4831" s="67"/>
      <c r="AV4831" s="73"/>
      <c r="AW4831" s="68"/>
      <c r="AX4831" s="68"/>
      <c r="AY4831" s="68"/>
      <c r="AZ4831" s="68"/>
      <c r="BA4831" s="68"/>
      <c r="BB4831" s="67"/>
      <c r="BC4831" s="67"/>
      <c r="BD4831" s="67"/>
      <c r="BE4831" s="67"/>
      <c r="BF4831" s="95"/>
    </row>
    <row r="4832" spans="42:58" x14ac:dyDescent="0.35">
      <c r="AP4832" s="93"/>
      <c r="AQ4832" s="31"/>
      <c r="AR4832" s="31"/>
      <c r="AS4832" s="94"/>
      <c r="AT4832" s="31"/>
      <c r="AU4832" s="31"/>
      <c r="AV4832" s="94"/>
      <c r="AW4832" s="32"/>
      <c r="AX4832" s="32"/>
      <c r="AY4832" s="32"/>
      <c r="AZ4832" s="32"/>
      <c r="BA4832" s="32"/>
      <c r="BB4832" s="31"/>
      <c r="BC4832" s="31"/>
      <c r="BD4832" s="31"/>
      <c r="BE4832" s="31"/>
      <c r="BF4832" s="96"/>
    </row>
    <row r="4833" spans="42:58" x14ac:dyDescent="0.35">
      <c r="AP4833" s="92"/>
      <c r="AQ4833" s="67"/>
      <c r="AR4833" s="67"/>
      <c r="AS4833" s="73"/>
      <c r="AT4833" s="67"/>
      <c r="AU4833" s="67"/>
      <c r="AV4833" s="73"/>
      <c r="AW4833" s="68"/>
      <c r="AX4833" s="68"/>
      <c r="AY4833" s="68"/>
      <c r="AZ4833" s="68"/>
      <c r="BA4833" s="68"/>
      <c r="BB4833" s="67"/>
      <c r="BC4833" s="67"/>
      <c r="BD4833" s="67"/>
      <c r="BE4833" s="67"/>
      <c r="BF4833" s="95"/>
    </row>
    <row r="4834" spans="42:58" x14ac:dyDescent="0.35">
      <c r="AP4834" s="93"/>
      <c r="AQ4834" s="31"/>
      <c r="AR4834" s="31"/>
      <c r="AS4834" s="94"/>
      <c r="AT4834" s="31"/>
      <c r="AU4834" s="31"/>
      <c r="AV4834" s="94"/>
      <c r="AW4834" s="32"/>
      <c r="AX4834" s="32"/>
      <c r="AY4834" s="32"/>
      <c r="AZ4834" s="32"/>
      <c r="BA4834" s="32"/>
      <c r="BB4834" s="31"/>
      <c r="BC4834" s="31"/>
      <c r="BD4834" s="31"/>
      <c r="BE4834" s="31"/>
      <c r="BF4834" s="96"/>
    </row>
    <row r="4835" spans="42:58" x14ac:dyDescent="0.35">
      <c r="AP4835" s="92"/>
      <c r="AQ4835" s="67"/>
      <c r="AR4835" s="67"/>
      <c r="AS4835" s="73"/>
      <c r="AT4835" s="67"/>
      <c r="AU4835" s="67"/>
      <c r="AV4835" s="73"/>
      <c r="AW4835" s="68"/>
      <c r="AX4835" s="68"/>
      <c r="AY4835" s="68"/>
      <c r="AZ4835" s="68"/>
      <c r="BA4835" s="68"/>
      <c r="BB4835" s="67"/>
      <c r="BC4835" s="67"/>
      <c r="BD4835" s="67"/>
      <c r="BE4835" s="67"/>
      <c r="BF4835" s="95"/>
    </row>
    <row r="4836" spans="42:58" x14ac:dyDescent="0.35">
      <c r="AP4836" s="93"/>
      <c r="AQ4836" s="31"/>
      <c r="AR4836" s="31"/>
      <c r="AS4836" s="94"/>
      <c r="AT4836" s="31"/>
      <c r="AU4836" s="31"/>
      <c r="AV4836" s="94"/>
      <c r="AW4836" s="32"/>
      <c r="AX4836" s="32"/>
      <c r="AY4836" s="32"/>
      <c r="AZ4836" s="32"/>
      <c r="BA4836" s="32"/>
      <c r="BB4836" s="31"/>
      <c r="BC4836" s="31"/>
      <c r="BD4836" s="31"/>
      <c r="BE4836" s="31"/>
      <c r="BF4836" s="96"/>
    </row>
    <row r="4837" spans="42:58" x14ac:dyDescent="0.35">
      <c r="AP4837" s="92"/>
      <c r="AQ4837" s="67"/>
      <c r="AR4837" s="67"/>
      <c r="AS4837" s="73"/>
      <c r="AT4837" s="67"/>
      <c r="AU4837" s="67"/>
      <c r="AV4837" s="73"/>
      <c r="AW4837" s="68"/>
      <c r="AX4837" s="68"/>
      <c r="AY4837" s="68"/>
      <c r="AZ4837" s="68"/>
      <c r="BA4837" s="68"/>
      <c r="BB4837" s="67"/>
      <c r="BC4837" s="67"/>
      <c r="BD4837" s="67"/>
      <c r="BE4837" s="67"/>
      <c r="BF4837" s="95"/>
    </row>
    <row r="4838" spans="42:58" x14ac:dyDescent="0.35">
      <c r="AP4838" s="93"/>
      <c r="AQ4838" s="31"/>
      <c r="AR4838" s="31"/>
      <c r="AS4838" s="94"/>
      <c r="AT4838" s="31"/>
      <c r="AU4838" s="31"/>
      <c r="AV4838" s="94"/>
      <c r="AW4838" s="32"/>
      <c r="AX4838" s="32"/>
      <c r="AY4838" s="32"/>
      <c r="AZ4838" s="32"/>
      <c r="BA4838" s="32"/>
      <c r="BB4838" s="31"/>
      <c r="BC4838" s="31"/>
      <c r="BD4838" s="31"/>
      <c r="BE4838" s="31"/>
      <c r="BF4838" s="96"/>
    </row>
    <row r="4839" spans="42:58" x14ac:dyDescent="0.35">
      <c r="AP4839" s="92"/>
      <c r="AQ4839" s="67"/>
      <c r="AR4839" s="67"/>
      <c r="AS4839" s="73"/>
      <c r="AT4839" s="67"/>
      <c r="AU4839" s="67"/>
      <c r="AV4839" s="73"/>
      <c r="AW4839" s="68"/>
      <c r="AX4839" s="68"/>
      <c r="AY4839" s="68"/>
      <c r="AZ4839" s="68"/>
      <c r="BA4839" s="68"/>
      <c r="BB4839" s="67"/>
      <c r="BC4839" s="67"/>
      <c r="BD4839" s="67"/>
      <c r="BE4839" s="67"/>
      <c r="BF4839" s="95"/>
    </row>
    <row r="4840" spans="42:58" x14ac:dyDescent="0.35">
      <c r="AP4840" s="93"/>
      <c r="AQ4840" s="31"/>
      <c r="AR4840" s="31"/>
      <c r="AS4840" s="94"/>
      <c r="AT4840" s="31"/>
      <c r="AU4840" s="31"/>
      <c r="AV4840" s="94"/>
      <c r="AW4840" s="32"/>
      <c r="AX4840" s="32"/>
      <c r="AY4840" s="32"/>
      <c r="AZ4840" s="32"/>
      <c r="BA4840" s="32"/>
      <c r="BB4840" s="31"/>
      <c r="BC4840" s="31"/>
      <c r="BD4840" s="31"/>
      <c r="BE4840" s="31"/>
      <c r="BF4840" s="96"/>
    </row>
    <row r="4841" spans="42:58" x14ac:dyDescent="0.35">
      <c r="AP4841" s="92"/>
      <c r="AQ4841" s="67"/>
      <c r="AR4841" s="67"/>
      <c r="AS4841" s="73"/>
      <c r="AT4841" s="67"/>
      <c r="AU4841" s="67"/>
      <c r="AV4841" s="73"/>
      <c r="AW4841" s="68"/>
      <c r="AX4841" s="68"/>
      <c r="AY4841" s="68"/>
      <c r="AZ4841" s="68"/>
      <c r="BA4841" s="68"/>
      <c r="BB4841" s="67"/>
      <c r="BC4841" s="67"/>
      <c r="BD4841" s="67"/>
      <c r="BE4841" s="67"/>
      <c r="BF4841" s="95"/>
    </row>
    <row r="4842" spans="42:58" x14ac:dyDescent="0.35">
      <c r="AP4842" s="93"/>
      <c r="AQ4842" s="31"/>
      <c r="AR4842" s="31"/>
      <c r="AS4842" s="94"/>
      <c r="AT4842" s="31"/>
      <c r="AU4842" s="31"/>
      <c r="AV4842" s="94"/>
      <c r="AW4842" s="32"/>
      <c r="AX4842" s="32"/>
      <c r="AY4842" s="32"/>
      <c r="AZ4842" s="32"/>
      <c r="BA4842" s="32"/>
      <c r="BB4842" s="31"/>
      <c r="BC4842" s="31"/>
      <c r="BD4842" s="31"/>
      <c r="BE4842" s="31"/>
      <c r="BF4842" s="96"/>
    </row>
    <row r="4843" spans="42:58" x14ac:dyDescent="0.35">
      <c r="AP4843" s="92"/>
      <c r="AQ4843" s="67"/>
      <c r="AR4843" s="67"/>
      <c r="AS4843" s="73"/>
      <c r="AT4843" s="67"/>
      <c r="AU4843" s="67"/>
      <c r="AV4843" s="73"/>
      <c r="AW4843" s="68"/>
      <c r="AX4843" s="68"/>
      <c r="AY4843" s="68"/>
      <c r="AZ4843" s="68"/>
      <c r="BA4843" s="68"/>
      <c r="BB4843" s="67"/>
      <c r="BC4843" s="67"/>
      <c r="BD4843" s="67"/>
      <c r="BE4843" s="67"/>
      <c r="BF4843" s="95"/>
    </row>
    <row r="4844" spans="42:58" x14ac:dyDescent="0.35">
      <c r="AP4844" s="93"/>
      <c r="AQ4844" s="31"/>
      <c r="AR4844" s="31"/>
      <c r="AS4844" s="94"/>
      <c r="AT4844" s="31"/>
      <c r="AU4844" s="31"/>
      <c r="AV4844" s="94"/>
      <c r="AW4844" s="32"/>
      <c r="AX4844" s="32"/>
      <c r="AY4844" s="32"/>
      <c r="AZ4844" s="32"/>
      <c r="BA4844" s="32"/>
      <c r="BB4844" s="31"/>
      <c r="BC4844" s="31"/>
      <c r="BD4844" s="31"/>
      <c r="BE4844" s="31"/>
      <c r="BF4844" s="96"/>
    </row>
    <row r="4845" spans="42:58" x14ac:dyDescent="0.35">
      <c r="AP4845" s="92"/>
      <c r="AQ4845" s="67"/>
      <c r="AR4845" s="67"/>
      <c r="AS4845" s="73"/>
      <c r="AT4845" s="67"/>
      <c r="AU4845" s="67"/>
      <c r="AV4845" s="73"/>
      <c r="AW4845" s="68"/>
      <c r="AX4845" s="68"/>
      <c r="AY4845" s="68"/>
      <c r="AZ4845" s="68"/>
      <c r="BA4845" s="68"/>
      <c r="BB4845" s="67"/>
      <c r="BC4845" s="67"/>
      <c r="BD4845" s="67"/>
      <c r="BE4845" s="67"/>
      <c r="BF4845" s="95"/>
    </row>
    <row r="4846" spans="42:58" x14ac:dyDescent="0.35">
      <c r="AP4846" s="93"/>
      <c r="AQ4846" s="31"/>
      <c r="AR4846" s="31"/>
      <c r="AS4846" s="94"/>
      <c r="AT4846" s="31"/>
      <c r="AU4846" s="31"/>
      <c r="AV4846" s="94"/>
      <c r="AW4846" s="32"/>
      <c r="AX4846" s="32"/>
      <c r="AY4846" s="32"/>
      <c r="AZ4846" s="32"/>
      <c r="BA4846" s="32"/>
      <c r="BB4846" s="31"/>
      <c r="BC4846" s="31"/>
      <c r="BD4846" s="31"/>
      <c r="BE4846" s="31"/>
      <c r="BF4846" s="96"/>
    </row>
    <row r="4847" spans="42:58" x14ac:dyDescent="0.35">
      <c r="AP4847" s="92"/>
      <c r="AQ4847" s="67"/>
      <c r="AR4847" s="67"/>
      <c r="AS4847" s="73"/>
      <c r="AT4847" s="67"/>
      <c r="AU4847" s="67"/>
      <c r="AV4847" s="73"/>
      <c r="AW4847" s="68"/>
      <c r="AX4847" s="68"/>
      <c r="AY4847" s="68"/>
      <c r="AZ4847" s="68"/>
      <c r="BA4847" s="68"/>
      <c r="BB4847" s="67"/>
      <c r="BC4847" s="67"/>
      <c r="BD4847" s="67"/>
      <c r="BE4847" s="67"/>
      <c r="BF4847" s="95"/>
    </row>
    <row r="4848" spans="42:58" x14ac:dyDescent="0.35">
      <c r="AP4848" s="93"/>
      <c r="AQ4848" s="31"/>
      <c r="AR4848" s="31"/>
      <c r="AS4848" s="94"/>
      <c r="AT4848" s="31"/>
      <c r="AU4848" s="31"/>
      <c r="AV4848" s="94"/>
      <c r="AW4848" s="32"/>
      <c r="AX4848" s="32"/>
      <c r="AY4848" s="32"/>
      <c r="AZ4848" s="32"/>
      <c r="BA4848" s="32"/>
      <c r="BB4848" s="31"/>
      <c r="BC4848" s="31"/>
      <c r="BD4848" s="31"/>
      <c r="BE4848" s="31"/>
      <c r="BF4848" s="96"/>
    </row>
    <row r="4849" spans="42:58" x14ac:dyDescent="0.35">
      <c r="AP4849" s="92"/>
      <c r="AQ4849" s="67"/>
      <c r="AR4849" s="67"/>
      <c r="AS4849" s="73"/>
      <c r="AT4849" s="67"/>
      <c r="AU4849" s="67"/>
      <c r="AV4849" s="73"/>
      <c r="AW4849" s="68"/>
      <c r="AX4849" s="68"/>
      <c r="AY4849" s="68"/>
      <c r="AZ4849" s="68"/>
      <c r="BA4849" s="68"/>
      <c r="BB4849" s="67"/>
      <c r="BC4849" s="67"/>
      <c r="BD4849" s="67"/>
      <c r="BE4849" s="67"/>
      <c r="BF4849" s="95"/>
    </row>
    <row r="4850" spans="42:58" x14ac:dyDescent="0.35">
      <c r="AP4850" s="93"/>
      <c r="AQ4850" s="31"/>
      <c r="AR4850" s="31"/>
      <c r="AS4850" s="94"/>
      <c r="AT4850" s="31"/>
      <c r="AU4850" s="31"/>
      <c r="AV4850" s="94"/>
      <c r="AW4850" s="32"/>
      <c r="AX4850" s="32"/>
      <c r="AY4850" s="32"/>
      <c r="AZ4850" s="32"/>
      <c r="BA4850" s="32"/>
      <c r="BB4850" s="31"/>
      <c r="BC4850" s="31"/>
      <c r="BD4850" s="31"/>
      <c r="BE4850" s="31"/>
      <c r="BF4850" s="96"/>
    </row>
    <row r="4851" spans="42:58" x14ac:dyDescent="0.35">
      <c r="AP4851" s="92"/>
      <c r="AQ4851" s="67"/>
      <c r="AR4851" s="67"/>
      <c r="AS4851" s="73"/>
      <c r="AT4851" s="67"/>
      <c r="AU4851" s="67"/>
      <c r="AV4851" s="73"/>
      <c r="AW4851" s="68"/>
      <c r="AX4851" s="68"/>
      <c r="AY4851" s="68"/>
      <c r="AZ4851" s="68"/>
      <c r="BA4851" s="68"/>
      <c r="BB4851" s="67"/>
      <c r="BC4851" s="67"/>
      <c r="BD4851" s="67"/>
      <c r="BE4851" s="67"/>
      <c r="BF4851" s="95"/>
    </row>
    <row r="4852" spans="42:58" x14ac:dyDescent="0.35">
      <c r="AP4852" s="93"/>
      <c r="AQ4852" s="31"/>
      <c r="AR4852" s="31"/>
      <c r="AS4852" s="94"/>
      <c r="AT4852" s="31"/>
      <c r="AU4852" s="31"/>
      <c r="AV4852" s="94"/>
      <c r="AW4852" s="32"/>
      <c r="AX4852" s="32"/>
      <c r="AY4852" s="32"/>
      <c r="AZ4852" s="32"/>
      <c r="BA4852" s="32"/>
      <c r="BB4852" s="31"/>
      <c r="BC4852" s="31"/>
      <c r="BD4852" s="31"/>
      <c r="BE4852" s="31"/>
      <c r="BF4852" s="96"/>
    </row>
    <row r="4853" spans="42:58" x14ac:dyDescent="0.35">
      <c r="AP4853" s="92"/>
      <c r="AQ4853" s="67"/>
      <c r="AR4853" s="67"/>
      <c r="AS4853" s="73"/>
      <c r="AT4853" s="67"/>
      <c r="AU4853" s="67"/>
      <c r="AV4853" s="73"/>
      <c r="AW4853" s="68"/>
      <c r="AX4853" s="68"/>
      <c r="AY4853" s="68"/>
      <c r="AZ4853" s="68"/>
      <c r="BA4853" s="68"/>
      <c r="BB4853" s="67"/>
      <c r="BC4853" s="67"/>
      <c r="BD4853" s="67"/>
      <c r="BE4853" s="67"/>
      <c r="BF4853" s="95"/>
    </row>
    <row r="4854" spans="42:58" x14ac:dyDescent="0.35">
      <c r="AP4854" s="93"/>
      <c r="AQ4854" s="31"/>
      <c r="AR4854" s="31"/>
      <c r="AS4854" s="94"/>
      <c r="AT4854" s="31"/>
      <c r="AU4854" s="31"/>
      <c r="AV4854" s="94"/>
      <c r="AW4854" s="32"/>
      <c r="AX4854" s="32"/>
      <c r="AY4854" s="32"/>
      <c r="AZ4854" s="32"/>
      <c r="BA4854" s="32"/>
      <c r="BB4854" s="31"/>
      <c r="BC4854" s="31"/>
      <c r="BD4854" s="31"/>
      <c r="BE4854" s="31"/>
      <c r="BF4854" s="96"/>
    </row>
    <row r="4855" spans="42:58" x14ac:dyDescent="0.35">
      <c r="AP4855" s="92"/>
      <c r="AQ4855" s="67"/>
      <c r="AR4855" s="67"/>
      <c r="AS4855" s="73"/>
      <c r="AT4855" s="67"/>
      <c r="AU4855" s="67"/>
      <c r="AV4855" s="73"/>
      <c r="AW4855" s="68"/>
      <c r="AX4855" s="68"/>
      <c r="AY4855" s="68"/>
      <c r="AZ4855" s="68"/>
      <c r="BA4855" s="68"/>
      <c r="BB4855" s="67"/>
      <c r="BC4855" s="67"/>
      <c r="BD4855" s="67"/>
      <c r="BE4855" s="67"/>
      <c r="BF4855" s="95"/>
    </row>
    <row r="4856" spans="42:58" x14ac:dyDescent="0.35">
      <c r="AP4856" s="93"/>
      <c r="AQ4856" s="31"/>
      <c r="AR4856" s="31"/>
      <c r="AS4856" s="94"/>
      <c r="AT4856" s="31"/>
      <c r="AU4856" s="31"/>
      <c r="AV4856" s="94"/>
      <c r="AW4856" s="32"/>
      <c r="AX4856" s="32"/>
      <c r="AY4856" s="32"/>
      <c r="AZ4856" s="32"/>
      <c r="BA4856" s="32"/>
      <c r="BB4856" s="31"/>
      <c r="BC4856" s="31"/>
      <c r="BD4856" s="31"/>
      <c r="BE4856" s="31"/>
      <c r="BF4856" s="96"/>
    </row>
    <row r="4857" spans="42:58" x14ac:dyDescent="0.35">
      <c r="AP4857" s="92"/>
      <c r="AQ4857" s="67"/>
      <c r="AR4857" s="67"/>
      <c r="AS4857" s="73"/>
      <c r="AT4857" s="67"/>
      <c r="AU4857" s="67"/>
      <c r="AV4857" s="73"/>
      <c r="AW4857" s="68"/>
      <c r="AX4857" s="68"/>
      <c r="AY4857" s="68"/>
      <c r="AZ4857" s="68"/>
      <c r="BA4857" s="68"/>
      <c r="BB4857" s="67"/>
      <c r="BC4857" s="67"/>
      <c r="BD4857" s="67"/>
      <c r="BE4857" s="67"/>
      <c r="BF4857" s="95"/>
    </row>
    <row r="4858" spans="42:58" x14ac:dyDescent="0.35">
      <c r="AP4858" s="93"/>
      <c r="AQ4858" s="31"/>
      <c r="AR4858" s="31"/>
      <c r="AS4858" s="94"/>
      <c r="AT4858" s="31"/>
      <c r="AU4858" s="31"/>
      <c r="AV4858" s="94"/>
      <c r="AW4858" s="32"/>
      <c r="AX4858" s="32"/>
      <c r="AY4858" s="32"/>
      <c r="AZ4858" s="32"/>
      <c r="BA4858" s="32"/>
      <c r="BB4858" s="31"/>
      <c r="BC4858" s="31"/>
      <c r="BD4858" s="31"/>
      <c r="BE4858" s="31"/>
      <c r="BF4858" s="96"/>
    </row>
    <row r="4859" spans="42:58" x14ac:dyDescent="0.35">
      <c r="AP4859" s="92"/>
      <c r="AQ4859" s="67"/>
      <c r="AR4859" s="67"/>
      <c r="AS4859" s="73"/>
      <c r="AT4859" s="67"/>
      <c r="AU4859" s="67"/>
      <c r="AV4859" s="73"/>
      <c r="AW4859" s="68"/>
      <c r="AX4859" s="68"/>
      <c r="AY4859" s="68"/>
      <c r="AZ4859" s="68"/>
      <c r="BA4859" s="68"/>
      <c r="BB4859" s="67"/>
      <c r="BC4859" s="67"/>
      <c r="BD4859" s="67"/>
      <c r="BE4859" s="67"/>
      <c r="BF4859" s="95"/>
    </row>
    <row r="4860" spans="42:58" x14ac:dyDescent="0.35">
      <c r="AP4860" s="93"/>
      <c r="AQ4860" s="31"/>
      <c r="AR4860" s="31"/>
      <c r="AS4860" s="94"/>
      <c r="AT4860" s="31"/>
      <c r="AU4860" s="31"/>
      <c r="AV4860" s="94"/>
      <c r="AW4860" s="32"/>
      <c r="AX4860" s="32"/>
      <c r="AY4860" s="32"/>
      <c r="AZ4860" s="32"/>
      <c r="BA4860" s="32"/>
      <c r="BB4860" s="31"/>
      <c r="BC4860" s="31"/>
      <c r="BD4860" s="31"/>
      <c r="BE4860" s="31"/>
      <c r="BF4860" s="96"/>
    </row>
    <row r="4861" spans="42:58" x14ac:dyDescent="0.35">
      <c r="AP4861" s="92"/>
      <c r="AQ4861" s="67"/>
      <c r="AR4861" s="67"/>
      <c r="AS4861" s="73"/>
      <c r="AT4861" s="67"/>
      <c r="AU4861" s="67"/>
      <c r="AV4861" s="73"/>
      <c r="AW4861" s="68"/>
      <c r="AX4861" s="68"/>
      <c r="AY4861" s="68"/>
      <c r="AZ4861" s="68"/>
      <c r="BA4861" s="68"/>
      <c r="BB4861" s="67"/>
      <c r="BC4861" s="67"/>
      <c r="BD4861" s="67"/>
      <c r="BE4861" s="67"/>
      <c r="BF4861" s="95"/>
    </row>
    <row r="4862" spans="42:58" x14ac:dyDescent="0.35">
      <c r="AP4862" s="93"/>
      <c r="AQ4862" s="31"/>
      <c r="AR4862" s="31"/>
      <c r="AS4862" s="94"/>
      <c r="AT4862" s="31"/>
      <c r="AU4862" s="31"/>
      <c r="AV4862" s="94"/>
      <c r="AW4862" s="32"/>
      <c r="AX4862" s="32"/>
      <c r="AY4862" s="32"/>
      <c r="AZ4862" s="32"/>
      <c r="BA4862" s="32"/>
      <c r="BB4862" s="31"/>
      <c r="BC4862" s="31"/>
      <c r="BD4862" s="31"/>
      <c r="BE4862" s="31"/>
      <c r="BF4862" s="96"/>
    </row>
    <row r="4863" spans="42:58" x14ac:dyDescent="0.35">
      <c r="AP4863" s="92"/>
      <c r="AQ4863" s="67"/>
      <c r="AR4863" s="67"/>
      <c r="AS4863" s="73"/>
      <c r="AT4863" s="67"/>
      <c r="AU4863" s="67"/>
      <c r="AV4863" s="73"/>
      <c r="AW4863" s="68"/>
      <c r="AX4863" s="68"/>
      <c r="AY4863" s="68"/>
      <c r="AZ4863" s="68"/>
      <c r="BA4863" s="68"/>
      <c r="BB4863" s="67"/>
      <c r="BC4863" s="67"/>
      <c r="BD4863" s="67"/>
      <c r="BE4863" s="67"/>
      <c r="BF4863" s="95"/>
    </row>
    <row r="4864" spans="42:58" x14ac:dyDescent="0.35">
      <c r="AP4864" s="93"/>
      <c r="AQ4864" s="31"/>
      <c r="AR4864" s="31"/>
      <c r="AS4864" s="94"/>
      <c r="AT4864" s="31"/>
      <c r="AU4864" s="31"/>
      <c r="AV4864" s="94"/>
      <c r="AW4864" s="32"/>
      <c r="AX4864" s="32"/>
      <c r="AY4864" s="32"/>
      <c r="AZ4864" s="32"/>
      <c r="BA4864" s="32"/>
      <c r="BB4864" s="31"/>
      <c r="BC4864" s="31"/>
      <c r="BD4864" s="31"/>
      <c r="BE4864" s="31"/>
      <c r="BF4864" s="96"/>
    </row>
    <row r="4865" spans="42:58" x14ac:dyDescent="0.35">
      <c r="AP4865" s="92"/>
      <c r="AQ4865" s="67"/>
      <c r="AR4865" s="67"/>
      <c r="AS4865" s="73"/>
      <c r="AT4865" s="67"/>
      <c r="AU4865" s="67"/>
      <c r="AV4865" s="73"/>
      <c r="AW4865" s="68"/>
      <c r="AX4865" s="68"/>
      <c r="AY4865" s="68"/>
      <c r="AZ4865" s="68"/>
      <c r="BA4865" s="68"/>
      <c r="BB4865" s="67"/>
      <c r="BC4865" s="67"/>
      <c r="BD4865" s="67"/>
      <c r="BE4865" s="67"/>
      <c r="BF4865" s="95"/>
    </row>
    <row r="4866" spans="42:58" x14ac:dyDescent="0.35">
      <c r="AP4866" s="93"/>
      <c r="AQ4866" s="31"/>
      <c r="AR4866" s="31"/>
      <c r="AS4866" s="94"/>
      <c r="AT4866" s="31"/>
      <c r="AU4866" s="31"/>
      <c r="AV4866" s="94"/>
      <c r="AW4866" s="32"/>
      <c r="AX4866" s="32"/>
      <c r="AY4866" s="32"/>
      <c r="AZ4866" s="32"/>
      <c r="BA4866" s="32"/>
      <c r="BB4866" s="31"/>
      <c r="BC4866" s="31"/>
      <c r="BD4866" s="31"/>
      <c r="BE4866" s="31"/>
      <c r="BF4866" s="96"/>
    </row>
    <row r="4867" spans="42:58" x14ac:dyDescent="0.35">
      <c r="AP4867" s="92"/>
      <c r="AQ4867" s="67"/>
      <c r="AR4867" s="67"/>
      <c r="AS4867" s="73"/>
      <c r="AT4867" s="67"/>
      <c r="AU4867" s="67"/>
      <c r="AV4867" s="73"/>
      <c r="AW4867" s="68"/>
      <c r="AX4867" s="68"/>
      <c r="AY4867" s="68"/>
      <c r="AZ4867" s="68"/>
      <c r="BA4867" s="68"/>
      <c r="BB4867" s="67"/>
      <c r="BC4867" s="67"/>
      <c r="BD4867" s="67"/>
      <c r="BE4867" s="67"/>
      <c r="BF4867" s="95"/>
    </row>
    <row r="4868" spans="42:58" x14ac:dyDescent="0.35">
      <c r="AP4868" s="93"/>
      <c r="AQ4868" s="31"/>
      <c r="AR4868" s="31"/>
      <c r="AS4868" s="94"/>
      <c r="AT4868" s="31"/>
      <c r="AU4868" s="31"/>
      <c r="AV4868" s="94"/>
      <c r="AW4868" s="32"/>
      <c r="AX4868" s="32"/>
      <c r="AY4868" s="32"/>
      <c r="AZ4868" s="32"/>
      <c r="BA4868" s="32"/>
      <c r="BB4868" s="31"/>
      <c r="BC4868" s="31"/>
      <c r="BD4868" s="31"/>
      <c r="BE4868" s="31"/>
      <c r="BF4868" s="96"/>
    </row>
    <row r="4869" spans="42:58" x14ac:dyDescent="0.35">
      <c r="AP4869" s="92"/>
      <c r="AQ4869" s="67"/>
      <c r="AR4869" s="67"/>
      <c r="AS4869" s="73"/>
      <c r="AT4869" s="67"/>
      <c r="AU4869" s="67"/>
      <c r="AV4869" s="73"/>
      <c r="AW4869" s="68"/>
      <c r="AX4869" s="68"/>
      <c r="AY4869" s="68"/>
      <c r="AZ4869" s="68"/>
      <c r="BA4869" s="68"/>
      <c r="BB4869" s="67"/>
      <c r="BC4869" s="67"/>
      <c r="BD4869" s="67"/>
      <c r="BE4869" s="67"/>
      <c r="BF4869" s="95"/>
    </row>
    <row r="4870" spans="42:58" x14ac:dyDescent="0.35">
      <c r="AP4870" s="93"/>
      <c r="AQ4870" s="31"/>
      <c r="AR4870" s="31"/>
      <c r="AS4870" s="94"/>
      <c r="AT4870" s="31"/>
      <c r="AU4870" s="31"/>
      <c r="AV4870" s="94"/>
      <c r="AW4870" s="32"/>
      <c r="AX4870" s="32"/>
      <c r="AY4870" s="32"/>
      <c r="AZ4870" s="32"/>
      <c r="BA4870" s="32"/>
      <c r="BB4870" s="31"/>
      <c r="BC4870" s="31"/>
      <c r="BD4870" s="31"/>
      <c r="BE4870" s="31"/>
      <c r="BF4870" s="96"/>
    </row>
    <row r="4871" spans="42:58" x14ac:dyDescent="0.35">
      <c r="AP4871" s="92"/>
      <c r="AQ4871" s="67"/>
      <c r="AR4871" s="67"/>
      <c r="AS4871" s="73"/>
      <c r="AT4871" s="67"/>
      <c r="AU4871" s="67"/>
      <c r="AV4871" s="73"/>
      <c r="AW4871" s="68"/>
      <c r="AX4871" s="68"/>
      <c r="AY4871" s="68"/>
      <c r="AZ4871" s="68"/>
      <c r="BA4871" s="68"/>
      <c r="BB4871" s="67"/>
      <c r="BC4871" s="67"/>
      <c r="BD4871" s="67"/>
      <c r="BE4871" s="67"/>
      <c r="BF4871" s="95"/>
    </row>
    <row r="4872" spans="42:58" x14ac:dyDescent="0.35">
      <c r="AP4872" s="93"/>
      <c r="AQ4872" s="31"/>
      <c r="AR4872" s="31"/>
      <c r="AS4872" s="94"/>
      <c r="AT4872" s="31"/>
      <c r="AU4872" s="31"/>
      <c r="AV4872" s="94"/>
      <c r="AW4872" s="32"/>
      <c r="AX4872" s="32"/>
      <c r="AY4872" s="32"/>
      <c r="AZ4872" s="32"/>
      <c r="BA4872" s="32"/>
      <c r="BB4872" s="31"/>
      <c r="BC4872" s="31"/>
      <c r="BD4872" s="31"/>
      <c r="BE4872" s="31"/>
      <c r="BF4872" s="96"/>
    </row>
    <row r="4873" spans="42:58" x14ac:dyDescent="0.35">
      <c r="AP4873" s="92"/>
      <c r="AQ4873" s="67"/>
      <c r="AR4873" s="67"/>
      <c r="AS4873" s="73"/>
      <c r="AT4873" s="67"/>
      <c r="AU4873" s="67"/>
      <c r="AV4873" s="73"/>
      <c r="AW4873" s="68"/>
      <c r="AX4873" s="68"/>
      <c r="AY4873" s="68"/>
      <c r="AZ4873" s="68"/>
      <c r="BA4873" s="68"/>
      <c r="BB4873" s="67"/>
      <c r="BC4873" s="67"/>
      <c r="BD4873" s="67"/>
      <c r="BE4873" s="67"/>
      <c r="BF4873" s="95"/>
    </row>
    <row r="4874" spans="42:58" x14ac:dyDescent="0.35">
      <c r="AP4874" s="93"/>
      <c r="AQ4874" s="31"/>
      <c r="AR4874" s="31"/>
      <c r="AS4874" s="94"/>
      <c r="AT4874" s="31"/>
      <c r="AU4874" s="31"/>
      <c r="AV4874" s="94"/>
      <c r="AW4874" s="32"/>
      <c r="AX4874" s="32"/>
      <c r="AY4874" s="32"/>
      <c r="AZ4874" s="32"/>
      <c r="BA4874" s="32"/>
      <c r="BB4874" s="31"/>
      <c r="BC4874" s="31"/>
      <c r="BD4874" s="31"/>
      <c r="BE4874" s="31"/>
      <c r="BF4874" s="96"/>
    </row>
    <row r="4875" spans="42:58" x14ac:dyDescent="0.35">
      <c r="AP4875" s="92"/>
      <c r="AQ4875" s="67"/>
      <c r="AR4875" s="67"/>
      <c r="AS4875" s="73"/>
      <c r="AT4875" s="67"/>
      <c r="AU4875" s="67"/>
      <c r="AV4875" s="73"/>
      <c r="AW4875" s="68"/>
      <c r="AX4875" s="68"/>
      <c r="AY4875" s="68"/>
      <c r="AZ4875" s="68"/>
      <c r="BA4875" s="68"/>
      <c r="BB4875" s="67"/>
      <c r="BC4875" s="67"/>
      <c r="BD4875" s="67"/>
      <c r="BE4875" s="67"/>
      <c r="BF4875" s="95"/>
    </row>
    <row r="4876" spans="42:58" x14ac:dyDescent="0.35">
      <c r="AP4876" s="93"/>
      <c r="AQ4876" s="31"/>
      <c r="AR4876" s="31"/>
      <c r="AS4876" s="94"/>
      <c r="AT4876" s="31"/>
      <c r="AU4876" s="31"/>
      <c r="AV4876" s="94"/>
      <c r="AW4876" s="32"/>
      <c r="AX4876" s="32"/>
      <c r="AY4876" s="32"/>
      <c r="AZ4876" s="32"/>
      <c r="BA4876" s="32"/>
      <c r="BB4876" s="31"/>
      <c r="BC4876" s="31"/>
      <c r="BD4876" s="31"/>
      <c r="BE4876" s="31"/>
      <c r="BF4876" s="96"/>
    </row>
    <row r="4877" spans="42:58" x14ac:dyDescent="0.35">
      <c r="AP4877" s="92"/>
      <c r="AQ4877" s="67"/>
      <c r="AR4877" s="67"/>
      <c r="AS4877" s="73"/>
      <c r="AT4877" s="67"/>
      <c r="AU4877" s="67"/>
      <c r="AV4877" s="73"/>
      <c r="AW4877" s="68"/>
      <c r="AX4877" s="68"/>
      <c r="AY4877" s="68"/>
      <c r="AZ4877" s="68"/>
      <c r="BA4877" s="68"/>
      <c r="BB4877" s="67"/>
      <c r="BC4877" s="67"/>
      <c r="BD4877" s="67"/>
      <c r="BE4877" s="67"/>
      <c r="BF4877" s="95"/>
    </row>
    <row r="4878" spans="42:58" x14ac:dyDescent="0.35">
      <c r="AP4878" s="93"/>
      <c r="AQ4878" s="31"/>
      <c r="AR4878" s="31"/>
      <c r="AS4878" s="94"/>
      <c r="AT4878" s="31"/>
      <c r="AU4878" s="31"/>
      <c r="AV4878" s="94"/>
      <c r="AW4878" s="32"/>
      <c r="AX4878" s="32"/>
      <c r="AY4878" s="32"/>
      <c r="AZ4878" s="32"/>
      <c r="BA4878" s="32"/>
      <c r="BB4878" s="31"/>
      <c r="BC4878" s="31"/>
      <c r="BD4878" s="31"/>
      <c r="BE4878" s="31"/>
      <c r="BF4878" s="96"/>
    </row>
    <row r="4879" spans="42:58" x14ac:dyDescent="0.35">
      <c r="AP4879" s="92"/>
      <c r="AQ4879" s="67"/>
      <c r="AR4879" s="67"/>
      <c r="AS4879" s="73"/>
      <c r="AT4879" s="67"/>
      <c r="AU4879" s="67"/>
      <c r="AV4879" s="73"/>
      <c r="AW4879" s="68"/>
      <c r="AX4879" s="68"/>
      <c r="AY4879" s="68"/>
      <c r="AZ4879" s="68"/>
      <c r="BA4879" s="68"/>
      <c r="BB4879" s="67"/>
      <c r="BC4879" s="67"/>
      <c r="BD4879" s="67"/>
      <c r="BE4879" s="67"/>
      <c r="BF4879" s="95"/>
    </row>
    <row r="4880" spans="42:58" x14ac:dyDescent="0.35">
      <c r="AP4880" s="93"/>
      <c r="AQ4880" s="31"/>
      <c r="AR4880" s="31"/>
      <c r="AS4880" s="94"/>
      <c r="AT4880" s="31"/>
      <c r="AU4880" s="31"/>
      <c r="AV4880" s="94"/>
      <c r="AW4880" s="32"/>
      <c r="AX4880" s="32"/>
      <c r="AY4880" s="32"/>
      <c r="AZ4880" s="32"/>
      <c r="BA4880" s="32"/>
      <c r="BB4880" s="31"/>
      <c r="BC4880" s="31"/>
      <c r="BD4880" s="31"/>
      <c r="BE4880" s="31"/>
      <c r="BF4880" s="96"/>
    </row>
    <row r="4881" spans="42:58" x14ac:dyDescent="0.35">
      <c r="AP4881" s="92"/>
      <c r="AQ4881" s="67"/>
      <c r="AR4881" s="67"/>
      <c r="AS4881" s="73"/>
      <c r="AT4881" s="67"/>
      <c r="AU4881" s="67"/>
      <c r="AV4881" s="73"/>
      <c r="AW4881" s="68"/>
      <c r="AX4881" s="68"/>
      <c r="AY4881" s="68"/>
      <c r="AZ4881" s="68"/>
      <c r="BA4881" s="68"/>
      <c r="BB4881" s="67"/>
      <c r="BC4881" s="67"/>
      <c r="BD4881" s="67"/>
      <c r="BE4881" s="67"/>
      <c r="BF4881" s="95"/>
    </row>
    <row r="4882" spans="42:58" x14ac:dyDescent="0.35">
      <c r="AP4882" s="93"/>
      <c r="AQ4882" s="31"/>
      <c r="AR4882" s="31"/>
      <c r="AS4882" s="94"/>
      <c r="AT4882" s="31"/>
      <c r="AU4882" s="31"/>
      <c r="AV4882" s="94"/>
      <c r="AW4882" s="32"/>
      <c r="AX4882" s="32"/>
      <c r="AY4882" s="32"/>
      <c r="AZ4882" s="32"/>
      <c r="BA4882" s="32"/>
      <c r="BB4882" s="31"/>
      <c r="BC4882" s="31"/>
      <c r="BD4882" s="31"/>
      <c r="BE4882" s="31"/>
      <c r="BF4882" s="96"/>
    </row>
    <row r="4883" spans="42:58" x14ac:dyDescent="0.35">
      <c r="AP4883" s="92"/>
      <c r="AQ4883" s="67"/>
      <c r="AR4883" s="67"/>
      <c r="AS4883" s="73"/>
      <c r="AT4883" s="67"/>
      <c r="AU4883" s="67"/>
      <c r="AV4883" s="73"/>
      <c r="AW4883" s="68"/>
      <c r="AX4883" s="68"/>
      <c r="AY4883" s="68"/>
      <c r="AZ4883" s="68"/>
      <c r="BA4883" s="68"/>
      <c r="BB4883" s="67"/>
      <c r="BC4883" s="67"/>
      <c r="BD4883" s="67"/>
      <c r="BE4883" s="67"/>
      <c r="BF4883" s="95"/>
    </row>
    <row r="4884" spans="42:58" x14ac:dyDescent="0.35">
      <c r="AP4884" s="93"/>
      <c r="AQ4884" s="31"/>
      <c r="AR4884" s="31"/>
      <c r="AS4884" s="94"/>
      <c r="AT4884" s="31"/>
      <c r="AU4884" s="31"/>
      <c r="AV4884" s="94"/>
      <c r="AW4884" s="32"/>
      <c r="AX4884" s="32"/>
      <c r="AY4884" s="32"/>
      <c r="AZ4884" s="32"/>
      <c r="BA4884" s="32"/>
      <c r="BB4884" s="31"/>
      <c r="BC4884" s="31"/>
      <c r="BD4884" s="31"/>
      <c r="BE4884" s="31"/>
      <c r="BF4884" s="96"/>
    </row>
    <row r="4885" spans="42:58" x14ac:dyDescent="0.35">
      <c r="AP4885" s="92"/>
      <c r="AQ4885" s="67"/>
      <c r="AR4885" s="67"/>
      <c r="AS4885" s="73"/>
      <c r="AT4885" s="67"/>
      <c r="AU4885" s="67"/>
      <c r="AV4885" s="73"/>
      <c r="AW4885" s="68"/>
      <c r="AX4885" s="68"/>
      <c r="AY4885" s="68"/>
      <c r="AZ4885" s="68"/>
      <c r="BA4885" s="68"/>
      <c r="BB4885" s="67"/>
      <c r="BC4885" s="67"/>
      <c r="BD4885" s="67"/>
      <c r="BE4885" s="67"/>
      <c r="BF4885" s="95"/>
    </row>
    <row r="4886" spans="42:58" x14ac:dyDescent="0.35">
      <c r="AP4886" s="93"/>
      <c r="AQ4886" s="31"/>
      <c r="AR4886" s="31"/>
      <c r="AS4886" s="94"/>
      <c r="AT4886" s="31"/>
      <c r="AU4886" s="31"/>
      <c r="AV4886" s="94"/>
      <c r="AW4886" s="32"/>
      <c r="AX4886" s="32"/>
      <c r="AY4886" s="32"/>
      <c r="AZ4886" s="32"/>
      <c r="BA4886" s="32"/>
      <c r="BB4886" s="31"/>
      <c r="BC4886" s="31"/>
      <c r="BD4886" s="31"/>
      <c r="BE4886" s="31"/>
      <c r="BF4886" s="96"/>
    </row>
    <row r="4887" spans="42:58" x14ac:dyDescent="0.35">
      <c r="AP4887" s="92"/>
      <c r="AQ4887" s="67"/>
      <c r="AR4887" s="67"/>
      <c r="AS4887" s="73"/>
      <c r="AT4887" s="67"/>
      <c r="AU4887" s="67"/>
      <c r="AV4887" s="73"/>
      <c r="AW4887" s="68"/>
      <c r="AX4887" s="68"/>
      <c r="AY4887" s="68"/>
      <c r="AZ4887" s="68"/>
      <c r="BA4887" s="68"/>
      <c r="BB4887" s="67"/>
      <c r="BC4887" s="67"/>
      <c r="BD4887" s="67"/>
      <c r="BE4887" s="67"/>
      <c r="BF4887" s="95"/>
    </row>
    <row r="4888" spans="42:58" x14ac:dyDescent="0.35">
      <c r="AP4888" s="93"/>
      <c r="AQ4888" s="31"/>
      <c r="AR4888" s="31"/>
      <c r="AS4888" s="94"/>
      <c r="AT4888" s="31"/>
      <c r="AU4888" s="31"/>
      <c r="AV4888" s="94"/>
      <c r="AW4888" s="32"/>
      <c r="AX4888" s="32"/>
      <c r="AY4888" s="32"/>
      <c r="AZ4888" s="32"/>
      <c r="BA4888" s="32"/>
      <c r="BB4888" s="31"/>
      <c r="BC4888" s="31"/>
      <c r="BD4888" s="31"/>
      <c r="BE4888" s="31"/>
      <c r="BF4888" s="96"/>
    </row>
    <row r="4889" spans="42:58" x14ac:dyDescent="0.35">
      <c r="AP4889" s="92"/>
      <c r="AQ4889" s="67"/>
      <c r="AR4889" s="67"/>
      <c r="AS4889" s="73"/>
      <c r="AT4889" s="67"/>
      <c r="AU4889" s="67"/>
      <c r="AV4889" s="73"/>
      <c r="AW4889" s="68"/>
      <c r="AX4889" s="68"/>
      <c r="AY4889" s="68"/>
      <c r="AZ4889" s="68"/>
      <c r="BA4889" s="68"/>
      <c r="BB4889" s="67"/>
      <c r="BC4889" s="67"/>
      <c r="BD4889" s="67"/>
      <c r="BE4889" s="67"/>
      <c r="BF4889" s="95"/>
    </row>
    <row r="4890" spans="42:58" x14ac:dyDescent="0.35">
      <c r="AP4890" s="93"/>
      <c r="AQ4890" s="31"/>
      <c r="AR4890" s="31"/>
      <c r="AS4890" s="94"/>
      <c r="AT4890" s="31"/>
      <c r="AU4890" s="31"/>
      <c r="AV4890" s="94"/>
      <c r="AW4890" s="32"/>
      <c r="AX4890" s="32"/>
      <c r="AY4890" s="32"/>
      <c r="AZ4890" s="32"/>
      <c r="BA4890" s="32"/>
      <c r="BB4890" s="31"/>
      <c r="BC4890" s="31"/>
      <c r="BD4890" s="31"/>
      <c r="BE4890" s="31"/>
      <c r="BF4890" s="96"/>
    </row>
    <row r="4891" spans="42:58" x14ac:dyDescent="0.35">
      <c r="AP4891" s="92"/>
      <c r="AQ4891" s="67"/>
      <c r="AR4891" s="67"/>
      <c r="AS4891" s="73"/>
      <c r="AT4891" s="67"/>
      <c r="AU4891" s="67"/>
      <c r="AV4891" s="73"/>
      <c r="AW4891" s="68"/>
      <c r="AX4891" s="68"/>
      <c r="AY4891" s="68"/>
      <c r="AZ4891" s="68"/>
      <c r="BA4891" s="68"/>
      <c r="BB4891" s="67"/>
      <c r="BC4891" s="67"/>
      <c r="BD4891" s="67"/>
      <c r="BE4891" s="67"/>
      <c r="BF4891" s="95"/>
    </row>
    <row r="4892" spans="42:58" x14ac:dyDescent="0.35">
      <c r="AP4892" s="93"/>
      <c r="AQ4892" s="31"/>
      <c r="AR4892" s="31"/>
      <c r="AS4892" s="94"/>
      <c r="AT4892" s="31"/>
      <c r="AU4892" s="31"/>
      <c r="AV4892" s="94"/>
      <c r="AW4892" s="32"/>
      <c r="AX4892" s="32"/>
      <c r="AY4892" s="32"/>
      <c r="AZ4892" s="32"/>
      <c r="BA4892" s="32"/>
      <c r="BB4892" s="31"/>
      <c r="BC4892" s="31"/>
      <c r="BD4892" s="31"/>
      <c r="BE4892" s="31"/>
      <c r="BF4892" s="96"/>
    </row>
    <row r="4893" spans="42:58" x14ac:dyDescent="0.35">
      <c r="AP4893" s="92"/>
      <c r="AQ4893" s="67"/>
      <c r="AR4893" s="67"/>
      <c r="AS4893" s="73"/>
      <c r="AT4893" s="67"/>
      <c r="AU4893" s="67"/>
      <c r="AV4893" s="73"/>
      <c r="AW4893" s="68"/>
      <c r="AX4893" s="68"/>
      <c r="AY4893" s="68"/>
      <c r="AZ4893" s="68"/>
      <c r="BA4893" s="68"/>
      <c r="BB4893" s="67"/>
      <c r="BC4893" s="67"/>
      <c r="BD4893" s="67"/>
      <c r="BE4893" s="67"/>
      <c r="BF4893" s="95"/>
    </row>
    <row r="4894" spans="42:58" x14ac:dyDescent="0.35">
      <c r="AP4894" s="93"/>
      <c r="AQ4894" s="31"/>
      <c r="AR4894" s="31"/>
      <c r="AS4894" s="94"/>
      <c r="AT4894" s="31"/>
      <c r="AU4894" s="31"/>
      <c r="AV4894" s="94"/>
      <c r="AW4894" s="32"/>
      <c r="AX4894" s="32"/>
      <c r="AY4894" s="32"/>
      <c r="AZ4894" s="32"/>
      <c r="BA4894" s="32"/>
      <c r="BB4894" s="31"/>
      <c r="BC4894" s="31"/>
      <c r="BD4894" s="31"/>
      <c r="BE4894" s="31"/>
      <c r="BF4894" s="96"/>
    </row>
    <row r="4895" spans="42:58" x14ac:dyDescent="0.35">
      <c r="AP4895" s="92"/>
      <c r="AQ4895" s="67"/>
      <c r="AR4895" s="67"/>
      <c r="AS4895" s="73"/>
      <c r="AT4895" s="67"/>
      <c r="AU4895" s="67"/>
      <c r="AV4895" s="73"/>
      <c r="AW4895" s="68"/>
      <c r="AX4895" s="68"/>
      <c r="AY4895" s="68"/>
      <c r="AZ4895" s="68"/>
      <c r="BA4895" s="68"/>
      <c r="BB4895" s="67"/>
      <c r="BC4895" s="67"/>
      <c r="BD4895" s="67"/>
      <c r="BE4895" s="67"/>
      <c r="BF4895" s="95"/>
    </row>
    <row r="4896" spans="42:58" x14ac:dyDescent="0.35">
      <c r="AP4896" s="93"/>
      <c r="AQ4896" s="31"/>
      <c r="AR4896" s="31"/>
      <c r="AS4896" s="94"/>
      <c r="AT4896" s="31"/>
      <c r="AU4896" s="31"/>
      <c r="AV4896" s="94"/>
      <c r="AW4896" s="32"/>
      <c r="AX4896" s="32"/>
      <c r="AY4896" s="32"/>
      <c r="AZ4896" s="32"/>
      <c r="BA4896" s="32"/>
      <c r="BB4896" s="31"/>
      <c r="BC4896" s="31"/>
      <c r="BD4896" s="31"/>
      <c r="BE4896" s="31"/>
      <c r="BF4896" s="96"/>
    </row>
    <row r="4897" spans="42:58" x14ac:dyDescent="0.35">
      <c r="AP4897" s="92"/>
      <c r="AQ4897" s="67"/>
      <c r="AR4897" s="67"/>
      <c r="AS4897" s="73"/>
      <c r="AT4897" s="67"/>
      <c r="AU4897" s="67"/>
      <c r="AV4897" s="73"/>
      <c r="AW4897" s="68"/>
      <c r="AX4897" s="68"/>
      <c r="AY4897" s="68"/>
      <c r="AZ4897" s="68"/>
      <c r="BA4897" s="68"/>
      <c r="BB4897" s="67"/>
      <c r="BC4897" s="67"/>
      <c r="BD4897" s="67"/>
      <c r="BE4897" s="67"/>
      <c r="BF4897" s="95"/>
    </row>
    <row r="4898" spans="42:58" x14ac:dyDescent="0.35">
      <c r="AP4898" s="93"/>
      <c r="AQ4898" s="31"/>
      <c r="AR4898" s="31"/>
      <c r="AS4898" s="94"/>
      <c r="AT4898" s="31"/>
      <c r="AU4898" s="31"/>
      <c r="AV4898" s="94"/>
      <c r="AW4898" s="32"/>
      <c r="AX4898" s="32"/>
      <c r="AY4898" s="32"/>
      <c r="AZ4898" s="32"/>
      <c r="BA4898" s="32"/>
      <c r="BB4898" s="31"/>
      <c r="BC4898" s="31"/>
      <c r="BD4898" s="31"/>
      <c r="BE4898" s="31"/>
      <c r="BF4898" s="96"/>
    </row>
    <row r="4899" spans="42:58" x14ac:dyDescent="0.35">
      <c r="AP4899" s="92"/>
      <c r="AQ4899" s="67"/>
      <c r="AR4899" s="67"/>
      <c r="AS4899" s="73"/>
      <c r="AT4899" s="67"/>
      <c r="AU4899" s="67"/>
      <c r="AV4899" s="73"/>
      <c r="AW4899" s="68"/>
      <c r="AX4899" s="68"/>
      <c r="AY4899" s="68"/>
      <c r="AZ4899" s="68"/>
      <c r="BA4899" s="68"/>
      <c r="BB4899" s="67"/>
      <c r="BC4899" s="67"/>
      <c r="BD4899" s="67"/>
      <c r="BE4899" s="67"/>
      <c r="BF4899" s="95"/>
    </row>
    <row r="4900" spans="42:58" x14ac:dyDescent="0.35">
      <c r="AP4900" s="93"/>
      <c r="AQ4900" s="31"/>
      <c r="AR4900" s="31"/>
      <c r="AS4900" s="94"/>
      <c r="AT4900" s="31"/>
      <c r="AU4900" s="31"/>
      <c r="AV4900" s="94"/>
      <c r="AW4900" s="32"/>
      <c r="AX4900" s="32"/>
      <c r="AY4900" s="32"/>
      <c r="AZ4900" s="32"/>
      <c r="BA4900" s="32"/>
      <c r="BB4900" s="31"/>
      <c r="BC4900" s="31"/>
      <c r="BD4900" s="31"/>
      <c r="BE4900" s="31"/>
      <c r="BF4900" s="96"/>
    </row>
    <row r="4901" spans="42:58" x14ac:dyDescent="0.35">
      <c r="AP4901" s="92"/>
      <c r="AQ4901" s="67"/>
      <c r="AR4901" s="67"/>
      <c r="AS4901" s="73"/>
      <c r="AT4901" s="67"/>
      <c r="AU4901" s="67"/>
      <c r="AV4901" s="73"/>
      <c r="AW4901" s="68"/>
      <c r="AX4901" s="68"/>
      <c r="AY4901" s="68"/>
      <c r="AZ4901" s="68"/>
      <c r="BA4901" s="68"/>
      <c r="BB4901" s="67"/>
      <c r="BC4901" s="67"/>
      <c r="BD4901" s="67"/>
      <c r="BE4901" s="67"/>
      <c r="BF4901" s="95"/>
    </row>
    <row r="4902" spans="42:58" x14ac:dyDescent="0.35">
      <c r="AP4902" s="93"/>
      <c r="AQ4902" s="31"/>
      <c r="AR4902" s="31"/>
      <c r="AS4902" s="94"/>
      <c r="AT4902" s="31"/>
      <c r="AU4902" s="31"/>
      <c r="AV4902" s="94"/>
      <c r="AW4902" s="32"/>
      <c r="AX4902" s="32"/>
      <c r="AY4902" s="32"/>
      <c r="AZ4902" s="32"/>
      <c r="BA4902" s="32"/>
      <c r="BB4902" s="31"/>
      <c r="BC4902" s="31"/>
      <c r="BD4902" s="31"/>
      <c r="BE4902" s="31"/>
      <c r="BF4902" s="96"/>
    </row>
    <row r="4903" spans="42:58" x14ac:dyDescent="0.35">
      <c r="AP4903" s="92"/>
      <c r="AQ4903" s="67"/>
      <c r="AR4903" s="67"/>
      <c r="AS4903" s="73"/>
      <c r="AT4903" s="67"/>
      <c r="AU4903" s="67"/>
      <c r="AV4903" s="73"/>
      <c r="AW4903" s="68"/>
      <c r="AX4903" s="68"/>
      <c r="AY4903" s="68"/>
      <c r="AZ4903" s="68"/>
      <c r="BA4903" s="68"/>
      <c r="BB4903" s="67"/>
      <c r="BC4903" s="67"/>
      <c r="BD4903" s="67"/>
      <c r="BE4903" s="67"/>
      <c r="BF4903" s="95"/>
    </row>
    <row r="4904" spans="42:58" x14ac:dyDescent="0.35">
      <c r="AP4904" s="93"/>
      <c r="AQ4904" s="31"/>
      <c r="AR4904" s="31"/>
      <c r="AS4904" s="94"/>
      <c r="AT4904" s="31"/>
      <c r="AU4904" s="31"/>
      <c r="AV4904" s="94"/>
      <c r="AW4904" s="32"/>
      <c r="AX4904" s="32"/>
      <c r="AY4904" s="32"/>
      <c r="AZ4904" s="32"/>
      <c r="BA4904" s="32"/>
      <c r="BB4904" s="31"/>
      <c r="BC4904" s="31"/>
      <c r="BD4904" s="31"/>
      <c r="BE4904" s="31"/>
      <c r="BF4904" s="96"/>
    </row>
    <row r="4905" spans="42:58" x14ac:dyDescent="0.35">
      <c r="AP4905" s="92"/>
      <c r="AQ4905" s="67"/>
      <c r="AR4905" s="67"/>
      <c r="AS4905" s="73"/>
      <c r="AT4905" s="67"/>
      <c r="AU4905" s="67"/>
      <c r="AV4905" s="73"/>
      <c r="AW4905" s="68"/>
      <c r="AX4905" s="68"/>
      <c r="AY4905" s="68"/>
      <c r="AZ4905" s="68"/>
      <c r="BA4905" s="68"/>
      <c r="BB4905" s="67"/>
      <c r="BC4905" s="67"/>
      <c r="BD4905" s="67"/>
      <c r="BE4905" s="67"/>
      <c r="BF4905" s="95"/>
    </row>
    <row r="4906" spans="42:58" x14ac:dyDescent="0.35">
      <c r="AP4906" s="93"/>
      <c r="AQ4906" s="31"/>
      <c r="AR4906" s="31"/>
      <c r="AS4906" s="94"/>
      <c r="AT4906" s="31"/>
      <c r="AU4906" s="31"/>
      <c r="AV4906" s="94"/>
      <c r="AW4906" s="32"/>
      <c r="AX4906" s="32"/>
      <c r="AY4906" s="32"/>
      <c r="AZ4906" s="32"/>
      <c r="BA4906" s="32"/>
      <c r="BB4906" s="31"/>
      <c r="BC4906" s="31"/>
      <c r="BD4906" s="31"/>
      <c r="BE4906" s="31"/>
      <c r="BF4906" s="96"/>
    </row>
    <row r="4907" spans="42:58" x14ac:dyDescent="0.35">
      <c r="AP4907" s="92"/>
      <c r="AQ4907" s="67"/>
      <c r="AR4907" s="67"/>
      <c r="AS4907" s="73"/>
      <c r="AT4907" s="67"/>
      <c r="AU4907" s="67"/>
      <c r="AV4907" s="73"/>
      <c r="AW4907" s="68"/>
      <c r="AX4907" s="68"/>
      <c r="AY4907" s="68"/>
      <c r="AZ4907" s="68"/>
      <c r="BA4907" s="68"/>
      <c r="BB4907" s="67"/>
      <c r="BC4907" s="67"/>
      <c r="BD4907" s="67"/>
      <c r="BE4907" s="67"/>
      <c r="BF4907" s="95"/>
    </row>
    <row r="4908" spans="42:58" x14ac:dyDescent="0.35">
      <c r="AP4908" s="93"/>
      <c r="AQ4908" s="31"/>
      <c r="AR4908" s="31"/>
      <c r="AS4908" s="94"/>
      <c r="AT4908" s="31"/>
      <c r="AU4908" s="31"/>
      <c r="AV4908" s="94"/>
      <c r="AW4908" s="32"/>
      <c r="AX4908" s="32"/>
      <c r="AY4908" s="32"/>
      <c r="AZ4908" s="32"/>
      <c r="BA4908" s="32"/>
      <c r="BB4908" s="31"/>
      <c r="BC4908" s="31"/>
      <c r="BD4908" s="31"/>
      <c r="BE4908" s="31"/>
      <c r="BF4908" s="96"/>
    </row>
    <row r="4909" spans="42:58" x14ac:dyDescent="0.35">
      <c r="AP4909" s="92"/>
      <c r="AQ4909" s="67"/>
      <c r="AR4909" s="67"/>
      <c r="AS4909" s="73"/>
      <c r="AT4909" s="67"/>
      <c r="AU4909" s="67"/>
      <c r="AV4909" s="73"/>
      <c r="AW4909" s="68"/>
      <c r="AX4909" s="68"/>
      <c r="AY4909" s="68"/>
      <c r="AZ4909" s="68"/>
      <c r="BA4909" s="68"/>
      <c r="BB4909" s="67"/>
      <c r="BC4909" s="67"/>
      <c r="BD4909" s="67"/>
      <c r="BE4909" s="67"/>
      <c r="BF4909" s="95"/>
    </row>
    <row r="4910" spans="42:58" x14ac:dyDescent="0.35">
      <c r="AP4910" s="93"/>
      <c r="AQ4910" s="31"/>
      <c r="AR4910" s="31"/>
      <c r="AS4910" s="94"/>
      <c r="AT4910" s="31"/>
      <c r="AU4910" s="31"/>
      <c r="AV4910" s="94"/>
      <c r="AW4910" s="32"/>
      <c r="AX4910" s="32"/>
      <c r="AY4910" s="32"/>
      <c r="AZ4910" s="32"/>
      <c r="BA4910" s="32"/>
      <c r="BB4910" s="31"/>
      <c r="BC4910" s="31"/>
      <c r="BD4910" s="31"/>
      <c r="BE4910" s="31"/>
      <c r="BF4910" s="96"/>
    </row>
    <row r="4911" spans="42:58" x14ac:dyDescent="0.35">
      <c r="AP4911" s="92"/>
      <c r="AQ4911" s="67"/>
      <c r="AR4911" s="67"/>
      <c r="AS4911" s="73"/>
      <c r="AT4911" s="67"/>
      <c r="AU4911" s="67"/>
      <c r="AV4911" s="73"/>
      <c r="AW4911" s="68"/>
      <c r="AX4911" s="68"/>
      <c r="AY4911" s="68"/>
      <c r="AZ4911" s="68"/>
      <c r="BA4911" s="68"/>
      <c r="BB4911" s="67"/>
      <c r="BC4911" s="67"/>
      <c r="BD4911" s="67"/>
      <c r="BE4911" s="67"/>
      <c r="BF4911" s="95"/>
    </row>
    <row r="4912" spans="42:58" x14ac:dyDescent="0.35">
      <c r="AP4912" s="93"/>
      <c r="AQ4912" s="31"/>
      <c r="AR4912" s="31"/>
      <c r="AS4912" s="94"/>
      <c r="AT4912" s="31"/>
      <c r="AU4912" s="31"/>
      <c r="AV4912" s="94"/>
      <c r="AW4912" s="32"/>
      <c r="AX4912" s="32"/>
      <c r="AY4912" s="32"/>
      <c r="AZ4912" s="32"/>
      <c r="BA4912" s="32"/>
      <c r="BB4912" s="31"/>
      <c r="BC4912" s="31"/>
      <c r="BD4912" s="31"/>
      <c r="BE4912" s="31"/>
      <c r="BF4912" s="96"/>
    </row>
    <row r="4913" spans="42:58" x14ac:dyDescent="0.35">
      <c r="AP4913" s="92"/>
      <c r="AQ4913" s="67"/>
      <c r="AR4913" s="67"/>
      <c r="AS4913" s="73"/>
      <c r="AT4913" s="67"/>
      <c r="AU4913" s="67"/>
      <c r="AV4913" s="73"/>
      <c r="AW4913" s="68"/>
      <c r="AX4913" s="68"/>
      <c r="AY4913" s="68"/>
      <c r="AZ4913" s="68"/>
      <c r="BA4913" s="68"/>
      <c r="BB4913" s="67"/>
      <c r="BC4913" s="67"/>
      <c r="BD4913" s="67"/>
      <c r="BE4913" s="67"/>
      <c r="BF4913" s="95"/>
    </row>
    <row r="4914" spans="42:58" x14ac:dyDescent="0.35">
      <c r="AP4914" s="93"/>
      <c r="AQ4914" s="31"/>
      <c r="AR4914" s="31"/>
      <c r="AS4914" s="94"/>
      <c r="AT4914" s="31"/>
      <c r="AU4914" s="31"/>
      <c r="AV4914" s="94"/>
      <c r="AW4914" s="32"/>
      <c r="AX4914" s="32"/>
      <c r="AY4914" s="32"/>
      <c r="AZ4914" s="32"/>
      <c r="BA4914" s="32"/>
      <c r="BB4914" s="31"/>
      <c r="BC4914" s="31"/>
      <c r="BD4914" s="31"/>
      <c r="BE4914" s="31"/>
      <c r="BF4914" s="96"/>
    </row>
    <row r="4915" spans="42:58" x14ac:dyDescent="0.35">
      <c r="AP4915" s="92"/>
      <c r="AQ4915" s="67"/>
      <c r="AR4915" s="67"/>
      <c r="AS4915" s="73"/>
      <c r="AT4915" s="67"/>
      <c r="AU4915" s="67"/>
      <c r="AV4915" s="73"/>
      <c r="AW4915" s="68"/>
      <c r="AX4915" s="68"/>
      <c r="AY4915" s="68"/>
      <c r="AZ4915" s="68"/>
      <c r="BA4915" s="68"/>
      <c r="BB4915" s="67"/>
      <c r="BC4915" s="67"/>
      <c r="BD4915" s="67"/>
      <c r="BE4915" s="67"/>
      <c r="BF4915" s="95"/>
    </row>
    <row r="4916" spans="42:58" x14ac:dyDescent="0.35">
      <c r="AP4916" s="93"/>
      <c r="AQ4916" s="31"/>
      <c r="AR4916" s="31"/>
      <c r="AS4916" s="94"/>
      <c r="AT4916" s="31"/>
      <c r="AU4916" s="31"/>
      <c r="AV4916" s="94"/>
      <c r="AW4916" s="32"/>
      <c r="AX4916" s="32"/>
      <c r="AY4916" s="32"/>
      <c r="AZ4916" s="32"/>
      <c r="BA4916" s="32"/>
      <c r="BB4916" s="31"/>
      <c r="BC4916" s="31"/>
      <c r="BD4916" s="31"/>
      <c r="BE4916" s="31"/>
      <c r="BF4916" s="96"/>
    </row>
    <row r="4917" spans="42:58" x14ac:dyDescent="0.35">
      <c r="AP4917" s="92"/>
      <c r="AQ4917" s="67"/>
      <c r="AR4917" s="67"/>
      <c r="AS4917" s="73"/>
      <c r="AT4917" s="67"/>
      <c r="AU4917" s="67"/>
      <c r="AV4917" s="73"/>
      <c r="AW4917" s="68"/>
      <c r="AX4917" s="68"/>
      <c r="AY4917" s="68"/>
      <c r="AZ4917" s="68"/>
      <c r="BA4917" s="68"/>
      <c r="BB4917" s="67"/>
      <c r="BC4917" s="67"/>
      <c r="BD4917" s="67"/>
      <c r="BE4917" s="67"/>
      <c r="BF4917" s="95"/>
    </row>
    <row r="4918" spans="42:58" x14ac:dyDescent="0.35">
      <c r="AP4918" s="93"/>
      <c r="AQ4918" s="31"/>
      <c r="AR4918" s="31"/>
      <c r="AS4918" s="94"/>
      <c r="AT4918" s="31"/>
      <c r="AU4918" s="31"/>
      <c r="AV4918" s="94"/>
      <c r="AW4918" s="32"/>
      <c r="AX4918" s="32"/>
      <c r="AY4918" s="32"/>
      <c r="AZ4918" s="32"/>
      <c r="BA4918" s="32"/>
      <c r="BB4918" s="31"/>
      <c r="BC4918" s="31"/>
      <c r="BD4918" s="31"/>
      <c r="BE4918" s="31"/>
      <c r="BF4918" s="96"/>
    </row>
    <row r="4919" spans="42:58" x14ac:dyDescent="0.35">
      <c r="AP4919" s="92"/>
      <c r="AQ4919" s="67"/>
      <c r="AR4919" s="67"/>
      <c r="AS4919" s="73"/>
      <c r="AT4919" s="67"/>
      <c r="AU4919" s="67"/>
      <c r="AV4919" s="73"/>
      <c r="AW4919" s="68"/>
      <c r="AX4919" s="68"/>
      <c r="AY4919" s="68"/>
      <c r="AZ4919" s="68"/>
      <c r="BA4919" s="68"/>
      <c r="BB4919" s="67"/>
      <c r="BC4919" s="67"/>
      <c r="BD4919" s="67"/>
      <c r="BE4919" s="67"/>
      <c r="BF4919" s="95"/>
    </row>
    <row r="4920" spans="42:58" x14ac:dyDescent="0.35">
      <c r="AP4920" s="93"/>
      <c r="AQ4920" s="31"/>
      <c r="AR4920" s="31"/>
      <c r="AS4920" s="94"/>
      <c r="AT4920" s="31"/>
      <c r="AU4920" s="31"/>
      <c r="AV4920" s="94"/>
      <c r="AW4920" s="32"/>
      <c r="AX4920" s="32"/>
      <c r="AY4920" s="32"/>
      <c r="AZ4920" s="32"/>
      <c r="BA4920" s="32"/>
      <c r="BB4920" s="31"/>
      <c r="BC4920" s="31"/>
      <c r="BD4920" s="31"/>
      <c r="BE4920" s="31"/>
      <c r="BF4920" s="96"/>
    </row>
    <row r="4921" spans="42:58" x14ac:dyDescent="0.35">
      <c r="AP4921" s="92"/>
      <c r="AQ4921" s="67"/>
      <c r="AR4921" s="67"/>
      <c r="AS4921" s="73"/>
      <c r="AT4921" s="67"/>
      <c r="AU4921" s="67"/>
      <c r="AV4921" s="73"/>
      <c r="AW4921" s="68"/>
      <c r="AX4921" s="68"/>
      <c r="AY4921" s="68"/>
      <c r="AZ4921" s="68"/>
      <c r="BA4921" s="68"/>
      <c r="BB4921" s="67"/>
      <c r="BC4921" s="67"/>
      <c r="BD4921" s="67"/>
      <c r="BE4921" s="67"/>
      <c r="BF4921" s="95"/>
    </row>
    <row r="4922" spans="42:58" x14ac:dyDescent="0.35">
      <c r="AP4922" s="93"/>
      <c r="AQ4922" s="31"/>
      <c r="AR4922" s="31"/>
      <c r="AS4922" s="94"/>
      <c r="AT4922" s="31"/>
      <c r="AU4922" s="31"/>
      <c r="AV4922" s="94"/>
      <c r="AW4922" s="32"/>
      <c r="AX4922" s="32"/>
      <c r="AY4922" s="32"/>
      <c r="AZ4922" s="32"/>
      <c r="BA4922" s="32"/>
      <c r="BB4922" s="31"/>
      <c r="BC4922" s="31"/>
      <c r="BD4922" s="31"/>
      <c r="BE4922" s="31"/>
      <c r="BF4922" s="96"/>
    </row>
    <row r="4923" spans="42:58" x14ac:dyDescent="0.35">
      <c r="AP4923" s="92"/>
      <c r="AQ4923" s="67"/>
      <c r="AR4923" s="67"/>
      <c r="AS4923" s="73"/>
      <c r="AT4923" s="67"/>
      <c r="AU4923" s="67"/>
      <c r="AV4923" s="73"/>
      <c r="AW4923" s="68"/>
      <c r="AX4923" s="68"/>
      <c r="AY4923" s="68"/>
      <c r="AZ4923" s="68"/>
      <c r="BA4923" s="68"/>
      <c r="BB4923" s="67"/>
      <c r="BC4923" s="67"/>
      <c r="BD4923" s="67"/>
      <c r="BE4923" s="67"/>
      <c r="BF4923" s="95"/>
    </row>
    <row r="4924" spans="42:58" x14ac:dyDescent="0.35">
      <c r="AP4924" s="93"/>
      <c r="AQ4924" s="31"/>
      <c r="AR4924" s="31"/>
      <c r="AS4924" s="94"/>
      <c r="AT4924" s="31"/>
      <c r="AU4924" s="31"/>
      <c r="AV4924" s="94"/>
      <c r="AW4924" s="32"/>
      <c r="AX4924" s="32"/>
      <c r="AY4924" s="32"/>
      <c r="AZ4924" s="32"/>
      <c r="BA4924" s="32"/>
      <c r="BB4924" s="31"/>
      <c r="BC4924" s="31"/>
      <c r="BD4924" s="31"/>
      <c r="BE4924" s="31"/>
      <c r="BF4924" s="96"/>
    </row>
    <row r="4925" spans="42:58" x14ac:dyDescent="0.35">
      <c r="AP4925" s="92"/>
      <c r="AQ4925" s="67"/>
      <c r="AR4925" s="67"/>
      <c r="AS4925" s="73"/>
      <c r="AT4925" s="67"/>
      <c r="AU4925" s="67"/>
      <c r="AV4925" s="73"/>
      <c r="AW4925" s="68"/>
      <c r="AX4925" s="68"/>
      <c r="AY4925" s="68"/>
      <c r="AZ4925" s="68"/>
      <c r="BA4925" s="68"/>
      <c r="BB4925" s="67"/>
      <c r="BC4925" s="67"/>
      <c r="BD4925" s="67"/>
      <c r="BE4925" s="67"/>
      <c r="BF4925" s="95"/>
    </row>
    <row r="4926" spans="42:58" x14ac:dyDescent="0.35">
      <c r="AP4926" s="93"/>
      <c r="AQ4926" s="31"/>
      <c r="AR4926" s="31"/>
      <c r="AS4926" s="94"/>
      <c r="AT4926" s="31"/>
      <c r="AU4926" s="31"/>
      <c r="AV4926" s="94"/>
      <c r="AW4926" s="32"/>
      <c r="AX4926" s="32"/>
      <c r="AY4926" s="32"/>
      <c r="AZ4926" s="32"/>
      <c r="BA4926" s="32"/>
      <c r="BB4926" s="31"/>
      <c r="BC4926" s="31"/>
      <c r="BD4926" s="31"/>
      <c r="BE4926" s="31"/>
      <c r="BF4926" s="96"/>
    </row>
    <row r="4927" spans="42:58" x14ac:dyDescent="0.35">
      <c r="AP4927" s="92"/>
      <c r="AQ4927" s="67"/>
      <c r="AR4927" s="67"/>
      <c r="AS4927" s="73"/>
      <c r="AT4927" s="67"/>
      <c r="AU4927" s="67"/>
      <c r="AV4927" s="73"/>
      <c r="AW4927" s="68"/>
      <c r="AX4927" s="68"/>
      <c r="AY4927" s="68"/>
      <c r="AZ4927" s="68"/>
      <c r="BA4927" s="68"/>
      <c r="BB4927" s="67"/>
      <c r="BC4927" s="67"/>
      <c r="BD4927" s="67"/>
      <c r="BE4927" s="67"/>
      <c r="BF4927" s="95"/>
    </row>
    <row r="4928" spans="42:58" x14ac:dyDescent="0.35">
      <c r="AP4928" s="93"/>
      <c r="AQ4928" s="31"/>
      <c r="AR4928" s="31"/>
      <c r="AS4928" s="94"/>
      <c r="AT4928" s="31"/>
      <c r="AU4928" s="31"/>
      <c r="AV4928" s="94"/>
      <c r="AW4928" s="32"/>
      <c r="AX4928" s="32"/>
      <c r="AY4928" s="32"/>
      <c r="AZ4928" s="32"/>
      <c r="BA4928" s="32"/>
      <c r="BB4928" s="31"/>
      <c r="BC4928" s="31"/>
      <c r="BD4928" s="31"/>
      <c r="BE4928" s="31"/>
      <c r="BF4928" s="96"/>
    </row>
    <row r="4929" spans="42:58" x14ac:dyDescent="0.35">
      <c r="AP4929" s="92"/>
      <c r="AQ4929" s="67"/>
      <c r="AR4929" s="67"/>
      <c r="AS4929" s="73"/>
      <c r="AT4929" s="67"/>
      <c r="AU4929" s="67"/>
      <c r="AV4929" s="73"/>
      <c r="AW4929" s="68"/>
      <c r="AX4929" s="68"/>
      <c r="AY4929" s="68"/>
      <c r="AZ4929" s="68"/>
      <c r="BA4929" s="68"/>
      <c r="BB4929" s="67"/>
      <c r="BC4929" s="67"/>
      <c r="BD4929" s="67"/>
      <c r="BE4929" s="67"/>
      <c r="BF4929" s="95"/>
    </row>
    <row r="4930" spans="42:58" x14ac:dyDescent="0.35">
      <c r="AP4930" s="93"/>
      <c r="AQ4930" s="31"/>
      <c r="AR4930" s="31"/>
      <c r="AS4930" s="94"/>
      <c r="AT4930" s="31"/>
      <c r="AU4930" s="31"/>
      <c r="AV4930" s="94"/>
      <c r="AW4930" s="32"/>
      <c r="AX4930" s="32"/>
      <c r="AY4930" s="32"/>
      <c r="AZ4930" s="32"/>
      <c r="BA4930" s="32"/>
      <c r="BB4930" s="31"/>
      <c r="BC4930" s="31"/>
      <c r="BD4930" s="31"/>
      <c r="BE4930" s="31"/>
      <c r="BF4930" s="96"/>
    </row>
    <row r="4931" spans="42:58" x14ac:dyDescent="0.35">
      <c r="AP4931" s="92"/>
      <c r="AQ4931" s="67"/>
      <c r="AR4931" s="67"/>
      <c r="AS4931" s="73"/>
      <c r="AT4931" s="67"/>
      <c r="AU4931" s="67"/>
      <c r="AV4931" s="73"/>
      <c r="AW4931" s="68"/>
      <c r="AX4931" s="68"/>
      <c r="AY4931" s="68"/>
      <c r="AZ4931" s="68"/>
      <c r="BA4931" s="68"/>
      <c r="BB4931" s="67"/>
      <c r="BC4931" s="67"/>
      <c r="BD4931" s="67"/>
      <c r="BE4931" s="67"/>
      <c r="BF4931" s="95"/>
    </row>
    <row r="4932" spans="42:58" x14ac:dyDescent="0.35">
      <c r="AP4932" s="93"/>
      <c r="AQ4932" s="31"/>
      <c r="AR4932" s="31"/>
      <c r="AS4932" s="94"/>
      <c r="AT4932" s="31"/>
      <c r="AU4932" s="31"/>
      <c r="AV4932" s="94"/>
      <c r="AW4932" s="32"/>
      <c r="AX4932" s="32"/>
      <c r="AY4932" s="32"/>
      <c r="AZ4932" s="32"/>
      <c r="BA4932" s="32"/>
      <c r="BB4932" s="31"/>
      <c r="BC4932" s="31"/>
      <c r="BD4932" s="31"/>
      <c r="BE4932" s="31"/>
      <c r="BF4932" s="96"/>
    </row>
    <row r="4933" spans="42:58" x14ac:dyDescent="0.35">
      <c r="AP4933" s="92"/>
      <c r="AQ4933" s="67"/>
      <c r="AR4933" s="67"/>
      <c r="AS4933" s="73"/>
      <c r="AT4933" s="67"/>
      <c r="AU4933" s="67"/>
      <c r="AV4933" s="73"/>
      <c r="AW4933" s="68"/>
      <c r="AX4933" s="68"/>
      <c r="AY4933" s="68"/>
      <c r="AZ4933" s="68"/>
      <c r="BA4933" s="68"/>
      <c r="BB4933" s="67"/>
      <c r="BC4933" s="67"/>
      <c r="BD4933" s="67"/>
      <c r="BE4933" s="67"/>
      <c r="BF4933" s="95"/>
    </row>
    <row r="4934" spans="42:58" x14ac:dyDescent="0.35">
      <c r="AP4934" s="93"/>
      <c r="AQ4934" s="31"/>
      <c r="AR4934" s="31"/>
      <c r="AS4934" s="94"/>
      <c r="AT4934" s="31"/>
      <c r="AU4934" s="31"/>
      <c r="AV4934" s="94"/>
      <c r="AW4934" s="32"/>
      <c r="AX4934" s="32"/>
      <c r="AY4934" s="32"/>
      <c r="AZ4934" s="32"/>
      <c r="BA4934" s="32"/>
      <c r="BB4934" s="31"/>
      <c r="BC4934" s="31"/>
      <c r="BD4934" s="31"/>
      <c r="BE4934" s="31"/>
      <c r="BF4934" s="96"/>
    </row>
    <row r="4935" spans="42:58" x14ac:dyDescent="0.35">
      <c r="AP4935" s="92"/>
      <c r="AQ4935" s="67"/>
      <c r="AR4935" s="67"/>
      <c r="AS4935" s="73"/>
      <c r="AT4935" s="67"/>
      <c r="AU4935" s="67"/>
      <c r="AV4935" s="73"/>
      <c r="AW4935" s="68"/>
      <c r="AX4935" s="68"/>
      <c r="AY4935" s="68"/>
      <c r="AZ4935" s="68"/>
      <c r="BA4935" s="68"/>
      <c r="BB4935" s="67"/>
      <c r="BC4935" s="67"/>
      <c r="BD4935" s="67"/>
      <c r="BE4935" s="67"/>
      <c r="BF4935" s="95"/>
    </row>
    <row r="4936" spans="42:58" x14ac:dyDescent="0.35">
      <c r="AP4936" s="93"/>
      <c r="AQ4936" s="31"/>
      <c r="AR4936" s="31"/>
      <c r="AS4936" s="94"/>
      <c r="AT4936" s="31"/>
      <c r="AU4936" s="31"/>
      <c r="AV4936" s="94"/>
      <c r="AW4936" s="32"/>
      <c r="AX4936" s="32"/>
      <c r="AY4936" s="32"/>
      <c r="AZ4936" s="32"/>
      <c r="BA4936" s="32"/>
      <c r="BB4936" s="31"/>
      <c r="BC4936" s="31"/>
      <c r="BD4936" s="31"/>
      <c r="BE4936" s="31"/>
      <c r="BF4936" s="96"/>
    </row>
    <row r="4937" spans="42:58" x14ac:dyDescent="0.35">
      <c r="AP4937" s="92"/>
      <c r="AQ4937" s="67"/>
      <c r="AR4937" s="67"/>
      <c r="AS4937" s="73"/>
      <c r="AT4937" s="67"/>
      <c r="AU4937" s="67"/>
      <c r="AV4937" s="73"/>
      <c r="AW4937" s="68"/>
      <c r="AX4937" s="68"/>
      <c r="AY4937" s="68"/>
      <c r="AZ4937" s="68"/>
      <c r="BA4937" s="68"/>
      <c r="BB4937" s="67"/>
      <c r="BC4937" s="67"/>
      <c r="BD4937" s="67"/>
      <c r="BE4937" s="67"/>
      <c r="BF4937" s="95"/>
    </row>
    <row r="4938" spans="42:58" x14ac:dyDescent="0.35">
      <c r="AP4938" s="93"/>
      <c r="AQ4938" s="31"/>
      <c r="AR4938" s="31"/>
      <c r="AS4938" s="94"/>
      <c r="AT4938" s="31"/>
      <c r="AU4938" s="31"/>
      <c r="AV4938" s="94"/>
      <c r="AW4938" s="32"/>
      <c r="AX4938" s="32"/>
      <c r="AY4938" s="32"/>
      <c r="AZ4938" s="32"/>
      <c r="BA4938" s="32"/>
      <c r="BB4938" s="31"/>
      <c r="BC4938" s="31"/>
      <c r="BD4938" s="31"/>
      <c r="BE4938" s="31"/>
      <c r="BF4938" s="96"/>
    </row>
    <row r="4939" spans="42:58" x14ac:dyDescent="0.35">
      <c r="AP4939" s="92"/>
      <c r="AQ4939" s="67"/>
      <c r="AR4939" s="67"/>
      <c r="AS4939" s="73"/>
      <c r="AT4939" s="67"/>
      <c r="AU4939" s="67"/>
      <c r="AV4939" s="73"/>
      <c r="AW4939" s="68"/>
      <c r="AX4939" s="68"/>
      <c r="AY4939" s="68"/>
      <c r="AZ4939" s="68"/>
      <c r="BA4939" s="68"/>
      <c r="BB4939" s="67"/>
      <c r="BC4939" s="67"/>
      <c r="BD4939" s="67"/>
      <c r="BE4939" s="67"/>
      <c r="BF4939" s="95"/>
    </row>
    <row r="4940" spans="42:58" x14ac:dyDescent="0.35">
      <c r="AP4940" s="93"/>
      <c r="AQ4940" s="31"/>
      <c r="AR4940" s="31"/>
      <c r="AS4940" s="94"/>
      <c r="AT4940" s="31"/>
      <c r="AU4940" s="31"/>
      <c r="AV4940" s="94"/>
      <c r="AW4940" s="32"/>
      <c r="AX4940" s="32"/>
      <c r="AY4940" s="32"/>
      <c r="AZ4940" s="32"/>
      <c r="BA4940" s="32"/>
      <c r="BB4940" s="31"/>
      <c r="BC4940" s="31"/>
      <c r="BD4940" s="31"/>
      <c r="BE4940" s="31"/>
      <c r="BF4940" s="96"/>
    </row>
    <row r="4941" spans="42:58" x14ac:dyDescent="0.35">
      <c r="AP4941" s="92"/>
      <c r="AQ4941" s="67"/>
      <c r="AR4941" s="67"/>
      <c r="AS4941" s="73"/>
      <c r="AT4941" s="67"/>
      <c r="AU4941" s="67"/>
      <c r="AV4941" s="73"/>
      <c r="AW4941" s="68"/>
      <c r="AX4941" s="68"/>
      <c r="AY4941" s="68"/>
      <c r="AZ4941" s="68"/>
      <c r="BA4941" s="68"/>
      <c r="BB4941" s="67"/>
      <c r="BC4941" s="67"/>
      <c r="BD4941" s="67"/>
      <c r="BE4941" s="67"/>
      <c r="BF4941" s="95"/>
    </row>
    <row r="4942" spans="42:58" x14ac:dyDescent="0.35">
      <c r="AP4942" s="93"/>
      <c r="AQ4942" s="31"/>
      <c r="AR4942" s="31"/>
      <c r="AS4942" s="94"/>
      <c r="AT4942" s="31"/>
      <c r="AU4942" s="31"/>
      <c r="AV4942" s="94"/>
      <c r="AW4942" s="32"/>
      <c r="AX4942" s="32"/>
      <c r="AY4942" s="32"/>
      <c r="AZ4942" s="32"/>
      <c r="BA4942" s="32"/>
      <c r="BB4942" s="31"/>
      <c r="BC4942" s="31"/>
      <c r="BD4942" s="31"/>
      <c r="BE4942" s="31"/>
      <c r="BF4942" s="96"/>
    </row>
    <row r="4943" spans="42:58" x14ac:dyDescent="0.35">
      <c r="AP4943" s="92"/>
      <c r="AQ4943" s="67"/>
      <c r="AR4943" s="67"/>
      <c r="AS4943" s="73"/>
      <c r="AT4943" s="67"/>
      <c r="AU4943" s="67"/>
      <c r="AV4943" s="73"/>
      <c r="AW4943" s="68"/>
      <c r="AX4943" s="68"/>
      <c r="AY4943" s="68"/>
      <c r="AZ4943" s="68"/>
      <c r="BA4943" s="68"/>
      <c r="BB4943" s="67"/>
      <c r="BC4943" s="67"/>
      <c r="BD4943" s="67"/>
      <c r="BE4943" s="67"/>
      <c r="BF4943" s="95"/>
    </row>
    <row r="4944" spans="42:58" x14ac:dyDescent="0.35">
      <c r="AP4944" s="93"/>
      <c r="AQ4944" s="31"/>
      <c r="AR4944" s="31"/>
      <c r="AS4944" s="94"/>
      <c r="AT4944" s="31"/>
      <c r="AU4944" s="31"/>
      <c r="AV4944" s="94"/>
      <c r="AW4944" s="32"/>
      <c r="AX4944" s="32"/>
      <c r="AY4944" s="32"/>
      <c r="AZ4944" s="32"/>
      <c r="BA4944" s="32"/>
      <c r="BB4944" s="31"/>
      <c r="BC4944" s="31"/>
      <c r="BD4944" s="31"/>
      <c r="BE4944" s="31"/>
      <c r="BF4944" s="96"/>
    </row>
    <row r="4945" spans="42:58" x14ac:dyDescent="0.35">
      <c r="AP4945" s="92"/>
      <c r="AQ4945" s="67"/>
      <c r="AR4945" s="67"/>
      <c r="AS4945" s="73"/>
      <c r="AT4945" s="67"/>
      <c r="AU4945" s="67"/>
      <c r="AV4945" s="73"/>
      <c r="AW4945" s="68"/>
      <c r="AX4945" s="68"/>
      <c r="AY4945" s="68"/>
      <c r="AZ4945" s="68"/>
      <c r="BA4945" s="68"/>
      <c r="BB4945" s="67"/>
      <c r="BC4945" s="67"/>
      <c r="BD4945" s="67"/>
      <c r="BE4945" s="67"/>
      <c r="BF4945" s="95"/>
    </row>
    <row r="4946" spans="42:58" x14ac:dyDescent="0.35">
      <c r="AP4946" s="93"/>
      <c r="AQ4946" s="31"/>
      <c r="AR4946" s="31"/>
      <c r="AS4946" s="94"/>
      <c r="AT4946" s="31"/>
      <c r="AU4946" s="31"/>
      <c r="AV4946" s="94"/>
      <c r="AW4946" s="32"/>
      <c r="AX4946" s="32"/>
      <c r="AY4946" s="32"/>
      <c r="AZ4946" s="32"/>
      <c r="BA4946" s="32"/>
      <c r="BB4946" s="31"/>
      <c r="BC4946" s="31"/>
      <c r="BD4946" s="31"/>
      <c r="BE4946" s="31"/>
      <c r="BF4946" s="96"/>
    </row>
    <row r="4947" spans="42:58" x14ac:dyDescent="0.35">
      <c r="AP4947" s="92"/>
      <c r="AQ4947" s="67"/>
      <c r="AR4947" s="67"/>
      <c r="AS4947" s="73"/>
      <c r="AT4947" s="67"/>
      <c r="AU4947" s="67"/>
      <c r="AV4947" s="73"/>
      <c r="AW4947" s="68"/>
      <c r="AX4947" s="68"/>
      <c r="AY4947" s="68"/>
      <c r="AZ4947" s="68"/>
      <c r="BA4947" s="68"/>
      <c r="BB4947" s="67"/>
      <c r="BC4947" s="67"/>
      <c r="BD4947" s="67"/>
      <c r="BE4947" s="67"/>
      <c r="BF4947" s="95"/>
    </row>
    <row r="4948" spans="42:58" x14ac:dyDescent="0.35">
      <c r="AP4948" s="93"/>
      <c r="AQ4948" s="31"/>
      <c r="AR4948" s="31"/>
      <c r="AS4948" s="94"/>
      <c r="AT4948" s="31"/>
      <c r="AU4948" s="31"/>
      <c r="AV4948" s="94"/>
      <c r="AW4948" s="32"/>
      <c r="AX4948" s="32"/>
      <c r="AY4948" s="32"/>
      <c r="AZ4948" s="32"/>
      <c r="BA4948" s="32"/>
      <c r="BB4948" s="31"/>
      <c r="BC4948" s="31"/>
      <c r="BD4948" s="31"/>
      <c r="BE4948" s="31"/>
      <c r="BF4948" s="96"/>
    </row>
    <row r="4949" spans="42:58" x14ac:dyDescent="0.35">
      <c r="AP4949" s="92"/>
      <c r="AQ4949" s="67"/>
      <c r="AR4949" s="67"/>
      <c r="AS4949" s="73"/>
      <c r="AT4949" s="67"/>
      <c r="AU4949" s="67"/>
      <c r="AV4949" s="73"/>
      <c r="AW4949" s="68"/>
      <c r="AX4949" s="68"/>
      <c r="AY4949" s="68"/>
      <c r="AZ4949" s="68"/>
      <c r="BA4949" s="68"/>
      <c r="BB4949" s="67"/>
      <c r="BC4949" s="67"/>
      <c r="BD4949" s="67"/>
      <c r="BE4949" s="67"/>
      <c r="BF4949" s="95"/>
    </row>
    <row r="4950" spans="42:58" x14ac:dyDescent="0.35">
      <c r="AP4950" s="93"/>
      <c r="AQ4950" s="31"/>
      <c r="AR4950" s="31"/>
      <c r="AS4950" s="94"/>
      <c r="AT4950" s="31"/>
      <c r="AU4950" s="31"/>
      <c r="AV4950" s="94"/>
      <c r="AW4950" s="32"/>
      <c r="AX4950" s="32"/>
      <c r="AY4950" s="32"/>
      <c r="AZ4950" s="32"/>
      <c r="BA4950" s="32"/>
      <c r="BB4950" s="31"/>
      <c r="BC4950" s="31"/>
      <c r="BD4950" s="31"/>
      <c r="BE4950" s="31"/>
      <c r="BF4950" s="96"/>
    </row>
    <row r="4951" spans="42:58" x14ac:dyDescent="0.35">
      <c r="AP4951" s="92"/>
      <c r="AQ4951" s="67"/>
      <c r="AR4951" s="67"/>
      <c r="AS4951" s="73"/>
      <c r="AT4951" s="67"/>
      <c r="AU4951" s="67"/>
      <c r="AV4951" s="73"/>
      <c r="AW4951" s="68"/>
      <c r="AX4951" s="68"/>
      <c r="AY4951" s="68"/>
      <c r="AZ4951" s="68"/>
      <c r="BA4951" s="68"/>
      <c r="BB4951" s="67"/>
      <c r="BC4951" s="67"/>
      <c r="BD4951" s="67"/>
      <c r="BE4951" s="67"/>
      <c r="BF4951" s="95"/>
    </row>
    <row r="4952" spans="42:58" x14ac:dyDescent="0.35">
      <c r="AP4952" s="93"/>
      <c r="AQ4952" s="31"/>
      <c r="AR4952" s="31"/>
      <c r="AS4952" s="94"/>
      <c r="AT4952" s="31"/>
      <c r="AU4952" s="31"/>
      <c r="AV4952" s="94"/>
      <c r="AW4952" s="32"/>
      <c r="AX4952" s="32"/>
      <c r="AY4952" s="32"/>
      <c r="AZ4952" s="32"/>
      <c r="BA4952" s="32"/>
      <c r="BB4952" s="31"/>
      <c r="BC4952" s="31"/>
      <c r="BD4952" s="31"/>
      <c r="BE4952" s="31"/>
      <c r="BF4952" s="96"/>
    </row>
    <row r="4953" spans="42:58" x14ac:dyDescent="0.35">
      <c r="AP4953" s="92"/>
      <c r="AQ4953" s="67"/>
      <c r="AR4953" s="67"/>
      <c r="AS4953" s="73"/>
      <c r="AT4953" s="67"/>
      <c r="AU4953" s="67"/>
      <c r="AV4953" s="73"/>
      <c r="AW4953" s="68"/>
      <c r="AX4953" s="68"/>
      <c r="AY4953" s="68"/>
      <c r="AZ4953" s="68"/>
      <c r="BA4953" s="68"/>
      <c r="BB4953" s="67"/>
      <c r="BC4953" s="67"/>
      <c r="BD4953" s="67"/>
      <c r="BE4953" s="67"/>
      <c r="BF4953" s="95"/>
    </row>
    <row r="4954" spans="42:58" x14ac:dyDescent="0.35">
      <c r="AP4954" s="93"/>
      <c r="AQ4954" s="31"/>
      <c r="AR4954" s="31"/>
      <c r="AS4954" s="94"/>
      <c r="AT4954" s="31"/>
      <c r="AU4954" s="31"/>
      <c r="AV4954" s="94"/>
      <c r="AW4954" s="32"/>
      <c r="AX4954" s="32"/>
      <c r="AY4954" s="32"/>
      <c r="AZ4954" s="32"/>
      <c r="BA4954" s="32"/>
      <c r="BB4954" s="31"/>
      <c r="BC4954" s="31"/>
      <c r="BD4954" s="31"/>
      <c r="BE4954" s="31"/>
      <c r="BF4954" s="96"/>
    </row>
    <row r="4955" spans="42:58" x14ac:dyDescent="0.35">
      <c r="AP4955" s="92"/>
      <c r="AQ4955" s="67"/>
      <c r="AR4955" s="67"/>
      <c r="AS4955" s="73"/>
      <c r="AT4955" s="67"/>
      <c r="AU4955" s="67"/>
      <c r="AV4955" s="73"/>
      <c r="AW4955" s="68"/>
      <c r="AX4955" s="68"/>
      <c r="AY4955" s="68"/>
      <c r="AZ4955" s="68"/>
      <c r="BA4955" s="68"/>
      <c r="BB4955" s="67"/>
      <c r="BC4955" s="67"/>
      <c r="BD4955" s="67"/>
      <c r="BE4955" s="67"/>
      <c r="BF4955" s="95"/>
    </row>
    <row r="4956" spans="42:58" x14ac:dyDescent="0.35">
      <c r="AP4956" s="93"/>
      <c r="AQ4956" s="31"/>
      <c r="AR4956" s="31"/>
      <c r="AS4956" s="94"/>
      <c r="AT4956" s="31"/>
      <c r="AU4956" s="31"/>
      <c r="AV4956" s="94"/>
      <c r="AW4956" s="32"/>
      <c r="AX4956" s="32"/>
      <c r="AY4956" s="32"/>
      <c r="AZ4956" s="32"/>
      <c r="BA4956" s="32"/>
      <c r="BB4956" s="31"/>
      <c r="BC4956" s="31"/>
      <c r="BD4956" s="31"/>
      <c r="BE4956" s="31"/>
      <c r="BF4956" s="96"/>
    </row>
    <row r="4957" spans="42:58" x14ac:dyDescent="0.35">
      <c r="AP4957" s="92"/>
      <c r="AQ4957" s="67"/>
      <c r="AR4957" s="67"/>
      <c r="AS4957" s="73"/>
      <c r="AT4957" s="67"/>
      <c r="AU4957" s="67"/>
      <c r="AV4957" s="73"/>
      <c r="AW4957" s="68"/>
      <c r="AX4957" s="68"/>
      <c r="AY4957" s="68"/>
      <c r="AZ4957" s="68"/>
      <c r="BA4957" s="68"/>
      <c r="BB4957" s="67"/>
      <c r="BC4957" s="67"/>
      <c r="BD4957" s="67"/>
      <c r="BE4957" s="67"/>
      <c r="BF4957" s="95"/>
    </row>
    <row r="4958" spans="42:58" x14ac:dyDescent="0.35">
      <c r="AP4958" s="93"/>
      <c r="AQ4958" s="31"/>
      <c r="AR4958" s="31"/>
      <c r="AS4958" s="94"/>
      <c r="AT4958" s="31"/>
      <c r="AU4958" s="31"/>
      <c r="AV4958" s="94"/>
      <c r="AW4958" s="32"/>
      <c r="AX4958" s="32"/>
      <c r="AY4958" s="32"/>
      <c r="AZ4958" s="32"/>
      <c r="BA4958" s="32"/>
      <c r="BB4958" s="31"/>
      <c r="BC4958" s="31"/>
      <c r="BD4958" s="31"/>
      <c r="BE4958" s="31"/>
      <c r="BF4958" s="96"/>
    </row>
    <row r="4959" spans="42:58" x14ac:dyDescent="0.35">
      <c r="AP4959" s="92"/>
      <c r="AQ4959" s="67"/>
      <c r="AR4959" s="67"/>
      <c r="AS4959" s="73"/>
      <c r="AT4959" s="67"/>
      <c r="AU4959" s="67"/>
      <c r="AV4959" s="73"/>
      <c r="AW4959" s="68"/>
      <c r="AX4959" s="68"/>
      <c r="AY4959" s="68"/>
      <c r="AZ4959" s="68"/>
      <c r="BA4959" s="68"/>
      <c r="BB4959" s="67"/>
      <c r="BC4959" s="67"/>
      <c r="BD4959" s="67"/>
      <c r="BE4959" s="67"/>
      <c r="BF4959" s="95"/>
    </row>
    <row r="4960" spans="42:58" x14ac:dyDescent="0.35">
      <c r="AP4960" s="93"/>
      <c r="AQ4960" s="31"/>
      <c r="AR4960" s="31"/>
      <c r="AS4960" s="94"/>
      <c r="AT4960" s="31"/>
      <c r="AU4960" s="31"/>
      <c r="AV4960" s="94"/>
      <c r="AW4960" s="32"/>
      <c r="AX4960" s="32"/>
      <c r="AY4960" s="32"/>
      <c r="AZ4960" s="32"/>
      <c r="BA4960" s="32"/>
      <c r="BB4960" s="31"/>
      <c r="BC4960" s="31"/>
      <c r="BD4960" s="31"/>
      <c r="BE4960" s="31"/>
      <c r="BF4960" s="96"/>
    </row>
    <row r="4961" spans="42:58" x14ac:dyDescent="0.35">
      <c r="AP4961" s="92"/>
      <c r="AQ4961" s="67"/>
      <c r="AR4961" s="67"/>
      <c r="AS4961" s="73"/>
      <c r="AT4961" s="67"/>
      <c r="AU4961" s="67"/>
      <c r="AV4961" s="73"/>
      <c r="AW4961" s="68"/>
      <c r="AX4961" s="68"/>
      <c r="AY4961" s="68"/>
      <c r="AZ4961" s="68"/>
      <c r="BA4961" s="68"/>
      <c r="BB4961" s="67"/>
      <c r="BC4961" s="67"/>
      <c r="BD4961" s="67"/>
      <c r="BE4961" s="67"/>
      <c r="BF4961" s="95"/>
    </row>
    <row r="4962" spans="42:58" x14ac:dyDescent="0.35">
      <c r="AP4962" s="93"/>
      <c r="AQ4962" s="31"/>
      <c r="AR4962" s="31"/>
      <c r="AS4962" s="94"/>
      <c r="AT4962" s="31"/>
      <c r="AU4962" s="31"/>
      <c r="AV4962" s="94"/>
      <c r="AW4962" s="32"/>
      <c r="AX4962" s="32"/>
      <c r="AY4962" s="32"/>
      <c r="AZ4962" s="32"/>
      <c r="BA4962" s="32"/>
      <c r="BB4962" s="31"/>
      <c r="BC4962" s="31"/>
      <c r="BD4962" s="31"/>
      <c r="BE4962" s="31"/>
      <c r="BF4962" s="96"/>
    </row>
    <row r="4963" spans="42:58" x14ac:dyDescent="0.35">
      <c r="AP4963" s="92"/>
      <c r="AQ4963" s="67"/>
      <c r="AR4963" s="67"/>
      <c r="AS4963" s="73"/>
      <c r="AT4963" s="67"/>
      <c r="AU4963" s="67"/>
      <c r="AV4963" s="73"/>
      <c r="AW4963" s="68"/>
      <c r="AX4963" s="68"/>
      <c r="AY4963" s="68"/>
      <c r="AZ4963" s="68"/>
      <c r="BA4963" s="68"/>
      <c r="BB4963" s="67"/>
      <c r="BC4963" s="67"/>
      <c r="BD4963" s="67"/>
      <c r="BE4963" s="67"/>
      <c r="BF4963" s="95"/>
    </row>
    <row r="4964" spans="42:58" x14ac:dyDescent="0.35">
      <c r="AP4964" s="93"/>
      <c r="AQ4964" s="31"/>
      <c r="AR4964" s="31"/>
      <c r="AS4964" s="94"/>
      <c r="AT4964" s="31"/>
      <c r="AU4964" s="31"/>
      <c r="AV4964" s="94"/>
      <c r="AW4964" s="32"/>
      <c r="AX4964" s="32"/>
      <c r="AY4964" s="32"/>
      <c r="AZ4964" s="32"/>
      <c r="BA4964" s="32"/>
      <c r="BB4964" s="31"/>
      <c r="BC4964" s="31"/>
      <c r="BD4964" s="31"/>
      <c r="BE4964" s="31"/>
      <c r="BF4964" s="96"/>
    </row>
    <row r="4965" spans="42:58" x14ac:dyDescent="0.35">
      <c r="AP4965" s="92"/>
      <c r="AQ4965" s="67"/>
      <c r="AR4965" s="67"/>
      <c r="AS4965" s="73"/>
      <c r="AT4965" s="67"/>
      <c r="AU4965" s="67"/>
      <c r="AV4965" s="73"/>
      <c r="AW4965" s="68"/>
      <c r="AX4965" s="68"/>
      <c r="AY4965" s="68"/>
      <c r="AZ4965" s="68"/>
      <c r="BA4965" s="68"/>
      <c r="BB4965" s="67"/>
      <c r="BC4965" s="67"/>
      <c r="BD4965" s="67"/>
      <c r="BE4965" s="67"/>
      <c r="BF4965" s="95"/>
    </row>
    <row r="4966" spans="42:58" x14ac:dyDescent="0.35">
      <c r="AP4966" s="93"/>
      <c r="AQ4966" s="31"/>
      <c r="AR4966" s="31"/>
      <c r="AS4966" s="94"/>
      <c r="AT4966" s="31"/>
      <c r="AU4966" s="31"/>
      <c r="AV4966" s="94"/>
      <c r="AW4966" s="32"/>
      <c r="AX4966" s="32"/>
      <c r="AY4966" s="32"/>
      <c r="AZ4966" s="32"/>
      <c r="BA4966" s="32"/>
      <c r="BB4966" s="31"/>
      <c r="BC4966" s="31"/>
      <c r="BD4966" s="31"/>
      <c r="BE4966" s="31"/>
      <c r="BF4966" s="96"/>
    </row>
    <row r="4967" spans="42:58" x14ac:dyDescent="0.35">
      <c r="AP4967" s="92"/>
      <c r="AQ4967" s="67"/>
      <c r="AR4967" s="67"/>
      <c r="AS4967" s="73"/>
      <c r="AT4967" s="67"/>
      <c r="AU4967" s="67"/>
      <c r="AV4967" s="73"/>
      <c r="AW4967" s="68"/>
      <c r="AX4967" s="68"/>
      <c r="AY4967" s="68"/>
      <c r="AZ4967" s="68"/>
      <c r="BA4967" s="68"/>
      <c r="BB4967" s="67"/>
      <c r="BC4967" s="67"/>
      <c r="BD4967" s="67"/>
      <c r="BE4967" s="67"/>
      <c r="BF4967" s="95"/>
    </row>
    <row r="4968" spans="42:58" x14ac:dyDescent="0.35">
      <c r="AP4968" s="93"/>
      <c r="AQ4968" s="31"/>
      <c r="AR4968" s="31"/>
      <c r="AS4968" s="94"/>
      <c r="AT4968" s="31"/>
      <c r="AU4968" s="31"/>
      <c r="AV4968" s="94"/>
      <c r="AW4968" s="32"/>
      <c r="AX4968" s="32"/>
      <c r="AY4968" s="32"/>
      <c r="AZ4968" s="32"/>
      <c r="BA4968" s="32"/>
      <c r="BB4968" s="31"/>
      <c r="BC4968" s="31"/>
      <c r="BD4968" s="31"/>
      <c r="BE4968" s="31"/>
      <c r="BF4968" s="96"/>
    </row>
    <row r="4969" spans="42:58" x14ac:dyDescent="0.35">
      <c r="AP4969" s="92"/>
      <c r="AQ4969" s="67"/>
      <c r="AR4969" s="67"/>
      <c r="AS4969" s="73"/>
      <c r="AT4969" s="67"/>
      <c r="AU4969" s="67"/>
      <c r="AV4969" s="73"/>
      <c r="AW4969" s="68"/>
      <c r="AX4969" s="68"/>
      <c r="AY4969" s="68"/>
      <c r="AZ4969" s="68"/>
      <c r="BA4969" s="68"/>
      <c r="BB4969" s="67"/>
      <c r="BC4969" s="67"/>
      <c r="BD4969" s="67"/>
      <c r="BE4969" s="67"/>
      <c r="BF4969" s="95"/>
    </row>
    <row r="4970" spans="42:58" x14ac:dyDescent="0.35">
      <c r="AP4970" s="93"/>
      <c r="AQ4970" s="31"/>
      <c r="AR4970" s="31"/>
      <c r="AS4970" s="94"/>
      <c r="AT4970" s="31"/>
      <c r="AU4970" s="31"/>
      <c r="AV4970" s="94"/>
      <c r="AW4970" s="32"/>
      <c r="AX4970" s="32"/>
      <c r="AY4970" s="32"/>
      <c r="AZ4970" s="32"/>
      <c r="BA4970" s="32"/>
      <c r="BB4970" s="31"/>
      <c r="BC4970" s="31"/>
      <c r="BD4970" s="31"/>
      <c r="BE4970" s="31"/>
      <c r="BF4970" s="96"/>
    </row>
    <row r="4971" spans="42:58" x14ac:dyDescent="0.35">
      <c r="AP4971" s="92"/>
      <c r="AQ4971" s="67"/>
      <c r="AR4971" s="67"/>
      <c r="AS4971" s="73"/>
      <c r="AT4971" s="67"/>
      <c r="AU4971" s="67"/>
      <c r="AV4971" s="73"/>
      <c r="AW4971" s="68"/>
      <c r="AX4971" s="68"/>
      <c r="AY4971" s="68"/>
      <c r="AZ4971" s="68"/>
      <c r="BA4971" s="68"/>
      <c r="BB4971" s="67"/>
      <c r="BC4971" s="67"/>
      <c r="BD4971" s="67"/>
      <c r="BE4971" s="67"/>
      <c r="BF4971" s="95"/>
    </row>
    <row r="4972" spans="42:58" x14ac:dyDescent="0.35">
      <c r="AP4972" s="93"/>
      <c r="AQ4972" s="31"/>
      <c r="AR4972" s="31"/>
      <c r="AS4972" s="94"/>
      <c r="AT4972" s="31"/>
      <c r="AU4972" s="31"/>
      <c r="AV4972" s="94"/>
      <c r="AW4972" s="32"/>
      <c r="AX4972" s="32"/>
      <c r="AY4972" s="32"/>
      <c r="AZ4972" s="32"/>
      <c r="BA4972" s="32"/>
      <c r="BB4972" s="31"/>
      <c r="BC4972" s="31"/>
      <c r="BD4972" s="31"/>
      <c r="BE4972" s="31"/>
      <c r="BF4972" s="96"/>
    </row>
    <row r="4973" spans="42:58" x14ac:dyDescent="0.35">
      <c r="AP4973" s="92"/>
      <c r="AQ4973" s="67"/>
      <c r="AR4973" s="67"/>
      <c r="AS4973" s="73"/>
      <c r="AT4973" s="67"/>
      <c r="AU4973" s="67"/>
      <c r="AV4973" s="73"/>
      <c r="AW4973" s="68"/>
      <c r="AX4973" s="68"/>
      <c r="AY4973" s="68"/>
      <c r="AZ4973" s="68"/>
      <c r="BA4973" s="68"/>
      <c r="BB4973" s="67"/>
      <c r="BC4973" s="67"/>
      <c r="BD4973" s="67"/>
      <c r="BE4973" s="67"/>
      <c r="BF4973" s="95"/>
    </row>
    <row r="4974" spans="42:58" x14ac:dyDescent="0.35">
      <c r="AP4974" s="93"/>
      <c r="AQ4974" s="31"/>
      <c r="AR4974" s="31"/>
      <c r="AS4974" s="94"/>
      <c r="AT4974" s="31"/>
      <c r="AU4974" s="31"/>
      <c r="AV4974" s="94"/>
      <c r="AW4974" s="32"/>
      <c r="AX4974" s="32"/>
      <c r="AY4974" s="32"/>
      <c r="AZ4974" s="32"/>
      <c r="BA4974" s="32"/>
      <c r="BB4974" s="31"/>
      <c r="BC4974" s="31"/>
      <c r="BD4974" s="31"/>
      <c r="BE4974" s="31"/>
      <c r="BF4974" s="96"/>
    </row>
    <row r="4975" spans="42:58" x14ac:dyDescent="0.35">
      <c r="AP4975" s="92"/>
      <c r="AQ4975" s="67"/>
      <c r="AR4975" s="67"/>
      <c r="AS4975" s="73"/>
      <c r="AT4975" s="67"/>
      <c r="AU4975" s="67"/>
      <c r="AV4975" s="73"/>
      <c r="AW4975" s="68"/>
      <c r="AX4975" s="68"/>
      <c r="AY4975" s="68"/>
      <c r="AZ4975" s="68"/>
      <c r="BA4975" s="68"/>
      <c r="BB4975" s="67"/>
      <c r="BC4975" s="67"/>
      <c r="BD4975" s="67"/>
      <c r="BE4975" s="67"/>
      <c r="BF4975" s="95"/>
    </row>
    <row r="4976" spans="42:58" x14ac:dyDescent="0.35">
      <c r="AP4976" s="93"/>
      <c r="AQ4976" s="31"/>
      <c r="AR4976" s="31"/>
      <c r="AS4976" s="94"/>
      <c r="AT4976" s="31"/>
      <c r="AU4976" s="31"/>
      <c r="AV4976" s="94"/>
      <c r="AW4976" s="32"/>
      <c r="AX4976" s="32"/>
      <c r="AY4976" s="32"/>
      <c r="AZ4976" s="32"/>
      <c r="BA4976" s="32"/>
      <c r="BB4976" s="31"/>
      <c r="BC4976" s="31"/>
      <c r="BD4976" s="31"/>
      <c r="BE4976" s="31"/>
      <c r="BF4976" s="96"/>
    </row>
    <row r="4977" spans="42:58" x14ac:dyDescent="0.35">
      <c r="AP4977" s="92"/>
      <c r="AQ4977" s="67"/>
      <c r="AR4977" s="67"/>
      <c r="AS4977" s="73"/>
      <c r="AT4977" s="67"/>
      <c r="AU4977" s="67"/>
      <c r="AV4977" s="73"/>
      <c r="AW4977" s="68"/>
      <c r="AX4977" s="68"/>
      <c r="AY4977" s="68"/>
      <c r="AZ4977" s="68"/>
      <c r="BA4977" s="68"/>
      <c r="BB4977" s="67"/>
      <c r="BC4977" s="67"/>
      <c r="BD4977" s="67"/>
      <c r="BE4977" s="67"/>
      <c r="BF4977" s="95"/>
    </row>
    <row r="4978" spans="42:58" x14ac:dyDescent="0.35">
      <c r="AP4978" s="93"/>
      <c r="AQ4978" s="31"/>
      <c r="AR4978" s="31"/>
      <c r="AS4978" s="94"/>
      <c r="AT4978" s="31"/>
      <c r="AU4978" s="31"/>
      <c r="AV4978" s="94"/>
      <c r="AW4978" s="32"/>
      <c r="AX4978" s="32"/>
      <c r="AY4978" s="32"/>
      <c r="AZ4978" s="32"/>
      <c r="BA4978" s="32"/>
      <c r="BB4978" s="31"/>
      <c r="BC4978" s="31"/>
      <c r="BD4978" s="31"/>
      <c r="BE4978" s="31"/>
      <c r="BF4978" s="96"/>
    </row>
    <row r="4979" spans="42:58" x14ac:dyDescent="0.35">
      <c r="AP4979" s="92"/>
      <c r="AQ4979" s="67"/>
      <c r="AR4979" s="67"/>
      <c r="AS4979" s="73"/>
      <c r="AT4979" s="67"/>
      <c r="AU4979" s="67"/>
      <c r="AV4979" s="73"/>
      <c r="AW4979" s="68"/>
      <c r="AX4979" s="68"/>
      <c r="AY4979" s="68"/>
      <c r="AZ4979" s="68"/>
      <c r="BA4979" s="68"/>
      <c r="BB4979" s="67"/>
      <c r="BC4979" s="67"/>
      <c r="BD4979" s="67"/>
      <c r="BE4979" s="67"/>
      <c r="BF4979" s="95"/>
    </row>
    <row r="4980" spans="42:58" x14ac:dyDescent="0.35">
      <c r="AP4980" s="93"/>
      <c r="AQ4980" s="31"/>
      <c r="AR4980" s="31"/>
      <c r="AS4980" s="94"/>
      <c r="AT4980" s="31"/>
      <c r="AU4980" s="31"/>
      <c r="AV4980" s="94"/>
      <c r="AW4980" s="32"/>
      <c r="AX4980" s="32"/>
      <c r="AY4980" s="32"/>
      <c r="AZ4980" s="32"/>
      <c r="BA4980" s="32"/>
      <c r="BB4980" s="31"/>
      <c r="BC4980" s="31"/>
      <c r="BD4980" s="31"/>
      <c r="BE4980" s="31"/>
      <c r="BF4980" s="96"/>
    </row>
    <row r="4981" spans="42:58" x14ac:dyDescent="0.35">
      <c r="AP4981" s="92"/>
      <c r="AQ4981" s="67"/>
      <c r="AR4981" s="67"/>
      <c r="AS4981" s="73"/>
      <c r="AT4981" s="67"/>
      <c r="AU4981" s="67"/>
      <c r="AV4981" s="73"/>
      <c r="AW4981" s="68"/>
      <c r="AX4981" s="68"/>
      <c r="AY4981" s="68"/>
      <c r="AZ4981" s="68"/>
      <c r="BA4981" s="68"/>
      <c r="BB4981" s="67"/>
      <c r="BC4981" s="67"/>
      <c r="BD4981" s="67"/>
      <c r="BE4981" s="67"/>
      <c r="BF4981" s="95"/>
    </row>
    <row r="4982" spans="42:58" x14ac:dyDescent="0.35">
      <c r="AP4982" s="93"/>
      <c r="AQ4982" s="31"/>
      <c r="AR4982" s="31"/>
      <c r="AS4982" s="94"/>
      <c r="AT4982" s="31"/>
      <c r="AU4982" s="31"/>
      <c r="AV4982" s="94"/>
      <c r="AW4982" s="32"/>
      <c r="AX4982" s="32"/>
      <c r="AY4982" s="32"/>
      <c r="AZ4982" s="32"/>
      <c r="BA4982" s="32"/>
      <c r="BB4982" s="31"/>
      <c r="BC4982" s="31"/>
      <c r="BD4982" s="31"/>
      <c r="BE4982" s="31"/>
      <c r="BF4982" s="96"/>
    </row>
    <row r="4983" spans="42:58" x14ac:dyDescent="0.35">
      <c r="AP4983" s="92"/>
      <c r="AQ4983" s="67"/>
      <c r="AR4983" s="67"/>
      <c r="AS4983" s="73"/>
      <c r="AT4983" s="67"/>
      <c r="AU4983" s="67"/>
      <c r="AV4983" s="73"/>
      <c r="AW4983" s="68"/>
      <c r="AX4983" s="68"/>
      <c r="AY4983" s="68"/>
      <c r="AZ4983" s="68"/>
      <c r="BA4983" s="68"/>
      <c r="BB4983" s="67"/>
      <c r="BC4983" s="67"/>
      <c r="BD4983" s="67"/>
      <c r="BE4983" s="67"/>
      <c r="BF4983" s="95"/>
    </row>
    <row r="4984" spans="42:58" x14ac:dyDescent="0.35">
      <c r="AP4984" s="93"/>
      <c r="AQ4984" s="31"/>
      <c r="AR4984" s="31"/>
      <c r="AS4984" s="94"/>
      <c r="AT4984" s="31"/>
      <c r="AU4984" s="31"/>
      <c r="AV4984" s="94"/>
      <c r="AW4984" s="32"/>
      <c r="AX4984" s="32"/>
      <c r="AY4984" s="32"/>
      <c r="AZ4984" s="32"/>
      <c r="BA4984" s="32"/>
      <c r="BB4984" s="31"/>
      <c r="BC4984" s="31"/>
      <c r="BD4984" s="31"/>
      <c r="BE4984" s="31"/>
      <c r="BF4984" s="96"/>
    </row>
    <row r="4985" spans="42:58" x14ac:dyDescent="0.35">
      <c r="AP4985" s="92"/>
      <c r="AQ4985" s="67"/>
      <c r="AR4985" s="67"/>
      <c r="AS4985" s="73"/>
      <c r="AT4985" s="67"/>
      <c r="AU4985" s="67"/>
      <c r="AV4985" s="73"/>
      <c r="AW4985" s="68"/>
      <c r="AX4985" s="68"/>
      <c r="AY4985" s="68"/>
      <c r="AZ4985" s="68"/>
      <c r="BA4985" s="68"/>
      <c r="BB4985" s="67"/>
      <c r="BC4985" s="67"/>
      <c r="BD4985" s="67"/>
      <c r="BE4985" s="67"/>
      <c r="BF4985" s="95"/>
    </row>
    <row r="4986" spans="42:58" x14ac:dyDescent="0.35">
      <c r="AP4986" s="93"/>
      <c r="AQ4986" s="31"/>
      <c r="AR4986" s="31"/>
      <c r="AS4986" s="94"/>
      <c r="AT4986" s="31"/>
      <c r="AU4986" s="31"/>
      <c r="AV4986" s="94"/>
      <c r="AW4986" s="32"/>
      <c r="AX4986" s="32"/>
      <c r="AY4986" s="32"/>
      <c r="AZ4986" s="32"/>
      <c r="BA4986" s="32"/>
      <c r="BB4986" s="31"/>
      <c r="BC4986" s="31"/>
      <c r="BD4986" s="31"/>
      <c r="BE4986" s="31"/>
      <c r="BF4986" s="96"/>
    </row>
    <row r="4987" spans="42:58" x14ac:dyDescent="0.35">
      <c r="AP4987" s="92"/>
      <c r="AQ4987" s="67"/>
      <c r="AR4987" s="67"/>
      <c r="AS4987" s="73"/>
      <c r="AT4987" s="67"/>
      <c r="AU4987" s="67"/>
      <c r="AV4987" s="73"/>
      <c r="AW4987" s="68"/>
      <c r="AX4987" s="68"/>
      <c r="AY4987" s="68"/>
      <c r="AZ4987" s="68"/>
      <c r="BA4987" s="68"/>
      <c r="BB4987" s="67"/>
      <c r="BC4987" s="67"/>
      <c r="BD4987" s="67"/>
      <c r="BE4987" s="67"/>
      <c r="BF4987" s="95"/>
    </row>
    <row r="4988" spans="42:58" x14ac:dyDescent="0.35">
      <c r="AP4988" s="93"/>
      <c r="AQ4988" s="31"/>
      <c r="AR4988" s="31"/>
      <c r="AS4988" s="94"/>
      <c r="AT4988" s="31"/>
      <c r="AU4988" s="31"/>
      <c r="AV4988" s="94"/>
      <c r="AW4988" s="32"/>
      <c r="AX4988" s="32"/>
      <c r="AY4988" s="32"/>
      <c r="AZ4988" s="32"/>
      <c r="BA4988" s="32"/>
      <c r="BB4988" s="31"/>
      <c r="BC4988" s="31"/>
      <c r="BD4988" s="31"/>
      <c r="BE4988" s="31"/>
      <c r="BF4988" s="96"/>
    </row>
    <row r="4989" spans="42:58" x14ac:dyDescent="0.35">
      <c r="AP4989" s="92"/>
      <c r="AQ4989" s="67"/>
      <c r="AR4989" s="67"/>
      <c r="AS4989" s="73"/>
      <c r="AT4989" s="67"/>
      <c r="AU4989" s="67"/>
      <c r="AV4989" s="73"/>
      <c r="AW4989" s="68"/>
      <c r="AX4989" s="68"/>
      <c r="AY4989" s="68"/>
      <c r="AZ4989" s="68"/>
      <c r="BA4989" s="68"/>
      <c r="BB4989" s="67"/>
      <c r="BC4989" s="67"/>
      <c r="BD4989" s="67"/>
      <c r="BE4989" s="67"/>
      <c r="BF4989" s="95"/>
    </row>
    <row r="4990" spans="42:58" x14ac:dyDescent="0.35">
      <c r="AP4990" s="93"/>
      <c r="AQ4990" s="31"/>
      <c r="AR4990" s="31"/>
      <c r="AS4990" s="94"/>
      <c r="AT4990" s="31"/>
      <c r="AU4990" s="31"/>
      <c r="AV4990" s="94"/>
      <c r="AW4990" s="32"/>
      <c r="AX4990" s="32"/>
      <c r="AY4990" s="32"/>
      <c r="AZ4990" s="32"/>
      <c r="BA4990" s="32"/>
      <c r="BB4990" s="31"/>
      <c r="BC4990" s="31"/>
      <c r="BD4990" s="31"/>
      <c r="BE4990" s="31"/>
      <c r="BF4990" s="96"/>
    </row>
    <row r="4991" spans="42:58" x14ac:dyDescent="0.35">
      <c r="AP4991" s="92"/>
      <c r="AQ4991" s="67"/>
      <c r="AR4991" s="67"/>
      <c r="AS4991" s="73"/>
      <c r="AT4991" s="67"/>
      <c r="AU4991" s="67"/>
      <c r="AV4991" s="73"/>
      <c r="AW4991" s="68"/>
      <c r="AX4991" s="68"/>
      <c r="AY4991" s="68"/>
      <c r="AZ4991" s="68"/>
      <c r="BA4991" s="68"/>
      <c r="BB4991" s="67"/>
      <c r="BC4991" s="67"/>
      <c r="BD4991" s="67"/>
      <c r="BE4991" s="67"/>
      <c r="BF4991" s="95"/>
    </row>
    <row r="4992" spans="42:58" x14ac:dyDescent="0.35">
      <c r="AP4992" s="93"/>
      <c r="AQ4992" s="31"/>
      <c r="AR4992" s="31"/>
      <c r="AS4992" s="94"/>
      <c r="AT4992" s="31"/>
      <c r="AU4992" s="31"/>
      <c r="AV4992" s="94"/>
      <c r="AW4992" s="32"/>
      <c r="AX4992" s="32"/>
      <c r="AY4992" s="32"/>
      <c r="AZ4992" s="32"/>
      <c r="BA4992" s="32"/>
      <c r="BB4992" s="31"/>
      <c r="BC4992" s="31"/>
      <c r="BD4992" s="31"/>
      <c r="BE4992" s="31"/>
      <c r="BF4992" s="96"/>
    </row>
    <row r="4993" spans="42:58" x14ac:dyDescent="0.35">
      <c r="AP4993" s="92"/>
      <c r="AQ4993" s="67"/>
      <c r="AR4993" s="67"/>
      <c r="AS4993" s="73"/>
      <c r="AT4993" s="67"/>
      <c r="AU4993" s="67"/>
      <c r="AV4993" s="73"/>
      <c r="AW4993" s="68"/>
      <c r="AX4993" s="68"/>
      <c r="AY4993" s="68"/>
      <c r="AZ4993" s="68"/>
      <c r="BA4993" s="68"/>
      <c r="BB4993" s="67"/>
      <c r="BC4993" s="67"/>
      <c r="BD4993" s="67"/>
      <c r="BE4993" s="67"/>
      <c r="BF4993" s="95"/>
    </row>
    <row r="4994" spans="42:58" x14ac:dyDescent="0.35">
      <c r="AP4994" s="93"/>
      <c r="AQ4994" s="31"/>
      <c r="AR4994" s="31"/>
      <c r="AS4994" s="94"/>
      <c r="AT4994" s="31"/>
      <c r="AU4994" s="31"/>
      <c r="AV4994" s="94"/>
      <c r="AW4994" s="32"/>
      <c r="AX4994" s="32"/>
      <c r="AY4994" s="32"/>
      <c r="AZ4994" s="32"/>
      <c r="BA4994" s="32"/>
      <c r="BB4994" s="31"/>
      <c r="BC4994" s="31"/>
      <c r="BD4994" s="31"/>
      <c r="BE4994" s="31"/>
      <c r="BF4994" s="96"/>
    </row>
    <row r="4995" spans="42:58" x14ac:dyDescent="0.35">
      <c r="AP4995" s="92"/>
      <c r="AQ4995" s="67"/>
      <c r="AR4995" s="67"/>
      <c r="AS4995" s="73"/>
      <c r="AT4995" s="67"/>
      <c r="AU4995" s="67"/>
      <c r="AV4995" s="73"/>
      <c r="AW4995" s="68"/>
      <c r="AX4995" s="68"/>
      <c r="AY4995" s="68"/>
      <c r="AZ4995" s="68"/>
      <c r="BA4995" s="68"/>
      <c r="BB4995" s="67"/>
      <c r="BC4995" s="67"/>
      <c r="BD4995" s="67"/>
      <c r="BE4995" s="67"/>
      <c r="BF4995" s="95"/>
    </row>
    <row r="4996" spans="42:58" x14ac:dyDescent="0.35">
      <c r="AP4996" s="93"/>
      <c r="AQ4996" s="31"/>
      <c r="AR4996" s="31"/>
      <c r="AS4996" s="94"/>
      <c r="AT4996" s="31"/>
      <c r="AU4996" s="31"/>
      <c r="AV4996" s="94"/>
      <c r="AW4996" s="32"/>
      <c r="AX4996" s="32"/>
      <c r="AY4996" s="32"/>
      <c r="AZ4996" s="32"/>
      <c r="BA4996" s="32"/>
      <c r="BB4996" s="31"/>
      <c r="BC4996" s="31"/>
      <c r="BD4996" s="31"/>
      <c r="BE4996" s="31"/>
      <c r="BF4996" s="96"/>
    </row>
    <row r="4997" spans="42:58" x14ac:dyDescent="0.35">
      <c r="AP4997" s="92"/>
      <c r="AQ4997" s="67"/>
      <c r="AR4997" s="67"/>
      <c r="AS4997" s="73"/>
      <c r="AT4997" s="67"/>
      <c r="AU4997" s="67"/>
      <c r="AV4997" s="73"/>
      <c r="AW4997" s="68"/>
      <c r="AX4997" s="68"/>
      <c r="AY4997" s="68"/>
      <c r="AZ4997" s="68"/>
      <c r="BA4997" s="68"/>
      <c r="BB4997" s="67"/>
      <c r="BC4997" s="67"/>
      <c r="BD4997" s="67"/>
      <c r="BE4997" s="67"/>
      <c r="BF4997" s="95"/>
    </row>
    <row r="4998" spans="42:58" x14ac:dyDescent="0.35">
      <c r="AP4998" s="93"/>
      <c r="AQ4998" s="31"/>
      <c r="AR4998" s="31"/>
      <c r="AS4998" s="94"/>
      <c r="AT4998" s="31"/>
      <c r="AU4998" s="31"/>
      <c r="AV4998" s="94"/>
      <c r="AW4998" s="32"/>
      <c r="AX4998" s="32"/>
      <c r="AY4998" s="32"/>
      <c r="AZ4998" s="32"/>
      <c r="BA4998" s="32"/>
      <c r="BB4998" s="31"/>
      <c r="BC4998" s="31"/>
      <c r="BD4998" s="31"/>
      <c r="BE4998" s="31"/>
      <c r="BF4998" s="96"/>
    </row>
    <row r="4999" spans="42:58" x14ac:dyDescent="0.35">
      <c r="AP4999" s="92"/>
      <c r="AQ4999" s="67"/>
      <c r="AR4999" s="67"/>
      <c r="AS4999" s="73"/>
      <c r="AT4999" s="67"/>
      <c r="AU4999" s="67"/>
      <c r="AV4999" s="73"/>
      <c r="AW4999" s="68"/>
      <c r="AX4999" s="68"/>
      <c r="AY4999" s="68"/>
      <c r="AZ4999" s="68"/>
      <c r="BA4999" s="68"/>
      <c r="BB4999" s="67"/>
      <c r="BC4999" s="67"/>
      <c r="BD4999" s="67"/>
      <c r="BE4999" s="67"/>
      <c r="BF4999" s="95"/>
    </row>
    <row r="5000" spans="42:58" x14ac:dyDescent="0.35">
      <c r="AP5000" s="93"/>
      <c r="AQ5000" s="31"/>
      <c r="AR5000" s="31"/>
      <c r="AS5000" s="94"/>
      <c r="AT5000" s="31"/>
      <c r="AU5000" s="31"/>
      <c r="AV5000" s="94"/>
      <c r="AW5000" s="32"/>
      <c r="AX5000" s="32"/>
      <c r="AY5000" s="32"/>
      <c r="AZ5000" s="32"/>
      <c r="BA5000" s="32"/>
      <c r="BB5000" s="31"/>
      <c r="BC5000" s="31"/>
      <c r="BD5000" s="31"/>
      <c r="BE5000" s="31"/>
      <c r="BF5000" s="96"/>
    </row>
    <row r="5001" spans="42:58" x14ac:dyDescent="0.35">
      <c r="AP5001" s="92"/>
      <c r="AQ5001" s="67"/>
      <c r="AR5001" s="67"/>
      <c r="AS5001" s="73"/>
      <c r="AT5001" s="67"/>
      <c r="AU5001" s="67"/>
      <c r="AV5001" s="73"/>
      <c r="AW5001" s="68"/>
      <c r="AX5001" s="68"/>
      <c r="AY5001" s="68"/>
      <c r="AZ5001" s="68"/>
      <c r="BA5001" s="68"/>
      <c r="BB5001" s="67"/>
      <c r="BC5001" s="67"/>
      <c r="BD5001" s="67"/>
      <c r="BE5001" s="67"/>
      <c r="BF5001" s="95"/>
    </row>
    <row r="5002" spans="42:58" x14ac:dyDescent="0.35">
      <c r="AP5002" s="93"/>
      <c r="AQ5002" s="31"/>
      <c r="AR5002" s="31"/>
      <c r="AS5002" s="94"/>
      <c r="AT5002" s="31"/>
      <c r="AU5002" s="31"/>
      <c r="AV5002" s="94"/>
      <c r="AW5002" s="32"/>
      <c r="AX5002" s="32"/>
      <c r="AY5002" s="32"/>
      <c r="AZ5002" s="32"/>
      <c r="BA5002" s="32"/>
      <c r="BB5002" s="31"/>
      <c r="BC5002" s="31"/>
      <c r="BD5002" s="31"/>
      <c r="BE5002" s="31"/>
      <c r="BF5002" s="96"/>
    </row>
    <row r="5003" spans="42:58" x14ac:dyDescent="0.35">
      <c r="AP5003" s="92"/>
      <c r="AQ5003" s="67"/>
      <c r="AR5003" s="67"/>
      <c r="AS5003" s="73"/>
      <c r="AT5003" s="67"/>
      <c r="AU5003" s="67"/>
      <c r="AV5003" s="73"/>
      <c r="AW5003" s="68"/>
      <c r="AX5003" s="68"/>
      <c r="AY5003" s="68"/>
      <c r="AZ5003" s="68"/>
      <c r="BA5003" s="68"/>
      <c r="BB5003" s="67"/>
      <c r="BC5003" s="67"/>
      <c r="BD5003" s="67"/>
      <c r="BE5003" s="67"/>
      <c r="BF5003" s="95"/>
    </row>
    <row r="5004" spans="42:58" x14ac:dyDescent="0.35">
      <c r="AP5004" s="93"/>
      <c r="AQ5004" s="31"/>
      <c r="AR5004" s="31"/>
      <c r="AS5004" s="94"/>
      <c r="AT5004" s="31"/>
      <c r="AU5004" s="31"/>
      <c r="AV5004" s="94"/>
      <c r="AW5004" s="32"/>
      <c r="AX5004" s="32"/>
      <c r="AY5004" s="32"/>
      <c r="AZ5004" s="32"/>
      <c r="BA5004" s="32"/>
      <c r="BB5004" s="31"/>
      <c r="BC5004" s="31"/>
      <c r="BD5004" s="31"/>
      <c r="BE5004" s="31"/>
      <c r="BF5004" s="96"/>
    </row>
    <row r="5005" spans="42:58" x14ac:dyDescent="0.35">
      <c r="AP5005" s="92"/>
      <c r="AQ5005" s="67"/>
      <c r="AR5005" s="67"/>
      <c r="AS5005" s="73"/>
      <c r="AT5005" s="67"/>
      <c r="AU5005" s="67"/>
      <c r="AV5005" s="73"/>
      <c r="AW5005" s="68"/>
      <c r="AX5005" s="68"/>
      <c r="AY5005" s="68"/>
      <c r="AZ5005" s="68"/>
      <c r="BA5005" s="68"/>
      <c r="BB5005" s="67"/>
      <c r="BC5005" s="67"/>
      <c r="BD5005" s="67"/>
      <c r="BE5005" s="67"/>
      <c r="BF5005" s="95"/>
    </row>
    <row r="5006" spans="42:58" x14ac:dyDescent="0.35">
      <c r="AP5006" s="93"/>
      <c r="AQ5006" s="31"/>
      <c r="AR5006" s="31"/>
      <c r="AS5006" s="94"/>
      <c r="AT5006" s="31"/>
      <c r="AU5006" s="31"/>
      <c r="AV5006" s="94"/>
      <c r="AW5006" s="32"/>
      <c r="AX5006" s="32"/>
      <c r="AY5006" s="32"/>
      <c r="AZ5006" s="32"/>
      <c r="BA5006" s="32"/>
      <c r="BB5006" s="31"/>
      <c r="BC5006" s="31"/>
      <c r="BD5006" s="31"/>
      <c r="BE5006" s="31"/>
      <c r="BF5006" s="96"/>
    </row>
    <row r="5007" spans="42:58" x14ac:dyDescent="0.35">
      <c r="AP5007" s="92"/>
      <c r="AQ5007" s="67"/>
      <c r="AR5007" s="67"/>
      <c r="AS5007" s="73"/>
      <c r="AT5007" s="67"/>
      <c r="AU5007" s="67"/>
      <c r="AV5007" s="73"/>
      <c r="AW5007" s="68"/>
      <c r="AX5007" s="68"/>
      <c r="AY5007" s="68"/>
      <c r="AZ5007" s="68"/>
      <c r="BA5007" s="68"/>
      <c r="BB5007" s="67"/>
      <c r="BC5007" s="67"/>
      <c r="BD5007" s="67"/>
      <c r="BE5007" s="67"/>
      <c r="BF5007" s="95"/>
    </row>
    <row r="5008" spans="42:58" x14ac:dyDescent="0.35">
      <c r="AP5008" s="93"/>
      <c r="AQ5008" s="31"/>
      <c r="AR5008" s="31"/>
      <c r="AS5008" s="94"/>
      <c r="AT5008" s="31"/>
      <c r="AU5008" s="31"/>
      <c r="AV5008" s="94"/>
      <c r="AW5008" s="32"/>
      <c r="AX5008" s="32"/>
      <c r="AY5008" s="32"/>
      <c r="AZ5008" s="32"/>
      <c r="BA5008" s="32"/>
      <c r="BB5008" s="31"/>
      <c r="BC5008" s="31"/>
      <c r="BD5008" s="31"/>
      <c r="BE5008" s="31"/>
      <c r="BF5008" s="96"/>
    </row>
    <row r="5009" spans="42:58" x14ac:dyDescent="0.35">
      <c r="AP5009" s="92"/>
      <c r="AQ5009" s="67"/>
      <c r="AR5009" s="67"/>
      <c r="AS5009" s="73"/>
      <c r="AT5009" s="67"/>
      <c r="AU5009" s="67"/>
      <c r="AV5009" s="73"/>
      <c r="AW5009" s="68"/>
      <c r="AX5009" s="68"/>
      <c r="AY5009" s="68"/>
      <c r="AZ5009" s="68"/>
      <c r="BA5009" s="68"/>
      <c r="BB5009" s="67"/>
      <c r="BC5009" s="67"/>
      <c r="BD5009" s="67"/>
      <c r="BE5009" s="67"/>
      <c r="BF5009" s="95"/>
    </row>
    <row r="5010" spans="42:58" x14ac:dyDescent="0.35">
      <c r="AP5010" s="93"/>
      <c r="AQ5010" s="31"/>
      <c r="AR5010" s="31"/>
      <c r="AS5010" s="94"/>
      <c r="AT5010" s="31"/>
      <c r="AU5010" s="31"/>
      <c r="AV5010" s="94"/>
      <c r="AW5010" s="32"/>
      <c r="AX5010" s="32"/>
      <c r="AY5010" s="32"/>
      <c r="AZ5010" s="32"/>
      <c r="BA5010" s="32"/>
      <c r="BB5010" s="31"/>
      <c r="BC5010" s="31"/>
      <c r="BD5010" s="31"/>
      <c r="BE5010" s="31"/>
      <c r="BF5010" s="96"/>
    </row>
    <row r="5011" spans="42:58" x14ac:dyDescent="0.35">
      <c r="AP5011" s="92"/>
      <c r="AQ5011" s="67"/>
      <c r="AR5011" s="67"/>
      <c r="AS5011" s="73"/>
      <c r="AT5011" s="67"/>
      <c r="AU5011" s="67"/>
      <c r="AV5011" s="73"/>
      <c r="AW5011" s="68"/>
      <c r="AX5011" s="68"/>
      <c r="AY5011" s="68"/>
      <c r="AZ5011" s="68"/>
      <c r="BA5011" s="68"/>
      <c r="BB5011" s="67"/>
      <c r="BC5011" s="67"/>
      <c r="BD5011" s="67"/>
      <c r="BE5011" s="67"/>
      <c r="BF5011" s="95"/>
    </row>
    <row r="5012" spans="42:58" x14ac:dyDescent="0.35">
      <c r="AP5012" s="93"/>
      <c r="AQ5012" s="31"/>
      <c r="AR5012" s="31"/>
      <c r="AS5012" s="94"/>
      <c r="AT5012" s="31"/>
      <c r="AU5012" s="31"/>
      <c r="AV5012" s="94"/>
      <c r="AW5012" s="32"/>
      <c r="AX5012" s="32"/>
      <c r="AY5012" s="32"/>
      <c r="AZ5012" s="32"/>
      <c r="BA5012" s="32"/>
      <c r="BB5012" s="31"/>
      <c r="BC5012" s="31"/>
      <c r="BD5012" s="31"/>
      <c r="BE5012" s="31"/>
      <c r="BF5012" s="96"/>
    </row>
    <row r="5013" spans="42:58" x14ac:dyDescent="0.35">
      <c r="AP5013" s="92"/>
      <c r="AQ5013" s="67"/>
      <c r="AR5013" s="67"/>
      <c r="AS5013" s="73"/>
      <c r="AT5013" s="67"/>
      <c r="AU5013" s="67"/>
      <c r="AV5013" s="73"/>
      <c r="AW5013" s="68"/>
      <c r="AX5013" s="68"/>
      <c r="AY5013" s="68"/>
      <c r="AZ5013" s="68"/>
      <c r="BA5013" s="68"/>
      <c r="BB5013" s="67"/>
      <c r="BC5013" s="67"/>
      <c r="BD5013" s="67"/>
      <c r="BE5013" s="67"/>
      <c r="BF5013" s="95"/>
    </row>
    <row r="5014" spans="42:58" x14ac:dyDescent="0.35">
      <c r="AP5014" s="93"/>
      <c r="AQ5014" s="31"/>
      <c r="AR5014" s="31"/>
      <c r="AS5014" s="94"/>
      <c r="AT5014" s="31"/>
      <c r="AU5014" s="31"/>
      <c r="AV5014" s="94"/>
      <c r="AW5014" s="32"/>
      <c r="AX5014" s="32"/>
      <c r="AY5014" s="32"/>
      <c r="AZ5014" s="32"/>
      <c r="BA5014" s="32"/>
      <c r="BB5014" s="31"/>
      <c r="BC5014" s="31"/>
      <c r="BD5014" s="31"/>
      <c r="BE5014" s="31"/>
      <c r="BF5014" s="96"/>
    </row>
    <row r="5015" spans="42:58" x14ac:dyDescent="0.35">
      <c r="AP5015" s="92"/>
      <c r="AQ5015" s="67"/>
      <c r="AR5015" s="67"/>
      <c r="AS5015" s="73"/>
      <c r="AT5015" s="67"/>
      <c r="AU5015" s="67"/>
      <c r="AV5015" s="73"/>
      <c r="AW5015" s="68"/>
      <c r="AX5015" s="68"/>
      <c r="AY5015" s="68"/>
      <c r="AZ5015" s="68"/>
      <c r="BA5015" s="68"/>
      <c r="BB5015" s="67"/>
      <c r="BC5015" s="67"/>
      <c r="BD5015" s="67"/>
      <c r="BE5015" s="67"/>
      <c r="BF5015" s="95"/>
    </row>
    <row r="5016" spans="42:58" x14ac:dyDescent="0.35">
      <c r="AP5016" s="93"/>
      <c r="AQ5016" s="31"/>
      <c r="AR5016" s="31"/>
      <c r="AS5016" s="94"/>
      <c r="AT5016" s="31"/>
      <c r="AU5016" s="31"/>
      <c r="AV5016" s="94"/>
      <c r="AW5016" s="32"/>
      <c r="AX5016" s="32"/>
      <c r="AY5016" s="32"/>
      <c r="AZ5016" s="32"/>
      <c r="BA5016" s="32"/>
      <c r="BB5016" s="31"/>
      <c r="BC5016" s="31"/>
      <c r="BD5016" s="31"/>
      <c r="BE5016" s="31"/>
      <c r="BF5016" s="96"/>
    </row>
    <row r="5017" spans="42:58" x14ac:dyDescent="0.35">
      <c r="AP5017" s="92"/>
      <c r="AQ5017" s="67"/>
      <c r="AR5017" s="67"/>
      <c r="AS5017" s="73"/>
      <c r="AT5017" s="67"/>
      <c r="AU5017" s="67"/>
      <c r="AV5017" s="73"/>
      <c r="AW5017" s="68"/>
      <c r="AX5017" s="68"/>
      <c r="AY5017" s="68"/>
      <c r="AZ5017" s="68"/>
      <c r="BA5017" s="68"/>
      <c r="BB5017" s="67"/>
      <c r="BC5017" s="67"/>
      <c r="BD5017" s="67"/>
      <c r="BE5017" s="67"/>
      <c r="BF5017" s="95"/>
    </row>
    <row r="5018" spans="42:58" x14ac:dyDescent="0.35">
      <c r="AP5018" s="93"/>
      <c r="AQ5018" s="31"/>
      <c r="AR5018" s="31"/>
      <c r="AS5018" s="94"/>
      <c r="AT5018" s="31"/>
      <c r="AU5018" s="31"/>
      <c r="AV5018" s="94"/>
      <c r="AW5018" s="32"/>
      <c r="AX5018" s="32"/>
      <c r="AY5018" s="32"/>
      <c r="AZ5018" s="32"/>
      <c r="BA5018" s="32"/>
      <c r="BB5018" s="31"/>
      <c r="BC5018" s="31"/>
      <c r="BD5018" s="31"/>
      <c r="BE5018" s="31"/>
      <c r="BF5018" s="96"/>
    </row>
    <row r="5019" spans="42:58" x14ac:dyDescent="0.35">
      <c r="AP5019" s="92"/>
      <c r="AQ5019" s="67"/>
      <c r="AR5019" s="67"/>
      <c r="AS5019" s="73"/>
      <c r="AT5019" s="67"/>
      <c r="AU5019" s="67"/>
      <c r="AV5019" s="73"/>
      <c r="AW5019" s="68"/>
      <c r="AX5019" s="68"/>
      <c r="AY5019" s="68"/>
      <c r="AZ5019" s="68"/>
      <c r="BA5019" s="68"/>
      <c r="BB5019" s="67"/>
      <c r="BC5019" s="67"/>
      <c r="BD5019" s="67"/>
      <c r="BE5019" s="67"/>
      <c r="BF5019" s="95"/>
    </row>
    <row r="5020" spans="42:58" x14ac:dyDescent="0.35">
      <c r="AP5020" s="93"/>
      <c r="AQ5020" s="31"/>
      <c r="AR5020" s="31"/>
      <c r="AS5020" s="94"/>
      <c r="AT5020" s="31"/>
      <c r="AU5020" s="31"/>
      <c r="AV5020" s="94"/>
      <c r="AW5020" s="32"/>
      <c r="AX5020" s="32"/>
      <c r="AY5020" s="32"/>
      <c r="AZ5020" s="32"/>
      <c r="BA5020" s="32"/>
      <c r="BB5020" s="31"/>
      <c r="BC5020" s="31"/>
      <c r="BD5020" s="31"/>
      <c r="BE5020" s="31"/>
      <c r="BF5020" s="96"/>
    </row>
    <row r="5021" spans="42:58" x14ac:dyDescent="0.35">
      <c r="AP5021" s="92"/>
      <c r="AQ5021" s="67"/>
      <c r="AR5021" s="67"/>
      <c r="AS5021" s="73"/>
      <c r="AT5021" s="67"/>
      <c r="AU5021" s="67"/>
      <c r="AV5021" s="73"/>
      <c r="AW5021" s="68"/>
      <c r="AX5021" s="68"/>
      <c r="AY5021" s="68"/>
      <c r="AZ5021" s="68"/>
      <c r="BA5021" s="68"/>
      <c r="BB5021" s="67"/>
      <c r="BC5021" s="67"/>
      <c r="BD5021" s="67"/>
      <c r="BE5021" s="67"/>
      <c r="BF5021" s="95"/>
    </row>
    <row r="5022" spans="42:58" x14ac:dyDescent="0.35">
      <c r="AP5022" s="93"/>
      <c r="AQ5022" s="31"/>
      <c r="AR5022" s="31"/>
      <c r="AS5022" s="94"/>
      <c r="AT5022" s="31"/>
      <c r="AU5022" s="31"/>
      <c r="AV5022" s="94"/>
      <c r="AW5022" s="32"/>
      <c r="AX5022" s="32"/>
      <c r="AY5022" s="32"/>
      <c r="AZ5022" s="32"/>
      <c r="BA5022" s="32"/>
      <c r="BB5022" s="31"/>
      <c r="BC5022" s="31"/>
      <c r="BD5022" s="31"/>
      <c r="BE5022" s="31"/>
      <c r="BF5022" s="96"/>
    </row>
    <row r="5023" spans="42:58" x14ac:dyDescent="0.35">
      <c r="AP5023" s="92"/>
      <c r="AQ5023" s="67"/>
      <c r="AR5023" s="67"/>
      <c r="AS5023" s="73"/>
      <c r="AT5023" s="67"/>
      <c r="AU5023" s="67"/>
      <c r="AV5023" s="73"/>
      <c r="AW5023" s="68"/>
      <c r="AX5023" s="68"/>
      <c r="AY5023" s="68"/>
      <c r="AZ5023" s="68"/>
      <c r="BA5023" s="68"/>
      <c r="BB5023" s="67"/>
      <c r="BC5023" s="67"/>
      <c r="BD5023" s="67"/>
      <c r="BE5023" s="67"/>
      <c r="BF5023" s="95"/>
    </row>
    <row r="5024" spans="42:58" x14ac:dyDescent="0.35">
      <c r="AP5024" s="93"/>
      <c r="AQ5024" s="31"/>
      <c r="AR5024" s="31"/>
      <c r="AS5024" s="94"/>
      <c r="AT5024" s="31"/>
      <c r="AU5024" s="31"/>
      <c r="AV5024" s="94"/>
      <c r="AW5024" s="32"/>
      <c r="AX5024" s="32"/>
      <c r="AY5024" s="32"/>
      <c r="AZ5024" s="32"/>
      <c r="BA5024" s="32"/>
      <c r="BB5024" s="31"/>
      <c r="BC5024" s="31"/>
      <c r="BD5024" s="31"/>
      <c r="BE5024" s="31"/>
      <c r="BF5024" s="96"/>
    </row>
    <row r="5025" spans="42:58" x14ac:dyDescent="0.35">
      <c r="AP5025" s="92"/>
      <c r="AQ5025" s="67"/>
      <c r="AR5025" s="67"/>
      <c r="AS5025" s="73"/>
      <c r="AT5025" s="67"/>
      <c r="AU5025" s="67"/>
      <c r="AV5025" s="73"/>
      <c r="AW5025" s="68"/>
      <c r="AX5025" s="68"/>
      <c r="AY5025" s="68"/>
      <c r="AZ5025" s="68"/>
      <c r="BA5025" s="68"/>
      <c r="BB5025" s="67"/>
      <c r="BC5025" s="67"/>
      <c r="BD5025" s="67"/>
      <c r="BE5025" s="67"/>
      <c r="BF5025" s="95"/>
    </row>
    <row r="5026" spans="42:58" x14ac:dyDescent="0.35">
      <c r="AP5026" s="93"/>
      <c r="AQ5026" s="31"/>
      <c r="AR5026" s="31"/>
      <c r="AS5026" s="94"/>
      <c r="AT5026" s="31"/>
      <c r="AU5026" s="31"/>
      <c r="AV5026" s="94"/>
      <c r="AW5026" s="32"/>
      <c r="AX5026" s="32"/>
      <c r="AY5026" s="32"/>
      <c r="AZ5026" s="32"/>
      <c r="BA5026" s="32"/>
      <c r="BB5026" s="31"/>
      <c r="BC5026" s="31"/>
      <c r="BD5026" s="31"/>
      <c r="BE5026" s="31"/>
      <c r="BF5026" s="96"/>
    </row>
    <row r="5027" spans="42:58" x14ac:dyDescent="0.35">
      <c r="AP5027" s="92"/>
      <c r="AQ5027" s="67"/>
      <c r="AR5027" s="67"/>
      <c r="AS5027" s="73"/>
      <c r="AT5027" s="67"/>
      <c r="AU5027" s="67"/>
      <c r="AV5027" s="73"/>
      <c r="AW5027" s="68"/>
      <c r="AX5027" s="68"/>
      <c r="AY5027" s="68"/>
      <c r="AZ5027" s="68"/>
      <c r="BA5027" s="68"/>
      <c r="BB5027" s="67"/>
      <c r="BC5027" s="67"/>
      <c r="BD5027" s="67"/>
      <c r="BE5027" s="67"/>
      <c r="BF5027" s="95"/>
    </row>
    <row r="5028" spans="42:58" x14ac:dyDescent="0.35">
      <c r="AP5028" s="93"/>
      <c r="AQ5028" s="31"/>
      <c r="AR5028" s="31"/>
      <c r="AS5028" s="94"/>
      <c r="AT5028" s="31"/>
      <c r="AU5028" s="31"/>
      <c r="AV5028" s="94"/>
      <c r="AW5028" s="32"/>
      <c r="AX5028" s="32"/>
      <c r="AY5028" s="32"/>
      <c r="AZ5028" s="32"/>
      <c r="BA5028" s="32"/>
      <c r="BB5028" s="31"/>
      <c r="BC5028" s="31"/>
      <c r="BD5028" s="31"/>
      <c r="BE5028" s="31"/>
      <c r="BF5028" s="96"/>
    </row>
    <row r="5029" spans="42:58" x14ac:dyDescent="0.35">
      <c r="AP5029" s="92"/>
      <c r="AQ5029" s="67"/>
      <c r="AR5029" s="67"/>
      <c r="AS5029" s="73"/>
      <c r="AT5029" s="67"/>
      <c r="AU5029" s="67"/>
      <c r="AV5029" s="73"/>
      <c r="AW5029" s="68"/>
      <c r="AX5029" s="68"/>
      <c r="AY5029" s="68"/>
      <c r="AZ5029" s="68"/>
      <c r="BA5029" s="68"/>
      <c r="BB5029" s="67"/>
      <c r="BC5029" s="67"/>
      <c r="BD5029" s="67"/>
      <c r="BE5029" s="67"/>
      <c r="BF5029" s="95"/>
    </row>
    <row r="5030" spans="42:58" x14ac:dyDescent="0.35">
      <c r="AP5030" s="93"/>
      <c r="AQ5030" s="31"/>
      <c r="AR5030" s="31"/>
      <c r="AS5030" s="94"/>
      <c r="AT5030" s="31"/>
      <c r="AU5030" s="31"/>
      <c r="AV5030" s="94"/>
      <c r="AW5030" s="32"/>
      <c r="AX5030" s="32"/>
      <c r="AY5030" s="32"/>
      <c r="AZ5030" s="32"/>
      <c r="BA5030" s="32"/>
      <c r="BB5030" s="31"/>
      <c r="BC5030" s="31"/>
      <c r="BD5030" s="31"/>
      <c r="BE5030" s="31"/>
      <c r="BF5030" s="96"/>
    </row>
    <row r="5031" spans="42:58" x14ac:dyDescent="0.35">
      <c r="AP5031" s="92"/>
      <c r="AQ5031" s="67"/>
      <c r="AR5031" s="67"/>
      <c r="AS5031" s="73"/>
      <c r="AT5031" s="67"/>
      <c r="AU5031" s="67"/>
      <c r="AV5031" s="73"/>
      <c r="AW5031" s="68"/>
      <c r="AX5031" s="68"/>
      <c r="AY5031" s="68"/>
      <c r="AZ5031" s="68"/>
      <c r="BA5031" s="68"/>
      <c r="BB5031" s="67"/>
      <c r="BC5031" s="67"/>
      <c r="BD5031" s="67"/>
      <c r="BE5031" s="67"/>
      <c r="BF5031" s="95"/>
    </row>
    <row r="5032" spans="42:58" x14ac:dyDescent="0.35">
      <c r="AP5032" s="93"/>
      <c r="AQ5032" s="31"/>
      <c r="AR5032" s="31"/>
      <c r="AS5032" s="94"/>
      <c r="AT5032" s="31"/>
      <c r="AU5032" s="31"/>
      <c r="AV5032" s="94"/>
      <c r="AW5032" s="32"/>
      <c r="AX5032" s="32"/>
      <c r="AY5032" s="32"/>
      <c r="AZ5032" s="32"/>
      <c r="BA5032" s="32"/>
      <c r="BB5032" s="31"/>
      <c r="BC5032" s="31"/>
      <c r="BD5032" s="31"/>
      <c r="BE5032" s="31"/>
      <c r="BF5032" s="96"/>
    </row>
    <row r="5033" spans="42:58" x14ac:dyDescent="0.35">
      <c r="AP5033" s="92"/>
      <c r="AQ5033" s="67"/>
      <c r="AR5033" s="67"/>
      <c r="AS5033" s="73"/>
      <c r="AT5033" s="67"/>
      <c r="AU5033" s="67"/>
      <c r="AV5033" s="73"/>
      <c r="AW5033" s="68"/>
      <c r="AX5033" s="68"/>
      <c r="AY5033" s="68"/>
      <c r="AZ5033" s="68"/>
      <c r="BA5033" s="68"/>
      <c r="BB5033" s="67"/>
      <c r="BC5033" s="67"/>
      <c r="BD5033" s="67"/>
      <c r="BE5033" s="67"/>
      <c r="BF5033" s="95"/>
    </row>
    <row r="5034" spans="42:58" x14ac:dyDescent="0.35">
      <c r="AP5034" s="93"/>
      <c r="AQ5034" s="31"/>
      <c r="AR5034" s="31"/>
      <c r="AS5034" s="94"/>
      <c r="AT5034" s="31"/>
      <c r="AU5034" s="31"/>
      <c r="AV5034" s="94"/>
      <c r="AW5034" s="32"/>
      <c r="AX5034" s="32"/>
      <c r="AY5034" s="32"/>
      <c r="AZ5034" s="32"/>
      <c r="BA5034" s="32"/>
      <c r="BB5034" s="31"/>
      <c r="BC5034" s="31"/>
      <c r="BD5034" s="31"/>
      <c r="BE5034" s="31"/>
      <c r="BF5034" s="96"/>
    </row>
    <row r="5035" spans="42:58" x14ac:dyDescent="0.35">
      <c r="AP5035" s="92"/>
      <c r="AQ5035" s="67"/>
      <c r="AR5035" s="67"/>
      <c r="AS5035" s="73"/>
      <c r="AT5035" s="67"/>
      <c r="AU5035" s="67"/>
      <c r="AV5035" s="73"/>
      <c r="AW5035" s="68"/>
      <c r="AX5035" s="68"/>
      <c r="AY5035" s="68"/>
      <c r="AZ5035" s="68"/>
      <c r="BA5035" s="68"/>
      <c r="BB5035" s="67"/>
      <c r="BC5035" s="67"/>
      <c r="BD5035" s="67"/>
      <c r="BE5035" s="67"/>
      <c r="BF5035" s="95"/>
    </row>
    <row r="5036" spans="42:58" x14ac:dyDescent="0.35">
      <c r="AP5036" s="93"/>
      <c r="AQ5036" s="31"/>
      <c r="AR5036" s="31"/>
      <c r="AS5036" s="94"/>
      <c r="AT5036" s="31"/>
      <c r="AU5036" s="31"/>
      <c r="AV5036" s="94"/>
      <c r="AW5036" s="32"/>
      <c r="AX5036" s="32"/>
      <c r="AY5036" s="32"/>
      <c r="AZ5036" s="32"/>
      <c r="BA5036" s="32"/>
      <c r="BB5036" s="31"/>
      <c r="BC5036" s="31"/>
      <c r="BD5036" s="31"/>
      <c r="BE5036" s="31"/>
      <c r="BF5036" s="96"/>
    </row>
    <row r="5037" spans="42:58" x14ac:dyDescent="0.35">
      <c r="AP5037" s="92"/>
      <c r="AQ5037" s="67"/>
      <c r="AR5037" s="67"/>
      <c r="AS5037" s="73"/>
      <c r="AT5037" s="67"/>
      <c r="AU5037" s="67"/>
      <c r="AV5037" s="73"/>
      <c r="AW5037" s="68"/>
      <c r="AX5037" s="68"/>
      <c r="AY5037" s="68"/>
      <c r="AZ5037" s="68"/>
      <c r="BA5037" s="68"/>
      <c r="BB5037" s="67"/>
      <c r="BC5037" s="67"/>
      <c r="BD5037" s="67"/>
      <c r="BE5037" s="67"/>
      <c r="BF5037" s="95"/>
    </row>
    <row r="5038" spans="42:58" x14ac:dyDescent="0.35">
      <c r="AP5038" s="93"/>
      <c r="AQ5038" s="31"/>
      <c r="AR5038" s="31"/>
      <c r="AS5038" s="94"/>
      <c r="AT5038" s="31"/>
      <c r="AU5038" s="31"/>
      <c r="AV5038" s="94"/>
      <c r="AW5038" s="32"/>
      <c r="AX5038" s="32"/>
      <c r="AY5038" s="32"/>
      <c r="AZ5038" s="32"/>
      <c r="BA5038" s="32"/>
      <c r="BB5038" s="31"/>
      <c r="BC5038" s="31"/>
      <c r="BD5038" s="31"/>
      <c r="BE5038" s="31"/>
      <c r="BF5038" s="96"/>
    </row>
    <row r="5039" spans="42:58" x14ac:dyDescent="0.35">
      <c r="AP5039" s="92"/>
      <c r="AQ5039" s="67"/>
      <c r="AR5039" s="67"/>
      <c r="AS5039" s="73"/>
      <c r="AT5039" s="67"/>
      <c r="AU5039" s="67"/>
      <c r="AV5039" s="73"/>
      <c r="AW5039" s="68"/>
      <c r="AX5039" s="68"/>
      <c r="AY5039" s="68"/>
      <c r="AZ5039" s="68"/>
      <c r="BA5039" s="68"/>
      <c r="BB5039" s="67"/>
      <c r="BC5039" s="67"/>
      <c r="BD5039" s="67"/>
      <c r="BE5039" s="67"/>
      <c r="BF5039" s="95"/>
    </row>
    <row r="5040" spans="42:58" x14ac:dyDescent="0.35">
      <c r="AP5040" s="93"/>
      <c r="AQ5040" s="31"/>
      <c r="AR5040" s="31"/>
      <c r="AS5040" s="94"/>
      <c r="AT5040" s="31"/>
      <c r="AU5040" s="31"/>
      <c r="AV5040" s="94"/>
      <c r="AW5040" s="32"/>
      <c r="AX5040" s="32"/>
      <c r="AY5040" s="32"/>
      <c r="AZ5040" s="32"/>
      <c r="BA5040" s="32"/>
      <c r="BB5040" s="31"/>
      <c r="BC5040" s="31"/>
      <c r="BD5040" s="31"/>
      <c r="BE5040" s="31"/>
      <c r="BF5040" s="96"/>
    </row>
    <row r="5041" spans="42:58" x14ac:dyDescent="0.35">
      <c r="AP5041" s="92"/>
      <c r="AQ5041" s="67"/>
      <c r="AR5041" s="67"/>
      <c r="AS5041" s="73"/>
      <c r="AT5041" s="67"/>
      <c r="AU5041" s="67"/>
      <c r="AV5041" s="73"/>
      <c r="AW5041" s="68"/>
      <c r="AX5041" s="68"/>
      <c r="AY5041" s="68"/>
      <c r="AZ5041" s="68"/>
      <c r="BA5041" s="68"/>
      <c r="BB5041" s="67"/>
      <c r="BC5041" s="67"/>
      <c r="BD5041" s="67"/>
      <c r="BE5041" s="67"/>
      <c r="BF5041" s="95"/>
    </row>
    <row r="5042" spans="42:58" x14ac:dyDescent="0.35">
      <c r="AP5042" s="93"/>
      <c r="AQ5042" s="31"/>
      <c r="AR5042" s="31"/>
      <c r="AS5042" s="94"/>
      <c r="AT5042" s="31"/>
      <c r="AU5042" s="31"/>
      <c r="AV5042" s="94"/>
      <c r="AW5042" s="32"/>
      <c r="AX5042" s="32"/>
      <c r="AY5042" s="32"/>
      <c r="AZ5042" s="32"/>
      <c r="BA5042" s="32"/>
      <c r="BB5042" s="31"/>
      <c r="BC5042" s="31"/>
      <c r="BD5042" s="31"/>
      <c r="BE5042" s="31"/>
      <c r="BF5042" s="96"/>
    </row>
    <row r="5043" spans="42:58" x14ac:dyDescent="0.35">
      <c r="AP5043" s="92"/>
      <c r="AQ5043" s="67"/>
      <c r="AR5043" s="67"/>
      <c r="AS5043" s="73"/>
      <c r="AT5043" s="67"/>
      <c r="AU5043" s="67"/>
      <c r="AV5043" s="73"/>
      <c r="AW5043" s="68"/>
      <c r="AX5043" s="68"/>
      <c r="AY5043" s="68"/>
      <c r="AZ5043" s="68"/>
      <c r="BA5043" s="68"/>
      <c r="BB5043" s="67"/>
      <c r="BC5043" s="67"/>
      <c r="BD5043" s="67"/>
      <c r="BE5043" s="67"/>
      <c r="BF5043" s="95"/>
    </row>
    <row r="5044" spans="42:58" x14ac:dyDescent="0.35">
      <c r="AP5044" s="93"/>
      <c r="AQ5044" s="31"/>
      <c r="AR5044" s="31"/>
      <c r="AS5044" s="94"/>
      <c r="AT5044" s="31"/>
      <c r="AU5044" s="31"/>
      <c r="AV5044" s="94"/>
      <c r="AW5044" s="32"/>
      <c r="AX5044" s="32"/>
      <c r="AY5044" s="32"/>
      <c r="AZ5044" s="32"/>
      <c r="BA5044" s="32"/>
      <c r="BB5044" s="31"/>
      <c r="BC5044" s="31"/>
      <c r="BD5044" s="31"/>
      <c r="BE5044" s="31"/>
      <c r="BF5044" s="96"/>
    </row>
    <row r="5045" spans="42:58" x14ac:dyDescent="0.35">
      <c r="AP5045" s="92"/>
      <c r="AQ5045" s="67"/>
      <c r="AR5045" s="67"/>
      <c r="AS5045" s="73"/>
      <c r="AT5045" s="67"/>
      <c r="AU5045" s="67"/>
      <c r="AV5045" s="73"/>
      <c r="AW5045" s="68"/>
      <c r="AX5045" s="68"/>
      <c r="AY5045" s="68"/>
      <c r="AZ5045" s="68"/>
      <c r="BA5045" s="68"/>
      <c r="BB5045" s="67"/>
      <c r="BC5045" s="67"/>
      <c r="BD5045" s="67"/>
      <c r="BE5045" s="67"/>
      <c r="BF5045" s="95"/>
    </row>
    <row r="5046" spans="42:58" x14ac:dyDescent="0.35">
      <c r="AP5046" s="93"/>
      <c r="AQ5046" s="31"/>
      <c r="AR5046" s="31"/>
      <c r="AS5046" s="94"/>
      <c r="AT5046" s="31"/>
      <c r="AU5046" s="31"/>
      <c r="AV5046" s="94"/>
      <c r="AW5046" s="32"/>
      <c r="AX5046" s="32"/>
      <c r="AY5046" s="32"/>
      <c r="AZ5046" s="32"/>
      <c r="BA5046" s="32"/>
      <c r="BB5046" s="31"/>
      <c r="BC5046" s="31"/>
      <c r="BD5046" s="31"/>
      <c r="BE5046" s="31"/>
      <c r="BF5046" s="96"/>
    </row>
    <row r="5047" spans="42:58" x14ac:dyDescent="0.35">
      <c r="AP5047" s="92"/>
      <c r="AQ5047" s="67"/>
      <c r="AR5047" s="67"/>
      <c r="AS5047" s="73"/>
      <c r="AT5047" s="67"/>
      <c r="AU5047" s="67"/>
      <c r="AV5047" s="73"/>
      <c r="AW5047" s="68"/>
      <c r="AX5047" s="68"/>
      <c r="AY5047" s="68"/>
      <c r="AZ5047" s="68"/>
      <c r="BA5047" s="68"/>
      <c r="BB5047" s="67"/>
      <c r="BC5047" s="67"/>
      <c r="BD5047" s="67"/>
      <c r="BE5047" s="67"/>
      <c r="BF5047" s="95"/>
    </row>
    <row r="5048" spans="42:58" x14ac:dyDescent="0.35">
      <c r="AP5048" s="93"/>
      <c r="AQ5048" s="31"/>
      <c r="AR5048" s="31"/>
      <c r="AS5048" s="94"/>
      <c r="AT5048" s="31"/>
      <c r="AU5048" s="31"/>
      <c r="AV5048" s="94"/>
      <c r="AW5048" s="32"/>
      <c r="AX5048" s="32"/>
      <c r="AY5048" s="32"/>
      <c r="AZ5048" s="32"/>
      <c r="BA5048" s="32"/>
      <c r="BB5048" s="31"/>
      <c r="BC5048" s="31"/>
      <c r="BD5048" s="31"/>
      <c r="BE5048" s="31"/>
      <c r="BF5048" s="96"/>
    </row>
    <row r="5049" spans="42:58" x14ac:dyDescent="0.35">
      <c r="AP5049" s="92"/>
      <c r="AQ5049" s="67"/>
      <c r="AR5049" s="67"/>
      <c r="AS5049" s="73"/>
      <c r="AT5049" s="67"/>
      <c r="AU5049" s="67"/>
      <c r="AV5049" s="73"/>
      <c r="AW5049" s="68"/>
      <c r="AX5049" s="68"/>
      <c r="AY5049" s="68"/>
      <c r="AZ5049" s="68"/>
      <c r="BA5049" s="68"/>
      <c r="BB5049" s="67"/>
      <c r="BC5049" s="67"/>
      <c r="BD5049" s="67"/>
      <c r="BE5049" s="67"/>
      <c r="BF5049" s="95"/>
    </row>
    <row r="5050" spans="42:58" x14ac:dyDescent="0.35">
      <c r="AP5050" s="93"/>
      <c r="AQ5050" s="31"/>
      <c r="AR5050" s="31"/>
      <c r="AS5050" s="94"/>
      <c r="AT5050" s="31"/>
      <c r="AU5050" s="31"/>
      <c r="AV5050" s="94"/>
      <c r="AW5050" s="32"/>
      <c r="AX5050" s="32"/>
      <c r="AY5050" s="32"/>
      <c r="AZ5050" s="32"/>
      <c r="BA5050" s="32"/>
      <c r="BB5050" s="31"/>
      <c r="BC5050" s="31"/>
      <c r="BD5050" s="31"/>
      <c r="BE5050" s="31"/>
      <c r="BF5050" s="96"/>
    </row>
    <row r="5051" spans="42:58" x14ac:dyDescent="0.35">
      <c r="AP5051" s="92"/>
      <c r="AQ5051" s="67"/>
      <c r="AR5051" s="67"/>
      <c r="AS5051" s="73"/>
      <c r="AT5051" s="67"/>
      <c r="AU5051" s="67"/>
      <c r="AV5051" s="73"/>
      <c r="AW5051" s="68"/>
      <c r="AX5051" s="68"/>
      <c r="AY5051" s="68"/>
      <c r="AZ5051" s="68"/>
      <c r="BA5051" s="68"/>
      <c r="BB5051" s="67"/>
      <c r="BC5051" s="67"/>
      <c r="BD5051" s="67"/>
      <c r="BE5051" s="67"/>
      <c r="BF5051" s="95"/>
    </row>
    <row r="5052" spans="42:58" x14ac:dyDescent="0.35">
      <c r="AP5052" s="93"/>
      <c r="AQ5052" s="31"/>
      <c r="AR5052" s="31"/>
      <c r="AS5052" s="94"/>
      <c r="AT5052" s="31"/>
      <c r="AU5052" s="31"/>
      <c r="AV5052" s="94"/>
      <c r="AW5052" s="32"/>
      <c r="AX5052" s="32"/>
      <c r="AY5052" s="32"/>
      <c r="AZ5052" s="32"/>
      <c r="BA5052" s="32"/>
      <c r="BB5052" s="31"/>
      <c r="BC5052" s="31"/>
      <c r="BD5052" s="31"/>
      <c r="BE5052" s="31"/>
      <c r="BF5052" s="96"/>
    </row>
    <row r="5053" spans="42:58" x14ac:dyDescent="0.35">
      <c r="AP5053" s="92"/>
      <c r="AQ5053" s="67"/>
      <c r="AR5053" s="67"/>
      <c r="AS5053" s="73"/>
      <c r="AT5053" s="67"/>
      <c r="AU5053" s="67"/>
      <c r="AV5053" s="73"/>
      <c r="AW5053" s="68"/>
      <c r="AX5053" s="68"/>
      <c r="AY5053" s="68"/>
      <c r="AZ5053" s="68"/>
      <c r="BA5053" s="68"/>
      <c r="BB5053" s="67"/>
      <c r="BC5053" s="67"/>
      <c r="BD5053" s="67"/>
      <c r="BE5053" s="67"/>
      <c r="BF5053" s="95"/>
    </row>
    <row r="5054" spans="42:58" x14ac:dyDescent="0.35">
      <c r="AP5054" s="93"/>
      <c r="AQ5054" s="31"/>
      <c r="AR5054" s="31"/>
      <c r="AS5054" s="94"/>
      <c r="AT5054" s="31"/>
      <c r="AU5054" s="31"/>
      <c r="AV5054" s="94"/>
      <c r="AW5054" s="32"/>
      <c r="AX5054" s="32"/>
      <c r="AY5054" s="32"/>
      <c r="AZ5054" s="32"/>
      <c r="BA5054" s="32"/>
      <c r="BB5054" s="31"/>
      <c r="BC5054" s="31"/>
      <c r="BD5054" s="31"/>
      <c r="BE5054" s="31"/>
      <c r="BF5054" s="96"/>
    </row>
    <row r="5055" spans="42:58" x14ac:dyDescent="0.35">
      <c r="AP5055" s="92"/>
      <c r="AQ5055" s="67"/>
      <c r="AR5055" s="67"/>
      <c r="AS5055" s="73"/>
      <c r="AT5055" s="67"/>
      <c r="AU5055" s="67"/>
      <c r="AV5055" s="73"/>
      <c r="AW5055" s="68"/>
      <c r="AX5055" s="68"/>
      <c r="AY5055" s="68"/>
      <c r="AZ5055" s="68"/>
      <c r="BA5055" s="68"/>
      <c r="BB5055" s="67"/>
      <c r="BC5055" s="67"/>
      <c r="BD5055" s="67"/>
      <c r="BE5055" s="67"/>
      <c r="BF5055" s="95"/>
    </row>
    <row r="5056" spans="42:58" x14ac:dyDescent="0.35">
      <c r="AP5056" s="93"/>
      <c r="AQ5056" s="31"/>
      <c r="AR5056" s="31"/>
      <c r="AS5056" s="94"/>
      <c r="AT5056" s="31"/>
      <c r="AU5056" s="31"/>
      <c r="AV5056" s="94"/>
      <c r="AW5056" s="32"/>
      <c r="AX5056" s="32"/>
      <c r="AY5056" s="32"/>
      <c r="AZ5056" s="32"/>
      <c r="BA5056" s="32"/>
      <c r="BB5056" s="31"/>
      <c r="BC5056" s="31"/>
      <c r="BD5056" s="31"/>
      <c r="BE5056" s="31"/>
      <c r="BF5056" s="96"/>
    </row>
    <row r="5057" spans="42:58" x14ac:dyDescent="0.35">
      <c r="AP5057" s="92"/>
      <c r="AQ5057" s="67"/>
      <c r="AR5057" s="67"/>
      <c r="AS5057" s="73"/>
      <c r="AT5057" s="67"/>
      <c r="AU5057" s="67"/>
      <c r="AV5057" s="73"/>
      <c r="AW5057" s="68"/>
      <c r="AX5057" s="68"/>
      <c r="AY5057" s="68"/>
      <c r="AZ5057" s="68"/>
      <c r="BA5057" s="68"/>
      <c r="BB5057" s="67"/>
      <c r="BC5057" s="67"/>
      <c r="BD5057" s="67"/>
      <c r="BE5057" s="67"/>
      <c r="BF5057" s="95"/>
    </row>
    <row r="5058" spans="42:58" x14ac:dyDescent="0.35">
      <c r="AP5058" s="93"/>
      <c r="AQ5058" s="31"/>
      <c r="AR5058" s="31"/>
      <c r="AS5058" s="94"/>
      <c r="AT5058" s="31"/>
      <c r="AU5058" s="31"/>
      <c r="AV5058" s="94"/>
      <c r="AW5058" s="32"/>
      <c r="AX5058" s="32"/>
      <c r="AY5058" s="32"/>
      <c r="AZ5058" s="32"/>
      <c r="BA5058" s="32"/>
      <c r="BB5058" s="31"/>
      <c r="BC5058" s="31"/>
      <c r="BD5058" s="31"/>
      <c r="BE5058" s="31"/>
      <c r="BF5058" s="96"/>
    </row>
    <row r="5059" spans="42:58" x14ac:dyDescent="0.35">
      <c r="AP5059" s="92"/>
      <c r="AQ5059" s="67"/>
      <c r="AR5059" s="67"/>
      <c r="AS5059" s="73"/>
      <c r="AT5059" s="67"/>
      <c r="AU5059" s="67"/>
      <c r="AV5059" s="73"/>
      <c r="AW5059" s="68"/>
      <c r="AX5059" s="68"/>
      <c r="AY5059" s="68"/>
      <c r="AZ5059" s="68"/>
      <c r="BA5059" s="68"/>
      <c r="BB5059" s="67"/>
      <c r="BC5059" s="67"/>
      <c r="BD5059" s="67"/>
      <c r="BE5059" s="67"/>
      <c r="BF5059" s="95"/>
    </row>
    <row r="5060" spans="42:58" x14ac:dyDescent="0.35">
      <c r="AP5060" s="93"/>
      <c r="AQ5060" s="31"/>
      <c r="AR5060" s="31"/>
      <c r="AS5060" s="94"/>
      <c r="AT5060" s="31"/>
      <c r="AU5060" s="31"/>
      <c r="AV5060" s="94"/>
      <c r="AW5060" s="32"/>
      <c r="AX5060" s="32"/>
      <c r="AY5060" s="32"/>
      <c r="AZ5060" s="32"/>
      <c r="BA5060" s="32"/>
      <c r="BB5060" s="31"/>
      <c r="BC5060" s="31"/>
      <c r="BD5060" s="31"/>
      <c r="BE5060" s="31"/>
      <c r="BF5060" s="96"/>
    </row>
    <row r="5061" spans="42:58" x14ac:dyDescent="0.35">
      <c r="AP5061" s="92"/>
      <c r="AQ5061" s="67"/>
      <c r="AR5061" s="67"/>
      <c r="AS5061" s="73"/>
      <c r="AT5061" s="67"/>
      <c r="AU5061" s="67"/>
      <c r="AV5061" s="73"/>
      <c r="AW5061" s="68"/>
      <c r="AX5061" s="68"/>
      <c r="AY5061" s="68"/>
      <c r="AZ5061" s="68"/>
      <c r="BA5061" s="68"/>
      <c r="BB5061" s="67"/>
      <c r="BC5061" s="67"/>
      <c r="BD5061" s="67"/>
      <c r="BE5061" s="67"/>
      <c r="BF5061" s="95"/>
    </row>
    <row r="5062" spans="42:58" x14ac:dyDescent="0.35">
      <c r="AP5062" s="93"/>
      <c r="AQ5062" s="31"/>
      <c r="AR5062" s="31"/>
      <c r="AS5062" s="94"/>
      <c r="AT5062" s="31"/>
      <c r="AU5062" s="31"/>
      <c r="AV5062" s="94"/>
      <c r="AW5062" s="32"/>
      <c r="AX5062" s="32"/>
      <c r="AY5062" s="32"/>
      <c r="AZ5062" s="32"/>
      <c r="BA5062" s="32"/>
      <c r="BB5062" s="31"/>
      <c r="BC5062" s="31"/>
      <c r="BD5062" s="31"/>
      <c r="BE5062" s="31"/>
      <c r="BF5062" s="96"/>
    </row>
    <row r="5063" spans="42:58" x14ac:dyDescent="0.35">
      <c r="AP5063" s="92"/>
      <c r="AQ5063" s="67"/>
      <c r="AR5063" s="67"/>
      <c r="AS5063" s="73"/>
      <c r="AT5063" s="67"/>
      <c r="AU5063" s="67"/>
      <c r="AV5063" s="73"/>
      <c r="AW5063" s="68"/>
      <c r="AX5063" s="68"/>
      <c r="AY5063" s="68"/>
      <c r="AZ5063" s="68"/>
      <c r="BA5063" s="68"/>
      <c r="BB5063" s="67"/>
      <c r="BC5063" s="67"/>
      <c r="BD5063" s="67"/>
      <c r="BE5063" s="67"/>
      <c r="BF5063" s="95"/>
    </row>
    <row r="5064" spans="42:58" x14ac:dyDescent="0.35">
      <c r="AP5064" s="93"/>
      <c r="AQ5064" s="31"/>
      <c r="AR5064" s="31"/>
      <c r="AS5064" s="94"/>
      <c r="AT5064" s="31"/>
      <c r="AU5064" s="31"/>
      <c r="AV5064" s="94"/>
      <c r="AW5064" s="32"/>
      <c r="AX5064" s="32"/>
      <c r="AY5064" s="32"/>
      <c r="AZ5064" s="32"/>
      <c r="BA5064" s="32"/>
      <c r="BB5064" s="31"/>
      <c r="BC5064" s="31"/>
      <c r="BD5064" s="31"/>
      <c r="BE5064" s="31"/>
      <c r="BF5064" s="96"/>
    </row>
    <row r="5065" spans="42:58" x14ac:dyDescent="0.35">
      <c r="AP5065" s="92"/>
      <c r="AQ5065" s="67"/>
      <c r="AR5065" s="67"/>
      <c r="AS5065" s="73"/>
      <c r="AT5065" s="67"/>
      <c r="AU5065" s="67"/>
      <c r="AV5065" s="73"/>
      <c r="AW5065" s="68"/>
      <c r="AX5065" s="68"/>
      <c r="AY5065" s="68"/>
      <c r="AZ5065" s="68"/>
      <c r="BA5065" s="68"/>
      <c r="BB5065" s="67"/>
      <c r="BC5065" s="67"/>
      <c r="BD5065" s="67"/>
      <c r="BE5065" s="67"/>
      <c r="BF5065" s="95"/>
    </row>
    <row r="5066" spans="42:58" x14ac:dyDescent="0.35">
      <c r="AP5066" s="93"/>
      <c r="AQ5066" s="31"/>
      <c r="AR5066" s="31"/>
      <c r="AS5066" s="94"/>
      <c r="AT5066" s="31"/>
      <c r="AU5066" s="31"/>
      <c r="AV5066" s="94"/>
      <c r="AW5066" s="32"/>
      <c r="AX5066" s="32"/>
      <c r="AY5066" s="32"/>
      <c r="AZ5066" s="32"/>
      <c r="BA5066" s="32"/>
      <c r="BB5066" s="31"/>
      <c r="BC5066" s="31"/>
      <c r="BD5066" s="31"/>
      <c r="BE5066" s="31"/>
      <c r="BF5066" s="96"/>
    </row>
    <row r="5067" spans="42:58" x14ac:dyDescent="0.35">
      <c r="AP5067" s="92"/>
      <c r="AQ5067" s="67"/>
      <c r="AR5067" s="67"/>
      <c r="AS5067" s="73"/>
      <c r="AT5067" s="67"/>
      <c r="AU5067" s="67"/>
      <c r="AV5067" s="73"/>
      <c r="AW5067" s="68"/>
      <c r="AX5067" s="68"/>
      <c r="AY5067" s="68"/>
      <c r="AZ5067" s="68"/>
      <c r="BA5067" s="68"/>
      <c r="BB5067" s="67"/>
      <c r="BC5067" s="67"/>
      <c r="BD5067" s="67"/>
      <c r="BE5067" s="67"/>
      <c r="BF5067" s="95"/>
    </row>
    <row r="5068" spans="42:58" x14ac:dyDescent="0.35">
      <c r="AP5068" s="93"/>
      <c r="AQ5068" s="31"/>
      <c r="AR5068" s="31"/>
      <c r="AS5068" s="94"/>
      <c r="AT5068" s="31"/>
      <c r="AU5068" s="31"/>
      <c r="AV5068" s="94"/>
      <c r="AW5068" s="32"/>
      <c r="AX5068" s="32"/>
      <c r="AY5068" s="32"/>
      <c r="AZ5068" s="32"/>
      <c r="BA5068" s="32"/>
      <c r="BB5068" s="31"/>
      <c r="BC5068" s="31"/>
      <c r="BD5068" s="31"/>
      <c r="BE5068" s="31"/>
      <c r="BF5068" s="96"/>
    </row>
    <row r="5069" spans="42:58" x14ac:dyDescent="0.35">
      <c r="AP5069" s="92"/>
      <c r="AQ5069" s="67"/>
      <c r="AR5069" s="67"/>
      <c r="AS5069" s="73"/>
      <c r="AT5069" s="67"/>
      <c r="AU5069" s="67"/>
      <c r="AV5069" s="73"/>
      <c r="AW5069" s="68"/>
      <c r="AX5069" s="68"/>
      <c r="AY5069" s="68"/>
      <c r="AZ5069" s="68"/>
      <c r="BA5069" s="68"/>
      <c r="BB5069" s="67"/>
      <c r="BC5069" s="67"/>
      <c r="BD5069" s="67"/>
      <c r="BE5069" s="67"/>
      <c r="BF5069" s="95"/>
    </row>
    <row r="5070" spans="42:58" x14ac:dyDescent="0.35">
      <c r="AP5070" s="93"/>
      <c r="AQ5070" s="31"/>
      <c r="AR5070" s="31"/>
      <c r="AS5070" s="94"/>
      <c r="AT5070" s="31"/>
      <c r="AU5070" s="31"/>
      <c r="AV5070" s="94"/>
      <c r="AW5070" s="32"/>
      <c r="AX5070" s="32"/>
      <c r="AY5070" s="32"/>
      <c r="AZ5070" s="32"/>
      <c r="BA5070" s="32"/>
      <c r="BB5070" s="31"/>
      <c r="BC5070" s="31"/>
      <c r="BD5070" s="31"/>
      <c r="BE5070" s="31"/>
      <c r="BF5070" s="96"/>
    </row>
    <row r="5071" spans="42:58" x14ac:dyDescent="0.35">
      <c r="AP5071" s="92"/>
      <c r="AQ5071" s="67"/>
      <c r="AR5071" s="67"/>
      <c r="AS5071" s="73"/>
      <c r="AT5071" s="67"/>
      <c r="AU5071" s="67"/>
      <c r="AV5071" s="73"/>
      <c r="AW5071" s="68"/>
      <c r="AX5071" s="68"/>
      <c r="AY5071" s="68"/>
      <c r="AZ5071" s="68"/>
      <c r="BA5071" s="68"/>
      <c r="BB5071" s="67"/>
      <c r="BC5071" s="67"/>
      <c r="BD5071" s="67"/>
      <c r="BE5071" s="67"/>
      <c r="BF5071" s="95"/>
    </row>
    <row r="5072" spans="42:58" x14ac:dyDescent="0.35">
      <c r="AP5072" s="93"/>
      <c r="AQ5072" s="31"/>
      <c r="AR5072" s="31"/>
      <c r="AS5072" s="94"/>
      <c r="AT5072" s="31"/>
      <c r="AU5072" s="31"/>
      <c r="AV5072" s="94"/>
      <c r="AW5072" s="32"/>
      <c r="AX5072" s="32"/>
      <c r="AY5072" s="32"/>
      <c r="AZ5072" s="32"/>
      <c r="BA5072" s="32"/>
      <c r="BB5072" s="31"/>
      <c r="BC5072" s="31"/>
      <c r="BD5072" s="31"/>
      <c r="BE5072" s="31"/>
      <c r="BF5072" s="96"/>
    </row>
    <row r="5073" spans="42:58" x14ac:dyDescent="0.35">
      <c r="AP5073" s="92"/>
      <c r="AQ5073" s="67"/>
      <c r="AR5073" s="67"/>
      <c r="AS5073" s="73"/>
      <c r="AT5073" s="67"/>
      <c r="AU5073" s="67"/>
      <c r="AV5073" s="73"/>
      <c r="AW5073" s="68"/>
      <c r="AX5073" s="68"/>
      <c r="AY5073" s="68"/>
      <c r="AZ5073" s="68"/>
      <c r="BA5073" s="68"/>
      <c r="BB5073" s="67"/>
      <c r="BC5073" s="67"/>
      <c r="BD5073" s="67"/>
      <c r="BE5073" s="67"/>
      <c r="BF5073" s="95"/>
    </row>
    <row r="5074" spans="42:58" x14ac:dyDescent="0.35">
      <c r="AP5074" s="93"/>
      <c r="AQ5074" s="31"/>
      <c r="AR5074" s="31"/>
      <c r="AS5074" s="94"/>
      <c r="AT5074" s="31"/>
      <c r="AU5074" s="31"/>
      <c r="AV5074" s="94"/>
      <c r="AW5074" s="32"/>
      <c r="AX5074" s="32"/>
      <c r="AY5074" s="32"/>
      <c r="AZ5074" s="32"/>
      <c r="BA5074" s="32"/>
      <c r="BB5074" s="31"/>
      <c r="BC5074" s="31"/>
      <c r="BD5074" s="31"/>
      <c r="BE5074" s="31"/>
      <c r="BF5074" s="96"/>
    </row>
    <row r="5075" spans="42:58" x14ac:dyDescent="0.35">
      <c r="AP5075" s="92"/>
      <c r="AQ5075" s="67"/>
      <c r="AR5075" s="67"/>
      <c r="AS5075" s="73"/>
      <c r="AT5075" s="67"/>
      <c r="AU5075" s="67"/>
      <c r="AV5075" s="73"/>
      <c r="AW5075" s="68"/>
      <c r="AX5075" s="68"/>
      <c r="AY5075" s="68"/>
      <c r="AZ5075" s="68"/>
      <c r="BA5075" s="68"/>
      <c r="BB5075" s="67"/>
      <c r="BC5075" s="67"/>
      <c r="BD5075" s="67"/>
      <c r="BE5075" s="67"/>
      <c r="BF5075" s="95"/>
    </row>
    <row r="5076" spans="42:58" x14ac:dyDescent="0.35">
      <c r="AP5076" s="93"/>
      <c r="AQ5076" s="31"/>
      <c r="AR5076" s="31"/>
      <c r="AS5076" s="94"/>
      <c r="AT5076" s="31"/>
      <c r="AU5076" s="31"/>
      <c r="AV5076" s="94"/>
      <c r="AW5076" s="32"/>
      <c r="AX5076" s="32"/>
      <c r="AY5076" s="32"/>
      <c r="AZ5076" s="32"/>
      <c r="BA5076" s="32"/>
      <c r="BB5076" s="31"/>
      <c r="BC5076" s="31"/>
      <c r="BD5076" s="31"/>
      <c r="BE5076" s="31"/>
      <c r="BF5076" s="96"/>
    </row>
    <row r="5077" spans="42:58" x14ac:dyDescent="0.35">
      <c r="AP5077" s="92"/>
      <c r="AQ5077" s="67"/>
      <c r="AR5077" s="67"/>
      <c r="AS5077" s="73"/>
      <c r="AT5077" s="67"/>
      <c r="AU5077" s="67"/>
      <c r="AV5077" s="73"/>
      <c r="AW5077" s="68"/>
      <c r="AX5077" s="68"/>
      <c r="AY5077" s="68"/>
      <c r="AZ5077" s="68"/>
      <c r="BA5077" s="68"/>
      <c r="BB5077" s="67"/>
      <c r="BC5077" s="67"/>
      <c r="BD5077" s="67"/>
      <c r="BE5077" s="67"/>
      <c r="BF5077" s="95"/>
    </row>
    <row r="5078" spans="42:58" x14ac:dyDescent="0.35">
      <c r="AP5078" s="93"/>
      <c r="AQ5078" s="31"/>
      <c r="AR5078" s="31"/>
      <c r="AS5078" s="94"/>
      <c r="AT5078" s="31"/>
      <c r="AU5078" s="31"/>
      <c r="AV5078" s="94"/>
      <c r="AW5078" s="32"/>
      <c r="AX5078" s="32"/>
      <c r="AY5078" s="32"/>
      <c r="AZ5078" s="32"/>
      <c r="BA5078" s="32"/>
      <c r="BB5078" s="31"/>
      <c r="BC5078" s="31"/>
      <c r="BD5078" s="31"/>
      <c r="BE5078" s="31"/>
      <c r="BF5078" s="96"/>
    </row>
    <row r="5079" spans="42:58" x14ac:dyDescent="0.35">
      <c r="AP5079" s="92"/>
      <c r="AQ5079" s="67"/>
      <c r="AR5079" s="67"/>
      <c r="AS5079" s="73"/>
      <c r="AT5079" s="67"/>
      <c r="AU5079" s="67"/>
      <c r="AV5079" s="73"/>
      <c r="AW5079" s="68"/>
      <c r="AX5079" s="68"/>
      <c r="AY5079" s="68"/>
      <c r="AZ5079" s="68"/>
      <c r="BA5079" s="68"/>
      <c r="BB5079" s="67"/>
      <c r="BC5079" s="67"/>
      <c r="BD5079" s="67"/>
      <c r="BE5079" s="67"/>
      <c r="BF5079" s="95"/>
    </row>
    <row r="5080" spans="42:58" x14ac:dyDescent="0.35">
      <c r="AP5080" s="93"/>
      <c r="AQ5080" s="31"/>
      <c r="AR5080" s="31"/>
      <c r="AS5080" s="94"/>
      <c r="AT5080" s="31"/>
      <c r="AU5080" s="31"/>
      <c r="AV5080" s="94"/>
      <c r="AW5080" s="32"/>
      <c r="AX5080" s="32"/>
      <c r="AY5080" s="32"/>
      <c r="AZ5080" s="32"/>
      <c r="BA5080" s="32"/>
      <c r="BB5080" s="31"/>
      <c r="BC5080" s="31"/>
      <c r="BD5080" s="31"/>
      <c r="BE5080" s="31"/>
      <c r="BF5080" s="96"/>
    </row>
    <row r="5081" spans="42:58" x14ac:dyDescent="0.35">
      <c r="AP5081" s="92"/>
      <c r="AQ5081" s="67"/>
      <c r="AR5081" s="67"/>
      <c r="AS5081" s="73"/>
      <c r="AT5081" s="67"/>
      <c r="AU5081" s="67"/>
      <c r="AV5081" s="73"/>
      <c r="AW5081" s="68"/>
      <c r="AX5081" s="68"/>
      <c r="AY5081" s="68"/>
      <c r="AZ5081" s="68"/>
      <c r="BA5081" s="68"/>
      <c r="BB5081" s="67"/>
      <c r="BC5081" s="67"/>
      <c r="BD5081" s="67"/>
      <c r="BE5081" s="67"/>
      <c r="BF5081" s="95"/>
    </row>
    <row r="5082" spans="42:58" x14ac:dyDescent="0.35">
      <c r="AP5082" s="93"/>
      <c r="AQ5082" s="31"/>
      <c r="AR5082" s="31"/>
      <c r="AS5082" s="94"/>
      <c r="AT5082" s="31"/>
      <c r="AU5082" s="31"/>
      <c r="AV5082" s="94"/>
      <c r="AW5082" s="32"/>
      <c r="AX5082" s="32"/>
      <c r="AY5082" s="32"/>
      <c r="AZ5082" s="32"/>
      <c r="BA5082" s="32"/>
      <c r="BB5082" s="31"/>
      <c r="BC5082" s="31"/>
      <c r="BD5082" s="31"/>
      <c r="BE5082" s="31"/>
      <c r="BF5082" s="96"/>
    </row>
    <row r="5083" spans="42:58" x14ac:dyDescent="0.35">
      <c r="AP5083" s="92"/>
      <c r="AQ5083" s="67"/>
      <c r="AR5083" s="67"/>
      <c r="AS5083" s="73"/>
      <c r="AT5083" s="67"/>
      <c r="AU5083" s="67"/>
      <c r="AV5083" s="73"/>
      <c r="AW5083" s="68"/>
      <c r="AX5083" s="68"/>
      <c r="AY5083" s="68"/>
      <c r="AZ5083" s="68"/>
      <c r="BA5083" s="68"/>
      <c r="BB5083" s="67"/>
      <c r="BC5083" s="67"/>
      <c r="BD5083" s="67"/>
      <c r="BE5083" s="67"/>
      <c r="BF5083" s="95"/>
    </row>
    <row r="5084" spans="42:58" x14ac:dyDescent="0.35">
      <c r="AP5084" s="93"/>
      <c r="AQ5084" s="31"/>
      <c r="AR5084" s="31"/>
      <c r="AS5084" s="94"/>
      <c r="AT5084" s="31"/>
      <c r="AU5084" s="31"/>
      <c r="AV5084" s="94"/>
      <c r="AW5084" s="32"/>
      <c r="AX5084" s="32"/>
      <c r="AY5084" s="32"/>
      <c r="AZ5084" s="32"/>
      <c r="BA5084" s="32"/>
      <c r="BB5084" s="31"/>
      <c r="BC5084" s="31"/>
      <c r="BD5084" s="31"/>
      <c r="BE5084" s="31"/>
      <c r="BF5084" s="96"/>
    </row>
    <row r="5085" spans="42:58" x14ac:dyDescent="0.35">
      <c r="AP5085" s="92"/>
      <c r="AQ5085" s="67"/>
      <c r="AR5085" s="67"/>
      <c r="AS5085" s="73"/>
      <c r="AT5085" s="67"/>
      <c r="AU5085" s="67"/>
      <c r="AV5085" s="73"/>
      <c r="AW5085" s="68"/>
      <c r="AX5085" s="68"/>
      <c r="AY5085" s="68"/>
      <c r="AZ5085" s="68"/>
      <c r="BA5085" s="68"/>
      <c r="BB5085" s="67"/>
      <c r="BC5085" s="67"/>
      <c r="BD5085" s="67"/>
      <c r="BE5085" s="67"/>
      <c r="BF5085" s="95"/>
    </row>
    <row r="5086" spans="42:58" x14ac:dyDescent="0.35">
      <c r="AP5086" s="93"/>
      <c r="AQ5086" s="31"/>
      <c r="AR5086" s="31"/>
      <c r="AS5086" s="94"/>
      <c r="AT5086" s="31"/>
      <c r="AU5086" s="31"/>
      <c r="AV5086" s="94"/>
      <c r="AW5086" s="32"/>
      <c r="AX5086" s="32"/>
      <c r="AY5086" s="32"/>
      <c r="AZ5086" s="32"/>
      <c r="BA5086" s="32"/>
      <c r="BB5086" s="31"/>
      <c r="BC5086" s="31"/>
      <c r="BD5086" s="31"/>
      <c r="BE5086" s="31"/>
      <c r="BF5086" s="96"/>
    </row>
    <row r="5087" spans="42:58" x14ac:dyDescent="0.35">
      <c r="AP5087" s="92"/>
      <c r="AQ5087" s="67"/>
      <c r="AR5087" s="67"/>
      <c r="AS5087" s="73"/>
      <c r="AT5087" s="67"/>
      <c r="AU5087" s="67"/>
      <c r="AV5087" s="73"/>
      <c r="AW5087" s="68"/>
      <c r="AX5087" s="68"/>
      <c r="AY5087" s="68"/>
      <c r="AZ5087" s="68"/>
      <c r="BA5087" s="68"/>
      <c r="BB5087" s="67"/>
      <c r="BC5087" s="67"/>
      <c r="BD5087" s="67"/>
      <c r="BE5087" s="67"/>
      <c r="BF5087" s="95"/>
    </row>
    <row r="5088" spans="42:58" x14ac:dyDescent="0.35">
      <c r="AP5088" s="93"/>
      <c r="AQ5088" s="31"/>
      <c r="AR5088" s="31"/>
      <c r="AS5088" s="94"/>
      <c r="AT5088" s="31"/>
      <c r="AU5088" s="31"/>
      <c r="AV5088" s="94"/>
      <c r="AW5088" s="32"/>
      <c r="AX5088" s="32"/>
      <c r="AY5088" s="32"/>
      <c r="AZ5088" s="32"/>
      <c r="BA5088" s="32"/>
      <c r="BB5088" s="31"/>
      <c r="BC5088" s="31"/>
      <c r="BD5088" s="31"/>
      <c r="BE5088" s="31"/>
      <c r="BF5088" s="96"/>
    </row>
    <row r="5089" spans="42:58" x14ac:dyDescent="0.35">
      <c r="AP5089" s="92"/>
      <c r="AQ5089" s="67"/>
      <c r="AR5089" s="67"/>
      <c r="AS5089" s="73"/>
      <c r="AT5089" s="67"/>
      <c r="AU5089" s="67"/>
      <c r="AV5089" s="73"/>
      <c r="AW5089" s="68"/>
      <c r="AX5089" s="68"/>
      <c r="AY5089" s="68"/>
      <c r="AZ5089" s="68"/>
      <c r="BA5089" s="68"/>
      <c r="BB5089" s="67"/>
      <c r="BC5089" s="67"/>
      <c r="BD5089" s="67"/>
      <c r="BE5089" s="67"/>
      <c r="BF5089" s="95"/>
    </row>
    <row r="5090" spans="42:58" x14ac:dyDescent="0.35">
      <c r="AP5090" s="93"/>
      <c r="AQ5090" s="31"/>
      <c r="AR5090" s="31"/>
      <c r="AS5090" s="94"/>
      <c r="AT5090" s="31"/>
      <c r="AU5090" s="31"/>
      <c r="AV5090" s="94"/>
      <c r="AW5090" s="32"/>
      <c r="AX5090" s="32"/>
      <c r="AY5090" s="32"/>
      <c r="AZ5090" s="32"/>
      <c r="BA5090" s="32"/>
      <c r="BB5090" s="31"/>
      <c r="BC5090" s="31"/>
      <c r="BD5090" s="31"/>
      <c r="BE5090" s="31"/>
      <c r="BF5090" s="96"/>
    </row>
    <row r="5091" spans="42:58" x14ac:dyDescent="0.35">
      <c r="AP5091" s="92"/>
      <c r="AQ5091" s="67"/>
      <c r="AR5091" s="67"/>
      <c r="AS5091" s="73"/>
      <c r="AT5091" s="67"/>
      <c r="AU5091" s="67"/>
      <c r="AV5091" s="73"/>
      <c r="AW5091" s="68"/>
      <c r="AX5091" s="68"/>
      <c r="AY5091" s="68"/>
      <c r="AZ5091" s="68"/>
      <c r="BA5091" s="68"/>
      <c r="BB5091" s="67"/>
      <c r="BC5091" s="67"/>
      <c r="BD5091" s="67"/>
      <c r="BE5091" s="67"/>
      <c r="BF5091" s="95"/>
    </row>
    <row r="5092" spans="42:58" x14ac:dyDescent="0.35">
      <c r="AP5092" s="93"/>
      <c r="AQ5092" s="31"/>
      <c r="AR5092" s="31"/>
      <c r="AS5092" s="94"/>
      <c r="AT5092" s="31"/>
      <c r="AU5092" s="31"/>
      <c r="AV5092" s="94"/>
      <c r="AW5092" s="32"/>
      <c r="AX5092" s="32"/>
      <c r="AY5092" s="32"/>
      <c r="AZ5092" s="32"/>
      <c r="BA5092" s="32"/>
      <c r="BB5092" s="31"/>
      <c r="BC5092" s="31"/>
      <c r="BD5092" s="31"/>
      <c r="BE5092" s="31"/>
      <c r="BF5092" s="96"/>
    </row>
    <row r="5093" spans="42:58" x14ac:dyDescent="0.35">
      <c r="AP5093" s="92"/>
      <c r="AQ5093" s="67"/>
      <c r="AR5093" s="67"/>
      <c r="AS5093" s="73"/>
      <c r="AT5093" s="67"/>
      <c r="AU5093" s="67"/>
      <c r="AV5093" s="73"/>
      <c r="AW5093" s="68"/>
      <c r="AX5093" s="68"/>
      <c r="AY5093" s="68"/>
      <c r="AZ5093" s="68"/>
      <c r="BA5093" s="68"/>
      <c r="BB5093" s="67"/>
      <c r="BC5093" s="67"/>
      <c r="BD5093" s="67"/>
      <c r="BE5093" s="67"/>
      <c r="BF5093" s="95"/>
    </row>
    <row r="5094" spans="42:58" x14ac:dyDescent="0.35">
      <c r="AP5094" s="93"/>
      <c r="AQ5094" s="31"/>
      <c r="AR5094" s="31"/>
      <c r="AS5094" s="94"/>
      <c r="AT5094" s="31"/>
      <c r="AU5094" s="31"/>
      <c r="AV5094" s="94"/>
      <c r="AW5094" s="32"/>
      <c r="AX5094" s="32"/>
      <c r="AY5094" s="32"/>
      <c r="AZ5094" s="32"/>
      <c r="BA5094" s="32"/>
      <c r="BB5094" s="31"/>
      <c r="BC5094" s="31"/>
      <c r="BD5094" s="31"/>
      <c r="BE5094" s="31"/>
      <c r="BF5094" s="96"/>
    </row>
    <row r="5095" spans="42:58" x14ac:dyDescent="0.35">
      <c r="AP5095" s="92"/>
      <c r="AQ5095" s="67"/>
      <c r="AR5095" s="67"/>
      <c r="AS5095" s="73"/>
      <c r="AT5095" s="67"/>
      <c r="AU5095" s="67"/>
      <c r="AV5095" s="73"/>
      <c r="AW5095" s="68"/>
      <c r="AX5095" s="68"/>
      <c r="AY5095" s="68"/>
      <c r="AZ5095" s="68"/>
      <c r="BA5095" s="68"/>
      <c r="BB5095" s="67"/>
      <c r="BC5095" s="67"/>
      <c r="BD5095" s="67"/>
      <c r="BE5095" s="67"/>
      <c r="BF5095" s="95"/>
    </row>
    <row r="5096" spans="42:58" x14ac:dyDescent="0.35">
      <c r="AP5096" s="93"/>
      <c r="AQ5096" s="31"/>
      <c r="AR5096" s="31"/>
      <c r="AS5096" s="94"/>
      <c r="AT5096" s="31"/>
      <c r="AU5096" s="31"/>
      <c r="AV5096" s="94"/>
      <c r="AW5096" s="32"/>
      <c r="AX5096" s="32"/>
      <c r="AY5096" s="32"/>
      <c r="AZ5096" s="32"/>
      <c r="BA5096" s="32"/>
      <c r="BB5096" s="31"/>
      <c r="BC5096" s="31"/>
      <c r="BD5096" s="31"/>
      <c r="BE5096" s="31"/>
      <c r="BF5096" s="96"/>
    </row>
    <row r="5097" spans="42:58" x14ac:dyDescent="0.35">
      <c r="AP5097" s="92"/>
      <c r="AQ5097" s="67"/>
      <c r="AR5097" s="67"/>
      <c r="AS5097" s="73"/>
      <c r="AT5097" s="67"/>
      <c r="AU5097" s="67"/>
      <c r="AV5097" s="73"/>
      <c r="AW5097" s="68"/>
      <c r="AX5097" s="68"/>
      <c r="AY5097" s="68"/>
      <c r="AZ5097" s="68"/>
      <c r="BA5097" s="68"/>
      <c r="BB5097" s="67"/>
      <c r="BC5097" s="67"/>
      <c r="BD5097" s="67"/>
      <c r="BE5097" s="67"/>
      <c r="BF5097" s="95"/>
    </row>
    <row r="5098" spans="42:58" x14ac:dyDescent="0.35">
      <c r="AP5098" s="93"/>
      <c r="AQ5098" s="31"/>
      <c r="AR5098" s="31"/>
      <c r="AS5098" s="94"/>
      <c r="AT5098" s="31"/>
      <c r="AU5098" s="31"/>
      <c r="AV5098" s="94"/>
      <c r="AW5098" s="32"/>
      <c r="AX5098" s="32"/>
      <c r="AY5098" s="32"/>
      <c r="AZ5098" s="32"/>
      <c r="BA5098" s="32"/>
      <c r="BB5098" s="31"/>
      <c r="BC5098" s="31"/>
      <c r="BD5098" s="31"/>
      <c r="BE5098" s="31"/>
      <c r="BF5098" s="96"/>
    </row>
    <row r="5099" spans="42:58" x14ac:dyDescent="0.35">
      <c r="AP5099" s="92"/>
      <c r="AQ5099" s="67"/>
      <c r="AR5099" s="67"/>
      <c r="AS5099" s="73"/>
      <c r="AT5099" s="67"/>
      <c r="AU5099" s="67"/>
      <c r="AV5099" s="73"/>
      <c r="AW5099" s="68"/>
      <c r="AX5099" s="68"/>
      <c r="AY5099" s="68"/>
      <c r="AZ5099" s="68"/>
      <c r="BA5099" s="68"/>
      <c r="BB5099" s="67"/>
      <c r="BC5099" s="67"/>
      <c r="BD5099" s="67"/>
      <c r="BE5099" s="67"/>
      <c r="BF5099" s="95"/>
    </row>
    <row r="5100" spans="42:58" x14ac:dyDescent="0.35">
      <c r="AP5100" s="93"/>
      <c r="AQ5100" s="31"/>
      <c r="AR5100" s="31"/>
      <c r="AS5100" s="94"/>
      <c r="AT5100" s="31"/>
      <c r="AU5100" s="31"/>
      <c r="AV5100" s="94"/>
      <c r="AW5100" s="32"/>
      <c r="AX5100" s="32"/>
      <c r="AY5100" s="32"/>
      <c r="AZ5100" s="32"/>
      <c r="BA5100" s="32"/>
      <c r="BB5100" s="31"/>
      <c r="BC5100" s="31"/>
      <c r="BD5100" s="31"/>
      <c r="BE5100" s="31"/>
      <c r="BF5100" s="96"/>
    </row>
    <row r="5101" spans="42:58" x14ac:dyDescent="0.35">
      <c r="AP5101" s="92"/>
      <c r="AQ5101" s="67"/>
      <c r="AR5101" s="67"/>
      <c r="AS5101" s="73"/>
      <c r="AT5101" s="67"/>
      <c r="AU5101" s="67"/>
      <c r="AV5101" s="73"/>
      <c r="AW5101" s="68"/>
      <c r="AX5101" s="68"/>
      <c r="AY5101" s="68"/>
      <c r="AZ5101" s="68"/>
      <c r="BA5101" s="68"/>
      <c r="BB5101" s="67"/>
      <c r="BC5101" s="67"/>
      <c r="BD5101" s="67"/>
      <c r="BE5101" s="67"/>
      <c r="BF5101" s="95"/>
    </row>
    <row r="5102" spans="42:58" x14ac:dyDescent="0.35">
      <c r="AP5102" s="93"/>
      <c r="AQ5102" s="31"/>
      <c r="AR5102" s="31"/>
      <c r="AS5102" s="94"/>
      <c r="AT5102" s="31"/>
      <c r="AU5102" s="31"/>
      <c r="AV5102" s="94"/>
      <c r="AW5102" s="32"/>
      <c r="AX5102" s="32"/>
      <c r="AY5102" s="32"/>
      <c r="AZ5102" s="32"/>
      <c r="BA5102" s="32"/>
      <c r="BB5102" s="31"/>
      <c r="BC5102" s="31"/>
      <c r="BD5102" s="31"/>
      <c r="BE5102" s="31"/>
      <c r="BF5102" s="96"/>
    </row>
    <row r="5103" spans="42:58" x14ac:dyDescent="0.35">
      <c r="AP5103" s="92"/>
      <c r="AQ5103" s="67"/>
      <c r="AR5103" s="67"/>
      <c r="AS5103" s="73"/>
      <c r="AT5103" s="67"/>
      <c r="AU5103" s="67"/>
      <c r="AV5103" s="73"/>
      <c r="AW5103" s="68"/>
      <c r="AX5103" s="68"/>
      <c r="AY5103" s="68"/>
      <c r="AZ5103" s="68"/>
      <c r="BA5103" s="68"/>
      <c r="BB5103" s="67"/>
      <c r="BC5103" s="67"/>
      <c r="BD5103" s="67"/>
      <c r="BE5103" s="67"/>
      <c r="BF5103" s="95"/>
    </row>
    <row r="5104" spans="42:58" x14ac:dyDescent="0.35">
      <c r="AP5104" s="93"/>
      <c r="AQ5104" s="31"/>
      <c r="AR5104" s="31"/>
      <c r="AS5104" s="94"/>
      <c r="AT5104" s="31"/>
      <c r="AU5104" s="31"/>
      <c r="AV5104" s="94"/>
      <c r="AW5104" s="32"/>
      <c r="AX5104" s="32"/>
      <c r="AY5104" s="32"/>
      <c r="AZ5104" s="32"/>
      <c r="BA5104" s="32"/>
      <c r="BB5104" s="31"/>
      <c r="BC5104" s="31"/>
      <c r="BD5104" s="31"/>
      <c r="BE5104" s="31"/>
      <c r="BF5104" s="96"/>
    </row>
    <row r="5105" spans="42:58" x14ac:dyDescent="0.35">
      <c r="AP5105" s="92"/>
      <c r="AQ5105" s="67"/>
      <c r="AR5105" s="67"/>
      <c r="AS5105" s="73"/>
      <c r="AT5105" s="67"/>
      <c r="AU5105" s="67"/>
      <c r="AV5105" s="73"/>
      <c r="AW5105" s="68"/>
      <c r="AX5105" s="68"/>
      <c r="AY5105" s="68"/>
      <c r="AZ5105" s="68"/>
      <c r="BA5105" s="68"/>
      <c r="BB5105" s="67"/>
      <c r="BC5105" s="67"/>
      <c r="BD5105" s="67"/>
      <c r="BE5105" s="67"/>
      <c r="BF5105" s="95"/>
    </row>
    <row r="5106" spans="42:58" x14ac:dyDescent="0.35">
      <c r="AP5106" s="93"/>
      <c r="AQ5106" s="31"/>
      <c r="AR5106" s="31"/>
      <c r="AS5106" s="94"/>
      <c r="AT5106" s="31"/>
      <c r="AU5106" s="31"/>
      <c r="AV5106" s="94"/>
      <c r="AW5106" s="32"/>
      <c r="AX5106" s="32"/>
      <c r="AY5106" s="32"/>
      <c r="AZ5106" s="32"/>
      <c r="BA5106" s="32"/>
      <c r="BB5106" s="31"/>
      <c r="BC5106" s="31"/>
      <c r="BD5106" s="31"/>
      <c r="BE5106" s="31"/>
      <c r="BF5106" s="96"/>
    </row>
    <row r="5107" spans="42:58" x14ac:dyDescent="0.35">
      <c r="AP5107" s="92"/>
      <c r="AQ5107" s="67"/>
      <c r="AR5107" s="67"/>
      <c r="AS5107" s="73"/>
      <c r="AT5107" s="67"/>
      <c r="AU5107" s="67"/>
      <c r="AV5107" s="73"/>
      <c r="AW5107" s="68"/>
      <c r="AX5107" s="68"/>
      <c r="AY5107" s="68"/>
      <c r="AZ5107" s="68"/>
      <c r="BA5107" s="68"/>
      <c r="BB5107" s="67"/>
      <c r="BC5107" s="67"/>
      <c r="BD5107" s="67"/>
      <c r="BE5107" s="67"/>
      <c r="BF5107" s="95"/>
    </row>
    <row r="5108" spans="42:58" x14ac:dyDescent="0.35">
      <c r="AP5108" s="93"/>
      <c r="AQ5108" s="31"/>
      <c r="AR5108" s="31"/>
      <c r="AS5108" s="94"/>
      <c r="AT5108" s="31"/>
      <c r="AU5108" s="31"/>
      <c r="AV5108" s="94"/>
      <c r="AW5108" s="32"/>
      <c r="AX5108" s="32"/>
      <c r="AY5108" s="32"/>
      <c r="AZ5108" s="32"/>
      <c r="BA5108" s="32"/>
      <c r="BB5108" s="31"/>
      <c r="BC5108" s="31"/>
      <c r="BD5108" s="31"/>
      <c r="BE5108" s="31"/>
      <c r="BF5108" s="96"/>
    </row>
    <row r="5109" spans="42:58" x14ac:dyDescent="0.35">
      <c r="AP5109" s="92"/>
      <c r="AQ5109" s="67"/>
      <c r="AR5109" s="67"/>
      <c r="AS5109" s="73"/>
      <c r="AT5109" s="67"/>
      <c r="AU5109" s="67"/>
      <c r="AV5109" s="73"/>
      <c r="AW5109" s="68"/>
      <c r="AX5109" s="68"/>
      <c r="AY5109" s="68"/>
      <c r="AZ5109" s="68"/>
      <c r="BA5109" s="68"/>
      <c r="BB5109" s="67"/>
      <c r="BC5109" s="67"/>
      <c r="BD5109" s="67"/>
      <c r="BE5109" s="67"/>
      <c r="BF5109" s="95"/>
    </row>
    <row r="5110" spans="42:58" x14ac:dyDescent="0.35">
      <c r="AP5110" s="93"/>
      <c r="AQ5110" s="31"/>
      <c r="AR5110" s="31"/>
      <c r="AS5110" s="94"/>
      <c r="AT5110" s="31"/>
      <c r="AU5110" s="31"/>
      <c r="AV5110" s="94"/>
      <c r="AW5110" s="32"/>
      <c r="AX5110" s="32"/>
      <c r="AY5110" s="32"/>
      <c r="AZ5110" s="32"/>
      <c r="BA5110" s="32"/>
      <c r="BB5110" s="31"/>
      <c r="BC5110" s="31"/>
      <c r="BD5110" s="31"/>
      <c r="BE5110" s="31"/>
      <c r="BF5110" s="96"/>
    </row>
    <row r="5111" spans="42:58" x14ac:dyDescent="0.35">
      <c r="AP5111" s="92"/>
      <c r="AQ5111" s="67"/>
      <c r="AR5111" s="67"/>
      <c r="AS5111" s="73"/>
      <c r="AT5111" s="67"/>
      <c r="AU5111" s="67"/>
      <c r="AV5111" s="73"/>
      <c r="AW5111" s="68"/>
      <c r="AX5111" s="68"/>
      <c r="AY5111" s="68"/>
      <c r="AZ5111" s="68"/>
      <c r="BA5111" s="68"/>
      <c r="BB5111" s="67"/>
      <c r="BC5111" s="67"/>
      <c r="BD5111" s="67"/>
      <c r="BE5111" s="67"/>
      <c r="BF5111" s="95"/>
    </row>
    <row r="5112" spans="42:58" x14ac:dyDescent="0.35">
      <c r="AP5112" s="93"/>
      <c r="AQ5112" s="31"/>
      <c r="AR5112" s="31"/>
      <c r="AS5112" s="94"/>
      <c r="AT5112" s="31"/>
      <c r="AU5112" s="31"/>
      <c r="AV5112" s="94"/>
      <c r="AW5112" s="32"/>
      <c r="AX5112" s="32"/>
      <c r="AY5112" s="32"/>
      <c r="AZ5112" s="32"/>
      <c r="BA5112" s="32"/>
      <c r="BB5112" s="31"/>
      <c r="BC5112" s="31"/>
      <c r="BD5112" s="31"/>
      <c r="BE5112" s="31"/>
      <c r="BF5112" s="96"/>
    </row>
    <row r="5113" spans="42:58" x14ac:dyDescent="0.35">
      <c r="AP5113" s="92"/>
      <c r="AQ5113" s="67"/>
      <c r="AR5113" s="67"/>
      <c r="AS5113" s="73"/>
      <c r="AT5113" s="67"/>
      <c r="AU5113" s="67"/>
      <c r="AV5113" s="73"/>
      <c r="AW5113" s="68"/>
      <c r="AX5113" s="68"/>
      <c r="AY5113" s="68"/>
      <c r="AZ5113" s="68"/>
      <c r="BA5113" s="68"/>
      <c r="BB5113" s="67"/>
      <c r="BC5113" s="67"/>
      <c r="BD5113" s="67"/>
      <c r="BE5113" s="67"/>
      <c r="BF5113" s="95"/>
    </row>
    <row r="5114" spans="42:58" x14ac:dyDescent="0.35">
      <c r="AP5114" s="93"/>
      <c r="AQ5114" s="31"/>
      <c r="AR5114" s="31"/>
      <c r="AS5114" s="94"/>
      <c r="AT5114" s="31"/>
      <c r="AU5114" s="31"/>
      <c r="AV5114" s="94"/>
      <c r="AW5114" s="32"/>
      <c r="AX5114" s="32"/>
      <c r="AY5114" s="32"/>
      <c r="AZ5114" s="32"/>
      <c r="BA5114" s="32"/>
      <c r="BB5114" s="31"/>
      <c r="BC5114" s="31"/>
      <c r="BD5114" s="31"/>
      <c r="BE5114" s="31"/>
      <c r="BF5114" s="96"/>
    </row>
    <row r="5115" spans="42:58" x14ac:dyDescent="0.35">
      <c r="AP5115" s="92"/>
      <c r="AQ5115" s="67"/>
      <c r="AR5115" s="67"/>
      <c r="AS5115" s="73"/>
      <c r="AT5115" s="67"/>
      <c r="AU5115" s="67"/>
      <c r="AV5115" s="73"/>
      <c r="AW5115" s="68"/>
      <c r="AX5115" s="68"/>
      <c r="AY5115" s="68"/>
      <c r="AZ5115" s="68"/>
      <c r="BA5115" s="68"/>
      <c r="BB5115" s="67"/>
      <c r="BC5115" s="67"/>
      <c r="BD5115" s="67"/>
      <c r="BE5115" s="67"/>
      <c r="BF5115" s="95"/>
    </row>
    <row r="5116" spans="42:58" x14ac:dyDescent="0.35">
      <c r="AP5116" s="93"/>
      <c r="AQ5116" s="31"/>
      <c r="AR5116" s="31"/>
      <c r="AS5116" s="94"/>
      <c r="AT5116" s="31"/>
      <c r="AU5116" s="31"/>
      <c r="AV5116" s="94"/>
      <c r="AW5116" s="32"/>
      <c r="AX5116" s="32"/>
      <c r="AY5116" s="32"/>
      <c r="AZ5116" s="32"/>
      <c r="BA5116" s="32"/>
      <c r="BB5116" s="31"/>
      <c r="BC5116" s="31"/>
      <c r="BD5116" s="31"/>
      <c r="BE5116" s="31"/>
      <c r="BF5116" s="96"/>
    </row>
    <row r="5117" spans="42:58" x14ac:dyDescent="0.35">
      <c r="AP5117" s="92"/>
      <c r="AQ5117" s="67"/>
      <c r="AR5117" s="67"/>
      <c r="AS5117" s="73"/>
      <c r="AT5117" s="67"/>
      <c r="AU5117" s="67"/>
      <c r="AV5117" s="73"/>
      <c r="AW5117" s="68"/>
      <c r="AX5117" s="68"/>
      <c r="AY5117" s="68"/>
      <c r="AZ5117" s="68"/>
      <c r="BA5117" s="68"/>
      <c r="BB5117" s="67"/>
      <c r="BC5117" s="67"/>
      <c r="BD5117" s="67"/>
      <c r="BE5117" s="67"/>
      <c r="BF5117" s="95"/>
    </row>
    <row r="5118" spans="42:58" x14ac:dyDescent="0.35">
      <c r="AP5118" s="93"/>
      <c r="AQ5118" s="31"/>
      <c r="AR5118" s="31"/>
      <c r="AS5118" s="94"/>
      <c r="AT5118" s="31"/>
      <c r="AU5118" s="31"/>
      <c r="AV5118" s="94"/>
      <c r="AW5118" s="32"/>
      <c r="AX5118" s="32"/>
      <c r="AY5118" s="32"/>
      <c r="AZ5118" s="32"/>
      <c r="BA5118" s="32"/>
      <c r="BB5118" s="31"/>
      <c r="BC5118" s="31"/>
      <c r="BD5118" s="31"/>
      <c r="BE5118" s="31"/>
      <c r="BF5118" s="96"/>
    </row>
    <row r="5119" spans="42:58" x14ac:dyDescent="0.35">
      <c r="AP5119" s="92"/>
      <c r="AQ5119" s="67"/>
      <c r="AR5119" s="67"/>
      <c r="AS5119" s="73"/>
      <c r="AT5119" s="67"/>
      <c r="AU5119" s="67"/>
      <c r="AV5119" s="73"/>
      <c r="AW5119" s="68"/>
      <c r="AX5119" s="68"/>
      <c r="AY5119" s="68"/>
      <c r="AZ5119" s="68"/>
      <c r="BA5119" s="68"/>
      <c r="BB5119" s="67"/>
      <c r="BC5119" s="67"/>
      <c r="BD5119" s="67"/>
      <c r="BE5119" s="67"/>
      <c r="BF5119" s="95"/>
    </row>
    <row r="5120" spans="42:58" x14ac:dyDescent="0.35">
      <c r="AP5120" s="93"/>
      <c r="AQ5120" s="31"/>
      <c r="AR5120" s="31"/>
      <c r="AS5120" s="94"/>
      <c r="AT5120" s="31"/>
      <c r="AU5120" s="31"/>
      <c r="AV5120" s="94"/>
      <c r="AW5120" s="32"/>
      <c r="AX5120" s="32"/>
      <c r="AY5120" s="32"/>
      <c r="AZ5120" s="32"/>
      <c r="BA5120" s="32"/>
      <c r="BB5120" s="31"/>
      <c r="BC5120" s="31"/>
      <c r="BD5120" s="31"/>
      <c r="BE5120" s="31"/>
      <c r="BF5120" s="96"/>
    </row>
    <row r="5121" spans="42:58" x14ac:dyDescent="0.35">
      <c r="AP5121" s="92"/>
      <c r="AQ5121" s="67"/>
      <c r="AR5121" s="67"/>
      <c r="AS5121" s="73"/>
      <c r="AT5121" s="67"/>
      <c r="AU5121" s="67"/>
      <c r="AV5121" s="73"/>
      <c r="AW5121" s="68"/>
      <c r="AX5121" s="68"/>
      <c r="AY5121" s="68"/>
      <c r="AZ5121" s="68"/>
      <c r="BA5121" s="68"/>
      <c r="BB5121" s="67"/>
      <c r="BC5121" s="67"/>
      <c r="BD5121" s="67"/>
      <c r="BE5121" s="67"/>
      <c r="BF5121" s="95"/>
    </row>
    <row r="5122" spans="42:58" x14ac:dyDescent="0.35">
      <c r="AP5122" s="93"/>
      <c r="AQ5122" s="31"/>
      <c r="AR5122" s="31"/>
      <c r="AS5122" s="94"/>
      <c r="AT5122" s="31"/>
      <c r="AU5122" s="31"/>
      <c r="AV5122" s="94"/>
      <c r="AW5122" s="32"/>
      <c r="AX5122" s="32"/>
      <c r="AY5122" s="32"/>
      <c r="AZ5122" s="32"/>
      <c r="BA5122" s="32"/>
      <c r="BB5122" s="31"/>
      <c r="BC5122" s="31"/>
      <c r="BD5122" s="31"/>
      <c r="BE5122" s="31"/>
      <c r="BF5122" s="96"/>
    </row>
    <row r="5123" spans="42:58" x14ac:dyDescent="0.35">
      <c r="AP5123" s="92"/>
      <c r="AQ5123" s="67"/>
      <c r="AR5123" s="67"/>
      <c r="AS5123" s="73"/>
      <c r="AT5123" s="67"/>
      <c r="AU5123" s="67"/>
      <c r="AV5123" s="73"/>
      <c r="AW5123" s="68"/>
      <c r="AX5123" s="68"/>
      <c r="AY5123" s="68"/>
      <c r="AZ5123" s="68"/>
      <c r="BA5123" s="68"/>
      <c r="BB5123" s="67"/>
      <c r="BC5123" s="67"/>
      <c r="BD5123" s="67"/>
      <c r="BE5123" s="67"/>
      <c r="BF5123" s="95"/>
    </row>
    <row r="5124" spans="42:58" x14ac:dyDescent="0.35">
      <c r="AP5124" s="93"/>
      <c r="AQ5124" s="31"/>
      <c r="AR5124" s="31"/>
      <c r="AS5124" s="94"/>
      <c r="AT5124" s="31"/>
      <c r="AU5124" s="31"/>
      <c r="AV5124" s="94"/>
      <c r="AW5124" s="32"/>
      <c r="AX5124" s="32"/>
      <c r="AY5124" s="32"/>
      <c r="AZ5124" s="32"/>
      <c r="BA5124" s="32"/>
      <c r="BB5124" s="31"/>
      <c r="BC5124" s="31"/>
      <c r="BD5124" s="31"/>
      <c r="BE5124" s="31"/>
      <c r="BF5124" s="96"/>
    </row>
    <row r="5125" spans="42:58" x14ac:dyDescent="0.35">
      <c r="AP5125" s="92"/>
      <c r="AQ5125" s="67"/>
      <c r="AR5125" s="67"/>
      <c r="AS5125" s="73"/>
      <c r="AT5125" s="67"/>
      <c r="AU5125" s="67"/>
      <c r="AV5125" s="73"/>
      <c r="AW5125" s="68"/>
      <c r="AX5125" s="68"/>
      <c r="AY5125" s="68"/>
      <c r="AZ5125" s="68"/>
      <c r="BA5125" s="68"/>
      <c r="BB5125" s="67"/>
      <c r="BC5125" s="67"/>
      <c r="BD5125" s="67"/>
      <c r="BE5125" s="67"/>
      <c r="BF5125" s="95"/>
    </row>
    <row r="5126" spans="42:58" x14ac:dyDescent="0.35">
      <c r="AP5126" s="93"/>
      <c r="AQ5126" s="31"/>
      <c r="AR5126" s="31"/>
      <c r="AS5126" s="94"/>
      <c r="AT5126" s="31"/>
      <c r="AU5126" s="31"/>
      <c r="AV5126" s="94"/>
      <c r="AW5126" s="32"/>
      <c r="AX5126" s="32"/>
      <c r="AY5126" s="32"/>
      <c r="AZ5126" s="32"/>
      <c r="BA5126" s="32"/>
      <c r="BB5126" s="31"/>
      <c r="BC5126" s="31"/>
      <c r="BD5126" s="31"/>
      <c r="BE5126" s="31"/>
      <c r="BF5126" s="96"/>
    </row>
    <row r="5127" spans="42:58" x14ac:dyDescent="0.35">
      <c r="AP5127" s="92"/>
      <c r="AQ5127" s="67"/>
      <c r="AR5127" s="67"/>
      <c r="AS5127" s="73"/>
      <c r="AT5127" s="67"/>
      <c r="AU5127" s="67"/>
      <c r="AV5127" s="73"/>
      <c r="AW5127" s="68"/>
      <c r="AX5127" s="68"/>
      <c r="AY5127" s="68"/>
      <c r="AZ5127" s="68"/>
      <c r="BA5127" s="68"/>
      <c r="BB5127" s="67"/>
      <c r="BC5127" s="67"/>
      <c r="BD5127" s="67"/>
      <c r="BE5127" s="67"/>
      <c r="BF5127" s="95"/>
    </row>
    <row r="5128" spans="42:58" x14ac:dyDescent="0.35">
      <c r="AP5128" s="93"/>
      <c r="AQ5128" s="31"/>
      <c r="AR5128" s="31"/>
      <c r="AS5128" s="94"/>
      <c r="AT5128" s="31"/>
      <c r="AU5128" s="31"/>
      <c r="AV5128" s="94"/>
      <c r="AW5128" s="32"/>
      <c r="AX5128" s="32"/>
      <c r="AY5128" s="32"/>
      <c r="AZ5128" s="32"/>
      <c r="BA5128" s="32"/>
      <c r="BB5128" s="31"/>
      <c r="BC5128" s="31"/>
      <c r="BD5128" s="31"/>
      <c r="BE5128" s="31"/>
      <c r="BF5128" s="96"/>
    </row>
    <row r="5129" spans="42:58" x14ac:dyDescent="0.35">
      <c r="AP5129" s="92"/>
      <c r="AQ5129" s="67"/>
      <c r="AR5129" s="67"/>
      <c r="AS5129" s="73"/>
      <c r="AT5129" s="67"/>
      <c r="AU5129" s="67"/>
      <c r="AV5129" s="73"/>
      <c r="AW5129" s="68"/>
      <c r="AX5129" s="68"/>
      <c r="AY5129" s="68"/>
      <c r="AZ5129" s="68"/>
      <c r="BA5129" s="68"/>
      <c r="BB5129" s="67"/>
      <c r="BC5129" s="67"/>
      <c r="BD5129" s="67"/>
      <c r="BE5129" s="67"/>
      <c r="BF5129" s="95"/>
    </row>
    <row r="5130" spans="42:58" x14ac:dyDescent="0.35">
      <c r="AP5130" s="93"/>
      <c r="AQ5130" s="31"/>
      <c r="AR5130" s="31"/>
      <c r="AS5130" s="94"/>
      <c r="AT5130" s="31"/>
      <c r="AU5130" s="31"/>
      <c r="AV5130" s="94"/>
      <c r="AW5130" s="32"/>
      <c r="AX5130" s="32"/>
      <c r="AY5130" s="32"/>
      <c r="AZ5130" s="32"/>
      <c r="BA5130" s="32"/>
      <c r="BB5130" s="31"/>
      <c r="BC5130" s="31"/>
      <c r="BD5130" s="31"/>
      <c r="BE5130" s="31"/>
      <c r="BF5130" s="96"/>
    </row>
    <row r="5131" spans="42:58" x14ac:dyDescent="0.35">
      <c r="AP5131" s="92"/>
      <c r="AQ5131" s="67"/>
      <c r="AR5131" s="67"/>
      <c r="AS5131" s="73"/>
      <c r="AT5131" s="67"/>
      <c r="AU5131" s="67"/>
      <c r="AV5131" s="73"/>
      <c r="AW5131" s="68"/>
      <c r="AX5131" s="68"/>
      <c r="AY5131" s="68"/>
      <c r="AZ5131" s="68"/>
      <c r="BA5131" s="68"/>
      <c r="BB5131" s="67"/>
      <c r="BC5131" s="67"/>
      <c r="BD5131" s="67"/>
      <c r="BE5131" s="67"/>
      <c r="BF5131" s="95"/>
    </row>
    <row r="5132" spans="42:58" x14ac:dyDescent="0.35">
      <c r="AP5132" s="93"/>
      <c r="AQ5132" s="31"/>
      <c r="AR5132" s="31"/>
      <c r="AS5132" s="94"/>
      <c r="AT5132" s="31"/>
      <c r="AU5132" s="31"/>
      <c r="AV5132" s="94"/>
      <c r="AW5132" s="32"/>
      <c r="AX5132" s="32"/>
      <c r="AY5132" s="32"/>
      <c r="AZ5132" s="32"/>
      <c r="BA5132" s="32"/>
      <c r="BB5132" s="31"/>
      <c r="BC5132" s="31"/>
      <c r="BD5132" s="31"/>
      <c r="BE5132" s="31"/>
      <c r="BF5132" s="96"/>
    </row>
    <row r="5133" spans="42:58" x14ac:dyDescent="0.35">
      <c r="AP5133" s="92"/>
      <c r="AQ5133" s="67"/>
      <c r="AR5133" s="67"/>
      <c r="AS5133" s="73"/>
      <c r="AT5133" s="67"/>
      <c r="AU5133" s="67"/>
      <c r="AV5133" s="73"/>
      <c r="AW5133" s="68"/>
      <c r="AX5133" s="68"/>
      <c r="AY5133" s="68"/>
      <c r="AZ5133" s="68"/>
      <c r="BA5133" s="68"/>
      <c r="BB5133" s="67"/>
      <c r="BC5133" s="67"/>
      <c r="BD5133" s="67"/>
      <c r="BE5133" s="67"/>
      <c r="BF5133" s="95"/>
    </row>
    <row r="5134" spans="42:58" x14ac:dyDescent="0.35">
      <c r="AP5134" s="93"/>
      <c r="AQ5134" s="31"/>
      <c r="AR5134" s="31"/>
      <c r="AS5134" s="94"/>
      <c r="AT5134" s="31"/>
      <c r="AU5134" s="31"/>
      <c r="AV5134" s="94"/>
      <c r="AW5134" s="32"/>
      <c r="AX5134" s="32"/>
      <c r="AY5134" s="32"/>
      <c r="AZ5134" s="32"/>
      <c r="BA5134" s="32"/>
      <c r="BB5134" s="31"/>
      <c r="BC5134" s="31"/>
      <c r="BD5134" s="31"/>
      <c r="BE5134" s="31"/>
      <c r="BF5134" s="96"/>
    </row>
    <row r="5135" spans="42:58" x14ac:dyDescent="0.35">
      <c r="AP5135" s="92"/>
      <c r="AQ5135" s="67"/>
      <c r="AR5135" s="67"/>
      <c r="AS5135" s="73"/>
      <c r="AT5135" s="67"/>
      <c r="AU5135" s="67"/>
      <c r="AV5135" s="73"/>
      <c r="AW5135" s="68"/>
      <c r="AX5135" s="68"/>
      <c r="AY5135" s="68"/>
      <c r="AZ5135" s="68"/>
      <c r="BA5135" s="68"/>
      <c r="BB5135" s="67"/>
      <c r="BC5135" s="67"/>
      <c r="BD5135" s="67"/>
      <c r="BE5135" s="67"/>
      <c r="BF5135" s="95"/>
    </row>
    <row r="5136" spans="42:58" x14ac:dyDescent="0.35">
      <c r="AP5136" s="93"/>
      <c r="AQ5136" s="31"/>
      <c r="AR5136" s="31"/>
      <c r="AS5136" s="94"/>
      <c r="AT5136" s="31"/>
      <c r="AU5136" s="31"/>
      <c r="AV5136" s="94"/>
      <c r="AW5136" s="32"/>
      <c r="AX5136" s="32"/>
      <c r="AY5136" s="32"/>
      <c r="AZ5136" s="32"/>
      <c r="BA5136" s="32"/>
      <c r="BB5136" s="31"/>
      <c r="BC5136" s="31"/>
      <c r="BD5136" s="31"/>
      <c r="BE5136" s="31"/>
      <c r="BF5136" s="96"/>
    </row>
    <row r="5137" spans="42:58" x14ac:dyDescent="0.35">
      <c r="AP5137" s="92"/>
      <c r="AQ5137" s="67"/>
      <c r="AR5137" s="67"/>
      <c r="AS5137" s="73"/>
      <c r="AT5137" s="67"/>
      <c r="AU5137" s="67"/>
      <c r="AV5137" s="73"/>
      <c r="AW5137" s="68"/>
      <c r="AX5137" s="68"/>
      <c r="AY5137" s="68"/>
      <c r="AZ5137" s="68"/>
      <c r="BA5137" s="68"/>
      <c r="BB5137" s="67"/>
      <c r="BC5137" s="67"/>
      <c r="BD5137" s="67"/>
      <c r="BE5137" s="67"/>
      <c r="BF5137" s="95"/>
    </row>
    <row r="5138" spans="42:58" x14ac:dyDescent="0.35">
      <c r="AP5138" s="93"/>
      <c r="AQ5138" s="31"/>
      <c r="AR5138" s="31"/>
      <c r="AS5138" s="94"/>
      <c r="AT5138" s="31"/>
      <c r="AU5138" s="31"/>
      <c r="AV5138" s="94"/>
      <c r="AW5138" s="32"/>
      <c r="AX5138" s="32"/>
      <c r="AY5138" s="32"/>
      <c r="AZ5138" s="32"/>
      <c r="BA5138" s="32"/>
      <c r="BB5138" s="31"/>
      <c r="BC5138" s="31"/>
      <c r="BD5138" s="31"/>
      <c r="BE5138" s="31"/>
      <c r="BF5138" s="96"/>
    </row>
    <row r="5139" spans="42:58" x14ac:dyDescent="0.35">
      <c r="AP5139" s="92"/>
      <c r="AQ5139" s="67"/>
      <c r="AR5139" s="67"/>
      <c r="AS5139" s="73"/>
      <c r="AT5139" s="67"/>
      <c r="AU5139" s="67"/>
      <c r="AV5139" s="73"/>
      <c r="AW5139" s="68"/>
      <c r="AX5139" s="68"/>
      <c r="AY5139" s="68"/>
      <c r="AZ5139" s="68"/>
      <c r="BA5139" s="68"/>
      <c r="BB5139" s="67"/>
      <c r="BC5139" s="67"/>
      <c r="BD5139" s="67"/>
      <c r="BE5139" s="67"/>
      <c r="BF5139" s="95"/>
    </row>
    <row r="5140" spans="42:58" x14ac:dyDescent="0.35">
      <c r="AP5140" s="93"/>
      <c r="AQ5140" s="31"/>
      <c r="AR5140" s="31"/>
      <c r="AS5140" s="94"/>
      <c r="AT5140" s="31"/>
      <c r="AU5140" s="31"/>
      <c r="AV5140" s="94"/>
      <c r="AW5140" s="32"/>
      <c r="AX5140" s="32"/>
      <c r="AY5140" s="32"/>
      <c r="AZ5140" s="32"/>
      <c r="BA5140" s="32"/>
      <c r="BB5140" s="31"/>
      <c r="BC5140" s="31"/>
      <c r="BD5140" s="31"/>
      <c r="BE5140" s="31"/>
      <c r="BF5140" s="96"/>
    </row>
    <row r="5141" spans="42:58" x14ac:dyDescent="0.35">
      <c r="AP5141" s="92"/>
      <c r="AQ5141" s="67"/>
      <c r="AR5141" s="67"/>
      <c r="AS5141" s="73"/>
      <c r="AT5141" s="67"/>
      <c r="AU5141" s="67"/>
      <c r="AV5141" s="73"/>
      <c r="AW5141" s="68"/>
      <c r="AX5141" s="68"/>
      <c r="AY5141" s="68"/>
      <c r="AZ5141" s="68"/>
      <c r="BA5141" s="68"/>
      <c r="BB5141" s="67"/>
      <c r="BC5141" s="67"/>
      <c r="BD5141" s="67"/>
      <c r="BE5141" s="67"/>
      <c r="BF5141" s="95"/>
    </row>
    <row r="5142" spans="42:58" x14ac:dyDescent="0.35">
      <c r="AP5142" s="93"/>
      <c r="AQ5142" s="31"/>
      <c r="AR5142" s="31"/>
      <c r="AS5142" s="94"/>
      <c r="AT5142" s="31"/>
      <c r="AU5142" s="31"/>
      <c r="AV5142" s="94"/>
      <c r="AW5142" s="32"/>
      <c r="AX5142" s="32"/>
      <c r="AY5142" s="32"/>
      <c r="AZ5142" s="32"/>
      <c r="BA5142" s="32"/>
      <c r="BB5142" s="31"/>
      <c r="BC5142" s="31"/>
      <c r="BD5142" s="31"/>
      <c r="BE5142" s="31"/>
      <c r="BF5142" s="96"/>
    </row>
    <row r="5143" spans="42:58" x14ac:dyDescent="0.35">
      <c r="AP5143" s="92"/>
      <c r="AQ5143" s="67"/>
      <c r="AR5143" s="67"/>
      <c r="AS5143" s="73"/>
      <c r="AT5143" s="67"/>
      <c r="AU5143" s="67"/>
      <c r="AV5143" s="73"/>
      <c r="AW5143" s="68"/>
      <c r="AX5143" s="68"/>
      <c r="AY5143" s="68"/>
      <c r="AZ5143" s="68"/>
      <c r="BA5143" s="68"/>
      <c r="BB5143" s="67"/>
      <c r="BC5143" s="67"/>
      <c r="BD5143" s="67"/>
      <c r="BE5143" s="67"/>
      <c r="BF5143" s="95"/>
    </row>
    <row r="5144" spans="42:58" x14ac:dyDescent="0.35">
      <c r="AP5144" s="93"/>
      <c r="AQ5144" s="31"/>
      <c r="AR5144" s="31"/>
      <c r="AS5144" s="94"/>
      <c r="AT5144" s="31"/>
      <c r="AU5144" s="31"/>
      <c r="AV5144" s="94"/>
      <c r="AW5144" s="32"/>
      <c r="AX5144" s="32"/>
      <c r="AY5144" s="32"/>
      <c r="AZ5144" s="32"/>
      <c r="BA5144" s="32"/>
      <c r="BB5144" s="31"/>
      <c r="BC5144" s="31"/>
      <c r="BD5144" s="31"/>
      <c r="BE5144" s="31"/>
      <c r="BF5144" s="96"/>
    </row>
    <row r="5145" spans="42:58" x14ac:dyDescent="0.35">
      <c r="AP5145" s="92"/>
      <c r="AQ5145" s="67"/>
      <c r="AR5145" s="67"/>
      <c r="AS5145" s="73"/>
      <c r="AT5145" s="67"/>
      <c r="AU5145" s="67"/>
      <c r="AV5145" s="73"/>
      <c r="AW5145" s="68"/>
      <c r="AX5145" s="68"/>
      <c r="AY5145" s="68"/>
      <c r="AZ5145" s="68"/>
      <c r="BA5145" s="68"/>
      <c r="BB5145" s="67"/>
      <c r="BC5145" s="67"/>
      <c r="BD5145" s="67"/>
      <c r="BE5145" s="67"/>
      <c r="BF5145" s="95"/>
    </row>
    <row r="5146" spans="42:58" x14ac:dyDescent="0.35">
      <c r="AP5146" s="93"/>
      <c r="AQ5146" s="31"/>
      <c r="AR5146" s="31"/>
      <c r="AS5146" s="94"/>
      <c r="AT5146" s="31"/>
      <c r="AU5146" s="31"/>
      <c r="AV5146" s="94"/>
      <c r="AW5146" s="32"/>
      <c r="AX5146" s="32"/>
      <c r="AY5146" s="32"/>
      <c r="AZ5146" s="32"/>
      <c r="BA5146" s="32"/>
      <c r="BB5146" s="31"/>
      <c r="BC5146" s="31"/>
      <c r="BD5146" s="31"/>
      <c r="BE5146" s="31"/>
      <c r="BF5146" s="96"/>
    </row>
    <row r="5147" spans="42:58" x14ac:dyDescent="0.35">
      <c r="AP5147" s="92"/>
      <c r="AQ5147" s="67"/>
      <c r="AR5147" s="67"/>
      <c r="AS5147" s="73"/>
      <c r="AT5147" s="67"/>
      <c r="AU5147" s="67"/>
      <c r="AV5147" s="73"/>
      <c r="AW5147" s="68"/>
      <c r="AX5147" s="68"/>
      <c r="AY5147" s="68"/>
      <c r="AZ5147" s="68"/>
      <c r="BA5147" s="68"/>
      <c r="BB5147" s="67"/>
      <c r="BC5147" s="67"/>
      <c r="BD5147" s="67"/>
      <c r="BE5147" s="67"/>
      <c r="BF5147" s="95"/>
    </row>
    <row r="5148" spans="42:58" x14ac:dyDescent="0.35">
      <c r="AP5148" s="93"/>
      <c r="AQ5148" s="31"/>
      <c r="AR5148" s="31"/>
      <c r="AS5148" s="94"/>
      <c r="AT5148" s="31"/>
      <c r="AU5148" s="31"/>
      <c r="AV5148" s="94"/>
      <c r="AW5148" s="32"/>
      <c r="AX5148" s="32"/>
      <c r="AY5148" s="32"/>
      <c r="AZ5148" s="32"/>
      <c r="BA5148" s="32"/>
      <c r="BB5148" s="31"/>
      <c r="BC5148" s="31"/>
      <c r="BD5148" s="31"/>
      <c r="BE5148" s="31"/>
      <c r="BF5148" s="96"/>
    </row>
    <row r="5149" spans="42:58" x14ac:dyDescent="0.35">
      <c r="AP5149" s="92"/>
      <c r="AQ5149" s="67"/>
      <c r="AR5149" s="67"/>
      <c r="AS5149" s="73"/>
      <c r="AT5149" s="67"/>
      <c r="AU5149" s="67"/>
      <c r="AV5149" s="73"/>
      <c r="AW5149" s="68"/>
      <c r="AX5149" s="68"/>
      <c r="AY5149" s="68"/>
      <c r="AZ5149" s="68"/>
      <c r="BA5149" s="68"/>
      <c r="BB5149" s="67"/>
      <c r="BC5149" s="67"/>
      <c r="BD5149" s="67"/>
      <c r="BE5149" s="67"/>
      <c r="BF5149" s="95"/>
    </row>
    <row r="5150" spans="42:58" x14ac:dyDescent="0.35">
      <c r="AP5150" s="93"/>
      <c r="AQ5150" s="31"/>
      <c r="AR5150" s="31"/>
      <c r="AS5150" s="94"/>
      <c r="AT5150" s="31"/>
      <c r="AU5150" s="31"/>
      <c r="AV5150" s="94"/>
      <c r="AW5150" s="32"/>
      <c r="AX5150" s="32"/>
      <c r="AY5150" s="32"/>
      <c r="AZ5150" s="32"/>
      <c r="BA5150" s="32"/>
      <c r="BB5150" s="31"/>
      <c r="BC5150" s="31"/>
      <c r="BD5150" s="31"/>
      <c r="BE5150" s="31"/>
      <c r="BF5150" s="96"/>
    </row>
    <row r="5151" spans="42:58" x14ac:dyDescent="0.35">
      <c r="AP5151" s="92"/>
      <c r="AQ5151" s="67"/>
      <c r="AR5151" s="67"/>
      <c r="AS5151" s="73"/>
      <c r="AT5151" s="67"/>
      <c r="AU5151" s="67"/>
      <c r="AV5151" s="73"/>
      <c r="AW5151" s="68"/>
      <c r="AX5151" s="68"/>
      <c r="AY5151" s="68"/>
      <c r="AZ5151" s="68"/>
      <c r="BA5151" s="68"/>
      <c r="BB5151" s="67"/>
      <c r="BC5151" s="67"/>
      <c r="BD5151" s="67"/>
      <c r="BE5151" s="67"/>
      <c r="BF5151" s="95"/>
    </row>
    <row r="5152" spans="42:58" x14ac:dyDescent="0.35">
      <c r="AP5152" s="93"/>
      <c r="AQ5152" s="31"/>
      <c r="AR5152" s="31"/>
      <c r="AS5152" s="94"/>
      <c r="AT5152" s="31"/>
      <c r="AU5152" s="31"/>
      <c r="AV5152" s="94"/>
      <c r="AW5152" s="32"/>
      <c r="AX5152" s="32"/>
      <c r="AY5152" s="32"/>
      <c r="AZ5152" s="32"/>
      <c r="BA5152" s="32"/>
      <c r="BB5152" s="31"/>
      <c r="BC5152" s="31"/>
      <c r="BD5152" s="31"/>
      <c r="BE5152" s="31"/>
      <c r="BF5152" s="96"/>
    </row>
    <row r="5153" spans="42:58" x14ac:dyDescent="0.35">
      <c r="AP5153" s="92"/>
      <c r="AQ5153" s="67"/>
      <c r="AR5153" s="67"/>
      <c r="AS5153" s="73"/>
      <c r="AT5153" s="67"/>
      <c r="AU5153" s="67"/>
      <c r="AV5153" s="73"/>
      <c r="AW5153" s="68"/>
      <c r="AX5153" s="68"/>
      <c r="AY5153" s="68"/>
      <c r="AZ5153" s="68"/>
      <c r="BA5153" s="68"/>
      <c r="BB5153" s="67"/>
      <c r="BC5153" s="67"/>
      <c r="BD5153" s="67"/>
      <c r="BE5153" s="67"/>
      <c r="BF5153" s="95"/>
    </row>
    <row r="5154" spans="42:58" x14ac:dyDescent="0.35">
      <c r="AP5154" s="93"/>
      <c r="AQ5154" s="31"/>
      <c r="AR5154" s="31"/>
      <c r="AS5154" s="94"/>
      <c r="AT5154" s="31"/>
      <c r="AU5154" s="31"/>
      <c r="AV5154" s="94"/>
      <c r="AW5154" s="32"/>
      <c r="AX5154" s="32"/>
      <c r="AY5154" s="32"/>
      <c r="AZ5154" s="32"/>
      <c r="BA5154" s="32"/>
      <c r="BB5154" s="31"/>
      <c r="BC5154" s="31"/>
      <c r="BD5154" s="31"/>
      <c r="BE5154" s="31"/>
      <c r="BF5154" s="96"/>
    </row>
    <row r="5155" spans="42:58" x14ac:dyDescent="0.35">
      <c r="AP5155" s="92"/>
      <c r="AQ5155" s="67"/>
      <c r="AR5155" s="67"/>
      <c r="AS5155" s="73"/>
      <c r="AT5155" s="67"/>
      <c r="AU5155" s="67"/>
      <c r="AV5155" s="73"/>
      <c r="AW5155" s="68"/>
      <c r="AX5155" s="68"/>
      <c r="AY5155" s="68"/>
      <c r="AZ5155" s="68"/>
      <c r="BA5155" s="68"/>
      <c r="BB5155" s="67"/>
      <c r="BC5155" s="67"/>
      <c r="BD5155" s="67"/>
      <c r="BE5155" s="67"/>
      <c r="BF5155" s="95"/>
    </row>
    <row r="5156" spans="42:58" x14ac:dyDescent="0.35">
      <c r="AP5156" s="93"/>
      <c r="AQ5156" s="31"/>
      <c r="AR5156" s="31"/>
      <c r="AS5156" s="94"/>
      <c r="AT5156" s="31"/>
      <c r="AU5156" s="31"/>
      <c r="AV5156" s="94"/>
      <c r="AW5156" s="32"/>
      <c r="AX5156" s="32"/>
      <c r="AY5156" s="32"/>
      <c r="AZ5156" s="32"/>
      <c r="BA5156" s="32"/>
      <c r="BB5156" s="31"/>
      <c r="BC5156" s="31"/>
      <c r="BD5156" s="31"/>
      <c r="BE5156" s="31"/>
      <c r="BF5156" s="96"/>
    </row>
    <row r="5157" spans="42:58" x14ac:dyDescent="0.35">
      <c r="AP5157" s="92"/>
      <c r="AQ5157" s="67"/>
      <c r="AR5157" s="67"/>
      <c r="AS5157" s="73"/>
      <c r="AT5157" s="67"/>
      <c r="AU5157" s="67"/>
      <c r="AV5157" s="73"/>
      <c r="AW5157" s="68"/>
      <c r="AX5157" s="68"/>
      <c r="AY5157" s="68"/>
      <c r="AZ5157" s="68"/>
      <c r="BA5157" s="68"/>
      <c r="BB5157" s="67"/>
      <c r="BC5157" s="67"/>
      <c r="BD5157" s="67"/>
      <c r="BE5157" s="67"/>
      <c r="BF5157" s="95"/>
    </row>
    <row r="5158" spans="42:58" x14ac:dyDescent="0.35">
      <c r="AP5158" s="93"/>
      <c r="AQ5158" s="31"/>
      <c r="AR5158" s="31"/>
      <c r="AS5158" s="94"/>
      <c r="AT5158" s="31"/>
      <c r="AU5158" s="31"/>
      <c r="AV5158" s="94"/>
      <c r="AW5158" s="32"/>
      <c r="AX5158" s="32"/>
      <c r="AY5158" s="32"/>
      <c r="AZ5158" s="32"/>
      <c r="BA5158" s="32"/>
      <c r="BB5158" s="31"/>
      <c r="BC5158" s="31"/>
      <c r="BD5158" s="31"/>
      <c r="BE5158" s="31"/>
      <c r="BF5158" s="96"/>
    </row>
    <row r="5159" spans="42:58" x14ac:dyDescent="0.35">
      <c r="AP5159" s="92"/>
      <c r="AQ5159" s="67"/>
      <c r="AR5159" s="67"/>
      <c r="AS5159" s="73"/>
      <c r="AT5159" s="67"/>
      <c r="AU5159" s="67"/>
      <c r="AV5159" s="73"/>
      <c r="AW5159" s="68"/>
      <c r="AX5159" s="68"/>
      <c r="AY5159" s="68"/>
      <c r="AZ5159" s="68"/>
      <c r="BA5159" s="68"/>
      <c r="BB5159" s="67"/>
      <c r="BC5159" s="67"/>
      <c r="BD5159" s="67"/>
      <c r="BE5159" s="67"/>
      <c r="BF5159" s="95"/>
    </row>
    <row r="5160" spans="42:58" x14ac:dyDescent="0.35">
      <c r="AP5160" s="93"/>
      <c r="AQ5160" s="31"/>
      <c r="AR5160" s="31"/>
      <c r="AS5160" s="94"/>
      <c r="AT5160" s="31"/>
      <c r="AU5160" s="31"/>
      <c r="AV5160" s="94"/>
      <c r="AW5160" s="32"/>
      <c r="AX5160" s="32"/>
      <c r="AY5160" s="32"/>
      <c r="AZ5160" s="32"/>
      <c r="BA5160" s="32"/>
      <c r="BB5160" s="31"/>
      <c r="BC5160" s="31"/>
      <c r="BD5160" s="31"/>
      <c r="BE5160" s="31"/>
      <c r="BF5160" s="96"/>
    </row>
    <row r="5161" spans="42:58" x14ac:dyDescent="0.35">
      <c r="AP5161" s="92"/>
      <c r="AQ5161" s="67"/>
      <c r="AR5161" s="67"/>
      <c r="AS5161" s="73"/>
      <c r="AT5161" s="67"/>
      <c r="AU5161" s="67"/>
      <c r="AV5161" s="73"/>
      <c r="AW5161" s="68"/>
      <c r="AX5161" s="68"/>
      <c r="AY5161" s="68"/>
      <c r="AZ5161" s="68"/>
      <c r="BA5161" s="68"/>
      <c r="BB5161" s="67"/>
      <c r="BC5161" s="67"/>
      <c r="BD5161" s="67"/>
      <c r="BE5161" s="67"/>
      <c r="BF5161" s="95"/>
    </row>
    <row r="5162" spans="42:58" x14ac:dyDescent="0.35">
      <c r="AP5162" s="93"/>
      <c r="AQ5162" s="31"/>
      <c r="AR5162" s="31"/>
      <c r="AS5162" s="94"/>
      <c r="AT5162" s="31"/>
      <c r="AU5162" s="31"/>
      <c r="AV5162" s="94"/>
      <c r="AW5162" s="32"/>
      <c r="AX5162" s="32"/>
      <c r="AY5162" s="32"/>
      <c r="AZ5162" s="32"/>
      <c r="BA5162" s="32"/>
      <c r="BB5162" s="31"/>
      <c r="BC5162" s="31"/>
      <c r="BD5162" s="31"/>
      <c r="BE5162" s="31"/>
      <c r="BF5162" s="96"/>
    </row>
    <row r="5163" spans="42:58" x14ac:dyDescent="0.35">
      <c r="AP5163" s="92"/>
      <c r="AQ5163" s="67"/>
      <c r="AR5163" s="67"/>
      <c r="AS5163" s="73"/>
      <c r="AT5163" s="67"/>
      <c r="AU5163" s="67"/>
      <c r="AV5163" s="73"/>
      <c r="AW5163" s="68"/>
      <c r="AX5163" s="68"/>
      <c r="AY5163" s="68"/>
      <c r="AZ5163" s="68"/>
      <c r="BA5163" s="68"/>
      <c r="BB5163" s="67"/>
      <c r="BC5163" s="67"/>
      <c r="BD5163" s="67"/>
      <c r="BE5163" s="67"/>
      <c r="BF5163" s="95"/>
    </row>
    <row r="5164" spans="42:58" x14ac:dyDescent="0.35">
      <c r="AP5164" s="93"/>
      <c r="AQ5164" s="31"/>
      <c r="AR5164" s="31"/>
      <c r="AS5164" s="94"/>
      <c r="AT5164" s="31"/>
      <c r="AU5164" s="31"/>
      <c r="AV5164" s="94"/>
      <c r="AW5164" s="32"/>
      <c r="AX5164" s="32"/>
      <c r="AY5164" s="32"/>
      <c r="AZ5164" s="32"/>
      <c r="BA5164" s="32"/>
      <c r="BB5164" s="31"/>
      <c r="BC5164" s="31"/>
      <c r="BD5164" s="31"/>
      <c r="BE5164" s="31"/>
      <c r="BF5164" s="96"/>
    </row>
    <row r="5165" spans="42:58" x14ac:dyDescent="0.35">
      <c r="AP5165" s="92"/>
      <c r="AQ5165" s="67"/>
      <c r="AR5165" s="67"/>
      <c r="AS5165" s="73"/>
      <c r="AT5165" s="67"/>
      <c r="AU5165" s="67"/>
      <c r="AV5165" s="73"/>
      <c r="AW5165" s="68"/>
      <c r="AX5165" s="68"/>
      <c r="AY5165" s="68"/>
      <c r="AZ5165" s="68"/>
      <c r="BA5165" s="68"/>
      <c r="BB5165" s="67"/>
      <c r="BC5165" s="67"/>
      <c r="BD5165" s="67"/>
      <c r="BE5165" s="67"/>
      <c r="BF5165" s="95"/>
    </row>
    <row r="5166" spans="42:58" x14ac:dyDescent="0.35">
      <c r="AP5166" s="93"/>
      <c r="AQ5166" s="31"/>
      <c r="AR5166" s="31"/>
      <c r="AS5166" s="94"/>
      <c r="AT5166" s="31"/>
      <c r="AU5166" s="31"/>
      <c r="AV5166" s="94"/>
      <c r="AW5166" s="32"/>
      <c r="AX5166" s="32"/>
      <c r="AY5166" s="32"/>
      <c r="AZ5166" s="32"/>
      <c r="BA5166" s="32"/>
      <c r="BB5166" s="31"/>
      <c r="BC5166" s="31"/>
      <c r="BD5166" s="31"/>
      <c r="BE5166" s="31"/>
      <c r="BF5166" s="96"/>
    </row>
    <row r="5167" spans="42:58" x14ac:dyDescent="0.35">
      <c r="AP5167" s="92"/>
      <c r="AQ5167" s="67"/>
      <c r="AR5167" s="67"/>
      <c r="AS5167" s="73"/>
      <c r="AT5167" s="67"/>
      <c r="AU5167" s="67"/>
      <c r="AV5167" s="73"/>
      <c r="AW5167" s="68"/>
      <c r="AX5167" s="68"/>
      <c r="AY5167" s="68"/>
      <c r="AZ5167" s="68"/>
      <c r="BA5167" s="68"/>
      <c r="BB5167" s="67"/>
      <c r="BC5167" s="67"/>
      <c r="BD5167" s="67"/>
      <c r="BE5167" s="67"/>
      <c r="BF5167" s="95"/>
    </row>
    <row r="5168" spans="42:58" x14ac:dyDescent="0.35">
      <c r="AP5168" s="93"/>
      <c r="AQ5168" s="31"/>
      <c r="AR5168" s="31"/>
      <c r="AS5168" s="94"/>
      <c r="AT5168" s="31"/>
      <c r="AU5168" s="31"/>
      <c r="AV5168" s="94"/>
      <c r="AW5168" s="32"/>
      <c r="AX5168" s="32"/>
      <c r="AY5168" s="32"/>
      <c r="AZ5168" s="32"/>
      <c r="BA5168" s="32"/>
      <c r="BB5168" s="31"/>
      <c r="BC5168" s="31"/>
      <c r="BD5168" s="31"/>
      <c r="BE5168" s="31"/>
      <c r="BF5168" s="96"/>
    </row>
    <row r="5169" spans="42:58" x14ac:dyDescent="0.35">
      <c r="AP5169" s="92"/>
      <c r="AQ5169" s="67"/>
      <c r="AR5169" s="67"/>
      <c r="AS5169" s="73"/>
      <c r="AT5169" s="67"/>
      <c r="AU5169" s="67"/>
      <c r="AV5169" s="73"/>
      <c r="AW5169" s="68"/>
      <c r="AX5169" s="68"/>
      <c r="AY5169" s="68"/>
      <c r="AZ5169" s="68"/>
      <c r="BA5169" s="68"/>
      <c r="BB5169" s="67"/>
      <c r="BC5169" s="67"/>
      <c r="BD5169" s="67"/>
      <c r="BE5169" s="67"/>
      <c r="BF5169" s="95"/>
    </row>
    <row r="5170" spans="42:58" x14ac:dyDescent="0.35">
      <c r="AP5170" s="93"/>
      <c r="AQ5170" s="31"/>
      <c r="AR5170" s="31"/>
      <c r="AS5170" s="94"/>
      <c r="AT5170" s="31"/>
      <c r="AU5170" s="31"/>
      <c r="AV5170" s="94"/>
      <c r="AW5170" s="32"/>
      <c r="AX5170" s="32"/>
      <c r="AY5170" s="32"/>
      <c r="AZ5170" s="32"/>
      <c r="BA5170" s="32"/>
      <c r="BB5170" s="31"/>
      <c r="BC5170" s="31"/>
      <c r="BD5170" s="31"/>
      <c r="BE5170" s="31"/>
      <c r="BF5170" s="96"/>
    </row>
    <row r="5171" spans="42:58" x14ac:dyDescent="0.35">
      <c r="AP5171" s="92"/>
      <c r="AQ5171" s="67"/>
      <c r="AR5171" s="67"/>
      <c r="AS5171" s="73"/>
      <c r="AT5171" s="67"/>
      <c r="AU5171" s="67"/>
      <c r="AV5171" s="73"/>
      <c r="AW5171" s="68"/>
      <c r="AX5171" s="68"/>
      <c r="AY5171" s="68"/>
      <c r="AZ5171" s="68"/>
      <c r="BA5171" s="68"/>
      <c r="BB5171" s="67"/>
      <c r="BC5171" s="67"/>
      <c r="BD5171" s="67"/>
      <c r="BE5171" s="67"/>
      <c r="BF5171" s="95"/>
    </row>
    <row r="5172" spans="42:58" x14ac:dyDescent="0.35">
      <c r="AP5172" s="93"/>
      <c r="AQ5172" s="31"/>
      <c r="AR5172" s="31"/>
      <c r="AS5172" s="94"/>
      <c r="AT5172" s="31"/>
      <c r="AU5172" s="31"/>
      <c r="AV5172" s="94"/>
      <c r="AW5172" s="32"/>
      <c r="AX5172" s="32"/>
      <c r="AY5172" s="32"/>
      <c r="AZ5172" s="32"/>
      <c r="BA5172" s="32"/>
      <c r="BB5172" s="31"/>
      <c r="BC5172" s="31"/>
      <c r="BD5172" s="31"/>
      <c r="BE5172" s="31"/>
      <c r="BF5172" s="96"/>
    </row>
    <row r="5173" spans="42:58" x14ac:dyDescent="0.35">
      <c r="AP5173" s="92"/>
      <c r="AQ5173" s="67"/>
      <c r="AR5173" s="67"/>
      <c r="AS5173" s="73"/>
      <c r="AT5173" s="67"/>
      <c r="AU5173" s="67"/>
      <c r="AV5173" s="73"/>
      <c r="AW5173" s="68"/>
      <c r="AX5173" s="68"/>
      <c r="AY5173" s="68"/>
      <c r="AZ5173" s="68"/>
      <c r="BA5173" s="68"/>
      <c r="BB5173" s="67"/>
      <c r="BC5173" s="67"/>
      <c r="BD5173" s="67"/>
      <c r="BE5173" s="67"/>
      <c r="BF5173" s="95"/>
    </row>
    <row r="5174" spans="42:58" x14ac:dyDescent="0.35">
      <c r="AP5174" s="93"/>
      <c r="AQ5174" s="31"/>
      <c r="AR5174" s="31"/>
      <c r="AS5174" s="94"/>
      <c r="AT5174" s="31"/>
      <c r="AU5174" s="31"/>
      <c r="AV5174" s="94"/>
      <c r="AW5174" s="32"/>
      <c r="AX5174" s="32"/>
      <c r="AY5174" s="32"/>
      <c r="AZ5174" s="32"/>
      <c r="BA5174" s="32"/>
      <c r="BB5174" s="31"/>
      <c r="BC5174" s="31"/>
      <c r="BD5174" s="31"/>
      <c r="BE5174" s="31"/>
      <c r="BF5174" s="96"/>
    </row>
    <row r="5175" spans="42:58" x14ac:dyDescent="0.35">
      <c r="AP5175" s="92"/>
      <c r="AQ5175" s="67"/>
      <c r="AR5175" s="67"/>
      <c r="AS5175" s="73"/>
      <c r="AT5175" s="67"/>
      <c r="AU5175" s="67"/>
      <c r="AV5175" s="73"/>
      <c r="AW5175" s="68"/>
      <c r="AX5175" s="68"/>
      <c r="AY5175" s="68"/>
      <c r="AZ5175" s="68"/>
      <c r="BA5175" s="68"/>
      <c r="BB5175" s="67"/>
      <c r="BC5175" s="67"/>
      <c r="BD5175" s="67"/>
      <c r="BE5175" s="67"/>
      <c r="BF5175" s="95"/>
    </row>
    <row r="5176" spans="42:58" x14ac:dyDescent="0.35">
      <c r="AP5176" s="93"/>
      <c r="AQ5176" s="31"/>
      <c r="AR5176" s="31"/>
      <c r="AS5176" s="94"/>
      <c r="AT5176" s="31"/>
      <c r="AU5176" s="31"/>
      <c r="AV5176" s="94"/>
      <c r="AW5176" s="32"/>
      <c r="AX5176" s="32"/>
      <c r="AY5176" s="32"/>
      <c r="AZ5176" s="32"/>
      <c r="BA5176" s="32"/>
      <c r="BB5176" s="31"/>
      <c r="BC5176" s="31"/>
      <c r="BD5176" s="31"/>
      <c r="BE5176" s="31"/>
      <c r="BF5176" s="96"/>
    </row>
    <row r="5177" spans="42:58" x14ac:dyDescent="0.35">
      <c r="AP5177" s="92"/>
      <c r="AQ5177" s="67"/>
      <c r="AR5177" s="67"/>
      <c r="AS5177" s="73"/>
      <c r="AT5177" s="67"/>
      <c r="AU5177" s="67"/>
      <c r="AV5177" s="73"/>
      <c r="AW5177" s="68"/>
      <c r="AX5177" s="68"/>
      <c r="AY5177" s="68"/>
      <c r="AZ5177" s="68"/>
      <c r="BA5177" s="68"/>
      <c r="BB5177" s="67"/>
      <c r="BC5177" s="67"/>
      <c r="BD5177" s="67"/>
      <c r="BE5177" s="67"/>
      <c r="BF5177" s="95"/>
    </row>
    <row r="5178" spans="42:58" x14ac:dyDescent="0.35">
      <c r="AP5178" s="93"/>
      <c r="AQ5178" s="31"/>
      <c r="AR5178" s="31"/>
      <c r="AS5178" s="94"/>
      <c r="AT5178" s="31"/>
      <c r="AU5178" s="31"/>
      <c r="AV5178" s="94"/>
      <c r="AW5178" s="32"/>
      <c r="AX5178" s="32"/>
      <c r="AY5178" s="32"/>
      <c r="AZ5178" s="32"/>
      <c r="BA5178" s="32"/>
      <c r="BB5178" s="31"/>
      <c r="BC5178" s="31"/>
      <c r="BD5178" s="31"/>
      <c r="BE5178" s="31"/>
      <c r="BF5178" s="96"/>
    </row>
    <row r="5179" spans="42:58" x14ac:dyDescent="0.35">
      <c r="AP5179" s="92"/>
      <c r="AQ5179" s="67"/>
      <c r="AR5179" s="67"/>
      <c r="AS5179" s="73"/>
      <c r="AT5179" s="67"/>
      <c r="AU5179" s="67"/>
      <c r="AV5179" s="73"/>
      <c r="AW5179" s="68"/>
      <c r="AX5179" s="68"/>
      <c r="AY5179" s="68"/>
      <c r="AZ5179" s="68"/>
      <c r="BA5179" s="68"/>
      <c r="BB5179" s="67"/>
      <c r="BC5179" s="67"/>
      <c r="BD5179" s="67"/>
      <c r="BE5179" s="67"/>
      <c r="BF5179" s="95"/>
    </row>
    <row r="5180" spans="42:58" x14ac:dyDescent="0.35">
      <c r="AP5180" s="93"/>
      <c r="AQ5180" s="31"/>
      <c r="AR5180" s="31"/>
      <c r="AS5180" s="94"/>
      <c r="AT5180" s="31"/>
      <c r="AU5180" s="31"/>
      <c r="AV5180" s="94"/>
      <c r="AW5180" s="32"/>
      <c r="AX5180" s="32"/>
      <c r="AY5180" s="32"/>
      <c r="AZ5180" s="32"/>
      <c r="BA5180" s="32"/>
      <c r="BB5180" s="31"/>
      <c r="BC5180" s="31"/>
      <c r="BD5180" s="31"/>
      <c r="BE5180" s="31"/>
      <c r="BF5180" s="96"/>
    </row>
    <row r="5181" spans="42:58" x14ac:dyDescent="0.35">
      <c r="AP5181" s="92"/>
      <c r="AQ5181" s="67"/>
      <c r="AR5181" s="67"/>
      <c r="AS5181" s="73"/>
      <c r="AT5181" s="67"/>
      <c r="AU5181" s="67"/>
      <c r="AV5181" s="73"/>
      <c r="AW5181" s="68"/>
      <c r="AX5181" s="68"/>
      <c r="AY5181" s="68"/>
      <c r="AZ5181" s="68"/>
      <c r="BA5181" s="68"/>
      <c r="BB5181" s="67"/>
      <c r="BC5181" s="67"/>
      <c r="BD5181" s="67"/>
      <c r="BE5181" s="67"/>
      <c r="BF5181" s="95"/>
    </row>
    <row r="5182" spans="42:58" x14ac:dyDescent="0.35">
      <c r="AP5182" s="93"/>
      <c r="AQ5182" s="31"/>
      <c r="AR5182" s="31"/>
      <c r="AS5182" s="94"/>
      <c r="AT5182" s="31"/>
      <c r="AU5182" s="31"/>
      <c r="AV5182" s="94"/>
      <c r="AW5182" s="32"/>
      <c r="AX5182" s="32"/>
      <c r="AY5182" s="32"/>
      <c r="AZ5182" s="32"/>
      <c r="BA5182" s="32"/>
      <c r="BB5182" s="31"/>
      <c r="BC5182" s="31"/>
      <c r="BD5182" s="31"/>
      <c r="BE5182" s="31"/>
      <c r="BF5182" s="96"/>
    </row>
    <row r="5183" spans="42:58" x14ac:dyDescent="0.35">
      <c r="AP5183" s="92"/>
      <c r="AQ5183" s="67"/>
      <c r="AR5183" s="67"/>
      <c r="AS5183" s="73"/>
      <c r="AT5183" s="67"/>
      <c r="AU5183" s="67"/>
      <c r="AV5183" s="73"/>
      <c r="AW5183" s="68"/>
      <c r="AX5183" s="68"/>
      <c r="AY5183" s="68"/>
      <c r="AZ5183" s="68"/>
      <c r="BA5183" s="68"/>
      <c r="BB5183" s="67"/>
      <c r="BC5183" s="67"/>
      <c r="BD5183" s="67"/>
      <c r="BE5183" s="67"/>
      <c r="BF5183" s="95"/>
    </row>
    <row r="5184" spans="42:58" x14ac:dyDescent="0.35">
      <c r="AP5184" s="93"/>
      <c r="AQ5184" s="31"/>
      <c r="AR5184" s="31"/>
      <c r="AS5184" s="94"/>
      <c r="AT5184" s="31"/>
      <c r="AU5184" s="31"/>
      <c r="AV5184" s="94"/>
      <c r="AW5184" s="32"/>
      <c r="AX5184" s="32"/>
      <c r="AY5184" s="32"/>
      <c r="AZ5184" s="32"/>
      <c r="BA5184" s="32"/>
      <c r="BB5184" s="31"/>
      <c r="BC5184" s="31"/>
      <c r="BD5184" s="31"/>
      <c r="BE5184" s="31"/>
      <c r="BF5184" s="96"/>
    </row>
    <row r="5185" spans="42:58" x14ac:dyDescent="0.35">
      <c r="AP5185" s="92"/>
      <c r="AQ5185" s="67"/>
      <c r="AR5185" s="67"/>
      <c r="AS5185" s="73"/>
      <c r="AT5185" s="67"/>
      <c r="AU5185" s="67"/>
      <c r="AV5185" s="73"/>
      <c r="AW5185" s="68"/>
      <c r="AX5185" s="68"/>
      <c r="AY5185" s="68"/>
      <c r="AZ5185" s="68"/>
      <c r="BA5185" s="68"/>
      <c r="BB5185" s="67"/>
      <c r="BC5185" s="67"/>
      <c r="BD5185" s="67"/>
      <c r="BE5185" s="67"/>
      <c r="BF5185" s="95"/>
    </row>
    <row r="5186" spans="42:58" x14ac:dyDescent="0.35">
      <c r="AP5186" s="93"/>
      <c r="AQ5186" s="31"/>
      <c r="AR5186" s="31"/>
      <c r="AS5186" s="94"/>
      <c r="AT5186" s="31"/>
      <c r="AU5186" s="31"/>
      <c r="AV5186" s="94"/>
      <c r="AW5186" s="32"/>
      <c r="AX5186" s="32"/>
      <c r="AY5186" s="32"/>
      <c r="AZ5186" s="32"/>
      <c r="BA5186" s="32"/>
      <c r="BB5186" s="31"/>
      <c r="BC5186" s="31"/>
      <c r="BD5186" s="31"/>
      <c r="BE5186" s="31"/>
      <c r="BF5186" s="96"/>
    </row>
    <row r="5187" spans="42:58" x14ac:dyDescent="0.35">
      <c r="AP5187" s="92"/>
      <c r="AQ5187" s="67"/>
      <c r="AR5187" s="67"/>
      <c r="AS5187" s="73"/>
      <c r="AT5187" s="67"/>
      <c r="AU5187" s="67"/>
      <c r="AV5187" s="73"/>
      <c r="AW5187" s="68"/>
      <c r="AX5187" s="68"/>
      <c r="AY5187" s="68"/>
      <c r="AZ5187" s="68"/>
      <c r="BA5187" s="68"/>
      <c r="BB5187" s="67"/>
      <c r="BC5187" s="67"/>
      <c r="BD5187" s="67"/>
      <c r="BE5187" s="67"/>
      <c r="BF5187" s="95"/>
    </row>
    <row r="5188" spans="42:58" x14ac:dyDescent="0.35">
      <c r="AP5188" s="93"/>
      <c r="AQ5188" s="31"/>
      <c r="AR5188" s="31"/>
      <c r="AS5188" s="94"/>
      <c r="AT5188" s="31"/>
      <c r="AU5188" s="31"/>
      <c r="AV5188" s="94"/>
      <c r="AW5188" s="32"/>
      <c r="AX5188" s="32"/>
      <c r="AY5188" s="32"/>
      <c r="AZ5188" s="32"/>
      <c r="BA5188" s="32"/>
      <c r="BB5188" s="31"/>
      <c r="BC5188" s="31"/>
      <c r="BD5188" s="31"/>
      <c r="BE5188" s="31"/>
      <c r="BF5188" s="96"/>
    </row>
    <row r="5189" spans="42:58" x14ac:dyDescent="0.35">
      <c r="AP5189" s="92"/>
      <c r="AQ5189" s="67"/>
      <c r="AR5189" s="67"/>
      <c r="AS5189" s="73"/>
      <c r="AT5189" s="67"/>
      <c r="AU5189" s="67"/>
      <c r="AV5189" s="73"/>
      <c r="AW5189" s="68"/>
      <c r="AX5189" s="68"/>
      <c r="AY5189" s="68"/>
      <c r="AZ5189" s="68"/>
      <c r="BA5189" s="68"/>
      <c r="BB5189" s="67"/>
      <c r="BC5189" s="67"/>
      <c r="BD5189" s="67"/>
      <c r="BE5189" s="67"/>
      <c r="BF5189" s="95"/>
    </row>
    <row r="5190" spans="42:58" x14ac:dyDescent="0.35">
      <c r="AP5190" s="93"/>
      <c r="AQ5190" s="31"/>
      <c r="AR5190" s="31"/>
      <c r="AS5190" s="94"/>
      <c r="AT5190" s="31"/>
      <c r="AU5190" s="31"/>
      <c r="AV5190" s="94"/>
      <c r="AW5190" s="32"/>
      <c r="AX5190" s="32"/>
      <c r="AY5190" s="32"/>
      <c r="AZ5190" s="32"/>
      <c r="BA5190" s="32"/>
      <c r="BB5190" s="31"/>
      <c r="BC5190" s="31"/>
      <c r="BD5190" s="31"/>
      <c r="BE5190" s="31"/>
      <c r="BF5190" s="96"/>
    </row>
    <row r="5191" spans="42:58" x14ac:dyDescent="0.35">
      <c r="AP5191" s="92"/>
      <c r="AQ5191" s="67"/>
      <c r="AR5191" s="67"/>
      <c r="AS5191" s="73"/>
      <c r="AT5191" s="67"/>
      <c r="AU5191" s="67"/>
      <c r="AV5191" s="73"/>
      <c r="AW5191" s="68"/>
      <c r="AX5191" s="68"/>
      <c r="AY5191" s="68"/>
      <c r="AZ5191" s="68"/>
      <c r="BA5191" s="68"/>
      <c r="BB5191" s="67"/>
      <c r="BC5191" s="67"/>
      <c r="BD5191" s="67"/>
      <c r="BE5191" s="67"/>
      <c r="BF5191" s="95"/>
    </row>
    <row r="5192" spans="42:58" x14ac:dyDescent="0.35">
      <c r="AP5192" s="93"/>
      <c r="AQ5192" s="31"/>
      <c r="AR5192" s="31"/>
      <c r="AS5192" s="94"/>
      <c r="AT5192" s="31"/>
      <c r="AU5192" s="31"/>
      <c r="AV5192" s="94"/>
      <c r="AW5192" s="32"/>
      <c r="AX5192" s="32"/>
      <c r="AY5192" s="32"/>
      <c r="AZ5192" s="32"/>
      <c r="BA5192" s="32"/>
      <c r="BB5192" s="31"/>
      <c r="BC5192" s="31"/>
      <c r="BD5192" s="31"/>
      <c r="BE5192" s="31"/>
      <c r="BF5192" s="96"/>
    </row>
    <row r="5193" spans="42:58" x14ac:dyDescent="0.35">
      <c r="AP5193" s="92"/>
      <c r="AQ5193" s="67"/>
      <c r="AR5193" s="67"/>
      <c r="AS5193" s="73"/>
      <c r="AT5193" s="67"/>
      <c r="AU5193" s="67"/>
      <c r="AV5193" s="73"/>
      <c r="AW5193" s="68"/>
      <c r="AX5193" s="68"/>
      <c r="AY5193" s="68"/>
      <c r="AZ5193" s="68"/>
      <c r="BA5193" s="68"/>
      <c r="BB5193" s="67"/>
      <c r="BC5193" s="67"/>
      <c r="BD5193" s="67"/>
      <c r="BE5193" s="67"/>
      <c r="BF5193" s="95"/>
    </row>
    <row r="5194" spans="42:58" x14ac:dyDescent="0.35">
      <c r="AP5194" s="93"/>
      <c r="AQ5194" s="31"/>
      <c r="AR5194" s="31"/>
      <c r="AS5194" s="94"/>
      <c r="AT5194" s="31"/>
      <c r="AU5194" s="31"/>
      <c r="AV5194" s="94"/>
      <c r="AW5194" s="32"/>
      <c r="AX5194" s="32"/>
      <c r="AY5194" s="32"/>
      <c r="AZ5194" s="32"/>
      <c r="BA5194" s="32"/>
      <c r="BB5194" s="31"/>
      <c r="BC5194" s="31"/>
      <c r="BD5194" s="31"/>
      <c r="BE5194" s="31"/>
      <c r="BF5194" s="96"/>
    </row>
    <row r="5195" spans="42:58" x14ac:dyDescent="0.35">
      <c r="AP5195" s="92"/>
      <c r="AQ5195" s="67"/>
      <c r="AR5195" s="67"/>
      <c r="AS5195" s="73"/>
      <c r="AT5195" s="67"/>
      <c r="AU5195" s="67"/>
      <c r="AV5195" s="73"/>
      <c r="AW5195" s="68"/>
      <c r="AX5195" s="68"/>
      <c r="AY5195" s="68"/>
      <c r="AZ5195" s="68"/>
      <c r="BA5195" s="68"/>
      <c r="BB5195" s="67"/>
      <c r="BC5195" s="67"/>
      <c r="BD5195" s="67"/>
      <c r="BE5195" s="67"/>
      <c r="BF5195" s="95"/>
    </row>
    <row r="5196" spans="42:58" x14ac:dyDescent="0.35">
      <c r="AP5196" s="93"/>
      <c r="AQ5196" s="31"/>
      <c r="AR5196" s="31"/>
      <c r="AS5196" s="94"/>
      <c r="AT5196" s="31"/>
      <c r="AU5196" s="31"/>
      <c r="AV5196" s="94"/>
      <c r="AW5196" s="32"/>
      <c r="AX5196" s="32"/>
      <c r="AY5196" s="32"/>
      <c r="AZ5196" s="32"/>
      <c r="BA5196" s="32"/>
      <c r="BB5196" s="31"/>
      <c r="BC5196" s="31"/>
      <c r="BD5196" s="31"/>
      <c r="BE5196" s="31"/>
      <c r="BF5196" s="96"/>
    </row>
    <row r="5197" spans="42:58" x14ac:dyDescent="0.35">
      <c r="AP5197" s="92"/>
      <c r="AQ5197" s="67"/>
      <c r="AR5197" s="67"/>
      <c r="AS5197" s="73"/>
      <c r="AT5197" s="67"/>
      <c r="AU5197" s="67"/>
      <c r="AV5197" s="73"/>
      <c r="AW5197" s="68"/>
      <c r="AX5197" s="68"/>
      <c r="AY5197" s="68"/>
      <c r="AZ5197" s="68"/>
      <c r="BA5197" s="68"/>
      <c r="BB5197" s="67"/>
      <c r="BC5197" s="67"/>
      <c r="BD5197" s="67"/>
      <c r="BE5197" s="67"/>
      <c r="BF5197" s="95"/>
    </row>
    <row r="5198" spans="42:58" x14ac:dyDescent="0.35">
      <c r="AP5198" s="93"/>
      <c r="AQ5198" s="31"/>
      <c r="AR5198" s="31"/>
      <c r="AS5198" s="94"/>
      <c r="AT5198" s="31"/>
      <c r="AU5198" s="31"/>
      <c r="AV5198" s="94"/>
      <c r="AW5198" s="32"/>
      <c r="AX5198" s="32"/>
      <c r="AY5198" s="32"/>
      <c r="AZ5198" s="32"/>
      <c r="BA5198" s="32"/>
      <c r="BB5198" s="31"/>
      <c r="BC5198" s="31"/>
      <c r="BD5198" s="31"/>
      <c r="BE5198" s="31"/>
      <c r="BF5198" s="96"/>
    </row>
    <row r="5199" spans="42:58" x14ac:dyDescent="0.35">
      <c r="AP5199" s="92"/>
      <c r="AQ5199" s="67"/>
      <c r="AR5199" s="67"/>
      <c r="AS5199" s="73"/>
      <c r="AT5199" s="67"/>
      <c r="AU5199" s="67"/>
      <c r="AV5199" s="73"/>
      <c r="AW5199" s="68"/>
      <c r="AX5199" s="68"/>
      <c r="AY5199" s="68"/>
      <c r="AZ5199" s="68"/>
      <c r="BA5199" s="68"/>
      <c r="BB5199" s="67"/>
      <c r="BC5199" s="67"/>
      <c r="BD5199" s="67"/>
      <c r="BE5199" s="67"/>
      <c r="BF5199" s="95"/>
    </row>
    <row r="5200" spans="42:58" x14ac:dyDescent="0.35">
      <c r="AP5200" s="93"/>
      <c r="AQ5200" s="31"/>
      <c r="AR5200" s="31"/>
      <c r="AS5200" s="94"/>
      <c r="AT5200" s="31"/>
      <c r="AU5200" s="31"/>
      <c r="AV5200" s="94"/>
      <c r="AW5200" s="32"/>
      <c r="AX5200" s="32"/>
      <c r="AY5200" s="32"/>
      <c r="AZ5200" s="32"/>
      <c r="BA5200" s="32"/>
      <c r="BB5200" s="31"/>
      <c r="BC5200" s="31"/>
      <c r="BD5200" s="31"/>
      <c r="BE5200" s="31"/>
      <c r="BF5200" s="96"/>
    </row>
    <row r="5201" spans="42:58" x14ac:dyDescent="0.35">
      <c r="AP5201" s="92"/>
      <c r="AQ5201" s="67"/>
      <c r="AR5201" s="67"/>
      <c r="AS5201" s="73"/>
      <c r="AT5201" s="67"/>
      <c r="AU5201" s="67"/>
      <c r="AV5201" s="73"/>
      <c r="AW5201" s="68"/>
      <c r="AX5201" s="68"/>
      <c r="AY5201" s="68"/>
      <c r="AZ5201" s="68"/>
      <c r="BA5201" s="68"/>
      <c r="BB5201" s="67"/>
      <c r="BC5201" s="67"/>
      <c r="BD5201" s="67"/>
      <c r="BE5201" s="67"/>
      <c r="BF5201" s="95"/>
    </row>
    <row r="5202" spans="42:58" x14ac:dyDescent="0.35">
      <c r="AP5202" s="93"/>
      <c r="AQ5202" s="31"/>
      <c r="AR5202" s="31"/>
      <c r="AS5202" s="94"/>
      <c r="AT5202" s="31"/>
      <c r="AU5202" s="31"/>
      <c r="AV5202" s="94"/>
      <c r="AW5202" s="32"/>
      <c r="AX5202" s="32"/>
      <c r="AY5202" s="32"/>
      <c r="AZ5202" s="32"/>
      <c r="BA5202" s="32"/>
      <c r="BB5202" s="31"/>
      <c r="BC5202" s="31"/>
      <c r="BD5202" s="31"/>
      <c r="BE5202" s="31"/>
      <c r="BF5202" s="96"/>
    </row>
    <row r="5203" spans="42:58" x14ac:dyDescent="0.35">
      <c r="AP5203" s="92"/>
      <c r="AQ5203" s="67"/>
      <c r="AR5203" s="67"/>
      <c r="AS5203" s="73"/>
      <c r="AT5203" s="67"/>
      <c r="AU5203" s="67"/>
      <c r="AV5203" s="73"/>
      <c r="AW5203" s="68"/>
      <c r="AX5203" s="68"/>
      <c r="AY5203" s="68"/>
      <c r="AZ5203" s="68"/>
      <c r="BA5203" s="68"/>
      <c r="BB5203" s="67"/>
      <c r="BC5203" s="67"/>
      <c r="BD5203" s="67"/>
      <c r="BE5203" s="67"/>
      <c r="BF5203" s="95"/>
    </row>
    <row r="5204" spans="42:58" x14ac:dyDescent="0.35">
      <c r="AP5204" s="93"/>
      <c r="AQ5204" s="31"/>
      <c r="AR5204" s="31"/>
      <c r="AS5204" s="94"/>
      <c r="AT5204" s="31"/>
      <c r="AU5204" s="31"/>
      <c r="AV5204" s="94"/>
      <c r="AW5204" s="32"/>
      <c r="AX5204" s="32"/>
      <c r="AY5204" s="32"/>
      <c r="AZ5204" s="32"/>
      <c r="BA5204" s="32"/>
      <c r="BB5204" s="31"/>
      <c r="BC5204" s="31"/>
      <c r="BD5204" s="31"/>
      <c r="BE5204" s="31"/>
      <c r="BF5204" s="96"/>
    </row>
    <row r="5205" spans="42:58" x14ac:dyDescent="0.35">
      <c r="AP5205" s="92"/>
      <c r="AQ5205" s="67"/>
      <c r="AR5205" s="67"/>
      <c r="AS5205" s="73"/>
      <c r="AT5205" s="67"/>
      <c r="AU5205" s="67"/>
      <c r="AV5205" s="73"/>
      <c r="AW5205" s="68"/>
      <c r="AX5205" s="68"/>
      <c r="AY5205" s="68"/>
      <c r="AZ5205" s="68"/>
      <c r="BA5205" s="68"/>
      <c r="BB5205" s="67"/>
      <c r="BC5205" s="67"/>
      <c r="BD5205" s="67"/>
      <c r="BE5205" s="67"/>
      <c r="BF5205" s="95"/>
    </row>
    <row r="5206" spans="42:58" x14ac:dyDescent="0.35">
      <c r="AP5206" s="93"/>
      <c r="AQ5206" s="31"/>
      <c r="AR5206" s="31"/>
      <c r="AS5206" s="94"/>
      <c r="AT5206" s="31"/>
      <c r="AU5206" s="31"/>
      <c r="AV5206" s="94"/>
      <c r="AW5206" s="32"/>
      <c r="AX5206" s="32"/>
      <c r="AY5206" s="32"/>
      <c r="AZ5206" s="32"/>
      <c r="BA5206" s="32"/>
      <c r="BB5206" s="31"/>
      <c r="BC5206" s="31"/>
      <c r="BD5206" s="31"/>
      <c r="BE5206" s="31"/>
      <c r="BF5206" s="96"/>
    </row>
    <row r="5207" spans="42:58" x14ac:dyDescent="0.35">
      <c r="AP5207" s="92"/>
      <c r="AQ5207" s="67"/>
      <c r="AR5207" s="67"/>
      <c r="AS5207" s="73"/>
      <c r="AT5207" s="67"/>
      <c r="AU5207" s="67"/>
      <c r="AV5207" s="73"/>
      <c r="AW5207" s="68"/>
      <c r="AX5207" s="68"/>
      <c r="AY5207" s="68"/>
      <c r="AZ5207" s="68"/>
      <c r="BA5207" s="68"/>
      <c r="BB5207" s="67"/>
      <c r="BC5207" s="67"/>
      <c r="BD5207" s="67"/>
      <c r="BE5207" s="67"/>
      <c r="BF5207" s="95"/>
    </row>
    <row r="5208" spans="42:58" x14ac:dyDescent="0.35">
      <c r="AP5208" s="93"/>
      <c r="AQ5208" s="31"/>
      <c r="AR5208" s="31"/>
      <c r="AS5208" s="94"/>
      <c r="AT5208" s="31"/>
      <c r="AU5208" s="31"/>
      <c r="AV5208" s="94"/>
      <c r="AW5208" s="32"/>
      <c r="AX5208" s="32"/>
      <c r="AY5208" s="32"/>
      <c r="AZ5208" s="32"/>
      <c r="BA5208" s="32"/>
      <c r="BB5208" s="31"/>
      <c r="BC5208" s="31"/>
      <c r="BD5208" s="31"/>
      <c r="BE5208" s="31"/>
      <c r="BF5208" s="96"/>
    </row>
    <row r="5209" spans="42:58" x14ac:dyDescent="0.35">
      <c r="AP5209" s="92"/>
      <c r="AQ5209" s="67"/>
      <c r="AR5209" s="67"/>
      <c r="AS5209" s="73"/>
      <c r="AT5209" s="67"/>
      <c r="AU5209" s="67"/>
      <c r="AV5209" s="73"/>
      <c r="AW5209" s="68"/>
      <c r="AX5209" s="68"/>
      <c r="AY5209" s="68"/>
      <c r="AZ5209" s="68"/>
      <c r="BA5209" s="68"/>
      <c r="BB5209" s="67"/>
      <c r="BC5209" s="67"/>
      <c r="BD5209" s="67"/>
      <c r="BE5209" s="67"/>
      <c r="BF5209" s="95"/>
    </row>
    <row r="5210" spans="42:58" x14ac:dyDescent="0.35">
      <c r="AP5210" s="93"/>
      <c r="AQ5210" s="31"/>
      <c r="AR5210" s="31"/>
      <c r="AS5210" s="94"/>
      <c r="AT5210" s="31"/>
      <c r="AU5210" s="31"/>
      <c r="AV5210" s="94"/>
      <c r="AW5210" s="32"/>
      <c r="AX5210" s="32"/>
      <c r="AY5210" s="32"/>
      <c r="AZ5210" s="32"/>
      <c r="BA5210" s="32"/>
      <c r="BB5210" s="31"/>
      <c r="BC5210" s="31"/>
      <c r="BD5210" s="31"/>
      <c r="BE5210" s="31"/>
      <c r="BF5210" s="96"/>
    </row>
    <row r="5211" spans="42:58" x14ac:dyDescent="0.35">
      <c r="AP5211" s="92"/>
      <c r="AQ5211" s="67"/>
      <c r="AR5211" s="67"/>
      <c r="AS5211" s="73"/>
      <c r="AT5211" s="67"/>
      <c r="AU5211" s="67"/>
      <c r="AV5211" s="73"/>
      <c r="AW5211" s="68"/>
      <c r="AX5211" s="68"/>
      <c r="AY5211" s="68"/>
      <c r="AZ5211" s="68"/>
      <c r="BA5211" s="68"/>
      <c r="BB5211" s="67"/>
      <c r="BC5211" s="67"/>
      <c r="BD5211" s="67"/>
      <c r="BE5211" s="67"/>
      <c r="BF5211" s="95"/>
    </row>
    <row r="5212" spans="42:58" x14ac:dyDescent="0.35">
      <c r="AP5212" s="93"/>
      <c r="AQ5212" s="31"/>
      <c r="AR5212" s="31"/>
      <c r="AS5212" s="94"/>
      <c r="AT5212" s="31"/>
      <c r="AU5212" s="31"/>
      <c r="AV5212" s="94"/>
      <c r="AW5212" s="32"/>
      <c r="AX5212" s="32"/>
      <c r="AY5212" s="32"/>
      <c r="AZ5212" s="32"/>
      <c r="BA5212" s="32"/>
      <c r="BB5212" s="31"/>
      <c r="BC5212" s="31"/>
      <c r="BD5212" s="31"/>
      <c r="BE5212" s="31"/>
      <c r="BF5212" s="96"/>
    </row>
    <row r="5213" spans="42:58" x14ac:dyDescent="0.35">
      <c r="AP5213" s="92"/>
      <c r="AQ5213" s="67"/>
      <c r="AR5213" s="67"/>
      <c r="AS5213" s="73"/>
      <c r="AT5213" s="67"/>
      <c r="AU5213" s="67"/>
      <c r="AV5213" s="73"/>
      <c r="AW5213" s="68"/>
      <c r="AX5213" s="68"/>
      <c r="AY5213" s="68"/>
      <c r="AZ5213" s="68"/>
      <c r="BA5213" s="68"/>
      <c r="BB5213" s="67"/>
      <c r="BC5213" s="67"/>
      <c r="BD5213" s="67"/>
      <c r="BE5213" s="67"/>
      <c r="BF5213" s="95"/>
    </row>
    <row r="5214" spans="42:58" x14ac:dyDescent="0.35">
      <c r="AP5214" s="93"/>
      <c r="AQ5214" s="31"/>
      <c r="AR5214" s="31"/>
      <c r="AS5214" s="94"/>
      <c r="AT5214" s="31"/>
      <c r="AU5214" s="31"/>
      <c r="AV5214" s="94"/>
      <c r="AW5214" s="32"/>
      <c r="AX5214" s="32"/>
      <c r="AY5214" s="32"/>
      <c r="AZ5214" s="32"/>
      <c r="BA5214" s="32"/>
      <c r="BB5214" s="31"/>
      <c r="BC5214" s="31"/>
      <c r="BD5214" s="31"/>
      <c r="BE5214" s="31"/>
      <c r="BF5214" s="96"/>
    </row>
    <row r="5215" spans="42:58" x14ac:dyDescent="0.35">
      <c r="AP5215" s="92"/>
      <c r="AQ5215" s="67"/>
      <c r="AR5215" s="67"/>
      <c r="AS5215" s="73"/>
      <c r="AT5215" s="67"/>
      <c r="AU5215" s="67"/>
      <c r="AV5215" s="73"/>
      <c r="AW5215" s="68"/>
      <c r="AX5215" s="68"/>
      <c r="AY5215" s="68"/>
      <c r="AZ5215" s="68"/>
      <c r="BA5215" s="68"/>
      <c r="BB5215" s="67"/>
      <c r="BC5215" s="67"/>
      <c r="BD5215" s="67"/>
      <c r="BE5215" s="67"/>
      <c r="BF5215" s="95"/>
    </row>
    <row r="5216" spans="42:58" x14ac:dyDescent="0.35">
      <c r="AP5216" s="93"/>
      <c r="AQ5216" s="31"/>
      <c r="AR5216" s="31"/>
      <c r="AS5216" s="94"/>
      <c r="AT5216" s="31"/>
      <c r="AU5216" s="31"/>
      <c r="AV5216" s="94"/>
      <c r="AW5216" s="32"/>
      <c r="AX5216" s="32"/>
      <c r="AY5216" s="32"/>
      <c r="AZ5216" s="32"/>
      <c r="BA5216" s="32"/>
      <c r="BB5216" s="31"/>
      <c r="BC5216" s="31"/>
      <c r="BD5216" s="31"/>
      <c r="BE5216" s="31"/>
      <c r="BF5216" s="96"/>
    </row>
    <row r="5217" spans="42:58" x14ac:dyDescent="0.35">
      <c r="AP5217" s="92"/>
      <c r="AQ5217" s="67"/>
      <c r="AR5217" s="67"/>
      <c r="AS5217" s="73"/>
      <c r="AT5217" s="67"/>
      <c r="AU5217" s="67"/>
      <c r="AV5217" s="73"/>
      <c r="AW5217" s="68"/>
      <c r="AX5217" s="68"/>
      <c r="AY5217" s="68"/>
      <c r="AZ5217" s="68"/>
      <c r="BA5217" s="68"/>
      <c r="BB5217" s="67"/>
      <c r="BC5217" s="67"/>
      <c r="BD5217" s="67"/>
      <c r="BE5217" s="67"/>
      <c r="BF5217" s="95"/>
    </row>
    <row r="5218" spans="42:58" x14ac:dyDescent="0.35">
      <c r="AP5218" s="93"/>
      <c r="AQ5218" s="31"/>
      <c r="AR5218" s="31"/>
      <c r="AS5218" s="94"/>
      <c r="AT5218" s="31"/>
      <c r="AU5218" s="31"/>
      <c r="AV5218" s="94"/>
      <c r="AW5218" s="32"/>
      <c r="AX5218" s="32"/>
      <c r="AY5218" s="32"/>
      <c r="AZ5218" s="32"/>
      <c r="BA5218" s="32"/>
      <c r="BB5218" s="31"/>
      <c r="BC5218" s="31"/>
      <c r="BD5218" s="31"/>
      <c r="BE5218" s="31"/>
      <c r="BF5218" s="96"/>
    </row>
    <row r="5219" spans="42:58" x14ac:dyDescent="0.35">
      <c r="AP5219" s="92"/>
      <c r="AQ5219" s="67"/>
      <c r="AR5219" s="67"/>
      <c r="AS5219" s="73"/>
      <c r="AT5219" s="67"/>
      <c r="AU5219" s="67"/>
      <c r="AV5219" s="73"/>
      <c r="AW5219" s="68"/>
      <c r="AX5219" s="68"/>
      <c r="AY5219" s="68"/>
      <c r="AZ5219" s="68"/>
      <c r="BA5219" s="68"/>
      <c r="BB5219" s="67"/>
      <c r="BC5219" s="67"/>
      <c r="BD5219" s="67"/>
      <c r="BE5219" s="67"/>
      <c r="BF5219" s="95"/>
    </row>
    <row r="5220" spans="42:58" x14ac:dyDescent="0.35">
      <c r="AP5220" s="93"/>
      <c r="AQ5220" s="31"/>
      <c r="AR5220" s="31"/>
      <c r="AS5220" s="94"/>
      <c r="AT5220" s="31"/>
      <c r="AU5220" s="31"/>
      <c r="AV5220" s="94"/>
      <c r="AW5220" s="32"/>
      <c r="AX5220" s="32"/>
      <c r="AY5220" s="32"/>
      <c r="AZ5220" s="32"/>
      <c r="BA5220" s="32"/>
      <c r="BB5220" s="31"/>
      <c r="BC5220" s="31"/>
      <c r="BD5220" s="31"/>
      <c r="BE5220" s="31"/>
      <c r="BF5220" s="96"/>
    </row>
    <row r="5221" spans="42:58" x14ac:dyDescent="0.35">
      <c r="AP5221" s="92"/>
      <c r="AQ5221" s="67"/>
      <c r="AR5221" s="67"/>
      <c r="AS5221" s="73"/>
      <c r="AT5221" s="67"/>
      <c r="AU5221" s="67"/>
      <c r="AV5221" s="73"/>
      <c r="AW5221" s="68"/>
      <c r="AX5221" s="68"/>
      <c r="AY5221" s="68"/>
      <c r="AZ5221" s="68"/>
      <c r="BA5221" s="68"/>
      <c r="BB5221" s="67"/>
      <c r="BC5221" s="67"/>
      <c r="BD5221" s="67"/>
      <c r="BE5221" s="67"/>
      <c r="BF5221" s="95"/>
    </row>
    <row r="5222" spans="42:58" x14ac:dyDescent="0.35">
      <c r="AP5222" s="93"/>
      <c r="AQ5222" s="31"/>
      <c r="AR5222" s="31"/>
      <c r="AS5222" s="94"/>
      <c r="AT5222" s="31"/>
      <c r="AU5222" s="31"/>
      <c r="AV5222" s="94"/>
      <c r="AW5222" s="32"/>
      <c r="AX5222" s="32"/>
      <c r="AY5222" s="32"/>
      <c r="AZ5222" s="32"/>
      <c r="BA5222" s="32"/>
      <c r="BB5222" s="31"/>
      <c r="BC5222" s="31"/>
      <c r="BD5222" s="31"/>
      <c r="BE5222" s="31"/>
      <c r="BF5222" s="96"/>
    </row>
    <row r="5223" spans="42:58" x14ac:dyDescent="0.35">
      <c r="AP5223" s="92"/>
      <c r="AQ5223" s="67"/>
      <c r="AR5223" s="67"/>
      <c r="AS5223" s="73"/>
      <c r="AT5223" s="67"/>
      <c r="AU5223" s="67"/>
      <c r="AV5223" s="73"/>
      <c r="AW5223" s="68"/>
      <c r="AX5223" s="68"/>
      <c r="AY5223" s="68"/>
      <c r="AZ5223" s="68"/>
      <c r="BA5223" s="68"/>
      <c r="BB5223" s="67"/>
      <c r="BC5223" s="67"/>
      <c r="BD5223" s="67"/>
      <c r="BE5223" s="67"/>
      <c r="BF5223" s="95"/>
    </row>
    <row r="5224" spans="42:58" x14ac:dyDescent="0.35">
      <c r="AP5224" s="93"/>
      <c r="AQ5224" s="31"/>
      <c r="AR5224" s="31"/>
      <c r="AS5224" s="94"/>
      <c r="AT5224" s="31"/>
      <c r="AU5224" s="31"/>
      <c r="AV5224" s="94"/>
      <c r="AW5224" s="32"/>
      <c r="AX5224" s="32"/>
      <c r="AY5224" s="32"/>
      <c r="AZ5224" s="32"/>
      <c r="BA5224" s="32"/>
      <c r="BB5224" s="31"/>
      <c r="BC5224" s="31"/>
      <c r="BD5224" s="31"/>
      <c r="BE5224" s="31"/>
      <c r="BF5224" s="96"/>
    </row>
    <row r="5225" spans="42:58" x14ac:dyDescent="0.35">
      <c r="AP5225" s="92"/>
      <c r="AQ5225" s="67"/>
      <c r="AR5225" s="67"/>
      <c r="AS5225" s="73"/>
      <c r="AT5225" s="67"/>
      <c r="AU5225" s="67"/>
      <c r="AV5225" s="73"/>
      <c r="AW5225" s="68"/>
      <c r="AX5225" s="68"/>
      <c r="AY5225" s="68"/>
      <c r="AZ5225" s="68"/>
      <c r="BA5225" s="68"/>
      <c r="BB5225" s="67"/>
      <c r="BC5225" s="67"/>
      <c r="BD5225" s="67"/>
      <c r="BE5225" s="67"/>
      <c r="BF5225" s="95"/>
    </row>
    <row r="5226" spans="42:58" x14ac:dyDescent="0.35">
      <c r="AP5226" s="93"/>
      <c r="AQ5226" s="31"/>
      <c r="AR5226" s="31"/>
      <c r="AS5226" s="94"/>
      <c r="AT5226" s="31"/>
      <c r="AU5226" s="31"/>
      <c r="AV5226" s="94"/>
      <c r="AW5226" s="32"/>
      <c r="AX5226" s="32"/>
      <c r="AY5226" s="32"/>
      <c r="AZ5226" s="32"/>
      <c r="BA5226" s="32"/>
      <c r="BB5226" s="31"/>
      <c r="BC5226" s="31"/>
      <c r="BD5226" s="31"/>
      <c r="BE5226" s="31"/>
      <c r="BF5226" s="96"/>
    </row>
    <row r="5227" spans="42:58" x14ac:dyDescent="0.35">
      <c r="AP5227" s="92"/>
      <c r="AQ5227" s="67"/>
      <c r="AR5227" s="67"/>
      <c r="AS5227" s="73"/>
      <c r="AT5227" s="67"/>
      <c r="AU5227" s="67"/>
      <c r="AV5227" s="73"/>
      <c r="AW5227" s="68"/>
      <c r="AX5227" s="68"/>
      <c r="AY5227" s="68"/>
      <c r="AZ5227" s="68"/>
      <c r="BA5227" s="68"/>
      <c r="BB5227" s="67"/>
      <c r="BC5227" s="67"/>
      <c r="BD5227" s="67"/>
      <c r="BE5227" s="67"/>
      <c r="BF5227" s="95"/>
    </row>
    <row r="5228" spans="42:58" x14ac:dyDescent="0.35">
      <c r="AP5228" s="93"/>
      <c r="AQ5228" s="31"/>
      <c r="AR5228" s="31"/>
      <c r="AS5228" s="94"/>
      <c r="AT5228" s="31"/>
      <c r="AU5228" s="31"/>
      <c r="AV5228" s="94"/>
      <c r="AW5228" s="32"/>
      <c r="AX5228" s="32"/>
      <c r="AY5228" s="32"/>
      <c r="AZ5228" s="32"/>
      <c r="BA5228" s="32"/>
      <c r="BB5228" s="31"/>
      <c r="BC5228" s="31"/>
      <c r="BD5228" s="31"/>
      <c r="BE5228" s="31"/>
      <c r="BF5228" s="96"/>
    </row>
    <row r="5229" spans="42:58" x14ac:dyDescent="0.35">
      <c r="AP5229" s="92"/>
      <c r="AQ5229" s="67"/>
      <c r="AR5229" s="67"/>
      <c r="AS5229" s="73"/>
      <c r="AT5229" s="67"/>
      <c r="AU5229" s="67"/>
      <c r="AV5229" s="73"/>
      <c r="AW5229" s="68"/>
      <c r="AX5229" s="68"/>
      <c r="AY5229" s="68"/>
      <c r="AZ5229" s="68"/>
      <c r="BA5229" s="68"/>
      <c r="BB5229" s="67"/>
      <c r="BC5229" s="67"/>
      <c r="BD5229" s="67"/>
      <c r="BE5229" s="67"/>
      <c r="BF5229" s="95"/>
    </row>
    <row r="5230" spans="42:58" x14ac:dyDescent="0.35">
      <c r="AP5230" s="93"/>
      <c r="AQ5230" s="31"/>
      <c r="AR5230" s="31"/>
      <c r="AS5230" s="94"/>
      <c r="AT5230" s="31"/>
      <c r="AU5230" s="31"/>
      <c r="AV5230" s="94"/>
      <c r="AW5230" s="32"/>
      <c r="AX5230" s="32"/>
      <c r="AY5230" s="32"/>
      <c r="AZ5230" s="32"/>
      <c r="BA5230" s="32"/>
      <c r="BB5230" s="31"/>
      <c r="BC5230" s="31"/>
      <c r="BD5230" s="31"/>
      <c r="BE5230" s="31"/>
      <c r="BF5230" s="96"/>
    </row>
    <row r="5231" spans="42:58" x14ac:dyDescent="0.35">
      <c r="AP5231" s="92"/>
      <c r="AQ5231" s="67"/>
      <c r="AR5231" s="67"/>
      <c r="AS5231" s="73"/>
      <c r="AT5231" s="67"/>
      <c r="AU5231" s="67"/>
      <c r="AV5231" s="73"/>
      <c r="AW5231" s="68"/>
      <c r="AX5231" s="68"/>
      <c r="AY5231" s="68"/>
      <c r="AZ5231" s="68"/>
      <c r="BA5231" s="68"/>
      <c r="BB5231" s="67"/>
      <c r="BC5231" s="67"/>
      <c r="BD5231" s="67"/>
      <c r="BE5231" s="67"/>
      <c r="BF5231" s="95"/>
    </row>
    <row r="5232" spans="42:58" x14ac:dyDescent="0.35">
      <c r="AP5232" s="93"/>
      <c r="AQ5232" s="31"/>
      <c r="AR5232" s="31"/>
      <c r="AS5232" s="94"/>
      <c r="AT5232" s="31"/>
      <c r="AU5232" s="31"/>
      <c r="AV5232" s="94"/>
      <c r="AW5232" s="32"/>
      <c r="AX5232" s="32"/>
      <c r="AY5232" s="32"/>
      <c r="AZ5232" s="32"/>
      <c r="BA5232" s="32"/>
      <c r="BB5232" s="31"/>
      <c r="BC5232" s="31"/>
      <c r="BD5232" s="31"/>
      <c r="BE5232" s="31"/>
      <c r="BF5232" s="96"/>
    </row>
    <row r="5233" spans="42:58" x14ac:dyDescent="0.35">
      <c r="AP5233" s="92"/>
      <c r="AQ5233" s="67"/>
      <c r="AR5233" s="67"/>
      <c r="AS5233" s="73"/>
      <c r="AT5233" s="67"/>
      <c r="AU5233" s="67"/>
      <c r="AV5233" s="73"/>
      <c r="AW5233" s="68"/>
      <c r="AX5233" s="68"/>
      <c r="AY5233" s="68"/>
      <c r="AZ5233" s="68"/>
      <c r="BA5233" s="68"/>
      <c r="BB5233" s="67"/>
      <c r="BC5233" s="67"/>
      <c r="BD5233" s="67"/>
      <c r="BE5233" s="67"/>
      <c r="BF5233" s="95"/>
    </row>
    <row r="5234" spans="42:58" x14ac:dyDescent="0.35">
      <c r="AP5234" s="93"/>
      <c r="AQ5234" s="31"/>
      <c r="AR5234" s="31"/>
      <c r="AS5234" s="94"/>
      <c r="AT5234" s="31"/>
      <c r="AU5234" s="31"/>
      <c r="AV5234" s="94"/>
      <c r="AW5234" s="32"/>
      <c r="AX5234" s="32"/>
      <c r="AY5234" s="32"/>
      <c r="AZ5234" s="32"/>
      <c r="BA5234" s="32"/>
      <c r="BB5234" s="31"/>
      <c r="BC5234" s="31"/>
      <c r="BD5234" s="31"/>
      <c r="BE5234" s="31"/>
      <c r="BF5234" s="96"/>
    </row>
    <row r="5235" spans="42:58" x14ac:dyDescent="0.35">
      <c r="AP5235" s="92"/>
      <c r="AQ5235" s="67"/>
      <c r="AR5235" s="67"/>
      <c r="AS5235" s="73"/>
      <c r="AT5235" s="67"/>
      <c r="AU5235" s="67"/>
      <c r="AV5235" s="73"/>
      <c r="AW5235" s="68"/>
      <c r="AX5235" s="68"/>
      <c r="AY5235" s="68"/>
      <c r="AZ5235" s="68"/>
      <c r="BA5235" s="68"/>
      <c r="BB5235" s="67"/>
      <c r="BC5235" s="67"/>
      <c r="BD5235" s="67"/>
      <c r="BE5235" s="67"/>
      <c r="BF5235" s="95"/>
    </row>
    <row r="5236" spans="42:58" x14ac:dyDescent="0.35">
      <c r="AP5236" s="93"/>
      <c r="AQ5236" s="31"/>
      <c r="AR5236" s="31"/>
      <c r="AS5236" s="94"/>
      <c r="AT5236" s="31"/>
      <c r="AU5236" s="31"/>
      <c r="AV5236" s="94"/>
      <c r="AW5236" s="32"/>
      <c r="AX5236" s="32"/>
      <c r="AY5236" s="32"/>
      <c r="AZ5236" s="32"/>
      <c r="BA5236" s="32"/>
      <c r="BB5236" s="31"/>
      <c r="BC5236" s="31"/>
      <c r="BD5236" s="31"/>
      <c r="BE5236" s="31"/>
      <c r="BF5236" s="96"/>
    </row>
    <row r="5237" spans="42:58" x14ac:dyDescent="0.35">
      <c r="AP5237" s="92"/>
      <c r="AQ5237" s="67"/>
      <c r="AR5237" s="67"/>
      <c r="AS5237" s="73"/>
      <c r="AT5237" s="67"/>
      <c r="AU5237" s="67"/>
      <c r="AV5237" s="73"/>
      <c r="AW5237" s="68"/>
      <c r="AX5237" s="68"/>
      <c r="AY5237" s="68"/>
      <c r="AZ5237" s="68"/>
      <c r="BA5237" s="68"/>
      <c r="BB5237" s="67"/>
      <c r="BC5237" s="67"/>
      <c r="BD5237" s="67"/>
      <c r="BE5237" s="67"/>
      <c r="BF5237" s="95"/>
    </row>
    <row r="5238" spans="42:58" x14ac:dyDescent="0.35">
      <c r="AP5238" s="93"/>
      <c r="AQ5238" s="31"/>
      <c r="AR5238" s="31"/>
      <c r="AS5238" s="94"/>
      <c r="AT5238" s="31"/>
      <c r="AU5238" s="31"/>
      <c r="AV5238" s="94"/>
      <c r="AW5238" s="32"/>
      <c r="AX5238" s="32"/>
      <c r="AY5238" s="32"/>
      <c r="AZ5238" s="32"/>
      <c r="BA5238" s="32"/>
      <c r="BB5238" s="31"/>
      <c r="BC5238" s="31"/>
      <c r="BD5238" s="31"/>
      <c r="BE5238" s="31"/>
      <c r="BF5238" s="96"/>
    </row>
    <row r="5239" spans="42:58" x14ac:dyDescent="0.35">
      <c r="AP5239" s="92"/>
      <c r="AQ5239" s="67"/>
      <c r="AR5239" s="67"/>
      <c r="AS5239" s="73"/>
      <c r="AT5239" s="67"/>
      <c r="AU5239" s="67"/>
      <c r="AV5239" s="73"/>
      <c r="AW5239" s="68"/>
      <c r="AX5239" s="68"/>
      <c r="AY5239" s="68"/>
      <c r="AZ5239" s="68"/>
      <c r="BA5239" s="68"/>
      <c r="BB5239" s="67"/>
      <c r="BC5239" s="67"/>
      <c r="BD5239" s="67"/>
      <c r="BE5239" s="67"/>
      <c r="BF5239" s="95"/>
    </row>
    <row r="5240" spans="42:58" x14ac:dyDescent="0.35">
      <c r="AP5240" s="93"/>
      <c r="AQ5240" s="31"/>
      <c r="AR5240" s="31"/>
      <c r="AS5240" s="94"/>
      <c r="AT5240" s="31"/>
      <c r="AU5240" s="31"/>
      <c r="AV5240" s="94"/>
      <c r="AW5240" s="32"/>
      <c r="AX5240" s="32"/>
      <c r="AY5240" s="32"/>
      <c r="AZ5240" s="32"/>
      <c r="BA5240" s="32"/>
      <c r="BB5240" s="31"/>
      <c r="BC5240" s="31"/>
      <c r="BD5240" s="31"/>
      <c r="BE5240" s="31"/>
      <c r="BF5240" s="96"/>
    </row>
    <row r="5241" spans="42:58" x14ac:dyDescent="0.35">
      <c r="AP5241" s="92"/>
      <c r="AQ5241" s="67"/>
      <c r="AR5241" s="67"/>
      <c r="AS5241" s="73"/>
      <c r="AT5241" s="67"/>
      <c r="AU5241" s="67"/>
      <c r="AV5241" s="73"/>
      <c r="AW5241" s="68"/>
      <c r="AX5241" s="68"/>
      <c r="AY5241" s="68"/>
      <c r="AZ5241" s="68"/>
      <c r="BA5241" s="68"/>
      <c r="BB5241" s="67"/>
      <c r="BC5241" s="67"/>
      <c r="BD5241" s="67"/>
      <c r="BE5241" s="67"/>
      <c r="BF5241" s="95"/>
    </row>
    <row r="5242" spans="42:58" x14ac:dyDescent="0.35">
      <c r="AP5242" s="93"/>
      <c r="AQ5242" s="31"/>
      <c r="AR5242" s="31"/>
      <c r="AS5242" s="94"/>
      <c r="AT5242" s="31"/>
      <c r="AU5242" s="31"/>
      <c r="AV5242" s="94"/>
      <c r="AW5242" s="32"/>
      <c r="AX5242" s="32"/>
      <c r="AY5242" s="32"/>
      <c r="AZ5242" s="32"/>
      <c r="BA5242" s="32"/>
      <c r="BB5242" s="31"/>
      <c r="BC5242" s="31"/>
      <c r="BD5242" s="31"/>
      <c r="BE5242" s="31"/>
      <c r="BF5242" s="96"/>
    </row>
    <row r="5243" spans="42:58" x14ac:dyDescent="0.35">
      <c r="AP5243" s="92"/>
      <c r="AQ5243" s="67"/>
      <c r="AR5243" s="67"/>
      <c r="AS5243" s="73"/>
      <c r="AT5243" s="67"/>
      <c r="AU5243" s="67"/>
      <c r="AV5243" s="73"/>
      <c r="AW5243" s="68"/>
      <c r="AX5243" s="68"/>
      <c r="AY5243" s="68"/>
      <c r="AZ5243" s="68"/>
      <c r="BA5243" s="68"/>
      <c r="BB5243" s="67"/>
      <c r="BC5243" s="67"/>
      <c r="BD5243" s="67"/>
      <c r="BE5243" s="67"/>
      <c r="BF5243" s="95"/>
    </row>
    <row r="5244" spans="42:58" x14ac:dyDescent="0.35">
      <c r="AP5244" s="93"/>
      <c r="AQ5244" s="31"/>
      <c r="AR5244" s="31"/>
      <c r="AS5244" s="94"/>
      <c r="AT5244" s="31"/>
      <c r="AU5244" s="31"/>
      <c r="AV5244" s="94"/>
      <c r="AW5244" s="32"/>
      <c r="AX5244" s="32"/>
      <c r="AY5244" s="32"/>
      <c r="AZ5244" s="32"/>
      <c r="BA5244" s="32"/>
      <c r="BB5244" s="31"/>
      <c r="BC5244" s="31"/>
      <c r="BD5244" s="31"/>
      <c r="BE5244" s="31"/>
      <c r="BF5244" s="96"/>
    </row>
    <row r="5245" spans="42:58" x14ac:dyDescent="0.35">
      <c r="AP5245" s="92"/>
      <c r="AQ5245" s="67"/>
      <c r="AR5245" s="67"/>
      <c r="AS5245" s="73"/>
      <c r="AT5245" s="67"/>
      <c r="AU5245" s="67"/>
      <c r="AV5245" s="73"/>
      <c r="AW5245" s="68"/>
      <c r="AX5245" s="68"/>
      <c r="AY5245" s="68"/>
      <c r="AZ5245" s="68"/>
      <c r="BA5245" s="68"/>
      <c r="BB5245" s="67"/>
      <c r="BC5245" s="67"/>
      <c r="BD5245" s="67"/>
      <c r="BE5245" s="67"/>
      <c r="BF5245" s="95"/>
    </row>
    <row r="5246" spans="42:58" x14ac:dyDescent="0.35">
      <c r="AP5246" s="93"/>
      <c r="AQ5246" s="31"/>
      <c r="AR5246" s="31"/>
      <c r="AS5246" s="94"/>
      <c r="AT5246" s="31"/>
      <c r="AU5246" s="31"/>
      <c r="AV5246" s="94"/>
      <c r="AW5246" s="32"/>
      <c r="AX5246" s="32"/>
      <c r="AY5246" s="32"/>
      <c r="AZ5246" s="32"/>
      <c r="BA5246" s="32"/>
      <c r="BB5246" s="31"/>
      <c r="BC5246" s="31"/>
      <c r="BD5246" s="31"/>
      <c r="BE5246" s="31"/>
      <c r="BF5246" s="96"/>
    </row>
    <row r="5247" spans="42:58" x14ac:dyDescent="0.35">
      <c r="AP5247" s="92"/>
      <c r="AQ5247" s="67"/>
      <c r="AR5247" s="67"/>
      <c r="AS5247" s="73"/>
      <c r="AT5247" s="67"/>
      <c r="AU5247" s="67"/>
      <c r="AV5247" s="73"/>
      <c r="AW5247" s="68"/>
      <c r="AX5247" s="68"/>
      <c r="AY5247" s="68"/>
      <c r="AZ5247" s="68"/>
      <c r="BA5247" s="68"/>
      <c r="BB5247" s="67"/>
      <c r="BC5247" s="67"/>
      <c r="BD5247" s="67"/>
      <c r="BE5247" s="67"/>
      <c r="BF5247" s="95"/>
    </row>
    <row r="5248" spans="42:58" x14ac:dyDescent="0.35">
      <c r="AP5248" s="93"/>
      <c r="AQ5248" s="31"/>
      <c r="AR5248" s="31"/>
      <c r="AS5248" s="94"/>
      <c r="AT5248" s="31"/>
      <c r="AU5248" s="31"/>
      <c r="AV5248" s="94"/>
      <c r="AW5248" s="32"/>
      <c r="AX5248" s="32"/>
      <c r="AY5248" s="32"/>
      <c r="AZ5248" s="32"/>
      <c r="BA5248" s="32"/>
      <c r="BB5248" s="31"/>
      <c r="BC5248" s="31"/>
      <c r="BD5248" s="31"/>
      <c r="BE5248" s="31"/>
      <c r="BF5248" s="96"/>
    </row>
    <row r="5249" spans="42:58" x14ac:dyDescent="0.35">
      <c r="AP5249" s="92"/>
      <c r="AQ5249" s="67"/>
      <c r="AR5249" s="67"/>
      <c r="AS5249" s="73"/>
      <c r="AT5249" s="67"/>
      <c r="AU5249" s="67"/>
      <c r="AV5249" s="73"/>
      <c r="AW5249" s="68"/>
      <c r="AX5249" s="68"/>
      <c r="AY5249" s="68"/>
      <c r="AZ5249" s="68"/>
      <c r="BA5249" s="68"/>
      <c r="BB5249" s="67"/>
      <c r="BC5249" s="67"/>
      <c r="BD5249" s="67"/>
      <c r="BE5249" s="67"/>
      <c r="BF5249" s="95"/>
    </row>
    <row r="5250" spans="42:58" x14ac:dyDescent="0.35">
      <c r="AP5250" s="93"/>
      <c r="AQ5250" s="31"/>
      <c r="AR5250" s="31"/>
      <c r="AS5250" s="94"/>
      <c r="AT5250" s="31"/>
      <c r="AU5250" s="31"/>
      <c r="AV5250" s="94"/>
      <c r="AW5250" s="32"/>
      <c r="AX5250" s="32"/>
      <c r="AY5250" s="32"/>
      <c r="AZ5250" s="32"/>
      <c r="BA5250" s="32"/>
      <c r="BB5250" s="31"/>
      <c r="BC5250" s="31"/>
      <c r="BD5250" s="31"/>
      <c r="BE5250" s="31"/>
      <c r="BF5250" s="96"/>
    </row>
    <row r="5251" spans="42:58" x14ac:dyDescent="0.35">
      <c r="AP5251" s="92"/>
      <c r="AQ5251" s="67"/>
      <c r="AR5251" s="67"/>
      <c r="AS5251" s="73"/>
      <c r="AT5251" s="67"/>
      <c r="AU5251" s="67"/>
      <c r="AV5251" s="73"/>
      <c r="AW5251" s="68"/>
      <c r="AX5251" s="68"/>
      <c r="AY5251" s="68"/>
      <c r="AZ5251" s="68"/>
      <c r="BA5251" s="68"/>
      <c r="BB5251" s="67"/>
      <c r="BC5251" s="67"/>
      <c r="BD5251" s="67"/>
      <c r="BE5251" s="67"/>
      <c r="BF5251" s="95"/>
    </row>
    <row r="5252" spans="42:58" x14ac:dyDescent="0.35">
      <c r="AP5252" s="93"/>
      <c r="AQ5252" s="31"/>
      <c r="AR5252" s="31"/>
      <c r="AS5252" s="94"/>
      <c r="AT5252" s="31"/>
      <c r="AU5252" s="31"/>
      <c r="AV5252" s="94"/>
      <c r="AW5252" s="32"/>
      <c r="AX5252" s="32"/>
      <c r="AY5252" s="32"/>
      <c r="AZ5252" s="32"/>
      <c r="BA5252" s="32"/>
      <c r="BB5252" s="31"/>
      <c r="BC5252" s="31"/>
      <c r="BD5252" s="31"/>
      <c r="BE5252" s="31"/>
      <c r="BF5252" s="96"/>
    </row>
    <row r="5253" spans="42:58" x14ac:dyDescent="0.35">
      <c r="AP5253" s="92"/>
      <c r="AQ5253" s="67"/>
      <c r="AR5253" s="67"/>
      <c r="AS5253" s="73"/>
      <c r="AT5253" s="67"/>
      <c r="AU5253" s="67"/>
      <c r="AV5253" s="73"/>
      <c r="AW5253" s="68"/>
      <c r="AX5253" s="68"/>
      <c r="AY5253" s="68"/>
      <c r="AZ5253" s="68"/>
      <c r="BA5253" s="68"/>
      <c r="BB5253" s="67"/>
      <c r="BC5253" s="67"/>
      <c r="BD5253" s="67"/>
      <c r="BE5253" s="67"/>
      <c r="BF5253" s="95"/>
    </row>
    <row r="5254" spans="42:58" x14ac:dyDescent="0.35">
      <c r="AP5254" s="93"/>
      <c r="AQ5254" s="31"/>
      <c r="AR5254" s="31"/>
      <c r="AS5254" s="94"/>
      <c r="AT5254" s="31"/>
      <c r="AU5254" s="31"/>
      <c r="AV5254" s="94"/>
      <c r="AW5254" s="32"/>
      <c r="AX5254" s="32"/>
      <c r="AY5254" s="32"/>
      <c r="AZ5254" s="32"/>
      <c r="BA5254" s="32"/>
      <c r="BB5254" s="31"/>
      <c r="BC5254" s="31"/>
      <c r="BD5254" s="31"/>
      <c r="BE5254" s="31"/>
      <c r="BF5254" s="96"/>
    </row>
    <row r="5255" spans="42:58" x14ac:dyDescent="0.35">
      <c r="AP5255" s="92"/>
      <c r="AQ5255" s="67"/>
      <c r="AR5255" s="67"/>
      <c r="AS5255" s="73"/>
      <c r="AT5255" s="67"/>
      <c r="AU5255" s="67"/>
      <c r="AV5255" s="73"/>
      <c r="AW5255" s="68"/>
      <c r="AX5255" s="68"/>
      <c r="AY5255" s="68"/>
      <c r="AZ5255" s="68"/>
      <c r="BA5255" s="68"/>
      <c r="BB5255" s="67"/>
      <c r="BC5255" s="67"/>
      <c r="BD5255" s="67"/>
      <c r="BE5255" s="67"/>
      <c r="BF5255" s="95"/>
    </row>
    <row r="5256" spans="42:58" x14ac:dyDescent="0.35">
      <c r="AP5256" s="93"/>
      <c r="AQ5256" s="31"/>
      <c r="AR5256" s="31"/>
      <c r="AS5256" s="94"/>
      <c r="AT5256" s="31"/>
      <c r="AU5256" s="31"/>
      <c r="AV5256" s="94"/>
      <c r="AW5256" s="32"/>
      <c r="AX5256" s="32"/>
      <c r="AY5256" s="32"/>
      <c r="AZ5256" s="32"/>
      <c r="BA5256" s="32"/>
      <c r="BB5256" s="31"/>
      <c r="BC5256" s="31"/>
      <c r="BD5256" s="31"/>
      <c r="BE5256" s="31"/>
      <c r="BF5256" s="96"/>
    </row>
    <row r="5257" spans="42:58" x14ac:dyDescent="0.35">
      <c r="AP5257" s="92"/>
      <c r="AQ5257" s="67"/>
      <c r="AR5257" s="67"/>
      <c r="AS5257" s="73"/>
      <c r="AT5257" s="67"/>
      <c r="AU5257" s="67"/>
      <c r="AV5257" s="73"/>
      <c r="AW5257" s="68"/>
      <c r="AX5257" s="68"/>
      <c r="AY5257" s="68"/>
      <c r="AZ5257" s="68"/>
      <c r="BA5257" s="68"/>
      <c r="BB5257" s="67"/>
      <c r="BC5257" s="67"/>
      <c r="BD5257" s="67"/>
      <c r="BE5257" s="67"/>
      <c r="BF5257" s="95"/>
    </row>
    <row r="5258" spans="42:58" x14ac:dyDescent="0.35">
      <c r="AP5258" s="93"/>
      <c r="AQ5258" s="31"/>
      <c r="AR5258" s="31"/>
      <c r="AS5258" s="94"/>
      <c r="AT5258" s="31"/>
      <c r="AU5258" s="31"/>
      <c r="AV5258" s="94"/>
      <c r="AW5258" s="32"/>
      <c r="AX5258" s="32"/>
      <c r="AY5258" s="32"/>
      <c r="AZ5258" s="32"/>
      <c r="BA5258" s="32"/>
      <c r="BB5258" s="31"/>
      <c r="BC5258" s="31"/>
      <c r="BD5258" s="31"/>
      <c r="BE5258" s="31"/>
      <c r="BF5258" s="96"/>
    </row>
    <row r="5259" spans="42:58" x14ac:dyDescent="0.35">
      <c r="AP5259" s="92"/>
      <c r="AQ5259" s="67"/>
      <c r="AR5259" s="67"/>
      <c r="AS5259" s="73"/>
      <c r="AT5259" s="67"/>
      <c r="AU5259" s="67"/>
      <c r="AV5259" s="73"/>
      <c r="AW5259" s="68"/>
      <c r="AX5259" s="68"/>
      <c r="AY5259" s="68"/>
      <c r="AZ5259" s="68"/>
      <c r="BA5259" s="68"/>
      <c r="BB5259" s="67"/>
      <c r="BC5259" s="67"/>
      <c r="BD5259" s="67"/>
      <c r="BE5259" s="67"/>
      <c r="BF5259" s="95"/>
    </row>
    <row r="5260" spans="42:58" x14ac:dyDescent="0.35">
      <c r="AP5260" s="93"/>
      <c r="AQ5260" s="31"/>
      <c r="AR5260" s="31"/>
      <c r="AS5260" s="94"/>
      <c r="AT5260" s="31"/>
      <c r="AU5260" s="31"/>
      <c r="AV5260" s="94"/>
      <c r="AW5260" s="32"/>
      <c r="AX5260" s="32"/>
      <c r="AY5260" s="32"/>
      <c r="AZ5260" s="32"/>
      <c r="BA5260" s="32"/>
      <c r="BB5260" s="31"/>
      <c r="BC5260" s="31"/>
      <c r="BD5260" s="31"/>
      <c r="BE5260" s="31"/>
      <c r="BF5260" s="96"/>
    </row>
    <row r="5261" spans="42:58" x14ac:dyDescent="0.35">
      <c r="AP5261" s="92"/>
      <c r="AQ5261" s="67"/>
      <c r="AR5261" s="67"/>
      <c r="AS5261" s="73"/>
      <c r="AT5261" s="67"/>
      <c r="AU5261" s="67"/>
      <c r="AV5261" s="73"/>
      <c r="AW5261" s="68"/>
      <c r="AX5261" s="68"/>
      <c r="AY5261" s="68"/>
      <c r="AZ5261" s="68"/>
      <c r="BA5261" s="68"/>
      <c r="BB5261" s="67"/>
      <c r="BC5261" s="67"/>
      <c r="BD5261" s="67"/>
      <c r="BE5261" s="67"/>
      <c r="BF5261" s="95"/>
    </row>
    <row r="5262" spans="42:58" x14ac:dyDescent="0.35">
      <c r="AP5262" s="93"/>
      <c r="AQ5262" s="31"/>
      <c r="AR5262" s="31"/>
      <c r="AS5262" s="94"/>
      <c r="AT5262" s="31"/>
      <c r="AU5262" s="31"/>
      <c r="AV5262" s="94"/>
      <c r="AW5262" s="32"/>
      <c r="AX5262" s="32"/>
      <c r="AY5262" s="32"/>
      <c r="AZ5262" s="32"/>
      <c r="BA5262" s="32"/>
      <c r="BB5262" s="31"/>
      <c r="BC5262" s="31"/>
      <c r="BD5262" s="31"/>
      <c r="BE5262" s="31"/>
      <c r="BF5262" s="96"/>
    </row>
    <row r="5263" spans="42:58" x14ac:dyDescent="0.35">
      <c r="AP5263" s="92"/>
      <c r="AQ5263" s="67"/>
      <c r="AR5263" s="67"/>
      <c r="AS5263" s="73"/>
      <c r="AT5263" s="67"/>
      <c r="AU5263" s="67"/>
      <c r="AV5263" s="73"/>
      <c r="AW5263" s="68"/>
      <c r="AX5263" s="68"/>
      <c r="AY5263" s="68"/>
      <c r="AZ5263" s="68"/>
      <c r="BA5263" s="68"/>
      <c r="BB5263" s="67"/>
      <c r="BC5263" s="67"/>
      <c r="BD5263" s="67"/>
      <c r="BE5263" s="67"/>
      <c r="BF5263" s="95"/>
    </row>
    <row r="5264" spans="42:58" x14ac:dyDescent="0.35">
      <c r="AP5264" s="93"/>
      <c r="AQ5264" s="31"/>
      <c r="AR5264" s="31"/>
      <c r="AS5264" s="94"/>
      <c r="AT5264" s="31"/>
      <c r="AU5264" s="31"/>
      <c r="AV5264" s="94"/>
      <c r="AW5264" s="32"/>
      <c r="AX5264" s="32"/>
      <c r="AY5264" s="32"/>
      <c r="AZ5264" s="32"/>
      <c r="BA5264" s="32"/>
      <c r="BB5264" s="31"/>
      <c r="BC5264" s="31"/>
      <c r="BD5264" s="31"/>
      <c r="BE5264" s="31"/>
      <c r="BF5264" s="96"/>
    </row>
    <row r="5265" spans="42:58" x14ac:dyDescent="0.35">
      <c r="AP5265" s="92"/>
      <c r="AQ5265" s="67"/>
      <c r="AR5265" s="67"/>
      <c r="AS5265" s="73"/>
      <c r="AT5265" s="67"/>
      <c r="AU5265" s="67"/>
      <c r="AV5265" s="73"/>
      <c r="AW5265" s="68"/>
      <c r="AX5265" s="68"/>
      <c r="AY5265" s="68"/>
      <c r="AZ5265" s="68"/>
      <c r="BA5265" s="68"/>
      <c r="BB5265" s="67"/>
      <c r="BC5265" s="67"/>
      <c r="BD5265" s="67"/>
      <c r="BE5265" s="67"/>
      <c r="BF5265" s="95"/>
    </row>
    <row r="5266" spans="42:58" x14ac:dyDescent="0.35">
      <c r="AP5266" s="93"/>
      <c r="AQ5266" s="31"/>
      <c r="AR5266" s="31"/>
      <c r="AS5266" s="94"/>
      <c r="AT5266" s="31"/>
      <c r="AU5266" s="31"/>
      <c r="AV5266" s="94"/>
      <c r="AW5266" s="32"/>
      <c r="AX5266" s="32"/>
      <c r="AY5266" s="32"/>
      <c r="AZ5266" s="32"/>
      <c r="BA5266" s="32"/>
      <c r="BB5266" s="31"/>
      <c r="BC5266" s="31"/>
      <c r="BD5266" s="31"/>
      <c r="BE5266" s="31"/>
      <c r="BF5266" s="96"/>
    </row>
    <row r="5267" spans="42:58" x14ac:dyDescent="0.35">
      <c r="AP5267" s="92"/>
      <c r="AQ5267" s="67"/>
      <c r="AR5267" s="67"/>
      <c r="AS5267" s="73"/>
      <c r="AT5267" s="67"/>
      <c r="AU5267" s="67"/>
      <c r="AV5267" s="73"/>
      <c r="AW5267" s="68"/>
      <c r="AX5267" s="68"/>
      <c r="AY5267" s="68"/>
      <c r="AZ5267" s="68"/>
      <c r="BA5267" s="68"/>
      <c r="BB5267" s="67"/>
      <c r="BC5267" s="67"/>
      <c r="BD5267" s="67"/>
      <c r="BE5267" s="67"/>
      <c r="BF5267" s="95"/>
    </row>
    <row r="5268" spans="42:58" x14ac:dyDescent="0.35">
      <c r="AP5268" s="93"/>
      <c r="AQ5268" s="31"/>
      <c r="AR5268" s="31"/>
      <c r="AS5268" s="94"/>
      <c r="AT5268" s="31"/>
      <c r="AU5268" s="31"/>
      <c r="AV5268" s="94"/>
      <c r="AW5268" s="32"/>
      <c r="AX5268" s="32"/>
      <c r="AY5268" s="32"/>
      <c r="AZ5268" s="32"/>
      <c r="BA5268" s="32"/>
      <c r="BB5268" s="31"/>
      <c r="BC5268" s="31"/>
      <c r="BD5268" s="31"/>
      <c r="BE5268" s="31"/>
      <c r="BF5268" s="96"/>
    </row>
    <row r="5269" spans="42:58" x14ac:dyDescent="0.35">
      <c r="AP5269" s="92"/>
      <c r="AQ5269" s="67"/>
      <c r="AR5269" s="67"/>
      <c r="AS5269" s="73"/>
      <c r="AT5269" s="67"/>
      <c r="AU5269" s="67"/>
      <c r="AV5269" s="73"/>
      <c r="AW5269" s="68"/>
      <c r="AX5269" s="68"/>
      <c r="AY5269" s="68"/>
      <c r="AZ5269" s="68"/>
      <c r="BA5269" s="68"/>
      <c r="BB5269" s="67"/>
      <c r="BC5269" s="67"/>
      <c r="BD5269" s="67"/>
      <c r="BE5269" s="67"/>
      <c r="BF5269" s="95"/>
    </row>
    <row r="5270" spans="42:58" x14ac:dyDescent="0.35">
      <c r="AP5270" s="93"/>
      <c r="AQ5270" s="31"/>
      <c r="AR5270" s="31"/>
      <c r="AS5270" s="94"/>
      <c r="AT5270" s="31"/>
      <c r="AU5270" s="31"/>
      <c r="AV5270" s="94"/>
      <c r="AW5270" s="32"/>
      <c r="AX5270" s="32"/>
      <c r="AY5270" s="32"/>
      <c r="AZ5270" s="32"/>
      <c r="BA5270" s="32"/>
      <c r="BB5270" s="31"/>
      <c r="BC5270" s="31"/>
      <c r="BD5270" s="31"/>
      <c r="BE5270" s="31"/>
      <c r="BF5270" s="96"/>
    </row>
    <row r="5271" spans="42:58" x14ac:dyDescent="0.35">
      <c r="AP5271" s="92"/>
      <c r="AQ5271" s="67"/>
      <c r="AR5271" s="67"/>
      <c r="AS5271" s="73"/>
      <c r="AT5271" s="67"/>
      <c r="AU5271" s="67"/>
      <c r="AV5271" s="73"/>
      <c r="AW5271" s="68"/>
      <c r="AX5271" s="68"/>
      <c r="AY5271" s="68"/>
      <c r="AZ5271" s="68"/>
      <c r="BA5271" s="68"/>
      <c r="BB5271" s="67"/>
      <c r="BC5271" s="67"/>
      <c r="BD5271" s="67"/>
      <c r="BE5271" s="67"/>
      <c r="BF5271" s="95"/>
    </row>
    <row r="5272" spans="42:58" x14ac:dyDescent="0.35">
      <c r="AP5272" s="93"/>
      <c r="AQ5272" s="31"/>
      <c r="AR5272" s="31"/>
      <c r="AS5272" s="94"/>
      <c r="AT5272" s="31"/>
      <c r="AU5272" s="31"/>
      <c r="AV5272" s="94"/>
      <c r="AW5272" s="32"/>
      <c r="AX5272" s="32"/>
      <c r="AY5272" s="32"/>
      <c r="AZ5272" s="32"/>
      <c r="BA5272" s="32"/>
      <c r="BB5272" s="31"/>
      <c r="BC5272" s="31"/>
      <c r="BD5272" s="31"/>
      <c r="BE5272" s="31"/>
      <c r="BF5272" s="96"/>
    </row>
    <row r="5273" spans="42:58" x14ac:dyDescent="0.35">
      <c r="AP5273" s="92"/>
      <c r="AQ5273" s="67"/>
      <c r="AR5273" s="67"/>
      <c r="AS5273" s="73"/>
      <c r="AT5273" s="67"/>
      <c r="AU5273" s="67"/>
      <c r="AV5273" s="73"/>
      <c r="AW5273" s="68"/>
      <c r="AX5273" s="68"/>
      <c r="AY5273" s="68"/>
      <c r="AZ5273" s="68"/>
      <c r="BA5273" s="68"/>
      <c r="BB5273" s="67"/>
      <c r="BC5273" s="67"/>
      <c r="BD5273" s="67"/>
      <c r="BE5273" s="67"/>
      <c r="BF5273" s="95"/>
    </row>
    <row r="5274" spans="42:58" x14ac:dyDescent="0.35">
      <c r="AP5274" s="93"/>
      <c r="AQ5274" s="31"/>
      <c r="AR5274" s="31"/>
      <c r="AS5274" s="94"/>
      <c r="AT5274" s="31"/>
      <c r="AU5274" s="31"/>
      <c r="AV5274" s="94"/>
      <c r="AW5274" s="32"/>
      <c r="AX5274" s="32"/>
      <c r="AY5274" s="32"/>
      <c r="AZ5274" s="32"/>
      <c r="BA5274" s="32"/>
      <c r="BB5274" s="31"/>
      <c r="BC5274" s="31"/>
      <c r="BD5274" s="31"/>
      <c r="BE5274" s="31"/>
      <c r="BF5274" s="96"/>
    </row>
    <row r="5275" spans="42:58" x14ac:dyDescent="0.35">
      <c r="AP5275" s="92"/>
      <c r="AQ5275" s="67"/>
      <c r="AR5275" s="67"/>
      <c r="AS5275" s="73"/>
      <c r="AT5275" s="67"/>
      <c r="AU5275" s="67"/>
      <c r="AV5275" s="73"/>
      <c r="AW5275" s="68"/>
      <c r="AX5275" s="68"/>
      <c r="AY5275" s="68"/>
      <c r="AZ5275" s="68"/>
      <c r="BA5275" s="68"/>
      <c r="BB5275" s="67"/>
      <c r="BC5275" s="67"/>
      <c r="BD5275" s="67"/>
      <c r="BE5275" s="67"/>
      <c r="BF5275" s="95"/>
    </row>
    <row r="5276" spans="42:58" x14ac:dyDescent="0.35">
      <c r="AP5276" s="93"/>
      <c r="AQ5276" s="31"/>
      <c r="AR5276" s="31"/>
      <c r="AS5276" s="94"/>
      <c r="AT5276" s="31"/>
      <c r="AU5276" s="31"/>
      <c r="AV5276" s="94"/>
      <c r="AW5276" s="32"/>
      <c r="AX5276" s="32"/>
      <c r="AY5276" s="32"/>
      <c r="AZ5276" s="32"/>
      <c r="BA5276" s="32"/>
      <c r="BB5276" s="31"/>
      <c r="BC5276" s="31"/>
      <c r="BD5276" s="31"/>
      <c r="BE5276" s="31"/>
      <c r="BF5276" s="96"/>
    </row>
    <row r="5277" spans="42:58" x14ac:dyDescent="0.35">
      <c r="AP5277" s="92"/>
      <c r="AQ5277" s="67"/>
      <c r="AR5277" s="67"/>
      <c r="AS5277" s="73"/>
      <c r="AT5277" s="67"/>
      <c r="AU5277" s="67"/>
      <c r="AV5277" s="73"/>
      <c r="AW5277" s="68"/>
      <c r="AX5277" s="68"/>
      <c r="AY5277" s="68"/>
      <c r="AZ5277" s="68"/>
      <c r="BA5277" s="68"/>
      <c r="BB5277" s="67"/>
      <c r="BC5277" s="67"/>
      <c r="BD5277" s="67"/>
      <c r="BE5277" s="67"/>
      <c r="BF5277" s="95"/>
    </row>
    <row r="5278" spans="42:58" x14ac:dyDescent="0.35">
      <c r="AP5278" s="93"/>
      <c r="AQ5278" s="31"/>
      <c r="AR5278" s="31"/>
      <c r="AS5278" s="94"/>
      <c r="AT5278" s="31"/>
      <c r="AU5278" s="31"/>
      <c r="AV5278" s="94"/>
      <c r="AW5278" s="32"/>
      <c r="AX5278" s="32"/>
      <c r="AY5278" s="32"/>
      <c r="AZ5278" s="32"/>
      <c r="BA5278" s="32"/>
      <c r="BB5278" s="31"/>
      <c r="BC5278" s="31"/>
      <c r="BD5278" s="31"/>
      <c r="BE5278" s="31"/>
      <c r="BF5278" s="96"/>
    </row>
    <row r="5279" spans="42:58" x14ac:dyDescent="0.35">
      <c r="AP5279" s="92"/>
      <c r="AQ5279" s="67"/>
      <c r="AR5279" s="67"/>
      <c r="AS5279" s="73"/>
      <c r="AT5279" s="67"/>
      <c r="AU5279" s="67"/>
      <c r="AV5279" s="73"/>
      <c r="AW5279" s="68"/>
      <c r="AX5279" s="68"/>
      <c r="AY5279" s="68"/>
      <c r="AZ5279" s="68"/>
      <c r="BA5279" s="68"/>
      <c r="BB5279" s="67"/>
      <c r="BC5279" s="67"/>
      <c r="BD5279" s="67"/>
      <c r="BE5279" s="67"/>
      <c r="BF5279" s="95"/>
    </row>
    <row r="5280" spans="42:58" x14ac:dyDescent="0.35">
      <c r="AP5280" s="93"/>
      <c r="AQ5280" s="31"/>
      <c r="AR5280" s="31"/>
      <c r="AS5280" s="94"/>
      <c r="AT5280" s="31"/>
      <c r="AU5280" s="31"/>
      <c r="AV5280" s="94"/>
      <c r="AW5280" s="32"/>
      <c r="AX5280" s="32"/>
      <c r="AY5280" s="32"/>
      <c r="AZ5280" s="32"/>
      <c r="BA5280" s="32"/>
      <c r="BB5280" s="31"/>
      <c r="BC5280" s="31"/>
      <c r="BD5280" s="31"/>
      <c r="BE5280" s="31"/>
      <c r="BF5280" s="96"/>
    </row>
    <row r="5281" spans="42:58" x14ac:dyDescent="0.35">
      <c r="AP5281" s="92"/>
      <c r="AQ5281" s="67"/>
      <c r="AR5281" s="67"/>
      <c r="AS5281" s="73"/>
      <c r="AT5281" s="67"/>
      <c r="AU5281" s="67"/>
      <c r="AV5281" s="73"/>
      <c r="AW5281" s="68"/>
      <c r="AX5281" s="68"/>
      <c r="AY5281" s="68"/>
      <c r="AZ5281" s="68"/>
      <c r="BA5281" s="68"/>
      <c r="BB5281" s="67"/>
      <c r="BC5281" s="67"/>
      <c r="BD5281" s="67"/>
      <c r="BE5281" s="67"/>
      <c r="BF5281" s="95"/>
    </row>
    <row r="5282" spans="42:58" x14ac:dyDescent="0.35">
      <c r="AP5282" s="93"/>
      <c r="AQ5282" s="31"/>
      <c r="AR5282" s="31"/>
      <c r="AS5282" s="94"/>
      <c r="AT5282" s="31"/>
      <c r="AU5282" s="31"/>
      <c r="AV5282" s="94"/>
      <c r="AW5282" s="32"/>
      <c r="AX5282" s="32"/>
      <c r="AY5282" s="32"/>
      <c r="AZ5282" s="32"/>
      <c r="BA5282" s="32"/>
      <c r="BB5282" s="31"/>
      <c r="BC5282" s="31"/>
      <c r="BD5282" s="31"/>
      <c r="BE5282" s="31"/>
      <c r="BF5282" s="96"/>
    </row>
    <row r="5283" spans="42:58" x14ac:dyDescent="0.35">
      <c r="AP5283" s="92"/>
      <c r="AQ5283" s="67"/>
      <c r="AR5283" s="67"/>
      <c r="AS5283" s="73"/>
      <c r="AT5283" s="67"/>
      <c r="AU5283" s="67"/>
      <c r="AV5283" s="73"/>
      <c r="AW5283" s="68"/>
      <c r="AX5283" s="68"/>
      <c r="AY5283" s="68"/>
      <c r="AZ5283" s="68"/>
      <c r="BA5283" s="68"/>
      <c r="BB5283" s="67"/>
      <c r="BC5283" s="67"/>
      <c r="BD5283" s="67"/>
      <c r="BE5283" s="67"/>
      <c r="BF5283" s="95"/>
    </row>
    <row r="5284" spans="42:58" x14ac:dyDescent="0.35">
      <c r="AP5284" s="93"/>
      <c r="AQ5284" s="31"/>
      <c r="AR5284" s="31"/>
      <c r="AS5284" s="94"/>
      <c r="AT5284" s="31"/>
      <c r="AU5284" s="31"/>
      <c r="AV5284" s="94"/>
      <c r="AW5284" s="32"/>
      <c r="AX5284" s="32"/>
      <c r="AY5284" s="32"/>
      <c r="AZ5284" s="32"/>
      <c r="BA5284" s="32"/>
      <c r="BB5284" s="31"/>
      <c r="BC5284" s="31"/>
      <c r="BD5284" s="31"/>
      <c r="BE5284" s="31"/>
      <c r="BF5284" s="96"/>
    </row>
    <row r="5285" spans="42:58" x14ac:dyDescent="0.35">
      <c r="AP5285" s="92"/>
      <c r="AQ5285" s="67"/>
      <c r="AR5285" s="67"/>
      <c r="AS5285" s="73"/>
      <c r="AT5285" s="67"/>
      <c r="AU5285" s="67"/>
      <c r="AV5285" s="73"/>
      <c r="AW5285" s="68"/>
      <c r="AX5285" s="68"/>
      <c r="AY5285" s="68"/>
      <c r="AZ5285" s="68"/>
      <c r="BA5285" s="68"/>
      <c r="BB5285" s="67"/>
      <c r="BC5285" s="67"/>
      <c r="BD5285" s="67"/>
      <c r="BE5285" s="67"/>
      <c r="BF5285" s="95"/>
    </row>
    <row r="5286" spans="42:58" x14ac:dyDescent="0.35">
      <c r="AP5286" s="93"/>
      <c r="AQ5286" s="31"/>
      <c r="AR5286" s="31"/>
      <c r="AS5286" s="94"/>
      <c r="AT5286" s="31"/>
      <c r="AU5286" s="31"/>
      <c r="AV5286" s="94"/>
      <c r="AW5286" s="32"/>
      <c r="AX5286" s="32"/>
      <c r="AY5286" s="32"/>
      <c r="AZ5286" s="32"/>
      <c r="BA5286" s="32"/>
      <c r="BB5286" s="31"/>
      <c r="BC5286" s="31"/>
      <c r="BD5286" s="31"/>
      <c r="BE5286" s="31"/>
      <c r="BF5286" s="96"/>
    </row>
    <row r="5287" spans="42:58" x14ac:dyDescent="0.35">
      <c r="AP5287" s="92"/>
      <c r="AQ5287" s="67"/>
      <c r="AR5287" s="67"/>
      <c r="AS5287" s="73"/>
      <c r="AT5287" s="67"/>
      <c r="AU5287" s="67"/>
      <c r="AV5287" s="73"/>
      <c r="AW5287" s="68"/>
      <c r="AX5287" s="68"/>
      <c r="AY5287" s="68"/>
      <c r="AZ5287" s="68"/>
      <c r="BA5287" s="68"/>
      <c r="BB5287" s="67"/>
      <c r="BC5287" s="67"/>
      <c r="BD5287" s="67"/>
      <c r="BE5287" s="67"/>
      <c r="BF5287" s="95"/>
    </row>
    <row r="5288" spans="42:58" x14ac:dyDescent="0.35">
      <c r="AP5288" s="93"/>
      <c r="AQ5288" s="31"/>
      <c r="AR5288" s="31"/>
      <c r="AS5288" s="94"/>
      <c r="AT5288" s="31"/>
      <c r="AU5288" s="31"/>
      <c r="AV5288" s="94"/>
      <c r="AW5288" s="32"/>
      <c r="AX5288" s="32"/>
      <c r="AY5288" s="32"/>
      <c r="AZ5288" s="32"/>
      <c r="BA5288" s="32"/>
      <c r="BB5288" s="31"/>
      <c r="BC5288" s="31"/>
      <c r="BD5288" s="31"/>
      <c r="BE5288" s="31"/>
      <c r="BF5288" s="96"/>
    </row>
    <row r="5289" spans="42:58" x14ac:dyDescent="0.35">
      <c r="AP5289" s="92"/>
      <c r="AQ5289" s="67"/>
      <c r="AR5289" s="67"/>
      <c r="AS5289" s="73"/>
      <c r="AT5289" s="67"/>
      <c r="AU5289" s="67"/>
      <c r="AV5289" s="73"/>
      <c r="AW5289" s="68"/>
      <c r="AX5289" s="68"/>
      <c r="AY5289" s="68"/>
      <c r="AZ5289" s="68"/>
      <c r="BA5289" s="68"/>
      <c r="BB5289" s="67"/>
      <c r="BC5289" s="67"/>
      <c r="BD5289" s="67"/>
      <c r="BE5289" s="67"/>
      <c r="BF5289" s="95"/>
    </row>
    <row r="5290" spans="42:58" x14ac:dyDescent="0.35">
      <c r="AP5290" s="93"/>
      <c r="AQ5290" s="31"/>
      <c r="AR5290" s="31"/>
      <c r="AS5290" s="94"/>
      <c r="AT5290" s="31"/>
      <c r="AU5290" s="31"/>
      <c r="AV5290" s="94"/>
      <c r="AW5290" s="32"/>
      <c r="AX5290" s="32"/>
      <c r="AY5290" s="32"/>
      <c r="AZ5290" s="32"/>
      <c r="BA5290" s="32"/>
      <c r="BB5290" s="31"/>
      <c r="BC5290" s="31"/>
      <c r="BD5290" s="31"/>
      <c r="BE5290" s="31"/>
      <c r="BF5290" s="96"/>
    </row>
    <row r="5291" spans="42:58" x14ac:dyDescent="0.35">
      <c r="AP5291" s="92"/>
      <c r="AQ5291" s="67"/>
      <c r="AR5291" s="67"/>
      <c r="AS5291" s="73"/>
      <c r="AT5291" s="67"/>
      <c r="AU5291" s="67"/>
      <c r="AV5291" s="73"/>
      <c r="AW5291" s="68"/>
      <c r="AX5291" s="68"/>
      <c r="AY5291" s="68"/>
      <c r="AZ5291" s="68"/>
      <c r="BA5291" s="68"/>
      <c r="BB5291" s="67"/>
      <c r="BC5291" s="67"/>
      <c r="BD5291" s="67"/>
      <c r="BE5291" s="67"/>
      <c r="BF5291" s="95"/>
    </row>
    <row r="5292" spans="42:58" x14ac:dyDescent="0.35">
      <c r="AP5292" s="93"/>
      <c r="AQ5292" s="31"/>
      <c r="AR5292" s="31"/>
      <c r="AS5292" s="94"/>
      <c r="AT5292" s="31"/>
      <c r="AU5292" s="31"/>
      <c r="AV5292" s="94"/>
      <c r="AW5292" s="32"/>
      <c r="AX5292" s="32"/>
      <c r="AY5292" s="32"/>
      <c r="AZ5292" s="32"/>
      <c r="BA5292" s="32"/>
      <c r="BB5292" s="31"/>
      <c r="BC5292" s="31"/>
      <c r="BD5292" s="31"/>
      <c r="BE5292" s="31"/>
      <c r="BF5292" s="96"/>
    </row>
    <row r="5293" spans="42:58" x14ac:dyDescent="0.35">
      <c r="AP5293" s="92"/>
      <c r="AQ5293" s="67"/>
      <c r="AR5293" s="67"/>
      <c r="AS5293" s="73"/>
      <c r="AT5293" s="67"/>
      <c r="AU5293" s="67"/>
      <c r="AV5293" s="73"/>
      <c r="AW5293" s="68"/>
      <c r="AX5293" s="68"/>
      <c r="AY5293" s="68"/>
      <c r="AZ5293" s="68"/>
      <c r="BA5293" s="68"/>
      <c r="BB5293" s="67"/>
      <c r="BC5293" s="67"/>
      <c r="BD5293" s="67"/>
      <c r="BE5293" s="67"/>
      <c r="BF5293" s="95"/>
    </row>
    <row r="5294" spans="42:58" x14ac:dyDescent="0.35">
      <c r="AP5294" s="93"/>
      <c r="AQ5294" s="31"/>
      <c r="AR5294" s="31"/>
      <c r="AS5294" s="94"/>
      <c r="AT5294" s="31"/>
      <c r="AU5294" s="31"/>
      <c r="AV5294" s="94"/>
      <c r="AW5294" s="32"/>
      <c r="AX5294" s="32"/>
      <c r="AY5294" s="32"/>
      <c r="AZ5294" s="32"/>
      <c r="BA5294" s="32"/>
      <c r="BB5294" s="31"/>
      <c r="BC5294" s="31"/>
      <c r="BD5294" s="31"/>
      <c r="BE5294" s="31"/>
      <c r="BF5294" s="96"/>
    </row>
    <row r="5295" spans="42:58" x14ac:dyDescent="0.35">
      <c r="AP5295" s="92"/>
      <c r="AQ5295" s="67"/>
      <c r="AR5295" s="67"/>
      <c r="AS5295" s="73"/>
      <c r="AT5295" s="67"/>
      <c r="AU5295" s="67"/>
      <c r="AV5295" s="73"/>
      <c r="AW5295" s="68"/>
      <c r="AX5295" s="68"/>
      <c r="AY5295" s="68"/>
      <c r="AZ5295" s="68"/>
      <c r="BA5295" s="68"/>
      <c r="BB5295" s="67"/>
      <c r="BC5295" s="67"/>
      <c r="BD5295" s="67"/>
      <c r="BE5295" s="67"/>
      <c r="BF5295" s="95"/>
    </row>
    <row r="5296" spans="42:58" x14ac:dyDescent="0.35">
      <c r="AP5296" s="93"/>
      <c r="AQ5296" s="31"/>
      <c r="AR5296" s="31"/>
      <c r="AS5296" s="94"/>
      <c r="AT5296" s="31"/>
      <c r="AU5296" s="31"/>
      <c r="AV5296" s="94"/>
      <c r="AW5296" s="32"/>
      <c r="AX5296" s="32"/>
      <c r="AY5296" s="32"/>
      <c r="AZ5296" s="32"/>
      <c r="BA5296" s="32"/>
      <c r="BB5296" s="31"/>
      <c r="BC5296" s="31"/>
      <c r="BD5296" s="31"/>
      <c r="BE5296" s="31"/>
      <c r="BF5296" s="96"/>
    </row>
    <row r="5297" spans="42:58" x14ac:dyDescent="0.35">
      <c r="AP5297" s="92"/>
      <c r="AQ5297" s="67"/>
      <c r="AR5297" s="67"/>
      <c r="AS5297" s="73"/>
      <c r="AT5297" s="67"/>
      <c r="AU5297" s="67"/>
      <c r="AV5297" s="73"/>
      <c r="AW5297" s="68"/>
      <c r="AX5297" s="68"/>
      <c r="AY5297" s="68"/>
      <c r="AZ5297" s="68"/>
      <c r="BA5297" s="68"/>
      <c r="BB5297" s="67"/>
      <c r="BC5297" s="67"/>
      <c r="BD5297" s="67"/>
      <c r="BE5297" s="67"/>
      <c r="BF5297" s="95"/>
    </row>
    <row r="5298" spans="42:58" x14ac:dyDescent="0.35">
      <c r="AP5298" s="93"/>
      <c r="AQ5298" s="31"/>
      <c r="AR5298" s="31"/>
      <c r="AS5298" s="94"/>
      <c r="AT5298" s="31"/>
      <c r="AU5298" s="31"/>
      <c r="AV5298" s="94"/>
      <c r="AW5298" s="32"/>
      <c r="AX5298" s="32"/>
      <c r="AY5298" s="32"/>
      <c r="AZ5298" s="32"/>
      <c r="BA5298" s="32"/>
      <c r="BB5298" s="31"/>
      <c r="BC5298" s="31"/>
      <c r="BD5298" s="31"/>
      <c r="BE5298" s="31"/>
      <c r="BF5298" s="96"/>
    </row>
    <row r="5299" spans="42:58" x14ac:dyDescent="0.35">
      <c r="AP5299" s="92"/>
      <c r="AQ5299" s="67"/>
      <c r="AR5299" s="67"/>
      <c r="AS5299" s="73"/>
      <c r="AT5299" s="67"/>
      <c r="AU5299" s="67"/>
      <c r="AV5299" s="73"/>
      <c r="AW5299" s="68"/>
      <c r="AX5299" s="68"/>
      <c r="AY5299" s="68"/>
      <c r="AZ5299" s="68"/>
      <c r="BA5299" s="68"/>
      <c r="BB5299" s="67"/>
      <c r="BC5299" s="67"/>
      <c r="BD5299" s="67"/>
      <c r="BE5299" s="67"/>
      <c r="BF5299" s="95"/>
    </row>
    <row r="5300" spans="42:58" x14ac:dyDescent="0.35">
      <c r="AP5300" s="93"/>
      <c r="AQ5300" s="31"/>
      <c r="AR5300" s="31"/>
      <c r="AS5300" s="94"/>
      <c r="AT5300" s="31"/>
      <c r="AU5300" s="31"/>
      <c r="AV5300" s="94"/>
      <c r="AW5300" s="32"/>
      <c r="AX5300" s="32"/>
      <c r="AY5300" s="32"/>
      <c r="AZ5300" s="32"/>
      <c r="BA5300" s="32"/>
      <c r="BB5300" s="31"/>
      <c r="BC5300" s="31"/>
      <c r="BD5300" s="31"/>
      <c r="BE5300" s="31"/>
      <c r="BF5300" s="96"/>
    </row>
    <row r="5301" spans="42:58" x14ac:dyDescent="0.35">
      <c r="AP5301" s="92"/>
      <c r="AQ5301" s="67"/>
      <c r="AR5301" s="67"/>
      <c r="AS5301" s="73"/>
      <c r="AT5301" s="67"/>
      <c r="AU5301" s="67"/>
      <c r="AV5301" s="73"/>
      <c r="AW5301" s="68"/>
      <c r="AX5301" s="68"/>
      <c r="AY5301" s="68"/>
      <c r="AZ5301" s="68"/>
      <c r="BA5301" s="68"/>
      <c r="BB5301" s="67"/>
      <c r="BC5301" s="67"/>
      <c r="BD5301" s="67"/>
      <c r="BE5301" s="67"/>
      <c r="BF5301" s="95"/>
    </row>
    <row r="5302" spans="42:58" x14ac:dyDescent="0.35">
      <c r="AP5302" s="93"/>
      <c r="AQ5302" s="31"/>
      <c r="AR5302" s="31"/>
      <c r="AS5302" s="94"/>
      <c r="AT5302" s="31"/>
      <c r="AU5302" s="31"/>
      <c r="AV5302" s="94"/>
      <c r="AW5302" s="32"/>
      <c r="AX5302" s="32"/>
      <c r="AY5302" s="32"/>
      <c r="AZ5302" s="32"/>
      <c r="BA5302" s="32"/>
      <c r="BB5302" s="31"/>
      <c r="BC5302" s="31"/>
      <c r="BD5302" s="31"/>
      <c r="BE5302" s="31"/>
      <c r="BF5302" s="96"/>
    </row>
    <row r="5303" spans="42:58" x14ac:dyDescent="0.35">
      <c r="AP5303" s="92"/>
      <c r="AQ5303" s="67"/>
      <c r="AR5303" s="67"/>
      <c r="AS5303" s="73"/>
      <c r="AT5303" s="67"/>
      <c r="AU5303" s="67"/>
      <c r="AV5303" s="73"/>
      <c r="AW5303" s="68"/>
      <c r="AX5303" s="68"/>
      <c r="AY5303" s="68"/>
      <c r="AZ5303" s="68"/>
      <c r="BA5303" s="68"/>
      <c r="BB5303" s="67"/>
      <c r="BC5303" s="67"/>
      <c r="BD5303" s="67"/>
      <c r="BE5303" s="67"/>
      <c r="BF5303" s="95"/>
    </row>
    <row r="5304" spans="42:58" x14ac:dyDescent="0.35">
      <c r="AP5304" s="93"/>
      <c r="AQ5304" s="31"/>
      <c r="AR5304" s="31"/>
      <c r="AS5304" s="94"/>
      <c r="AT5304" s="31"/>
      <c r="AU5304" s="31"/>
      <c r="AV5304" s="94"/>
      <c r="AW5304" s="32"/>
      <c r="AX5304" s="32"/>
      <c r="AY5304" s="32"/>
      <c r="AZ5304" s="32"/>
      <c r="BA5304" s="32"/>
      <c r="BB5304" s="31"/>
      <c r="BC5304" s="31"/>
      <c r="BD5304" s="31"/>
      <c r="BE5304" s="31"/>
      <c r="BF5304" s="96"/>
    </row>
    <row r="5305" spans="42:58" x14ac:dyDescent="0.35">
      <c r="AP5305" s="92"/>
      <c r="AQ5305" s="67"/>
      <c r="AR5305" s="67"/>
      <c r="AS5305" s="73"/>
      <c r="AT5305" s="67"/>
      <c r="AU5305" s="67"/>
      <c r="AV5305" s="73"/>
      <c r="AW5305" s="68"/>
      <c r="AX5305" s="68"/>
      <c r="AY5305" s="68"/>
      <c r="AZ5305" s="68"/>
      <c r="BA5305" s="68"/>
      <c r="BB5305" s="67"/>
      <c r="BC5305" s="67"/>
      <c r="BD5305" s="67"/>
      <c r="BE5305" s="67"/>
      <c r="BF5305" s="95"/>
    </row>
    <row r="5306" spans="42:58" x14ac:dyDescent="0.35">
      <c r="AP5306" s="93"/>
      <c r="AQ5306" s="31"/>
      <c r="AR5306" s="31"/>
      <c r="AS5306" s="94"/>
      <c r="AT5306" s="31"/>
      <c r="AU5306" s="31"/>
      <c r="AV5306" s="94"/>
      <c r="AW5306" s="32"/>
      <c r="AX5306" s="32"/>
      <c r="AY5306" s="32"/>
      <c r="AZ5306" s="32"/>
      <c r="BA5306" s="32"/>
      <c r="BB5306" s="31"/>
      <c r="BC5306" s="31"/>
      <c r="BD5306" s="31"/>
      <c r="BE5306" s="31"/>
      <c r="BF5306" s="96"/>
    </row>
    <row r="5307" spans="42:58" x14ac:dyDescent="0.35">
      <c r="AP5307" s="92"/>
      <c r="AQ5307" s="67"/>
      <c r="AR5307" s="67"/>
      <c r="AS5307" s="73"/>
      <c r="AT5307" s="67"/>
      <c r="AU5307" s="67"/>
      <c r="AV5307" s="73"/>
      <c r="AW5307" s="68"/>
      <c r="AX5307" s="68"/>
      <c r="AY5307" s="68"/>
      <c r="AZ5307" s="68"/>
      <c r="BA5307" s="68"/>
      <c r="BB5307" s="67"/>
      <c r="BC5307" s="67"/>
      <c r="BD5307" s="67"/>
      <c r="BE5307" s="67"/>
      <c r="BF5307" s="95"/>
    </row>
    <row r="5308" spans="42:58" x14ac:dyDescent="0.35">
      <c r="AP5308" s="93"/>
      <c r="AQ5308" s="31"/>
      <c r="AR5308" s="31"/>
      <c r="AS5308" s="94"/>
      <c r="AT5308" s="31"/>
      <c r="AU5308" s="31"/>
      <c r="AV5308" s="94"/>
      <c r="AW5308" s="32"/>
      <c r="AX5308" s="32"/>
      <c r="AY5308" s="32"/>
      <c r="AZ5308" s="32"/>
      <c r="BA5308" s="32"/>
      <c r="BB5308" s="31"/>
      <c r="BC5308" s="31"/>
      <c r="BD5308" s="31"/>
      <c r="BE5308" s="31"/>
      <c r="BF5308" s="96"/>
    </row>
    <row r="5309" spans="42:58" x14ac:dyDescent="0.35">
      <c r="AP5309" s="92"/>
      <c r="AQ5309" s="67"/>
      <c r="AR5309" s="67"/>
      <c r="AS5309" s="73"/>
      <c r="AT5309" s="67"/>
      <c r="AU5309" s="67"/>
      <c r="AV5309" s="73"/>
      <c r="AW5309" s="68"/>
      <c r="AX5309" s="68"/>
      <c r="AY5309" s="68"/>
      <c r="AZ5309" s="68"/>
      <c r="BA5309" s="68"/>
      <c r="BB5309" s="67"/>
      <c r="BC5309" s="67"/>
      <c r="BD5309" s="67"/>
      <c r="BE5309" s="67"/>
      <c r="BF5309" s="95"/>
    </row>
    <row r="5310" spans="42:58" x14ac:dyDescent="0.35">
      <c r="AP5310" s="93"/>
      <c r="AQ5310" s="31"/>
      <c r="AR5310" s="31"/>
      <c r="AS5310" s="94"/>
      <c r="AT5310" s="31"/>
      <c r="AU5310" s="31"/>
      <c r="AV5310" s="94"/>
      <c r="AW5310" s="32"/>
      <c r="AX5310" s="32"/>
      <c r="AY5310" s="32"/>
      <c r="AZ5310" s="32"/>
      <c r="BA5310" s="32"/>
      <c r="BB5310" s="31"/>
      <c r="BC5310" s="31"/>
      <c r="BD5310" s="31"/>
      <c r="BE5310" s="31"/>
      <c r="BF5310" s="96"/>
    </row>
    <row r="5311" spans="42:58" x14ac:dyDescent="0.35">
      <c r="AP5311" s="92"/>
      <c r="AQ5311" s="67"/>
      <c r="AR5311" s="67"/>
      <c r="AS5311" s="73"/>
      <c r="AT5311" s="67"/>
      <c r="AU5311" s="67"/>
      <c r="AV5311" s="73"/>
      <c r="AW5311" s="68"/>
      <c r="AX5311" s="68"/>
      <c r="AY5311" s="68"/>
      <c r="AZ5311" s="68"/>
      <c r="BA5311" s="68"/>
      <c r="BB5311" s="67"/>
      <c r="BC5311" s="67"/>
      <c r="BD5311" s="67"/>
      <c r="BE5311" s="67"/>
      <c r="BF5311" s="95"/>
    </row>
    <row r="5312" spans="42:58" x14ac:dyDescent="0.35">
      <c r="AP5312" s="93"/>
      <c r="AQ5312" s="31"/>
      <c r="AR5312" s="31"/>
      <c r="AS5312" s="94"/>
      <c r="AT5312" s="31"/>
      <c r="AU5312" s="31"/>
      <c r="AV5312" s="94"/>
      <c r="AW5312" s="32"/>
      <c r="AX5312" s="32"/>
      <c r="AY5312" s="32"/>
      <c r="AZ5312" s="32"/>
      <c r="BA5312" s="32"/>
      <c r="BB5312" s="31"/>
      <c r="BC5312" s="31"/>
      <c r="BD5312" s="31"/>
      <c r="BE5312" s="31"/>
      <c r="BF5312" s="96"/>
    </row>
    <row r="5313" spans="42:58" x14ac:dyDescent="0.35">
      <c r="AP5313" s="92"/>
      <c r="AQ5313" s="67"/>
      <c r="AR5313" s="67"/>
      <c r="AS5313" s="73"/>
      <c r="AT5313" s="67"/>
      <c r="AU5313" s="67"/>
      <c r="AV5313" s="73"/>
      <c r="AW5313" s="68"/>
      <c r="AX5313" s="68"/>
      <c r="AY5313" s="68"/>
      <c r="AZ5313" s="68"/>
      <c r="BA5313" s="68"/>
      <c r="BB5313" s="67"/>
      <c r="BC5313" s="67"/>
      <c r="BD5313" s="67"/>
      <c r="BE5313" s="67"/>
      <c r="BF5313" s="95"/>
    </row>
    <row r="5314" spans="42:58" x14ac:dyDescent="0.35">
      <c r="AP5314" s="93"/>
      <c r="AQ5314" s="31"/>
      <c r="AR5314" s="31"/>
      <c r="AS5314" s="94"/>
      <c r="AT5314" s="31"/>
      <c r="AU5314" s="31"/>
      <c r="AV5314" s="94"/>
      <c r="AW5314" s="32"/>
      <c r="AX5314" s="32"/>
      <c r="AY5314" s="32"/>
      <c r="AZ5314" s="32"/>
      <c r="BA5314" s="32"/>
      <c r="BB5314" s="31"/>
      <c r="BC5314" s="31"/>
      <c r="BD5314" s="31"/>
      <c r="BE5314" s="31"/>
      <c r="BF5314" s="96"/>
    </row>
    <row r="5315" spans="42:58" x14ac:dyDescent="0.35">
      <c r="AP5315" s="92"/>
      <c r="AQ5315" s="67"/>
      <c r="AR5315" s="67"/>
      <c r="AS5315" s="73"/>
      <c r="AT5315" s="67"/>
      <c r="AU5315" s="67"/>
      <c r="AV5315" s="73"/>
      <c r="AW5315" s="68"/>
      <c r="AX5315" s="68"/>
      <c r="AY5315" s="68"/>
      <c r="AZ5315" s="68"/>
      <c r="BA5315" s="68"/>
      <c r="BB5315" s="67"/>
      <c r="BC5315" s="67"/>
      <c r="BD5315" s="67"/>
      <c r="BE5315" s="67"/>
      <c r="BF5315" s="95"/>
    </row>
    <row r="5316" spans="42:58" x14ac:dyDescent="0.35">
      <c r="AP5316" s="93"/>
      <c r="AQ5316" s="31"/>
      <c r="AR5316" s="31"/>
      <c r="AS5316" s="94"/>
      <c r="AT5316" s="31"/>
      <c r="AU5316" s="31"/>
      <c r="AV5316" s="94"/>
      <c r="AW5316" s="32"/>
      <c r="AX5316" s="32"/>
      <c r="AY5316" s="32"/>
      <c r="AZ5316" s="32"/>
      <c r="BA5316" s="32"/>
      <c r="BB5316" s="31"/>
      <c r="BC5316" s="31"/>
      <c r="BD5316" s="31"/>
      <c r="BE5316" s="31"/>
      <c r="BF5316" s="96"/>
    </row>
    <row r="5317" spans="42:58" x14ac:dyDescent="0.35">
      <c r="AP5317" s="92"/>
      <c r="AQ5317" s="67"/>
      <c r="AR5317" s="67"/>
      <c r="AS5317" s="73"/>
      <c r="AT5317" s="67"/>
      <c r="AU5317" s="67"/>
      <c r="AV5317" s="73"/>
      <c r="AW5317" s="68"/>
      <c r="AX5317" s="68"/>
      <c r="AY5317" s="68"/>
      <c r="AZ5317" s="68"/>
      <c r="BA5317" s="68"/>
      <c r="BB5317" s="67"/>
      <c r="BC5317" s="67"/>
      <c r="BD5317" s="67"/>
      <c r="BE5317" s="67"/>
      <c r="BF5317" s="95"/>
    </row>
    <row r="5318" spans="42:58" x14ac:dyDescent="0.35">
      <c r="AP5318" s="93"/>
      <c r="AQ5318" s="31"/>
      <c r="AR5318" s="31"/>
      <c r="AS5318" s="94"/>
      <c r="AT5318" s="31"/>
      <c r="AU5318" s="31"/>
      <c r="AV5318" s="94"/>
      <c r="AW5318" s="32"/>
      <c r="AX5318" s="32"/>
      <c r="AY5318" s="32"/>
      <c r="AZ5318" s="32"/>
      <c r="BA5318" s="32"/>
      <c r="BB5318" s="31"/>
      <c r="BC5318" s="31"/>
      <c r="BD5318" s="31"/>
      <c r="BE5318" s="31"/>
      <c r="BF5318" s="96"/>
    </row>
    <row r="5319" spans="42:58" x14ac:dyDescent="0.35">
      <c r="AP5319" s="92"/>
      <c r="AQ5319" s="67"/>
      <c r="AR5319" s="67"/>
      <c r="AS5319" s="73"/>
      <c r="AT5319" s="67"/>
      <c r="AU5319" s="67"/>
      <c r="AV5319" s="73"/>
      <c r="AW5319" s="68"/>
      <c r="AX5319" s="68"/>
      <c r="AY5319" s="68"/>
      <c r="AZ5319" s="68"/>
      <c r="BA5319" s="68"/>
      <c r="BB5319" s="67"/>
      <c r="BC5319" s="67"/>
      <c r="BD5319" s="67"/>
      <c r="BE5319" s="67"/>
      <c r="BF5319" s="95"/>
    </row>
    <row r="5320" spans="42:58" x14ac:dyDescent="0.35">
      <c r="AP5320" s="93"/>
      <c r="AQ5320" s="31"/>
      <c r="AR5320" s="31"/>
      <c r="AS5320" s="94"/>
      <c r="AT5320" s="31"/>
      <c r="AU5320" s="31"/>
      <c r="AV5320" s="94"/>
      <c r="AW5320" s="32"/>
      <c r="AX5320" s="32"/>
      <c r="AY5320" s="32"/>
      <c r="AZ5320" s="32"/>
      <c r="BA5320" s="32"/>
      <c r="BB5320" s="31"/>
      <c r="BC5320" s="31"/>
      <c r="BD5320" s="31"/>
      <c r="BE5320" s="31"/>
      <c r="BF5320" s="96"/>
    </row>
    <row r="5321" spans="42:58" x14ac:dyDescent="0.35">
      <c r="AP5321" s="92"/>
      <c r="AQ5321" s="67"/>
      <c r="AR5321" s="67"/>
      <c r="AS5321" s="73"/>
      <c r="AT5321" s="67"/>
      <c r="AU5321" s="67"/>
      <c r="AV5321" s="73"/>
      <c r="AW5321" s="68"/>
      <c r="AX5321" s="68"/>
      <c r="AY5321" s="68"/>
      <c r="AZ5321" s="68"/>
      <c r="BA5321" s="68"/>
      <c r="BB5321" s="67"/>
      <c r="BC5321" s="67"/>
      <c r="BD5321" s="67"/>
      <c r="BE5321" s="67"/>
      <c r="BF5321" s="95"/>
    </row>
    <row r="5322" spans="42:58" x14ac:dyDescent="0.35">
      <c r="AP5322" s="93"/>
      <c r="AQ5322" s="31"/>
      <c r="AR5322" s="31"/>
      <c r="AS5322" s="94"/>
      <c r="AT5322" s="31"/>
      <c r="AU5322" s="31"/>
      <c r="AV5322" s="94"/>
      <c r="AW5322" s="32"/>
      <c r="AX5322" s="32"/>
      <c r="AY5322" s="32"/>
      <c r="AZ5322" s="32"/>
      <c r="BA5322" s="32"/>
      <c r="BB5322" s="31"/>
      <c r="BC5322" s="31"/>
      <c r="BD5322" s="31"/>
      <c r="BE5322" s="31"/>
      <c r="BF5322" s="96"/>
    </row>
    <row r="5323" spans="42:58" x14ac:dyDescent="0.35">
      <c r="AP5323" s="92"/>
      <c r="AQ5323" s="67"/>
      <c r="AR5323" s="67"/>
      <c r="AS5323" s="73"/>
      <c r="AT5323" s="67"/>
      <c r="AU5323" s="67"/>
      <c r="AV5323" s="73"/>
      <c r="AW5323" s="68"/>
      <c r="AX5323" s="68"/>
      <c r="AY5323" s="68"/>
      <c r="AZ5323" s="68"/>
      <c r="BA5323" s="68"/>
      <c r="BB5323" s="67"/>
      <c r="BC5323" s="67"/>
      <c r="BD5323" s="67"/>
      <c r="BE5323" s="67"/>
      <c r="BF5323" s="95"/>
    </row>
    <row r="5324" spans="42:58" x14ac:dyDescent="0.35">
      <c r="AP5324" s="93"/>
      <c r="AQ5324" s="31"/>
      <c r="AR5324" s="31"/>
      <c r="AS5324" s="94"/>
      <c r="AT5324" s="31"/>
      <c r="AU5324" s="31"/>
      <c r="AV5324" s="94"/>
      <c r="AW5324" s="32"/>
      <c r="AX5324" s="32"/>
      <c r="AY5324" s="32"/>
      <c r="AZ5324" s="32"/>
      <c r="BA5324" s="32"/>
      <c r="BB5324" s="31"/>
      <c r="BC5324" s="31"/>
      <c r="BD5324" s="31"/>
      <c r="BE5324" s="31"/>
      <c r="BF5324" s="96"/>
    </row>
    <row r="5325" spans="42:58" x14ac:dyDescent="0.35">
      <c r="AP5325" s="92"/>
      <c r="AQ5325" s="67"/>
      <c r="AR5325" s="67"/>
      <c r="AS5325" s="73"/>
      <c r="AT5325" s="67"/>
      <c r="AU5325" s="67"/>
      <c r="AV5325" s="73"/>
      <c r="AW5325" s="68"/>
      <c r="AX5325" s="68"/>
      <c r="AY5325" s="68"/>
      <c r="AZ5325" s="68"/>
      <c r="BA5325" s="68"/>
      <c r="BB5325" s="67"/>
      <c r="BC5325" s="67"/>
      <c r="BD5325" s="67"/>
      <c r="BE5325" s="67"/>
      <c r="BF5325" s="95"/>
    </row>
    <row r="5326" spans="42:58" x14ac:dyDescent="0.35">
      <c r="AP5326" s="93"/>
      <c r="AQ5326" s="31"/>
      <c r="AR5326" s="31"/>
      <c r="AS5326" s="94"/>
      <c r="AT5326" s="31"/>
      <c r="AU5326" s="31"/>
      <c r="AV5326" s="94"/>
      <c r="AW5326" s="32"/>
      <c r="AX5326" s="32"/>
      <c r="AY5326" s="32"/>
      <c r="AZ5326" s="32"/>
      <c r="BA5326" s="32"/>
      <c r="BB5326" s="31"/>
      <c r="BC5326" s="31"/>
      <c r="BD5326" s="31"/>
      <c r="BE5326" s="31"/>
      <c r="BF5326" s="96"/>
    </row>
    <row r="5327" spans="42:58" x14ac:dyDescent="0.35">
      <c r="AP5327" s="92"/>
      <c r="AQ5327" s="67"/>
      <c r="AR5327" s="67"/>
      <c r="AS5327" s="73"/>
      <c r="AT5327" s="67"/>
      <c r="AU5327" s="67"/>
      <c r="AV5327" s="73"/>
      <c r="AW5327" s="68"/>
      <c r="AX5327" s="68"/>
      <c r="AY5327" s="68"/>
      <c r="AZ5327" s="68"/>
      <c r="BA5327" s="68"/>
      <c r="BB5327" s="67"/>
      <c r="BC5327" s="67"/>
      <c r="BD5327" s="67"/>
      <c r="BE5327" s="67"/>
      <c r="BF5327" s="95"/>
    </row>
    <row r="5328" spans="42:58" x14ac:dyDescent="0.35">
      <c r="AP5328" s="93"/>
      <c r="AQ5328" s="31"/>
      <c r="AR5328" s="31"/>
      <c r="AS5328" s="94"/>
      <c r="AT5328" s="31"/>
      <c r="AU5328" s="31"/>
      <c r="AV5328" s="94"/>
      <c r="AW5328" s="32"/>
      <c r="AX5328" s="32"/>
      <c r="AY5328" s="32"/>
      <c r="AZ5328" s="32"/>
      <c r="BA5328" s="32"/>
      <c r="BB5328" s="31"/>
      <c r="BC5328" s="31"/>
      <c r="BD5328" s="31"/>
      <c r="BE5328" s="31"/>
      <c r="BF5328" s="96"/>
    </row>
    <row r="5329" spans="42:58" x14ac:dyDescent="0.35">
      <c r="AP5329" s="92"/>
      <c r="AQ5329" s="67"/>
      <c r="AR5329" s="67"/>
      <c r="AS5329" s="73"/>
      <c r="AT5329" s="67"/>
      <c r="AU5329" s="67"/>
      <c r="AV5329" s="73"/>
      <c r="AW5329" s="68"/>
      <c r="AX5329" s="68"/>
      <c r="AY5329" s="68"/>
      <c r="AZ5329" s="68"/>
      <c r="BA5329" s="68"/>
      <c r="BB5329" s="67"/>
      <c r="BC5329" s="67"/>
      <c r="BD5329" s="67"/>
      <c r="BE5329" s="67"/>
      <c r="BF5329" s="95"/>
    </row>
    <row r="5330" spans="42:58" x14ac:dyDescent="0.35">
      <c r="AP5330" s="93"/>
      <c r="AQ5330" s="31"/>
      <c r="AR5330" s="31"/>
      <c r="AS5330" s="94"/>
      <c r="AT5330" s="31"/>
      <c r="AU5330" s="31"/>
      <c r="AV5330" s="94"/>
      <c r="AW5330" s="32"/>
      <c r="AX5330" s="32"/>
      <c r="AY5330" s="32"/>
      <c r="AZ5330" s="32"/>
      <c r="BA5330" s="32"/>
      <c r="BB5330" s="31"/>
      <c r="BC5330" s="31"/>
      <c r="BD5330" s="31"/>
      <c r="BE5330" s="31"/>
      <c r="BF5330" s="96"/>
    </row>
    <row r="5331" spans="42:58" x14ac:dyDescent="0.35">
      <c r="AP5331" s="92"/>
      <c r="AQ5331" s="67"/>
      <c r="AR5331" s="67"/>
      <c r="AS5331" s="73"/>
      <c r="AT5331" s="67"/>
      <c r="AU5331" s="67"/>
      <c r="AV5331" s="73"/>
      <c r="AW5331" s="68"/>
      <c r="AX5331" s="68"/>
      <c r="AY5331" s="68"/>
      <c r="AZ5331" s="68"/>
      <c r="BA5331" s="68"/>
      <c r="BB5331" s="67"/>
      <c r="BC5331" s="67"/>
      <c r="BD5331" s="67"/>
      <c r="BE5331" s="67"/>
      <c r="BF5331" s="95"/>
    </row>
    <row r="5332" spans="42:58" x14ac:dyDescent="0.35">
      <c r="AP5332" s="93"/>
      <c r="AQ5332" s="31"/>
      <c r="AR5332" s="31"/>
      <c r="AS5332" s="94"/>
      <c r="AT5332" s="31"/>
      <c r="AU5332" s="31"/>
      <c r="AV5332" s="94"/>
      <c r="AW5332" s="32"/>
      <c r="AX5332" s="32"/>
      <c r="AY5332" s="32"/>
      <c r="AZ5332" s="32"/>
      <c r="BA5332" s="32"/>
      <c r="BB5332" s="31"/>
      <c r="BC5332" s="31"/>
      <c r="BD5332" s="31"/>
      <c r="BE5332" s="31"/>
      <c r="BF5332" s="96"/>
    </row>
    <row r="5333" spans="42:58" x14ac:dyDescent="0.35">
      <c r="AP5333" s="92"/>
      <c r="AQ5333" s="67"/>
      <c r="AR5333" s="67"/>
      <c r="AS5333" s="73"/>
      <c r="AT5333" s="67"/>
      <c r="AU5333" s="67"/>
      <c r="AV5333" s="73"/>
      <c r="AW5333" s="68"/>
      <c r="AX5333" s="68"/>
      <c r="AY5333" s="68"/>
      <c r="AZ5333" s="68"/>
      <c r="BA5333" s="68"/>
      <c r="BB5333" s="67"/>
      <c r="BC5333" s="67"/>
      <c r="BD5333" s="67"/>
      <c r="BE5333" s="67"/>
      <c r="BF5333" s="95"/>
    </row>
    <row r="5334" spans="42:58" x14ac:dyDescent="0.35">
      <c r="AP5334" s="93"/>
      <c r="AQ5334" s="31"/>
      <c r="AR5334" s="31"/>
      <c r="AS5334" s="94"/>
      <c r="AT5334" s="31"/>
      <c r="AU5334" s="31"/>
      <c r="AV5334" s="94"/>
      <c r="AW5334" s="32"/>
      <c r="AX5334" s="32"/>
      <c r="AY5334" s="32"/>
      <c r="AZ5334" s="32"/>
      <c r="BA5334" s="32"/>
      <c r="BB5334" s="31"/>
      <c r="BC5334" s="31"/>
      <c r="BD5334" s="31"/>
      <c r="BE5334" s="31"/>
      <c r="BF5334" s="96"/>
    </row>
    <row r="5335" spans="42:58" x14ac:dyDescent="0.35">
      <c r="AP5335" s="92"/>
      <c r="AQ5335" s="67"/>
      <c r="AR5335" s="67"/>
      <c r="AS5335" s="73"/>
      <c r="AT5335" s="67"/>
      <c r="AU5335" s="67"/>
      <c r="AV5335" s="73"/>
      <c r="AW5335" s="68"/>
      <c r="AX5335" s="68"/>
      <c r="AY5335" s="68"/>
      <c r="AZ5335" s="68"/>
      <c r="BA5335" s="68"/>
      <c r="BB5335" s="67"/>
      <c r="BC5335" s="67"/>
      <c r="BD5335" s="67"/>
      <c r="BE5335" s="67"/>
      <c r="BF5335" s="95"/>
    </row>
    <row r="5336" spans="42:58" x14ac:dyDescent="0.35">
      <c r="AP5336" s="93"/>
      <c r="AQ5336" s="31"/>
      <c r="AR5336" s="31"/>
      <c r="AS5336" s="94"/>
      <c r="AT5336" s="31"/>
      <c r="AU5336" s="31"/>
      <c r="AV5336" s="94"/>
      <c r="AW5336" s="32"/>
      <c r="AX5336" s="32"/>
      <c r="AY5336" s="32"/>
      <c r="AZ5336" s="32"/>
      <c r="BA5336" s="32"/>
      <c r="BB5336" s="31"/>
      <c r="BC5336" s="31"/>
      <c r="BD5336" s="31"/>
      <c r="BE5336" s="31"/>
      <c r="BF5336" s="96"/>
    </row>
    <row r="5337" spans="42:58" x14ac:dyDescent="0.35">
      <c r="AP5337" s="92"/>
      <c r="AQ5337" s="67"/>
      <c r="AR5337" s="67"/>
      <c r="AS5337" s="73"/>
      <c r="AT5337" s="67"/>
      <c r="AU5337" s="67"/>
      <c r="AV5337" s="73"/>
      <c r="AW5337" s="68"/>
      <c r="AX5337" s="68"/>
      <c r="AY5337" s="68"/>
      <c r="AZ5337" s="68"/>
      <c r="BA5337" s="68"/>
      <c r="BB5337" s="67"/>
      <c r="BC5337" s="67"/>
      <c r="BD5337" s="67"/>
      <c r="BE5337" s="67"/>
      <c r="BF5337" s="95"/>
    </row>
    <row r="5338" spans="42:58" x14ac:dyDescent="0.35">
      <c r="AP5338" s="93"/>
      <c r="AQ5338" s="31"/>
      <c r="AR5338" s="31"/>
      <c r="AS5338" s="94"/>
      <c r="AT5338" s="31"/>
      <c r="AU5338" s="31"/>
      <c r="AV5338" s="94"/>
      <c r="AW5338" s="32"/>
      <c r="AX5338" s="32"/>
      <c r="AY5338" s="32"/>
      <c r="AZ5338" s="32"/>
      <c r="BA5338" s="32"/>
      <c r="BB5338" s="31"/>
      <c r="BC5338" s="31"/>
      <c r="BD5338" s="31"/>
      <c r="BE5338" s="31"/>
      <c r="BF5338" s="96"/>
    </row>
    <row r="5339" spans="42:58" x14ac:dyDescent="0.35">
      <c r="AP5339" s="92"/>
      <c r="AQ5339" s="67"/>
      <c r="AR5339" s="67"/>
      <c r="AS5339" s="73"/>
      <c r="AT5339" s="67"/>
      <c r="AU5339" s="67"/>
      <c r="AV5339" s="73"/>
      <c r="AW5339" s="68"/>
      <c r="AX5339" s="68"/>
      <c r="AY5339" s="68"/>
      <c r="AZ5339" s="68"/>
      <c r="BA5339" s="68"/>
      <c r="BB5339" s="67"/>
      <c r="BC5339" s="67"/>
      <c r="BD5339" s="67"/>
      <c r="BE5339" s="67"/>
      <c r="BF5339" s="95"/>
    </row>
    <row r="5340" spans="42:58" x14ac:dyDescent="0.35">
      <c r="AP5340" s="93"/>
      <c r="AQ5340" s="31"/>
      <c r="AR5340" s="31"/>
      <c r="AS5340" s="94"/>
      <c r="AT5340" s="31"/>
      <c r="AU5340" s="31"/>
      <c r="AV5340" s="94"/>
      <c r="AW5340" s="32"/>
      <c r="AX5340" s="32"/>
      <c r="AY5340" s="32"/>
      <c r="AZ5340" s="32"/>
      <c r="BA5340" s="32"/>
      <c r="BB5340" s="31"/>
      <c r="BC5340" s="31"/>
      <c r="BD5340" s="31"/>
      <c r="BE5340" s="31"/>
      <c r="BF5340" s="96"/>
    </row>
    <row r="5341" spans="42:58" x14ac:dyDescent="0.35">
      <c r="AP5341" s="92"/>
      <c r="AQ5341" s="67"/>
      <c r="AR5341" s="67"/>
      <c r="AS5341" s="73"/>
      <c r="AT5341" s="67"/>
      <c r="AU5341" s="67"/>
      <c r="AV5341" s="73"/>
      <c r="AW5341" s="68"/>
      <c r="AX5341" s="68"/>
      <c r="AY5341" s="68"/>
      <c r="AZ5341" s="68"/>
      <c r="BA5341" s="68"/>
      <c r="BB5341" s="67"/>
      <c r="BC5341" s="67"/>
      <c r="BD5341" s="67"/>
      <c r="BE5341" s="67"/>
      <c r="BF5341" s="95"/>
    </row>
    <row r="5342" spans="42:58" x14ac:dyDescent="0.35">
      <c r="AP5342" s="93"/>
      <c r="AQ5342" s="31"/>
      <c r="AR5342" s="31"/>
      <c r="AS5342" s="94"/>
      <c r="AT5342" s="31"/>
      <c r="AU5342" s="31"/>
      <c r="AV5342" s="94"/>
      <c r="AW5342" s="32"/>
      <c r="AX5342" s="32"/>
      <c r="AY5342" s="32"/>
      <c r="AZ5342" s="32"/>
      <c r="BA5342" s="32"/>
      <c r="BB5342" s="31"/>
      <c r="BC5342" s="31"/>
      <c r="BD5342" s="31"/>
      <c r="BE5342" s="31"/>
      <c r="BF5342" s="96"/>
    </row>
    <row r="5343" spans="42:58" x14ac:dyDescent="0.35">
      <c r="AP5343" s="92"/>
      <c r="AQ5343" s="67"/>
      <c r="AR5343" s="67"/>
      <c r="AS5343" s="73"/>
      <c r="AT5343" s="67"/>
      <c r="AU5343" s="67"/>
      <c r="AV5343" s="73"/>
      <c r="AW5343" s="68"/>
      <c r="AX5343" s="68"/>
      <c r="AY5343" s="68"/>
      <c r="AZ5343" s="68"/>
      <c r="BA5343" s="68"/>
      <c r="BB5343" s="67"/>
      <c r="BC5343" s="67"/>
      <c r="BD5343" s="67"/>
      <c r="BE5343" s="67"/>
      <c r="BF5343" s="95"/>
    </row>
    <row r="5344" spans="42:58" x14ac:dyDescent="0.35">
      <c r="AP5344" s="93"/>
      <c r="AQ5344" s="31"/>
      <c r="AR5344" s="31"/>
      <c r="AS5344" s="94"/>
      <c r="AT5344" s="31"/>
      <c r="AU5344" s="31"/>
      <c r="AV5344" s="94"/>
      <c r="AW5344" s="32"/>
      <c r="AX5344" s="32"/>
      <c r="AY5344" s="32"/>
      <c r="AZ5344" s="32"/>
      <c r="BA5344" s="32"/>
      <c r="BB5344" s="31"/>
      <c r="BC5344" s="31"/>
      <c r="BD5344" s="31"/>
      <c r="BE5344" s="31"/>
      <c r="BF5344" s="96"/>
    </row>
    <row r="5345" spans="42:58" x14ac:dyDescent="0.35">
      <c r="AP5345" s="92"/>
      <c r="AQ5345" s="67"/>
      <c r="AR5345" s="67"/>
      <c r="AS5345" s="73"/>
      <c r="AT5345" s="67"/>
      <c r="AU5345" s="67"/>
      <c r="AV5345" s="73"/>
      <c r="AW5345" s="68"/>
      <c r="AX5345" s="68"/>
      <c r="AY5345" s="68"/>
      <c r="AZ5345" s="68"/>
      <c r="BA5345" s="68"/>
      <c r="BB5345" s="67"/>
      <c r="BC5345" s="67"/>
      <c r="BD5345" s="67"/>
      <c r="BE5345" s="67"/>
      <c r="BF5345" s="95"/>
    </row>
    <row r="5346" spans="42:58" x14ac:dyDescent="0.35">
      <c r="AP5346" s="93"/>
      <c r="AQ5346" s="31"/>
      <c r="AR5346" s="31"/>
      <c r="AS5346" s="94"/>
      <c r="AT5346" s="31"/>
      <c r="AU5346" s="31"/>
      <c r="AV5346" s="94"/>
      <c r="AW5346" s="32"/>
      <c r="AX5346" s="32"/>
      <c r="AY5346" s="32"/>
      <c r="AZ5346" s="32"/>
      <c r="BA5346" s="32"/>
      <c r="BB5346" s="31"/>
      <c r="BC5346" s="31"/>
      <c r="BD5346" s="31"/>
      <c r="BE5346" s="31"/>
      <c r="BF5346" s="96"/>
    </row>
    <row r="5347" spans="42:58" x14ac:dyDescent="0.35">
      <c r="AP5347" s="92"/>
      <c r="AQ5347" s="67"/>
      <c r="AR5347" s="67"/>
      <c r="AS5347" s="73"/>
      <c r="AT5347" s="67"/>
      <c r="AU5347" s="67"/>
      <c r="AV5347" s="73"/>
      <c r="AW5347" s="68"/>
      <c r="AX5347" s="68"/>
      <c r="AY5347" s="68"/>
      <c r="AZ5347" s="68"/>
      <c r="BA5347" s="68"/>
      <c r="BB5347" s="67"/>
      <c r="BC5347" s="67"/>
      <c r="BD5347" s="67"/>
      <c r="BE5347" s="67"/>
      <c r="BF5347" s="95"/>
    </row>
    <row r="5348" spans="42:58" x14ac:dyDescent="0.35">
      <c r="AP5348" s="93"/>
      <c r="AQ5348" s="31"/>
      <c r="AR5348" s="31"/>
      <c r="AS5348" s="94"/>
      <c r="AT5348" s="31"/>
      <c r="AU5348" s="31"/>
      <c r="AV5348" s="94"/>
      <c r="AW5348" s="32"/>
      <c r="AX5348" s="32"/>
      <c r="AY5348" s="32"/>
      <c r="AZ5348" s="32"/>
      <c r="BA5348" s="32"/>
      <c r="BB5348" s="31"/>
      <c r="BC5348" s="31"/>
      <c r="BD5348" s="31"/>
      <c r="BE5348" s="31"/>
      <c r="BF5348" s="96"/>
    </row>
    <row r="5349" spans="42:58" x14ac:dyDescent="0.35">
      <c r="AP5349" s="92"/>
      <c r="AQ5349" s="67"/>
      <c r="AR5349" s="67"/>
      <c r="AS5349" s="73"/>
      <c r="AT5349" s="67"/>
      <c r="AU5349" s="67"/>
      <c r="AV5349" s="73"/>
      <c r="AW5349" s="68"/>
      <c r="AX5349" s="68"/>
      <c r="AY5349" s="68"/>
      <c r="AZ5349" s="68"/>
      <c r="BA5349" s="68"/>
      <c r="BB5349" s="67"/>
      <c r="BC5349" s="67"/>
      <c r="BD5349" s="67"/>
      <c r="BE5349" s="67"/>
      <c r="BF5349" s="95"/>
    </row>
    <row r="5350" spans="42:58" x14ac:dyDescent="0.35">
      <c r="AP5350" s="93"/>
      <c r="AQ5350" s="31"/>
      <c r="AR5350" s="31"/>
      <c r="AS5350" s="94"/>
      <c r="AT5350" s="31"/>
      <c r="AU5350" s="31"/>
      <c r="AV5350" s="94"/>
      <c r="AW5350" s="32"/>
      <c r="AX5350" s="32"/>
      <c r="AY5350" s="32"/>
      <c r="AZ5350" s="32"/>
      <c r="BA5350" s="32"/>
      <c r="BB5350" s="31"/>
      <c r="BC5350" s="31"/>
      <c r="BD5350" s="31"/>
      <c r="BE5350" s="31"/>
      <c r="BF5350" s="96"/>
    </row>
    <row r="5351" spans="42:58" x14ac:dyDescent="0.35">
      <c r="AP5351" s="92"/>
      <c r="AQ5351" s="67"/>
      <c r="AR5351" s="67"/>
      <c r="AS5351" s="73"/>
      <c r="AT5351" s="67"/>
      <c r="AU5351" s="67"/>
      <c r="AV5351" s="73"/>
      <c r="AW5351" s="68"/>
      <c r="AX5351" s="68"/>
      <c r="AY5351" s="68"/>
      <c r="AZ5351" s="68"/>
      <c r="BA5351" s="68"/>
      <c r="BB5351" s="67"/>
      <c r="BC5351" s="67"/>
      <c r="BD5351" s="67"/>
      <c r="BE5351" s="67"/>
      <c r="BF5351" s="95"/>
    </row>
    <row r="5352" spans="42:58" x14ac:dyDescent="0.35">
      <c r="AP5352" s="93"/>
      <c r="AQ5352" s="31"/>
      <c r="AR5352" s="31"/>
      <c r="AS5352" s="94"/>
      <c r="AT5352" s="31"/>
      <c r="AU5352" s="31"/>
      <c r="AV5352" s="94"/>
      <c r="AW5352" s="32"/>
      <c r="AX5352" s="32"/>
      <c r="AY5352" s="32"/>
      <c r="AZ5352" s="32"/>
      <c r="BA5352" s="32"/>
      <c r="BB5352" s="31"/>
      <c r="BC5352" s="31"/>
      <c r="BD5352" s="31"/>
      <c r="BE5352" s="31"/>
      <c r="BF5352" s="96"/>
    </row>
    <row r="5353" spans="42:58" x14ac:dyDescent="0.35">
      <c r="AP5353" s="92"/>
      <c r="AQ5353" s="67"/>
      <c r="AR5353" s="67"/>
      <c r="AS5353" s="73"/>
      <c r="AT5353" s="67"/>
      <c r="AU5353" s="67"/>
      <c r="AV5353" s="73"/>
      <c r="AW5353" s="68"/>
      <c r="AX5353" s="68"/>
      <c r="AY5353" s="68"/>
      <c r="AZ5353" s="68"/>
      <c r="BA5353" s="68"/>
      <c r="BB5353" s="67"/>
      <c r="BC5353" s="67"/>
      <c r="BD5353" s="67"/>
      <c r="BE5353" s="67"/>
      <c r="BF5353" s="95"/>
    </row>
    <row r="5354" spans="42:58" x14ac:dyDescent="0.35">
      <c r="AP5354" s="93"/>
      <c r="AQ5354" s="31"/>
      <c r="AR5354" s="31"/>
      <c r="AS5354" s="94"/>
      <c r="AT5354" s="31"/>
      <c r="AU5354" s="31"/>
      <c r="AV5354" s="94"/>
      <c r="AW5354" s="32"/>
      <c r="AX5354" s="32"/>
      <c r="AY5354" s="32"/>
      <c r="AZ5354" s="32"/>
      <c r="BA5354" s="32"/>
      <c r="BB5354" s="31"/>
      <c r="BC5354" s="31"/>
      <c r="BD5354" s="31"/>
      <c r="BE5354" s="31"/>
      <c r="BF5354" s="96"/>
    </row>
    <row r="5355" spans="42:58" x14ac:dyDescent="0.35">
      <c r="AP5355" s="92"/>
      <c r="AQ5355" s="67"/>
      <c r="AR5355" s="67"/>
      <c r="AS5355" s="73"/>
      <c r="AT5355" s="67"/>
      <c r="AU5355" s="67"/>
      <c r="AV5355" s="73"/>
      <c r="AW5355" s="68"/>
      <c r="AX5355" s="68"/>
      <c r="AY5355" s="68"/>
      <c r="AZ5355" s="68"/>
      <c r="BA5355" s="68"/>
      <c r="BB5355" s="67"/>
      <c r="BC5355" s="67"/>
      <c r="BD5355" s="67"/>
      <c r="BE5355" s="67"/>
      <c r="BF5355" s="95"/>
    </row>
    <row r="5356" spans="42:58" x14ac:dyDescent="0.35">
      <c r="AP5356" s="93"/>
      <c r="AQ5356" s="31"/>
      <c r="AR5356" s="31"/>
      <c r="AS5356" s="94"/>
      <c r="AT5356" s="31"/>
      <c r="AU5356" s="31"/>
      <c r="AV5356" s="94"/>
      <c r="AW5356" s="32"/>
      <c r="AX5356" s="32"/>
      <c r="AY5356" s="32"/>
      <c r="AZ5356" s="32"/>
      <c r="BA5356" s="32"/>
      <c r="BB5356" s="31"/>
      <c r="BC5356" s="31"/>
      <c r="BD5356" s="31"/>
      <c r="BE5356" s="31"/>
      <c r="BF5356" s="96"/>
    </row>
    <row r="5357" spans="42:58" x14ac:dyDescent="0.35">
      <c r="AP5357" s="92"/>
      <c r="AQ5357" s="67"/>
      <c r="AR5357" s="67"/>
      <c r="AS5357" s="73"/>
      <c r="AT5357" s="67"/>
      <c r="AU5357" s="67"/>
      <c r="AV5357" s="73"/>
      <c r="AW5357" s="68"/>
      <c r="AX5357" s="68"/>
      <c r="AY5357" s="68"/>
      <c r="AZ5357" s="68"/>
      <c r="BA5357" s="68"/>
      <c r="BB5357" s="67"/>
      <c r="BC5357" s="67"/>
      <c r="BD5357" s="67"/>
      <c r="BE5357" s="67"/>
      <c r="BF5357" s="95"/>
    </row>
    <row r="5358" spans="42:58" x14ac:dyDescent="0.35">
      <c r="AP5358" s="93"/>
      <c r="AQ5358" s="31"/>
      <c r="AR5358" s="31"/>
      <c r="AS5358" s="94"/>
      <c r="AT5358" s="31"/>
      <c r="AU5358" s="31"/>
      <c r="AV5358" s="94"/>
      <c r="AW5358" s="32"/>
      <c r="AX5358" s="32"/>
      <c r="AY5358" s="32"/>
      <c r="AZ5358" s="32"/>
      <c r="BA5358" s="32"/>
      <c r="BB5358" s="31"/>
      <c r="BC5358" s="31"/>
      <c r="BD5358" s="31"/>
      <c r="BE5358" s="31"/>
      <c r="BF5358" s="96"/>
    </row>
    <row r="5359" spans="42:58" x14ac:dyDescent="0.35">
      <c r="AP5359" s="92"/>
      <c r="AQ5359" s="67"/>
      <c r="AR5359" s="67"/>
      <c r="AS5359" s="73"/>
      <c r="AT5359" s="67"/>
      <c r="AU5359" s="67"/>
      <c r="AV5359" s="73"/>
      <c r="AW5359" s="68"/>
      <c r="AX5359" s="68"/>
      <c r="AY5359" s="68"/>
      <c r="AZ5359" s="68"/>
      <c r="BA5359" s="68"/>
      <c r="BB5359" s="67"/>
      <c r="BC5359" s="67"/>
      <c r="BD5359" s="67"/>
      <c r="BE5359" s="67"/>
      <c r="BF5359" s="95"/>
    </row>
    <row r="5360" spans="42:58" x14ac:dyDescent="0.35">
      <c r="AP5360" s="93"/>
      <c r="AQ5360" s="31"/>
      <c r="AR5360" s="31"/>
      <c r="AS5360" s="94"/>
      <c r="AT5360" s="31"/>
      <c r="AU5360" s="31"/>
      <c r="AV5360" s="94"/>
      <c r="AW5360" s="32"/>
      <c r="AX5360" s="32"/>
      <c r="AY5360" s="32"/>
      <c r="AZ5360" s="32"/>
      <c r="BA5360" s="32"/>
      <c r="BB5360" s="31"/>
      <c r="BC5360" s="31"/>
      <c r="BD5360" s="31"/>
      <c r="BE5360" s="31"/>
      <c r="BF5360" s="96"/>
    </row>
    <row r="5361" spans="42:58" x14ac:dyDescent="0.35">
      <c r="AP5361" s="92"/>
      <c r="AQ5361" s="67"/>
      <c r="AR5361" s="67"/>
      <c r="AS5361" s="73"/>
      <c r="AT5361" s="67"/>
      <c r="AU5361" s="67"/>
      <c r="AV5361" s="73"/>
      <c r="AW5361" s="68"/>
      <c r="AX5361" s="68"/>
      <c r="AY5361" s="68"/>
      <c r="AZ5361" s="68"/>
      <c r="BA5361" s="68"/>
      <c r="BB5361" s="67"/>
      <c r="BC5361" s="67"/>
      <c r="BD5361" s="67"/>
      <c r="BE5361" s="67"/>
      <c r="BF5361" s="95"/>
    </row>
    <row r="5362" spans="42:58" x14ac:dyDescent="0.35">
      <c r="AP5362" s="93"/>
      <c r="AQ5362" s="31"/>
      <c r="AR5362" s="31"/>
      <c r="AS5362" s="94"/>
      <c r="AT5362" s="31"/>
      <c r="AU5362" s="31"/>
      <c r="AV5362" s="94"/>
      <c r="AW5362" s="32"/>
      <c r="AX5362" s="32"/>
      <c r="AY5362" s="32"/>
      <c r="AZ5362" s="32"/>
      <c r="BA5362" s="32"/>
      <c r="BB5362" s="31"/>
      <c r="BC5362" s="31"/>
      <c r="BD5362" s="31"/>
      <c r="BE5362" s="31"/>
      <c r="BF5362" s="96"/>
    </row>
    <row r="5363" spans="42:58" x14ac:dyDescent="0.35">
      <c r="AP5363" s="92"/>
      <c r="AQ5363" s="67"/>
      <c r="AR5363" s="67"/>
      <c r="AS5363" s="73"/>
      <c r="AT5363" s="67"/>
      <c r="AU5363" s="67"/>
      <c r="AV5363" s="73"/>
      <c r="AW5363" s="68"/>
      <c r="AX5363" s="68"/>
      <c r="AY5363" s="68"/>
      <c r="AZ5363" s="68"/>
      <c r="BA5363" s="68"/>
      <c r="BB5363" s="67"/>
      <c r="BC5363" s="67"/>
      <c r="BD5363" s="67"/>
      <c r="BE5363" s="67"/>
      <c r="BF5363" s="95"/>
    </row>
    <row r="5364" spans="42:58" x14ac:dyDescent="0.35">
      <c r="AP5364" s="93"/>
      <c r="AQ5364" s="31"/>
      <c r="AR5364" s="31"/>
      <c r="AS5364" s="94"/>
      <c r="AT5364" s="31"/>
      <c r="AU5364" s="31"/>
      <c r="AV5364" s="94"/>
      <c r="AW5364" s="32"/>
      <c r="AX5364" s="32"/>
      <c r="AY5364" s="32"/>
      <c r="AZ5364" s="32"/>
      <c r="BA5364" s="32"/>
      <c r="BB5364" s="31"/>
      <c r="BC5364" s="31"/>
      <c r="BD5364" s="31"/>
      <c r="BE5364" s="31"/>
      <c r="BF5364" s="96"/>
    </row>
    <row r="5365" spans="42:58" x14ac:dyDescent="0.35">
      <c r="AP5365" s="92"/>
      <c r="AQ5365" s="67"/>
      <c r="AR5365" s="67"/>
      <c r="AS5365" s="73"/>
      <c r="AT5365" s="67"/>
      <c r="AU5365" s="67"/>
      <c r="AV5365" s="73"/>
      <c r="AW5365" s="68"/>
      <c r="AX5365" s="68"/>
      <c r="AY5365" s="68"/>
      <c r="AZ5365" s="68"/>
      <c r="BA5365" s="68"/>
      <c r="BB5365" s="67"/>
      <c r="BC5365" s="67"/>
      <c r="BD5365" s="67"/>
      <c r="BE5365" s="67"/>
      <c r="BF5365" s="95"/>
    </row>
    <row r="5366" spans="42:58" x14ac:dyDescent="0.35">
      <c r="AP5366" s="93"/>
      <c r="AQ5366" s="31"/>
      <c r="AR5366" s="31"/>
      <c r="AS5366" s="94"/>
      <c r="AT5366" s="31"/>
      <c r="AU5366" s="31"/>
      <c r="AV5366" s="94"/>
      <c r="AW5366" s="32"/>
      <c r="AX5366" s="32"/>
      <c r="AY5366" s="32"/>
      <c r="AZ5366" s="32"/>
      <c r="BA5366" s="32"/>
      <c r="BB5366" s="31"/>
      <c r="BC5366" s="31"/>
      <c r="BD5366" s="31"/>
      <c r="BE5366" s="31"/>
      <c r="BF5366" s="96"/>
    </row>
    <row r="5367" spans="42:58" x14ac:dyDescent="0.35">
      <c r="AP5367" s="92"/>
      <c r="AQ5367" s="67"/>
      <c r="AR5367" s="67"/>
      <c r="AS5367" s="73"/>
      <c r="AT5367" s="67"/>
      <c r="AU5367" s="67"/>
      <c r="AV5367" s="73"/>
      <c r="AW5367" s="68"/>
      <c r="AX5367" s="68"/>
      <c r="AY5367" s="68"/>
      <c r="AZ5367" s="68"/>
      <c r="BA5367" s="68"/>
      <c r="BB5367" s="67"/>
      <c r="BC5367" s="67"/>
      <c r="BD5367" s="67"/>
      <c r="BE5367" s="67"/>
      <c r="BF5367" s="95"/>
    </row>
    <row r="5368" spans="42:58" x14ac:dyDescent="0.35">
      <c r="AP5368" s="93"/>
      <c r="AQ5368" s="31"/>
      <c r="AR5368" s="31"/>
      <c r="AS5368" s="94"/>
      <c r="AT5368" s="31"/>
      <c r="AU5368" s="31"/>
      <c r="AV5368" s="94"/>
      <c r="AW5368" s="32"/>
      <c r="AX5368" s="32"/>
      <c r="AY5368" s="32"/>
      <c r="AZ5368" s="32"/>
      <c r="BA5368" s="32"/>
      <c r="BB5368" s="31"/>
      <c r="BC5368" s="31"/>
      <c r="BD5368" s="31"/>
      <c r="BE5368" s="31"/>
      <c r="BF5368" s="96"/>
    </row>
    <row r="5369" spans="42:58" x14ac:dyDescent="0.35">
      <c r="AP5369" s="92"/>
      <c r="AQ5369" s="67"/>
      <c r="AR5369" s="67"/>
      <c r="AS5369" s="73"/>
      <c r="AT5369" s="67"/>
      <c r="AU5369" s="67"/>
      <c r="AV5369" s="73"/>
      <c r="AW5369" s="68"/>
      <c r="AX5369" s="68"/>
      <c r="AY5369" s="68"/>
      <c r="AZ5369" s="68"/>
      <c r="BA5369" s="68"/>
      <c r="BB5369" s="67"/>
      <c r="BC5369" s="67"/>
      <c r="BD5369" s="67"/>
      <c r="BE5369" s="67"/>
      <c r="BF5369" s="95"/>
    </row>
    <row r="5370" spans="42:58" x14ac:dyDescent="0.35">
      <c r="AP5370" s="93"/>
      <c r="AQ5370" s="31"/>
      <c r="AR5370" s="31"/>
      <c r="AS5370" s="94"/>
      <c r="AT5370" s="31"/>
      <c r="AU5370" s="31"/>
      <c r="AV5370" s="94"/>
      <c r="AW5370" s="32"/>
      <c r="AX5370" s="32"/>
      <c r="AY5370" s="32"/>
      <c r="AZ5370" s="32"/>
      <c r="BA5370" s="32"/>
      <c r="BB5370" s="31"/>
      <c r="BC5370" s="31"/>
      <c r="BD5370" s="31"/>
      <c r="BE5370" s="31"/>
      <c r="BF5370" s="96"/>
    </row>
    <row r="5371" spans="42:58" x14ac:dyDescent="0.35">
      <c r="AP5371" s="92"/>
      <c r="AQ5371" s="67"/>
      <c r="AR5371" s="67"/>
      <c r="AS5371" s="73"/>
      <c r="AT5371" s="67"/>
      <c r="AU5371" s="67"/>
      <c r="AV5371" s="73"/>
      <c r="AW5371" s="68"/>
      <c r="AX5371" s="68"/>
      <c r="AY5371" s="68"/>
      <c r="AZ5371" s="68"/>
      <c r="BA5371" s="68"/>
      <c r="BB5371" s="67"/>
      <c r="BC5371" s="67"/>
      <c r="BD5371" s="67"/>
      <c r="BE5371" s="67"/>
      <c r="BF5371" s="95"/>
    </row>
    <row r="5372" spans="42:58" x14ac:dyDescent="0.35">
      <c r="AP5372" s="93"/>
      <c r="AQ5372" s="31"/>
      <c r="AR5372" s="31"/>
      <c r="AS5372" s="94"/>
      <c r="AT5372" s="31"/>
      <c r="AU5372" s="31"/>
      <c r="AV5372" s="94"/>
      <c r="AW5372" s="32"/>
      <c r="AX5372" s="32"/>
      <c r="AY5372" s="32"/>
      <c r="AZ5372" s="32"/>
      <c r="BA5372" s="32"/>
      <c r="BB5372" s="31"/>
      <c r="BC5372" s="31"/>
      <c r="BD5372" s="31"/>
      <c r="BE5372" s="31"/>
      <c r="BF5372" s="96"/>
    </row>
    <row r="5373" spans="42:58" x14ac:dyDescent="0.35">
      <c r="AP5373" s="92"/>
      <c r="AQ5373" s="67"/>
      <c r="AR5373" s="67"/>
      <c r="AS5373" s="73"/>
      <c r="AT5373" s="67"/>
      <c r="AU5373" s="67"/>
      <c r="AV5373" s="73"/>
      <c r="AW5373" s="68"/>
      <c r="AX5373" s="68"/>
      <c r="AY5373" s="68"/>
      <c r="AZ5373" s="68"/>
      <c r="BA5373" s="68"/>
      <c r="BB5373" s="67"/>
      <c r="BC5373" s="67"/>
      <c r="BD5373" s="67"/>
      <c r="BE5373" s="67"/>
      <c r="BF5373" s="95"/>
    </row>
    <row r="5374" spans="42:58" x14ac:dyDescent="0.35">
      <c r="AP5374" s="93"/>
      <c r="AQ5374" s="31"/>
      <c r="AR5374" s="31"/>
      <c r="AS5374" s="94"/>
      <c r="AT5374" s="31"/>
      <c r="AU5374" s="31"/>
      <c r="AV5374" s="94"/>
      <c r="AW5374" s="32"/>
      <c r="AX5374" s="32"/>
      <c r="AY5374" s="32"/>
      <c r="AZ5374" s="32"/>
      <c r="BA5374" s="32"/>
      <c r="BB5374" s="31"/>
      <c r="BC5374" s="31"/>
      <c r="BD5374" s="31"/>
      <c r="BE5374" s="31"/>
      <c r="BF5374" s="96"/>
    </row>
    <row r="5375" spans="42:58" x14ac:dyDescent="0.35">
      <c r="AP5375" s="92"/>
      <c r="AQ5375" s="67"/>
      <c r="AR5375" s="67"/>
      <c r="AS5375" s="73"/>
      <c r="AT5375" s="67"/>
      <c r="AU5375" s="67"/>
      <c r="AV5375" s="73"/>
      <c r="AW5375" s="68"/>
      <c r="AX5375" s="68"/>
      <c r="AY5375" s="68"/>
      <c r="AZ5375" s="68"/>
      <c r="BA5375" s="68"/>
      <c r="BB5375" s="67"/>
      <c r="BC5375" s="67"/>
      <c r="BD5375" s="67"/>
      <c r="BE5375" s="67"/>
      <c r="BF5375" s="95"/>
    </row>
    <row r="5376" spans="42:58" x14ac:dyDescent="0.35">
      <c r="AP5376" s="93"/>
      <c r="AQ5376" s="31"/>
      <c r="AR5376" s="31"/>
      <c r="AS5376" s="94"/>
      <c r="AT5376" s="31"/>
      <c r="AU5376" s="31"/>
      <c r="AV5376" s="94"/>
      <c r="AW5376" s="32"/>
      <c r="AX5376" s="32"/>
      <c r="AY5376" s="32"/>
      <c r="AZ5376" s="32"/>
      <c r="BA5376" s="32"/>
      <c r="BB5376" s="31"/>
      <c r="BC5376" s="31"/>
      <c r="BD5376" s="31"/>
      <c r="BE5376" s="31"/>
      <c r="BF5376" s="96"/>
    </row>
    <row r="5377" spans="42:58" x14ac:dyDescent="0.35">
      <c r="AP5377" s="92"/>
      <c r="AQ5377" s="67"/>
      <c r="AR5377" s="67"/>
      <c r="AS5377" s="73"/>
      <c r="AT5377" s="67"/>
      <c r="AU5377" s="67"/>
      <c r="AV5377" s="73"/>
      <c r="AW5377" s="68"/>
      <c r="AX5377" s="68"/>
      <c r="AY5377" s="68"/>
      <c r="AZ5377" s="68"/>
      <c r="BA5377" s="68"/>
      <c r="BB5377" s="67"/>
      <c r="BC5377" s="67"/>
      <c r="BD5377" s="67"/>
      <c r="BE5377" s="67"/>
      <c r="BF5377" s="95"/>
    </row>
    <row r="5378" spans="42:58" x14ac:dyDescent="0.35">
      <c r="AP5378" s="93"/>
      <c r="AQ5378" s="31"/>
      <c r="AR5378" s="31"/>
      <c r="AS5378" s="94"/>
      <c r="AT5378" s="31"/>
      <c r="AU5378" s="31"/>
      <c r="AV5378" s="94"/>
      <c r="AW5378" s="32"/>
      <c r="AX5378" s="32"/>
      <c r="AY5378" s="32"/>
      <c r="AZ5378" s="32"/>
      <c r="BA5378" s="32"/>
      <c r="BB5378" s="31"/>
      <c r="BC5378" s="31"/>
      <c r="BD5378" s="31"/>
      <c r="BE5378" s="31"/>
      <c r="BF5378" s="96"/>
    </row>
    <row r="5379" spans="42:58" x14ac:dyDescent="0.35">
      <c r="AP5379" s="92"/>
      <c r="AQ5379" s="67"/>
      <c r="AR5379" s="67"/>
      <c r="AS5379" s="73"/>
      <c r="AT5379" s="67"/>
      <c r="AU5379" s="67"/>
      <c r="AV5379" s="73"/>
      <c r="AW5379" s="68"/>
      <c r="AX5379" s="68"/>
      <c r="AY5379" s="68"/>
      <c r="AZ5379" s="68"/>
      <c r="BA5379" s="68"/>
      <c r="BB5379" s="67"/>
      <c r="BC5379" s="67"/>
      <c r="BD5379" s="67"/>
      <c r="BE5379" s="67"/>
      <c r="BF5379" s="95"/>
    </row>
    <row r="5380" spans="42:58" x14ac:dyDescent="0.35">
      <c r="AP5380" s="93"/>
      <c r="AQ5380" s="31"/>
      <c r="AR5380" s="31"/>
      <c r="AS5380" s="94"/>
      <c r="AT5380" s="31"/>
      <c r="AU5380" s="31"/>
      <c r="AV5380" s="94"/>
      <c r="AW5380" s="32"/>
      <c r="AX5380" s="32"/>
      <c r="AY5380" s="32"/>
      <c r="AZ5380" s="32"/>
      <c r="BA5380" s="32"/>
      <c r="BB5380" s="31"/>
      <c r="BC5380" s="31"/>
      <c r="BD5380" s="31"/>
      <c r="BE5380" s="31"/>
      <c r="BF5380" s="96"/>
    </row>
    <row r="5381" spans="42:58" x14ac:dyDescent="0.35">
      <c r="AP5381" s="92"/>
      <c r="AQ5381" s="67"/>
      <c r="AR5381" s="67"/>
      <c r="AS5381" s="73"/>
      <c r="AT5381" s="67"/>
      <c r="AU5381" s="67"/>
      <c r="AV5381" s="73"/>
      <c r="AW5381" s="68"/>
      <c r="AX5381" s="68"/>
      <c r="AY5381" s="68"/>
      <c r="AZ5381" s="68"/>
      <c r="BA5381" s="68"/>
      <c r="BB5381" s="67"/>
      <c r="BC5381" s="67"/>
      <c r="BD5381" s="67"/>
      <c r="BE5381" s="67"/>
      <c r="BF5381" s="95"/>
    </row>
    <row r="5382" spans="42:58" x14ac:dyDescent="0.35">
      <c r="AP5382" s="93"/>
      <c r="AQ5382" s="31"/>
      <c r="AR5382" s="31"/>
      <c r="AS5382" s="94"/>
      <c r="AT5382" s="31"/>
      <c r="AU5382" s="31"/>
      <c r="AV5382" s="94"/>
      <c r="AW5382" s="32"/>
      <c r="AX5382" s="32"/>
      <c r="AY5382" s="32"/>
      <c r="AZ5382" s="32"/>
      <c r="BA5382" s="32"/>
      <c r="BB5382" s="31"/>
      <c r="BC5382" s="31"/>
      <c r="BD5382" s="31"/>
      <c r="BE5382" s="31"/>
      <c r="BF5382" s="96"/>
    </row>
    <row r="5383" spans="42:58" x14ac:dyDescent="0.35">
      <c r="AP5383" s="92"/>
      <c r="AQ5383" s="67"/>
      <c r="AR5383" s="67"/>
      <c r="AS5383" s="73"/>
      <c r="AT5383" s="67"/>
      <c r="AU5383" s="67"/>
      <c r="AV5383" s="73"/>
      <c r="AW5383" s="68"/>
      <c r="AX5383" s="68"/>
      <c r="AY5383" s="68"/>
      <c r="AZ5383" s="68"/>
      <c r="BA5383" s="68"/>
      <c r="BB5383" s="67"/>
      <c r="BC5383" s="67"/>
      <c r="BD5383" s="67"/>
      <c r="BE5383" s="67"/>
      <c r="BF5383" s="95"/>
    </row>
    <row r="5384" spans="42:58" x14ac:dyDescent="0.35">
      <c r="AP5384" s="93"/>
      <c r="AQ5384" s="31"/>
      <c r="AR5384" s="31"/>
      <c r="AS5384" s="94"/>
      <c r="AT5384" s="31"/>
      <c r="AU5384" s="31"/>
      <c r="AV5384" s="94"/>
      <c r="AW5384" s="32"/>
      <c r="AX5384" s="32"/>
      <c r="AY5384" s="32"/>
      <c r="AZ5384" s="32"/>
      <c r="BA5384" s="32"/>
      <c r="BB5384" s="31"/>
      <c r="BC5384" s="31"/>
      <c r="BD5384" s="31"/>
      <c r="BE5384" s="31"/>
      <c r="BF5384" s="96"/>
    </row>
    <row r="5385" spans="42:58" x14ac:dyDescent="0.35">
      <c r="AP5385" s="92"/>
      <c r="AQ5385" s="67"/>
      <c r="AR5385" s="67"/>
      <c r="AS5385" s="73"/>
      <c r="AT5385" s="67"/>
      <c r="AU5385" s="67"/>
      <c r="AV5385" s="73"/>
      <c r="AW5385" s="68"/>
      <c r="AX5385" s="68"/>
      <c r="AY5385" s="68"/>
      <c r="AZ5385" s="68"/>
      <c r="BA5385" s="68"/>
      <c r="BB5385" s="67"/>
      <c r="BC5385" s="67"/>
      <c r="BD5385" s="67"/>
      <c r="BE5385" s="67"/>
      <c r="BF5385" s="95"/>
    </row>
    <row r="5386" spans="42:58" x14ac:dyDescent="0.35">
      <c r="AP5386" s="93"/>
      <c r="AQ5386" s="31"/>
      <c r="AR5386" s="31"/>
      <c r="AS5386" s="94"/>
      <c r="AT5386" s="31"/>
      <c r="AU5386" s="31"/>
      <c r="AV5386" s="94"/>
      <c r="AW5386" s="32"/>
      <c r="AX5386" s="32"/>
      <c r="AY5386" s="32"/>
      <c r="AZ5386" s="32"/>
      <c r="BA5386" s="32"/>
      <c r="BB5386" s="31"/>
      <c r="BC5386" s="31"/>
      <c r="BD5386" s="31"/>
      <c r="BE5386" s="31"/>
      <c r="BF5386" s="96"/>
    </row>
    <row r="5387" spans="42:58" x14ac:dyDescent="0.35">
      <c r="AP5387" s="92"/>
      <c r="AQ5387" s="67"/>
      <c r="AR5387" s="67"/>
      <c r="AS5387" s="73"/>
      <c r="AT5387" s="67"/>
      <c r="AU5387" s="67"/>
      <c r="AV5387" s="73"/>
      <c r="AW5387" s="68"/>
      <c r="AX5387" s="68"/>
      <c r="AY5387" s="68"/>
      <c r="AZ5387" s="68"/>
      <c r="BA5387" s="68"/>
      <c r="BB5387" s="67"/>
      <c r="BC5387" s="67"/>
      <c r="BD5387" s="67"/>
      <c r="BE5387" s="67"/>
      <c r="BF5387" s="95"/>
    </row>
    <row r="5388" spans="42:58" x14ac:dyDescent="0.35">
      <c r="AP5388" s="93"/>
      <c r="AQ5388" s="31"/>
      <c r="AR5388" s="31"/>
      <c r="AS5388" s="94"/>
      <c r="AT5388" s="31"/>
      <c r="AU5388" s="31"/>
      <c r="AV5388" s="94"/>
      <c r="AW5388" s="32"/>
      <c r="AX5388" s="32"/>
      <c r="AY5388" s="32"/>
      <c r="AZ5388" s="32"/>
      <c r="BA5388" s="32"/>
      <c r="BB5388" s="31"/>
      <c r="BC5388" s="31"/>
      <c r="BD5388" s="31"/>
      <c r="BE5388" s="31"/>
      <c r="BF5388" s="96"/>
    </row>
    <row r="5389" spans="42:58" x14ac:dyDescent="0.35">
      <c r="AP5389" s="92"/>
      <c r="AQ5389" s="67"/>
      <c r="AR5389" s="67"/>
      <c r="AS5389" s="73"/>
      <c r="AT5389" s="67"/>
      <c r="AU5389" s="67"/>
      <c r="AV5389" s="73"/>
      <c r="AW5389" s="68"/>
      <c r="AX5389" s="68"/>
      <c r="AY5389" s="68"/>
      <c r="AZ5389" s="68"/>
      <c r="BA5389" s="68"/>
      <c r="BB5389" s="67"/>
      <c r="BC5389" s="67"/>
      <c r="BD5389" s="67"/>
      <c r="BE5389" s="67"/>
      <c r="BF5389" s="95"/>
    </row>
    <row r="5390" spans="42:58" x14ac:dyDescent="0.35">
      <c r="AP5390" s="93"/>
      <c r="AQ5390" s="31"/>
      <c r="AR5390" s="31"/>
      <c r="AS5390" s="94"/>
      <c r="AT5390" s="31"/>
      <c r="AU5390" s="31"/>
      <c r="AV5390" s="94"/>
      <c r="AW5390" s="32"/>
      <c r="AX5390" s="32"/>
      <c r="AY5390" s="32"/>
      <c r="AZ5390" s="32"/>
      <c r="BA5390" s="32"/>
      <c r="BB5390" s="31"/>
      <c r="BC5390" s="31"/>
      <c r="BD5390" s="31"/>
      <c r="BE5390" s="31"/>
      <c r="BF5390" s="96"/>
    </row>
    <row r="5391" spans="42:58" x14ac:dyDescent="0.35">
      <c r="AP5391" s="92"/>
      <c r="AQ5391" s="67"/>
      <c r="AR5391" s="67"/>
      <c r="AS5391" s="73"/>
      <c r="AT5391" s="67"/>
      <c r="AU5391" s="67"/>
      <c r="AV5391" s="73"/>
      <c r="AW5391" s="68"/>
      <c r="AX5391" s="68"/>
      <c r="AY5391" s="68"/>
      <c r="AZ5391" s="68"/>
      <c r="BA5391" s="68"/>
      <c r="BB5391" s="67"/>
      <c r="BC5391" s="67"/>
      <c r="BD5391" s="67"/>
      <c r="BE5391" s="67"/>
      <c r="BF5391" s="95"/>
    </row>
    <row r="5392" spans="42:58" x14ac:dyDescent="0.35">
      <c r="AP5392" s="93"/>
      <c r="AQ5392" s="31"/>
      <c r="AR5392" s="31"/>
      <c r="AS5392" s="94"/>
      <c r="AT5392" s="31"/>
      <c r="AU5392" s="31"/>
      <c r="AV5392" s="94"/>
      <c r="AW5392" s="32"/>
      <c r="AX5392" s="32"/>
      <c r="AY5392" s="32"/>
      <c r="AZ5392" s="32"/>
      <c r="BA5392" s="32"/>
      <c r="BB5392" s="31"/>
      <c r="BC5392" s="31"/>
      <c r="BD5392" s="31"/>
      <c r="BE5392" s="31"/>
      <c r="BF5392" s="96"/>
    </row>
    <row r="5393" spans="42:58" x14ac:dyDescent="0.35">
      <c r="AP5393" s="92"/>
      <c r="AQ5393" s="67"/>
      <c r="AR5393" s="67"/>
      <c r="AS5393" s="73"/>
      <c r="AT5393" s="67"/>
      <c r="AU5393" s="67"/>
      <c r="AV5393" s="73"/>
      <c r="AW5393" s="68"/>
      <c r="AX5393" s="68"/>
      <c r="AY5393" s="68"/>
      <c r="AZ5393" s="68"/>
      <c r="BA5393" s="68"/>
      <c r="BB5393" s="67"/>
      <c r="BC5393" s="67"/>
      <c r="BD5393" s="67"/>
      <c r="BE5393" s="67"/>
      <c r="BF5393" s="95"/>
    </row>
    <row r="5394" spans="42:58" x14ac:dyDescent="0.35">
      <c r="AP5394" s="93"/>
      <c r="AQ5394" s="31"/>
      <c r="AR5394" s="31"/>
      <c r="AS5394" s="94"/>
      <c r="AT5394" s="31"/>
      <c r="AU5394" s="31"/>
      <c r="AV5394" s="94"/>
      <c r="AW5394" s="32"/>
      <c r="AX5394" s="32"/>
      <c r="AY5394" s="32"/>
      <c r="AZ5394" s="32"/>
      <c r="BA5394" s="32"/>
      <c r="BB5394" s="31"/>
      <c r="BC5394" s="31"/>
      <c r="BD5394" s="31"/>
      <c r="BE5394" s="31"/>
      <c r="BF5394" s="96"/>
    </row>
    <row r="5395" spans="42:58" x14ac:dyDescent="0.35">
      <c r="AP5395" s="92"/>
      <c r="AQ5395" s="67"/>
      <c r="AR5395" s="67"/>
      <c r="AS5395" s="73"/>
      <c r="AT5395" s="67"/>
      <c r="AU5395" s="67"/>
      <c r="AV5395" s="73"/>
      <c r="AW5395" s="68"/>
      <c r="AX5395" s="68"/>
      <c r="AY5395" s="68"/>
      <c r="AZ5395" s="68"/>
      <c r="BA5395" s="68"/>
      <c r="BB5395" s="67"/>
      <c r="BC5395" s="67"/>
      <c r="BD5395" s="67"/>
      <c r="BE5395" s="67"/>
      <c r="BF5395" s="95"/>
    </row>
    <row r="5396" spans="42:58" x14ac:dyDescent="0.35">
      <c r="AP5396" s="93"/>
      <c r="AQ5396" s="31"/>
      <c r="AR5396" s="31"/>
      <c r="AS5396" s="94"/>
      <c r="AT5396" s="31"/>
      <c r="AU5396" s="31"/>
      <c r="AV5396" s="94"/>
      <c r="AW5396" s="32"/>
      <c r="AX5396" s="32"/>
      <c r="AY5396" s="32"/>
      <c r="AZ5396" s="32"/>
      <c r="BA5396" s="32"/>
      <c r="BB5396" s="31"/>
      <c r="BC5396" s="31"/>
      <c r="BD5396" s="31"/>
      <c r="BE5396" s="31"/>
      <c r="BF5396" s="96"/>
    </row>
    <row r="5397" spans="42:58" x14ac:dyDescent="0.35">
      <c r="AP5397" s="92"/>
      <c r="AQ5397" s="67"/>
      <c r="AR5397" s="67"/>
      <c r="AS5397" s="73"/>
      <c r="AT5397" s="67"/>
      <c r="AU5397" s="67"/>
      <c r="AV5397" s="73"/>
      <c r="AW5397" s="68"/>
      <c r="AX5397" s="68"/>
      <c r="AY5397" s="68"/>
      <c r="AZ5397" s="68"/>
      <c r="BA5397" s="68"/>
      <c r="BB5397" s="67"/>
      <c r="BC5397" s="67"/>
      <c r="BD5397" s="67"/>
      <c r="BE5397" s="67"/>
      <c r="BF5397" s="95"/>
    </row>
    <row r="5398" spans="42:58" x14ac:dyDescent="0.35">
      <c r="AP5398" s="93"/>
      <c r="AQ5398" s="31"/>
      <c r="AR5398" s="31"/>
      <c r="AS5398" s="94"/>
      <c r="AT5398" s="31"/>
      <c r="AU5398" s="31"/>
      <c r="AV5398" s="94"/>
      <c r="AW5398" s="32"/>
      <c r="AX5398" s="32"/>
      <c r="AY5398" s="32"/>
      <c r="AZ5398" s="32"/>
      <c r="BA5398" s="32"/>
      <c r="BB5398" s="31"/>
      <c r="BC5398" s="31"/>
      <c r="BD5398" s="31"/>
      <c r="BE5398" s="31"/>
      <c r="BF5398" s="96"/>
    </row>
    <row r="5399" spans="42:58" x14ac:dyDescent="0.35">
      <c r="AP5399" s="92"/>
      <c r="AQ5399" s="67"/>
      <c r="AR5399" s="67"/>
      <c r="AS5399" s="73"/>
      <c r="AT5399" s="67"/>
      <c r="AU5399" s="67"/>
      <c r="AV5399" s="73"/>
      <c r="AW5399" s="68"/>
      <c r="AX5399" s="68"/>
      <c r="AY5399" s="68"/>
      <c r="AZ5399" s="68"/>
      <c r="BA5399" s="68"/>
      <c r="BB5399" s="67"/>
      <c r="BC5399" s="67"/>
      <c r="BD5399" s="67"/>
      <c r="BE5399" s="67"/>
      <c r="BF5399" s="95"/>
    </row>
    <row r="5400" spans="42:58" x14ac:dyDescent="0.35">
      <c r="AP5400" s="93"/>
      <c r="AQ5400" s="31"/>
      <c r="AR5400" s="31"/>
      <c r="AS5400" s="94"/>
      <c r="AT5400" s="31"/>
      <c r="AU5400" s="31"/>
      <c r="AV5400" s="94"/>
      <c r="AW5400" s="32"/>
      <c r="AX5400" s="32"/>
      <c r="AY5400" s="32"/>
      <c r="AZ5400" s="32"/>
      <c r="BA5400" s="32"/>
      <c r="BB5400" s="31"/>
      <c r="BC5400" s="31"/>
      <c r="BD5400" s="31"/>
      <c r="BE5400" s="31"/>
      <c r="BF5400" s="96"/>
    </row>
    <row r="5401" spans="42:58" x14ac:dyDescent="0.35">
      <c r="AP5401" s="92"/>
      <c r="AQ5401" s="67"/>
      <c r="AR5401" s="67"/>
      <c r="AS5401" s="73"/>
      <c r="AT5401" s="67"/>
      <c r="AU5401" s="67"/>
      <c r="AV5401" s="73"/>
      <c r="AW5401" s="68"/>
      <c r="AX5401" s="68"/>
      <c r="AY5401" s="68"/>
      <c r="AZ5401" s="68"/>
      <c r="BA5401" s="68"/>
      <c r="BB5401" s="67"/>
      <c r="BC5401" s="67"/>
      <c r="BD5401" s="67"/>
      <c r="BE5401" s="67"/>
      <c r="BF5401" s="95"/>
    </row>
    <row r="5402" spans="42:58" x14ac:dyDescent="0.35">
      <c r="AP5402" s="93"/>
      <c r="AQ5402" s="31"/>
      <c r="AR5402" s="31"/>
      <c r="AS5402" s="94"/>
      <c r="AT5402" s="31"/>
      <c r="AU5402" s="31"/>
      <c r="AV5402" s="94"/>
      <c r="AW5402" s="32"/>
      <c r="AX5402" s="32"/>
      <c r="AY5402" s="32"/>
      <c r="AZ5402" s="32"/>
      <c r="BA5402" s="32"/>
      <c r="BB5402" s="31"/>
      <c r="BC5402" s="31"/>
      <c r="BD5402" s="31"/>
      <c r="BE5402" s="31"/>
      <c r="BF5402" s="96"/>
    </row>
    <row r="5403" spans="42:58" x14ac:dyDescent="0.35">
      <c r="AP5403" s="92"/>
      <c r="AQ5403" s="67"/>
      <c r="AR5403" s="67"/>
      <c r="AS5403" s="73"/>
      <c r="AT5403" s="67"/>
      <c r="AU5403" s="67"/>
      <c r="AV5403" s="73"/>
      <c r="AW5403" s="68"/>
      <c r="AX5403" s="68"/>
      <c r="AY5403" s="68"/>
      <c r="AZ5403" s="68"/>
      <c r="BA5403" s="68"/>
      <c r="BB5403" s="67"/>
      <c r="BC5403" s="67"/>
      <c r="BD5403" s="67"/>
      <c r="BE5403" s="67"/>
      <c r="BF5403" s="95"/>
    </row>
    <row r="5404" spans="42:58" x14ac:dyDescent="0.35">
      <c r="AP5404" s="93"/>
      <c r="AQ5404" s="31"/>
      <c r="AR5404" s="31"/>
      <c r="AS5404" s="94"/>
      <c r="AT5404" s="31"/>
      <c r="AU5404" s="31"/>
      <c r="AV5404" s="94"/>
      <c r="AW5404" s="32"/>
      <c r="AX5404" s="32"/>
      <c r="AY5404" s="32"/>
      <c r="AZ5404" s="32"/>
      <c r="BA5404" s="32"/>
      <c r="BB5404" s="31"/>
      <c r="BC5404" s="31"/>
      <c r="BD5404" s="31"/>
      <c r="BE5404" s="31"/>
      <c r="BF5404" s="96"/>
    </row>
    <row r="5405" spans="42:58" x14ac:dyDescent="0.35">
      <c r="AP5405" s="92"/>
      <c r="AQ5405" s="67"/>
      <c r="AR5405" s="67"/>
      <c r="AS5405" s="73"/>
      <c r="AT5405" s="67"/>
      <c r="AU5405" s="67"/>
      <c r="AV5405" s="73"/>
      <c r="AW5405" s="68"/>
      <c r="AX5405" s="68"/>
      <c r="AY5405" s="68"/>
      <c r="AZ5405" s="68"/>
      <c r="BA5405" s="68"/>
      <c r="BB5405" s="67"/>
      <c r="BC5405" s="67"/>
      <c r="BD5405" s="67"/>
      <c r="BE5405" s="67"/>
      <c r="BF5405" s="95"/>
    </row>
    <row r="5406" spans="42:58" x14ac:dyDescent="0.35">
      <c r="AP5406" s="93"/>
      <c r="AQ5406" s="31"/>
      <c r="AR5406" s="31"/>
      <c r="AS5406" s="94"/>
      <c r="AT5406" s="31"/>
      <c r="AU5406" s="31"/>
      <c r="AV5406" s="94"/>
      <c r="AW5406" s="32"/>
      <c r="AX5406" s="32"/>
      <c r="AY5406" s="32"/>
      <c r="AZ5406" s="32"/>
      <c r="BA5406" s="32"/>
      <c r="BB5406" s="31"/>
      <c r="BC5406" s="31"/>
      <c r="BD5406" s="31"/>
      <c r="BE5406" s="31"/>
      <c r="BF5406" s="96"/>
    </row>
    <row r="5407" spans="42:58" x14ac:dyDescent="0.35">
      <c r="AP5407" s="92"/>
      <c r="AQ5407" s="67"/>
      <c r="AR5407" s="67"/>
      <c r="AS5407" s="73"/>
      <c r="AT5407" s="67"/>
      <c r="AU5407" s="67"/>
      <c r="AV5407" s="73"/>
      <c r="AW5407" s="68"/>
      <c r="AX5407" s="68"/>
      <c r="AY5407" s="68"/>
      <c r="AZ5407" s="68"/>
      <c r="BA5407" s="68"/>
      <c r="BB5407" s="67"/>
      <c r="BC5407" s="67"/>
      <c r="BD5407" s="67"/>
      <c r="BE5407" s="67"/>
      <c r="BF5407" s="95"/>
    </row>
    <row r="5408" spans="42:58" x14ac:dyDescent="0.35">
      <c r="AP5408" s="93"/>
      <c r="AQ5408" s="31"/>
      <c r="AR5408" s="31"/>
      <c r="AS5408" s="94"/>
      <c r="AT5408" s="31"/>
      <c r="AU5408" s="31"/>
      <c r="AV5408" s="94"/>
      <c r="AW5408" s="32"/>
      <c r="AX5408" s="32"/>
      <c r="AY5408" s="32"/>
      <c r="AZ5408" s="32"/>
      <c r="BA5408" s="32"/>
      <c r="BB5408" s="31"/>
      <c r="BC5408" s="31"/>
      <c r="BD5408" s="31"/>
      <c r="BE5408" s="31"/>
      <c r="BF5408" s="96"/>
    </row>
    <row r="5409" spans="42:58" x14ac:dyDescent="0.35">
      <c r="AP5409" s="92"/>
      <c r="AQ5409" s="67"/>
      <c r="AR5409" s="67"/>
      <c r="AS5409" s="73"/>
      <c r="AT5409" s="67"/>
      <c r="AU5409" s="67"/>
      <c r="AV5409" s="73"/>
      <c r="AW5409" s="68"/>
      <c r="AX5409" s="68"/>
      <c r="AY5409" s="68"/>
      <c r="AZ5409" s="68"/>
      <c r="BA5409" s="68"/>
      <c r="BB5409" s="67"/>
      <c r="BC5409" s="67"/>
      <c r="BD5409" s="67"/>
      <c r="BE5409" s="67"/>
      <c r="BF5409" s="95"/>
    </row>
    <row r="5410" spans="42:58" x14ac:dyDescent="0.35">
      <c r="AP5410" s="93"/>
      <c r="AQ5410" s="31"/>
      <c r="AR5410" s="31"/>
      <c r="AS5410" s="94"/>
      <c r="AT5410" s="31"/>
      <c r="AU5410" s="31"/>
      <c r="AV5410" s="94"/>
      <c r="AW5410" s="32"/>
      <c r="AX5410" s="32"/>
      <c r="AY5410" s="32"/>
      <c r="AZ5410" s="32"/>
      <c r="BA5410" s="32"/>
      <c r="BB5410" s="31"/>
      <c r="BC5410" s="31"/>
      <c r="BD5410" s="31"/>
      <c r="BE5410" s="31"/>
      <c r="BF5410" s="96"/>
    </row>
    <row r="5411" spans="42:58" x14ac:dyDescent="0.35">
      <c r="AP5411" s="92"/>
      <c r="AQ5411" s="67"/>
      <c r="AR5411" s="67"/>
      <c r="AS5411" s="73"/>
      <c r="AT5411" s="67"/>
      <c r="AU5411" s="67"/>
      <c r="AV5411" s="73"/>
      <c r="AW5411" s="68"/>
      <c r="AX5411" s="68"/>
      <c r="AY5411" s="68"/>
      <c r="AZ5411" s="68"/>
      <c r="BA5411" s="68"/>
      <c r="BB5411" s="67"/>
      <c r="BC5411" s="67"/>
      <c r="BD5411" s="67"/>
      <c r="BE5411" s="67"/>
      <c r="BF5411" s="95"/>
    </row>
    <row r="5412" spans="42:58" x14ac:dyDescent="0.35">
      <c r="AP5412" s="93"/>
      <c r="AQ5412" s="31"/>
      <c r="AR5412" s="31"/>
      <c r="AS5412" s="94"/>
      <c r="AT5412" s="31"/>
      <c r="AU5412" s="31"/>
      <c r="AV5412" s="94"/>
      <c r="AW5412" s="32"/>
      <c r="AX5412" s="32"/>
      <c r="AY5412" s="32"/>
      <c r="AZ5412" s="32"/>
      <c r="BA5412" s="32"/>
      <c r="BB5412" s="31"/>
      <c r="BC5412" s="31"/>
      <c r="BD5412" s="31"/>
      <c r="BE5412" s="31"/>
      <c r="BF5412" s="96"/>
    </row>
    <row r="5413" spans="42:58" x14ac:dyDescent="0.35">
      <c r="AP5413" s="92"/>
      <c r="AQ5413" s="67"/>
      <c r="AR5413" s="67"/>
      <c r="AS5413" s="73"/>
      <c r="AT5413" s="67"/>
      <c r="AU5413" s="67"/>
      <c r="AV5413" s="73"/>
      <c r="AW5413" s="68"/>
      <c r="AX5413" s="68"/>
      <c r="AY5413" s="68"/>
      <c r="AZ5413" s="68"/>
      <c r="BA5413" s="68"/>
      <c r="BB5413" s="67"/>
      <c r="BC5413" s="67"/>
      <c r="BD5413" s="67"/>
      <c r="BE5413" s="67"/>
      <c r="BF5413" s="95"/>
    </row>
    <row r="5414" spans="42:58" x14ac:dyDescent="0.35">
      <c r="AP5414" s="93"/>
      <c r="AQ5414" s="31"/>
      <c r="AR5414" s="31"/>
      <c r="AS5414" s="94"/>
      <c r="AT5414" s="31"/>
      <c r="AU5414" s="31"/>
      <c r="AV5414" s="94"/>
      <c r="AW5414" s="32"/>
      <c r="AX5414" s="32"/>
      <c r="AY5414" s="32"/>
      <c r="AZ5414" s="32"/>
      <c r="BA5414" s="32"/>
      <c r="BB5414" s="31"/>
      <c r="BC5414" s="31"/>
      <c r="BD5414" s="31"/>
      <c r="BE5414" s="31"/>
      <c r="BF5414" s="96"/>
    </row>
    <row r="5415" spans="42:58" x14ac:dyDescent="0.35">
      <c r="AP5415" s="92"/>
      <c r="AQ5415" s="67"/>
      <c r="AR5415" s="67"/>
      <c r="AS5415" s="73"/>
      <c r="AT5415" s="67"/>
      <c r="AU5415" s="67"/>
      <c r="AV5415" s="73"/>
      <c r="AW5415" s="68"/>
      <c r="AX5415" s="68"/>
      <c r="AY5415" s="68"/>
      <c r="AZ5415" s="68"/>
      <c r="BA5415" s="68"/>
      <c r="BB5415" s="67"/>
      <c r="BC5415" s="67"/>
      <c r="BD5415" s="67"/>
      <c r="BE5415" s="67"/>
      <c r="BF5415" s="95"/>
    </row>
    <row r="5416" spans="42:58" x14ac:dyDescent="0.35">
      <c r="AP5416" s="93"/>
      <c r="AQ5416" s="31"/>
      <c r="AR5416" s="31"/>
      <c r="AS5416" s="94"/>
      <c r="AT5416" s="31"/>
      <c r="AU5416" s="31"/>
      <c r="AV5416" s="94"/>
      <c r="AW5416" s="32"/>
      <c r="AX5416" s="32"/>
      <c r="AY5416" s="32"/>
      <c r="AZ5416" s="32"/>
      <c r="BA5416" s="32"/>
      <c r="BB5416" s="31"/>
      <c r="BC5416" s="31"/>
      <c r="BD5416" s="31"/>
      <c r="BE5416" s="31"/>
      <c r="BF5416" s="96"/>
    </row>
    <row r="5417" spans="42:58" x14ac:dyDescent="0.35">
      <c r="AP5417" s="92"/>
      <c r="AQ5417" s="67"/>
      <c r="AR5417" s="67"/>
      <c r="AS5417" s="73"/>
      <c r="AT5417" s="67"/>
      <c r="AU5417" s="67"/>
      <c r="AV5417" s="73"/>
      <c r="AW5417" s="68"/>
      <c r="AX5417" s="68"/>
      <c r="AY5417" s="68"/>
      <c r="AZ5417" s="68"/>
      <c r="BA5417" s="68"/>
      <c r="BB5417" s="67"/>
      <c r="BC5417" s="67"/>
      <c r="BD5417" s="67"/>
      <c r="BE5417" s="67"/>
      <c r="BF5417" s="95"/>
    </row>
    <row r="5418" spans="42:58" x14ac:dyDescent="0.35">
      <c r="AP5418" s="93"/>
      <c r="AQ5418" s="31"/>
      <c r="AR5418" s="31"/>
      <c r="AS5418" s="94"/>
      <c r="AT5418" s="31"/>
      <c r="AU5418" s="31"/>
      <c r="AV5418" s="94"/>
      <c r="AW5418" s="32"/>
      <c r="AX5418" s="32"/>
      <c r="AY5418" s="32"/>
      <c r="AZ5418" s="32"/>
      <c r="BA5418" s="32"/>
      <c r="BB5418" s="31"/>
      <c r="BC5418" s="31"/>
      <c r="BD5418" s="31"/>
      <c r="BE5418" s="31"/>
      <c r="BF5418" s="96"/>
    </row>
    <row r="5419" spans="42:58" x14ac:dyDescent="0.35">
      <c r="AP5419" s="92"/>
      <c r="AQ5419" s="67"/>
      <c r="AR5419" s="67"/>
      <c r="AS5419" s="73"/>
      <c r="AT5419" s="67"/>
      <c r="AU5419" s="67"/>
      <c r="AV5419" s="73"/>
      <c r="AW5419" s="68"/>
      <c r="AX5419" s="68"/>
      <c r="AY5419" s="68"/>
      <c r="AZ5419" s="68"/>
      <c r="BA5419" s="68"/>
      <c r="BB5419" s="67"/>
      <c r="BC5419" s="67"/>
      <c r="BD5419" s="67"/>
      <c r="BE5419" s="67"/>
      <c r="BF5419" s="95"/>
    </row>
    <row r="5420" spans="42:58" x14ac:dyDescent="0.35">
      <c r="AP5420" s="93"/>
      <c r="AQ5420" s="31"/>
      <c r="AR5420" s="31"/>
      <c r="AS5420" s="94"/>
      <c r="AT5420" s="31"/>
      <c r="AU5420" s="31"/>
      <c r="AV5420" s="94"/>
      <c r="AW5420" s="32"/>
      <c r="AX5420" s="32"/>
      <c r="AY5420" s="32"/>
      <c r="AZ5420" s="32"/>
      <c r="BA5420" s="32"/>
      <c r="BB5420" s="31"/>
      <c r="BC5420" s="31"/>
      <c r="BD5420" s="31"/>
      <c r="BE5420" s="31"/>
      <c r="BF5420" s="96"/>
    </row>
    <row r="5421" spans="42:58" x14ac:dyDescent="0.35">
      <c r="AP5421" s="92"/>
      <c r="AQ5421" s="67"/>
      <c r="AR5421" s="67"/>
      <c r="AS5421" s="73"/>
      <c r="AT5421" s="67"/>
      <c r="AU5421" s="67"/>
      <c r="AV5421" s="73"/>
      <c r="AW5421" s="68"/>
      <c r="AX5421" s="68"/>
      <c r="AY5421" s="68"/>
      <c r="AZ5421" s="68"/>
      <c r="BA5421" s="68"/>
      <c r="BB5421" s="67"/>
      <c r="BC5421" s="67"/>
      <c r="BD5421" s="67"/>
      <c r="BE5421" s="67"/>
      <c r="BF5421" s="95"/>
    </row>
    <row r="5422" spans="42:58" x14ac:dyDescent="0.35">
      <c r="AP5422" s="93"/>
      <c r="AQ5422" s="31"/>
      <c r="AR5422" s="31"/>
      <c r="AS5422" s="94"/>
      <c r="AT5422" s="31"/>
      <c r="AU5422" s="31"/>
      <c r="AV5422" s="94"/>
      <c r="AW5422" s="32"/>
      <c r="AX5422" s="32"/>
      <c r="AY5422" s="32"/>
      <c r="AZ5422" s="32"/>
      <c r="BA5422" s="32"/>
      <c r="BB5422" s="31"/>
      <c r="BC5422" s="31"/>
      <c r="BD5422" s="31"/>
      <c r="BE5422" s="31"/>
      <c r="BF5422" s="96"/>
    </row>
    <row r="5423" spans="42:58" x14ac:dyDescent="0.35">
      <c r="AP5423" s="92"/>
      <c r="AQ5423" s="67"/>
      <c r="AR5423" s="67"/>
      <c r="AS5423" s="73"/>
      <c r="AT5423" s="67"/>
      <c r="AU5423" s="67"/>
      <c r="AV5423" s="73"/>
      <c r="AW5423" s="68"/>
      <c r="AX5423" s="68"/>
      <c r="AY5423" s="68"/>
      <c r="AZ5423" s="68"/>
      <c r="BA5423" s="68"/>
      <c r="BB5423" s="67"/>
      <c r="BC5423" s="67"/>
      <c r="BD5423" s="67"/>
      <c r="BE5423" s="67"/>
      <c r="BF5423" s="95"/>
    </row>
    <row r="5424" spans="42:58" x14ac:dyDescent="0.35">
      <c r="AP5424" s="93"/>
      <c r="AQ5424" s="31"/>
      <c r="AR5424" s="31"/>
      <c r="AS5424" s="94"/>
      <c r="AT5424" s="31"/>
      <c r="AU5424" s="31"/>
      <c r="AV5424" s="94"/>
      <c r="AW5424" s="32"/>
      <c r="AX5424" s="32"/>
      <c r="AY5424" s="32"/>
      <c r="AZ5424" s="32"/>
      <c r="BA5424" s="32"/>
      <c r="BB5424" s="31"/>
      <c r="BC5424" s="31"/>
      <c r="BD5424" s="31"/>
      <c r="BE5424" s="31"/>
      <c r="BF5424" s="96"/>
    </row>
    <row r="5425" spans="42:58" x14ac:dyDescent="0.35">
      <c r="AP5425" s="92"/>
      <c r="AQ5425" s="67"/>
      <c r="AR5425" s="67"/>
      <c r="AS5425" s="73"/>
      <c r="AT5425" s="67"/>
      <c r="AU5425" s="67"/>
      <c r="AV5425" s="73"/>
      <c r="AW5425" s="68"/>
      <c r="AX5425" s="68"/>
      <c r="AY5425" s="68"/>
      <c r="AZ5425" s="68"/>
      <c r="BA5425" s="68"/>
      <c r="BB5425" s="67"/>
      <c r="BC5425" s="67"/>
      <c r="BD5425" s="67"/>
      <c r="BE5425" s="67"/>
      <c r="BF5425" s="95"/>
    </row>
    <row r="5426" spans="42:58" x14ac:dyDescent="0.35">
      <c r="AP5426" s="93"/>
      <c r="AQ5426" s="31"/>
      <c r="AR5426" s="31"/>
      <c r="AS5426" s="94"/>
      <c r="AT5426" s="31"/>
      <c r="AU5426" s="31"/>
      <c r="AV5426" s="94"/>
      <c r="AW5426" s="32"/>
      <c r="AX5426" s="32"/>
      <c r="AY5426" s="32"/>
      <c r="AZ5426" s="32"/>
      <c r="BA5426" s="32"/>
      <c r="BB5426" s="31"/>
      <c r="BC5426" s="31"/>
      <c r="BD5426" s="31"/>
      <c r="BE5426" s="31"/>
      <c r="BF5426" s="96"/>
    </row>
    <row r="5427" spans="42:58" x14ac:dyDescent="0.35">
      <c r="AP5427" s="92"/>
      <c r="AQ5427" s="67"/>
      <c r="AR5427" s="67"/>
      <c r="AS5427" s="73"/>
      <c r="AT5427" s="67"/>
      <c r="AU5427" s="67"/>
      <c r="AV5427" s="73"/>
      <c r="AW5427" s="68"/>
      <c r="AX5427" s="68"/>
      <c r="AY5427" s="68"/>
      <c r="AZ5427" s="68"/>
      <c r="BA5427" s="68"/>
      <c r="BB5427" s="67"/>
      <c r="BC5427" s="67"/>
      <c r="BD5427" s="67"/>
      <c r="BE5427" s="67"/>
      <c r="BF5427" s="95"/>
    </row>
    <row r="5428" spans="42:58" x14ac:dyDescent="0.35">
      <c r="AP5428" s="93"/>
      <c r="AQ5428" s="31"/>
      <c r="AR5428" s="31"/>
      <c r="AS5428" s="94"/>
      <c r="AT5428" s="31"/>
      <c r="AU5428" s="31"/>
      <c r="AV5428" s="94"/>
      <c r="AW5428" s="32"/>
      <c r="AX5428" s="32"/>
      <c r="AY5428" s="32"/>
      <c r="AZ5428" s="32"/>
      <c r="BA5428" s="32"/>
      <c r="BB5428" s="31"/>
      <c r="BC5428" s="31"/>
      <c r="BD5428" s="31"/>
      <c r="BE5428" s="31"/>
      <c r="BF5428" s="96"/>
    </row>
    <row r="5429" spans="42:58" x14ac:dyDescent="0.35">
      <c r="AP5429" s="92"/>
      <c r="AQ5429" s="67"/>
      <c r="AR5429" s="67"/>
      <c r="AS5429" s="73"/>
      <c r="AT5429" s="67"/>
      <c r="AU5429" s="67"/>
      <c r="AV5429" s="73"/>
      <c r="AW5429" s="68"/>
      <c r="AX5429" s="68"/>
      <c r="AY5429" s="68"/>
      <c r="AZ5429" s="68"/>
      <c r="BA5429" s="68"/>
      <c r="BB5429" s="67"/>
      <c r="BC5429" s="67"/>
      <c r="BD5429" s="67"/>
      <c r="BE5429" s="67"/>
      <c r="BF5429" s="95"/>
    </row>
    <row r="5430" spans="42:58" x14ac:dyDescent="0.35">
      <c r="AP5430" s="93"/>
      <c r="AQ5430" s="31"/>
      <c r="AR5430" s="31"/>
      <c r="AS5430" s="94"/>
      <c r="AT5430" s="31"/>
      <c r="AU5430" s="31"/>
      <c r="AV5430" s="94"/>
      <c r="AW5430" s="32"/>
      <c r="AX5430" s="32"/>
      <c r="AY5430" s="32"/>
      <c r="AZ5430" s="32"/>
      <c r="BA5430" s="32"/>
      <c r="BB5430" s="31"/>
      <c r="BC5430" s="31"/>
      <c r="BD5430" s="31"/>
      <c r="BE5430" s="31"/>
      <c r="BF5430" s="96"/>
    </row>
    <row r="5431" spans="42:58" x14ac:dyDescent="0.35">
      <c r="AP5431" s="92"/>
      <c r="AQ5431" s="67"/>
      <c r="AR5431" s="67"/>
      <c r="AS5431" s="73"/>
      <c r="AT5431" s="67"/>
      <c r="AU5431" s="67"/>
      <c r="AV5431" s="73"/>
      <c r="AW5431" s="68"/>
      <c r="AX5431" s="68"/>
      <c r="AY5431" s="68"/>
      <c r="AZ5431" s="68"/>
      <c r="BA5431" s="68"/>
      <c r="BB5431" s="67"/>
      <c r="BC5431" s="67"/>
      <c r="BD5431" s="67"/>
      <c r="BE5431" s="67"/>
      <c r="BF5431" s="95"/>
    </row>
    <row r="5432" spans="42:58" x14ac:dyDescent="0.35">
      <c r="AP5432" s="93"/>
      <c r="AQ5432" s="31"/>
      <c r="AR5432" s="31"/>
      <c r="AS5432" s="94"/>
      <c r="AT5432" s="31"/>
      <c r="AU5432" s="31"/>
      <c r="AV5432" s="94"/>
      <c r="AW5432" s="32"/>
      <c r="AX5432" s="32"/>
      <c r="AY5432" s="32"/>
      <c r="AZ5432" s="32"/>
      <c r="BA5432" s="32"/>
      <c r="BB5432" s="31"/>
      <c r="BC5432" s="31"/>
      <c r="BD5432" s="31"/>
      <c r="BE5432" s="31"/>
      <c r="BF5432" s="96"/>
    </row>
    <row r="5433" spans="42:58" x14ac:dyDescent="0.35">
      <c r="AP5433" s="92"/>
      <c r="AQ5433" s="67"/>
      <c r="AR5433" s="67"/>
      <c r="AS5433" s="73"/>
      <c r="AT5433" s="67"/>
      <c r="AU5433" s="67"/>
      <c r="AV5433" s="73"/>
      <c r="AW5433" s="68"/>
      <c r="AX5433" s="68"/>
      <c r="AY5433" s="68"/>
      <c r="AZ5433" s="68"/>
      <c r="BA5433" s="68"/>
      <c r="BB5433" s="67"/>
      <c r="BC5433" s="67"/>
      <c r="BD5433" s="67"/>
      <c r="BE5433" s="67"/>
      <c r="BF5433" s="95"/>
    </row>
    <row r="5434" spans="42:58" x14ac:dyDescent="0.35">
      <c r="AP5434" s="93"/>
      <c r="AQ5434" s="31"/>
      <c r="AR5434" s="31"/>
      <c r="AS5434" s="94"/>
      <c r="AT5434" s="31"/>
      <c r="AU5434" s="31"/>
      <c r="AV5434" s="94"/>
      <c r="AW5434" s="32"/>
      <c r="AX5434" s="32"/>
      <c r="AY5434" s="32"/>
      <c r="AZ5434" s="32"/>
      <c r="BA5434" s="32"/>
      <c r="BB5434" s="31"/>
      <c r="BC5434" s="31"/>
      <c r="BD5434" s="31"/>
      <c r="BE5434" s="31"/>
      <c r="BF5434" s="96"/>
    </row>
    <row r="5435" spans="42:58" x14ac:dyDescent="0.35">
      <c r="AP5435" s="92"/>
      <c r="AQ5435" s="67"/>
      <c r="AR5435" s="67"/>
      <c r="AS5435" s="73"/>
      <c r="AT5435" s="67"/>
      <c r="AU5435" s="67"/>
      <c r="AV5435" s="73"/>
      <c r="AW5435" s="68"/>
      <c r="AX5435" s="68"/>
      <c r="AY5435" s="68"/>
      <c r="AZ5435" s="68"/>
      <c r="BA5435" s="68"/>
      <c r="BB5435" s="67"/>
      <c r="BC5435" s="67"/>
      <c r="BD5435" s="67"/>
      <c r="BE5435" s="67"/>
      <c r="BF5435" s="95"/>
    </row>
    <row r="5436" spans="42:58" x14ac:dyDescent="0.35">
      <c r="AP5436" s="93"/>
      <c r="AQ5436" s="31"/>
      <c r="AR5436" s="31"/>
      <c r="AS5436" s="94"/>
      <c r="AT5436" s="31"/>
      <c r="AU5436" s="31"/>
      <c r="AV5436" s="94"/>
      <c r="AW5436" s="32"/>
      <c r="AX5436" s="32"/>
      <c r="AY5436" s="32"/>
      <c r="AZ5436" s="32"/>
      <c r="BA5436" s="32"/>
      <c r="BB5436" s="31"/>
      <c r="BC5436" s="31"/>
      <c r="BD5436" s="31"/>
      <c r="BE5436" s="31"/>
      <c r="BF5436" s="96"/>
    </row>
    <row r="5437" spans="42:58" x14ac:dyDescent="0.35">
      <c r="AP5437" s="92"/>
      <c r="AQ5437" s="67"/>
      <c r="AR5437" s="67"/>
      <c r="AS5437" s="73"/>
      <c r="AT5437" s="67"/>
      <c r="AU5437" s="67"/>
      <c r="AV5437" s="73"/>
      <c r="AW5437" s="68"/>
      <c r="AX5437" s="68"/>
      <c r="AY5437" s="68"/>
      <c r="AZ5437" s="68"/>
      <c r="BA5437" s="68"/>
      <c r="BB5437" s="67"/>
      <c r="BC5437" s="67"/>
      <c r="BD5437" s="67"/>
      <c r="BE5437" s="67"/>
      <c r="BF5437" s="95"/>
    </row>
    <row r="5438" spans="42:58" x14ac:dyDescent="0.35">
      <c r="AP5438" s="93"/>
      <c r="AQ5438" s="31"/>
      <c r="AR5438" s="31"/>
      <c r="AS5438" s="94"/>
      <c r="AT5438" s="31"/>
      <c r="AU5438" s="31"/>
      <c r="AV5438" s="94"/>
      <c r="AW5438" s="32"/>
      <c r="AX5438" s="32"/>
      <c r="AY5438" s="32"/>
      <c r="AZ5438" s="32"/>
      <c r="BA5438" s="32"/>
      <c r="BB5438" s="31"/>
      <c r="BC5438" s="31"/>
      <c r="BD5438" s="31"/>
      <c r="BE5438" s="31"/>
      <c r="BF5438" s="96"/>
    </row>
    <row r="5439" spans="42:58" x14ac:dyDescent="0.35">
      <c r="AP5439" s="92"/>
      <c r="AQ5439" s="67"/>
      <c r="AR5439" s="67"/>
      <c r="AS5439" s="73"/>
      <c r="AT5439" s="67"/>
      <c r="AU5439" s="67"/>
      <c r="AV5439" s="73"/>
      <c r="AW5439" s="68"/>
      <c r="AX5439" s="68"/>
      <c r="AY5439" s="68"/>
      <c r="AZ5439" s="68"/>
      <c r="BA5439" s="68"/>
      <c r="BB5439" s="67"/>
      <c r="BC5439" s="67"/>
      <c r="BD5439" s="67"/>
      <c r="BE5439" s="67"/>
      <c r="BF5439" s="95"/>
    </row>
    <row r="5440" spans="42:58" x14ac:dyDescent="0.35">
      <c r="AP5440" s="93"/>
      <c r="AQ5440" s="31"/>
      <c r="AR5440" s="31"/>
      <c r="AS5440" s="94"/>
      <c r="AT5440" s="31"/>
      <c r="AU5440" s="31"/>
      <c r="AV5440" s="94"/>
      <c r="AW5440" s="32"/>
      <c r="AX5440" s="32"/>
      <c r="AY5440" s="32"/>
      <c r="AZ5440" s="32"/>
      <c r="BA5440" s="32"/>
      <c r="BB5440" s="31"/>
      <c r="BC5440" s="31"/>
      <c r="BD5440" s="31"/>
      <c r="BE5440" s="31"/>
      <c r="BF5440" s="96"/>
    </row>
    <row r="5441" spans="42:58" x14ac:dyDescent="0.35">
      <c r="AP5441" s="92"/>
      <c r="AQ5441" s="67"/>
      <c r="AR5441" s="67"/>
      <c r="AS5441" s="73"/>
      <c r="AT5441" s="67"/>
      <c r="AU5441" s="67"/>
      <c r="AV5441" s="73"/>
      <c r="AW5441" s="68"/>
      <c r="AX5441" s="68"/>
      <c r="AY5441" s="68"/>
      <c r="AZ5441" s="68"/>
      <c r="BA5441" s="68"/>
      <c r="BB5441" s="67"/>
      <c r="BC5441" s="67"/>
      <c r="BD5441" s="67"/>
      <c r="BE5441" s="67"/>
      <c r="BF5441" s="95"/>
    </row>
    <row r="5442" spans="42:58" x14ac:dyDescent="0.35">
      <c r="AP5442" s="93"/>
      <c r="AQ5442" s="31"/>
      <c r="AR5442" s="31"/>
      <c r="AS5442" s="94"/>
      <c r="AT5442" s="31"/>
      <c r="AU5442" s="31"/>
      <c r="AV5442" s="94"/>
      <c r="AW5442" s="32"/>
      <c r="AX5442" s="32"/>
      <c r="AY5442" s="32"/>
      <c r="AZ5442" s="32"/>
      <c r="BA5442" s="32"/>
      <c r="BB5442" s="31"/>
      <c r="BC5442" s="31"/>
      <c r="BD5442" s="31"/>
      <c r="BE5442" s="31"/>
      <c r="BF5442" s="96"/>
    </row>
    <row r="5443" spans="42:58" x14ac:dyDescent="0.35">
      <c r="AP5443" s="92"/>
      <c r="AQ5443" s="67"/>
      <c r="AR5443" s="67"/>
      <c r="AS5443" s="73"/>
      <c r="AT5443" s="67"/>
      <c r="AU5443" s="67"/>
      <c r="AV5443" s="73"/>
      <c r="AW5443" s="68"/>
      <c r="AX5443" s="68"/>
      <c r="AY5443" s="68"/>
      <c r="AZ5443" s="68"/>
      <c r="BA5443" s="68"/>
      <c r="BB5443" s="67"/>
      <c r="BC5443" s="67"/>
      <c r="BD5443" s="67"/>
      <c r="BE5443" s="67"/>
      <c r="BF5443" s="95"/>
    </row>
    <row r="5444" spans="42:58" x14ac:dyDescent="0.35">
      <c r="AP5444" s="93"/>
      <c r="AQ5444" s="31"/>
      <c r="AR5444" s="31"/>
      <c r="AS5444" s="94"/>
      <c r="AT5444" s="31"/>
      <c r="AU5444" s="31"/>
      <c r="AV5444" s="94"/>
      <c r="AW5444" s="32"/>
      <c r="AX5444" s="32"/>
      <c r="AY5444" s="32"/>
      <c r="AZ5444" s="32"/>
      <c r="BA5444" s="32"/>
      <c r="BB5444" s="31"/>
      <c r="BC5444" s="31"/>
      <c r="BD5444" s="31"/>
      <c r="BE5444" s="31"/>
      <c r="BF5444" s="96"/>
    </row>
    <row r="5445" spans="42:58" x14ac:dyDescent="0.35">
      <c r="AP5445" s="92"/>
      <c r="AQ5445" s="67"/>
      <c r="AR5445" s="67"/>
      <c r="AS5445" s="73"/>
      <c r="AT5445" s="67"/>
      <c r="AU5445" s="67"/>
      <c r="AV5445" s="73"/>
      <c r="AW5445" s="68"/>
      <c r="AX5445" s="68"/>
      <c r="AY5445" s="68"/>
      <c r="AZ5445" s="68"/>
      <c r="BA5445" s="68"/>
      <c r="BB5445" s="67"/>
      <c r="BC5445" s="67"/>
      <c r="BD5445" s="67"/>
      <c r="BE5445" s="67"/>
      <c r="BF5445" s="95"/>
    </row>
    <row r="5446" spans="42:58" x14ac:dyDescent="0.35">
      <c r="AP5446" s="93"/>
      <c r="AQ5446" s="31"/>
      <c r="AR5446" s="31"/>
      <c r="AS5446" s="94"/>
      <c r="AT5446" s="31"/>
      <c r="AU5446" s="31"/>
      <c r="AV5446" s="94"/>
      <c r="AW5446" s="32"/>
      <c r="AX5446" s="32"/>
      <c r="AY5446" s="32"/>
      <c r="AZ5446" s="32"/>
      <c r="BA5446" s="32"/>
      <c r="BB5446" s="31"/>
      <c r="BC5446" s="31"/>
      <c r="BD5446" s="31"/>
      <c r="BE5446" s="31"/>
      <c r="BF5446" s="96"/>
    </row>
    <row r="5447" spans="42:58" x14ac:dyDescent="0.35">
      <c r="AP5447" s="92"/>
      <c r="AQ5447" s="67"/>
      <c r="AR5447" s="67"/>
      <c r="AS5447" s="73"/>
      <c r="AT5447" s="67"/>
      <c r="AU5447" s="67"/>
      <c r="AV5447" s="73"/>
      <c r="AW5447" s="68"/>
      <c r="AX5447" s="68"/>
      <c r="AY5447" s="68"/>
      <c r="AZ5447" s="68"/>
      <c r="BA5447" s="68"/>
      <c r="BB5447" s="67"/>
      <c r="BC5447" s="67"/>
      <c r="BD5447" s="67"/>
      <c r="BE5447" s="67"/>
      <c r="BF5447" s="95"/>
    </row>
    <row r="5448" spans="42:58" x14ac:dyDescent="0.35">
      <c r="AP5448" s="93"/>
      <c r="AQ5448" s="31"/>
      <c r="AR5448" s="31"/>
      <c r="AS5448" s="94"/>
      <c r="AT5448" s="31"/>
      <c r="AU5448" s="31"/>
      <c r="AV5448" s="94"/>
      <c r="AW5448" s="32"/>
      <c r="AX5448" s="32"/>
      <c r="AY5448" s="32"/>
      <c r="AZ5448" s="32"/>
      <c r="BA5448" s="32"/>
      <c r="BB5448" s="31"/>
      <c r="BC5448" s="31"/>
      <c r="BD5448" s="31"/>
      <c r="BE5448" s="31"/>
      <c r="BF5448" s="96"/>
    </row>
    <row r="5449" spans="42:58" x14ac:dyDescent="0.35">
      <c r="AP5449" s="92"/>
      <c r="AQ5449" s="67"/>
      <c r="AR5449" s="67"/>
      <c r="AS5449" s="73"/>
      <c r="AT5449" s="67"/>
      <c r="AU5449" s="67"/>
      <c r="AV5449" s="73"/>
      <c r="AW5449" s="68"/>
      <c r="AX5449" s="68"/>
      <c r="AY5449" s="68"/>
      <c r="AZ5449" s="68"/>
      <c r="BA5449" s="68"/>
      <c r="BB5449" s="67"/>
      <c r="BC5449" s="67"/>
      <c r="BD5449" s="67"/>
      <c r="BE5449" s="67"/>
      <c r="BF5449" s="95"/>
    </row>
    <row r="5450" spans="42:58" x14ac:dyDescent="0.35">
      <c r="AP5450" s="93"/>
      <c r="AQ5450" s="31"/>
      <c r="AR5450" s="31"/>
      <c r="AS5450" s="94"/>
      <c r="AT5450" s="31"/>
      <c r="AU5450" s="31"/>
      <c r="AV5450" s="94"/>
      <c r="AW5450" s="32"/>
      <c r="AX5450" s="32"/>
      <c r="AY5450" s="32"/>
      <c r="AZ5450" s="32"/>
      <c r="BA5450" s="32"/>
      <c r="BB5450" s="31"/>
      <c r="BC5450" s="31"/>
      <c r="BD5450" s="31"/>
      <c r="BE5450" s="31"/>
      <c r="BF5450" s="96"/>
    </row>
    <row r="5451" spans="42:58" x14ac:dyDescent="0.35">
      <c r="AP5451" s="92"/>
      <c r="AQ5451" s="67"/>
      <c r="AR5451" s="67"/>
      <c r="AS5451" s="73"/>
      <c r="AT5451" s="67"/>
      <c r="AU5451" s="67"/>
      <c r="AV5451" s="73"/>
      <c r="AW5451" s="68"/>
      <c r="AX5451" s="68"/>
      <c r="AY5451" s="68"/>
      <c r="AZ5451" s="68"/>
      <c r="BA5451" s="68"/>
      <c r="BB5451" s="67"/>
      <c r="BC5451" s="67"/>
      <c r="BD5451" s="67"/>
      <c r="BE5451" s="67"/>
      <c r="BF5451" s="95"/>
    </row>
    <row r="5452" spans="42:58" x14ac:dyDescent="0.35">
      <c r="AP5452" s="93"/>
      <c r="AQ5452" s="31"/>
      <c r="AR5452" s="31"/>
      <c r="AS5452" s="94"/>
      <c r="AT5452" s="31"/>
      <c r="AU5452" s="31"/>
      <c r="AV5452" s="94"/>
      <c r="AW5452" s="32"/>
      <c r="AX5452" s="32"/>
      <c r="AY5452" s="32"/>
      <c r="AZ5452" s="32"/>
      <c r="BA5452" s="32"/>
      <c r="BB5452" s="31"/>
      <c r="BC5452" s="31"/>
      <c r="BD5452" s="31"/>
      <c r="BE5452" s="31"/>
      <c r="BF5452" s="96"/>
    </row>
    <row r="5453" spans="42:58" x14ac:dyDescent="0.35">
      <c r="AP5453" s="92"/>
      <c r="AQ5453" s="67"/>
      <c r="AR5453" s="67"/>
      <c r="AS5453" s="73"/>
      <c r="AT5453" s="67"/>
      <c r="AU5453" s="67"/>
      <c r="AV5453" s="73"/>
      <c r="AW5453" s="68"/>
      <c r="AX5453" s="68"/>
      <c r="AY5453" s="68"/>
      <c r="AZ5453" s="68"/>
      <c r="BA5453" s="68"/>
      <c r="BB5453" s="67"/>
      <c r="BC5453" s="67"/>
      <c r="BD5453" s="67"/>
      <c r="BE5453" s="67"/>
      <c r="BF5453" s="95"/>
    </row>
    <row r="5454" spans="42:58" x14ac:dyDescent="0.35">
      <c r="AP5454" s="93"/>
      <c r="AQ5454" s="31"/>
      <c r="AR5454" s="31"/>
      <c r="AS5454" s="94"/>
      <c r="AT5454" s="31"/>
      <c r="AU5454" s="31"/>
      <c r="AV5454" s="94"/>
      <c r="AW5454" s="32"/>
      <c r="AX5454" s="32"/>
      <c r="AY5454" s="32"/>
      <c r="AZ5454" s="32"/>
      <c r="BA5454" s="32"/>
      <c r="BB5454" s="31"/>
      <c r="BC5454" s="31"/>
      <c r="BD5454" s="31"/>
      <c r="BE5454" s="31"/>
      <c r="BF5454" s="96"/>
    </row>
    <row r="5455" spans="42:58" x14ac:dyDescent="0.35">
      <c r="AP5455" s="92"/>
      <c r="AQ5455" s="67"/>
      <c r="AR5455" s="67"/>
      <c r="AS5455" s="73"/>
      <c r="AT5455" s="67"/>
      <c r="AU5455" s="67"/>
      <c r="AV5455" s="73"/>
      <c r="AW5455" s="68"/>
      <c r="AX5455" s="68"/>
      <c r="AY5455" s="68"/>
      <c r="AZ5455" s="68"/>
      <c r="BA5455" s="68"/>
      <c r="BB5455" s="67"/>
      <c r="BC5455" s="67"/>
      <c r="BD5455" s="67"/>
      <c r="BE5455" s="67"/>
      <c r="BF5455" s="95"/>
    </row>
    <row r="5456" spans="42:58" x14ac:dyDescent="0.35">
      <c r="AP5456" s="93"/>
      <c r="AQ5456" s="31"/>
      <c r="AR5456" s="31"/>
      <c r="AS5456" s="94"/>
      <c r="AT5456" s="31"/>
      <c r="AU5456" s="31"/>
      <c r="AV5456" s="94"/>
      <c r="AW5456" s="32"/>
      <c r="AX5456" s="32"/>
      <c r="AY5456" s="32"/>
      <c r="AZ5456" s="32"/>
      <c r="BA5456" s="32"/>
      <c r="BB5456" s="31"/>
      <c r="BC5456" s="31"/>
      <c r="BD5456" s="31"/>
      <c r="BE5456" s="31"/>
      <c r="BF5456" s="96"/>
    </row>
    <row r="5457" spans="42:58" x14ac:dyDescent="0.35">
      <c r="AP5457" s="92"/>
      <c r="AQ5457" s="67"/>
      <c r="AR5457" s="67"/>
      <c r="AS5457" s="73"/>
      <c r="AT5457" s="67"/>
      <c r="AU5457" s="67"/>
      <c r="AV5457" s="73"/>
      <c r="AW5457" s="68"/>
      <c r="AX5457" s="68"/>
      <c r="AY5457" s="68"/>
      <c r="AZ5457" s="68"/>
      <c r="BA5457" s="68"/>
      <c r="BB5457" s="67"/>
      <c r="BC5457" s="67"/>
      <c r="BD5457" s="67"/>
      <c r="BE5457" s="67"/>
      <c r="BF5457" s="95"/>
    </row>
    <row r="5458" spans="42:58" x14ac:dyDescent="0.35">
      <c r="AP5458" s="93"/>
      <c r="AQ5458" s="31"/>
      <c r="AR5458" s="31"/>
      <c r="AS5458" s="94"/>
      <c r="AT5458" s="31"/>
      <c r="AU5458" s="31"/>
      <c r="AV5458" s="94"/>
      <c r="AW5458" s="32"/>
      <c r="AX5458" s="32"/>
      <c r="AY5458" s="32"/>
      <c r="AZ5458" s="32"/>
      <c r="BA5458" s="32"/>
      <c r="BB5458" s="31"/>
      <c r="BC5458" s="31"/>
      <c r="BD5458" s="31"/>
      <c r="BE5458" s="31"/>
      <c r="BF5458" s="96"/>
    </row>
    <row r="5459" spans="42:58" x14ac:dyDescent="0.35">
      <c r="AP5459" s="92"/>
      <c r="AQ5459" s="67"/>
      <c r="AR5459" s="67"/>
      <c r="AS5459" s="73"/>
      <c r="AT5459" s="67"/>
      <c r="AU5459" s="67"/>
      <c r="AV5459" s="73"/>
      <c r="AW5459" s="68"/>
      <c r="AX5459" s="68"/>
      <c r="AY5459" s="68"/>
      <c r="AZ5459" s="68"/>
      <c r="BA5459" s="68"/>
      <c r="BB5459" s="67"/>
      <c r="BC5459" s="67"/>
      <c r="BD5459" s="67"/>
      <c r="BE5459" s="67"/>
      <c r="BF5459" s="95"/>
    </row>
    <row r="5460" spans="42:58" x14ac:dyDescent="0.35">
      <c r="AP5460" s="93"/>
      <c r="AQ5460" s="31"/>
      <c r="AR5460" s="31"/>
      <c r="AS5460" s="94"/>
      <c r="AT5460" s="31"/>
      <c r="AU5460" s="31"/>
      <c r="AV5460" s="94"/>
      <c r="AW5460" s="32"/>
      <c r="AX5460" s="32"/>
      <c r="AY5460" s="32"/>
      <c r="AZ5460" s="32"/>
      <c r="BA5460" s="32"/>
      <c r="BB5460" s="31"/>
      <c r="BC5460" s="31"/>
      <c r="BD5460" s="31"/>
      <c r="BE5460" s="31"/>
      <c r="BF5460" s="96"/>
    </row>
    <row r="5461" spans="42:58" x14ac:dyDescent="0.35">
      <c r="AP5461" s="92"/>
      <c r="AQ5461" s="67"/>
      <c r="AR5461" s="67"/>
      <c r="AS5461" s="73"/>
      <c r="AT5461" s="67"/>
      <c r="AU5461" s="67"/>
      <c r="AV5461" s="73"/>
      <c r="AW5461" s="68"/>
      <c r="AX5461" s="68"/>
      <c r="AY5461" s="68"/>
      <c r="AZ5461" s="68"/>
      <c r="BA5461" s="68"/>
      <c r="BB5461" s="67"/>
      <c r="BC5461" s="67"/>
      <c r="BD5461" s="67"/>
      <c r="BE5461" s="67"/>
      <c r="BF5461" s="95"/>
    </row>
    <row r="5462" spans="42:58" x14ac:dyDescent="0.35">
      <c r="AP5462" s="93"/>
      <c r="AQ5462" s="31"/>
      <c r="AR5462" s="31"/>
      <c r="AS5462" s="94"/>
      <c r="AT5462" s="31"/>
      <c r="AU5462" s="31"/>
      <c r="AV5462" s="94"/>
      <c r="AW5462" s="32"/>
      <c r="AX5462" s="32"/>
      <c r="AY5462" s="32"/>
      <c r="AZ5462" s="32"/>
      <c r="BA5462" s="32"/>
      <c r="BB5462" s="31"/>
      <c r="BC5462" s="31"/>
      <c r="BD5462" s="31"/>
      <c r="BE5462" s="31"/>
      <c r="BF5462" s="96"/>
    </row>
    <row r="5463" spans="42:58" x14ac:dyDescent="0.35">
      <c r="AP5463" s="92"/>
      <c r="AQ5463" s="67"/>
      <c r="AR5463" s="67"/>
      <c r="AS5463" s="73"/>
      <c r="AT5463" s="67"/>
      <c r="AU5463" s="67"/>
      <c r="AV5463" s="73"/>
      <c r="AW5463" s="68"/>
      <c r="AX5463" s="68"/>
      <c r="AY5463" s="68"/>
      <c r="AZ5463" s="68"/>
      <c r="BA5463" s="68"/>
      <c r="BB5463" s="67"/>
      <c r="BC5463" s="67"/>
      <c r="BD5463" s="67"/>
      <c r="BE5463" s="67"/>
      <c r="BF5463" s="95"/>
    </row>
    <row r="5464" spans="42:58" x14ac:dyDescent="0.35">
      <c r="AP5464" s="93"/>
      <c r="AQ5464" s="31"/>
      <c r="AR5464" s="31"/>
      <c r="AS5464" s="94"/>
      <c r="AT5464" s="31"/>
      <c r="AU5464" s="31"/>
      <c r="AV5464" s="94"/>
      <c r="AW5464" s="32"/>
      <c r="AX5464" s="32"/>
      <c r="AY5464" s="32"/>
      <c r="AZ5464" s="32"/>
      <c r="BA5464" s="32"/>
      <c r="BB5464" s="31"/>
      <c r="BC5464" s="31"/>
      <c r="BD5464" s="31"/>
      <c r="BE5464" s="31"/>
      <c r="BF5464" s="96"/>
    </row>
    <row r="5465" spans="42:58" x14ac:dyDescent="0.35">
      <c r="AP5465" s="92"/>
      <c r="AQ5465" s="67"/>
      <c r="AR5465" s="67"/>
      <c r="AS5465" s="73"/>
      <c r="AT5465" s="67"/>
      <c r="AU5465" s="67"/>
      <c r="AV5465" s="73"/>
      <c r="AW5465" s="68"/>
      <c r="AX5465" s="68"/>
      <c r="AY5465" s="68"/>
      <c r="AZ5465" s="68"/>
      <c r="BA5465" s="68"/>
      <c r="BB5465" s="67"/>
      <c r="BC5465" s="67"/>
      <c r="BD5465" s="67"/>
      <c r="BE5465" s="67"/>
      <c r="BF5465" s="95"/>
    </row>
    <row r="5466" spans="42:58" x14ac:dyDescent="0.35">
      <c r="AP5466" s="93"/>
      <c r="AQ5466" s="31"/>
      <c r="AR5466" s="31"/>
      <c r="AS5466" s="94"/>
      <c r="AT5466" s="31"/>
      <c r="AU5466" s="31"/>
      <c r="AV5466" s="94"/>
      <c r="AW5466" s="32"/>
      <c r="AX5466" s="32"/>
      <c r="AY5466" s="32"/>
      <c r="AZ5466" s="32"/>
      <c r="BA5466" s="32"/>
      <c r="BB5466" s="31"/>
      <c r="BC5466" s="31"/>
      <c r="BD5466" s="31"/>
      <c r="BE5466" s="31"/>
      <c r="BF5466" s="96"/>
    </row>
    <row r="5467" spans="42:58" x14ac:dyDescent="0.35">
      <c r="AP5467" s="92"/>
      <c r="AQ5467" s="67"/>
      <c r="AR5467" s="67"/>
      <c r="AS5467" s="73"/>
      <c r="AT5467" s="67"/>
      <c r="AU5467" s="67"/>
      <c r="AV5467" s="73"/>
      <c r="AW5467" s="68"/>
      <c r="AX5467" s="68"/>
      <c r="AY5467" s="68"/>
      <c r="AZ5467" s="68"/>
      <c r="BA5467" s="68"/>
      <c r="BB5467" s="67"/>
      <c r="BC5467" s="67"/>
      <c r="BD5467" s="67"/>
      <c r="BE5467" s="67"/>
      <c r="BF5467" s="95"/>
    </row>
    <row r="5468" spans="42:58" x14ac:dyDescent="0.35">
      <c r="AP5468" s="93"/>
      <c r="AQ5468" s="31"/>
      <c r="AR5468" s="31"/>
      <c r="AS5468" s="94"/>
      <c r="AT5468" s="31"/>
      <c r="AU5468" s="31"/>
      <c r="AV5468" s="94"/>
      <c r="AW5468" s="32"/>
      <c r="AX5468" s="32"/>
      <c r="AY5468" s="32"/>
      <c r="AZ5468" s="32"/>
      <c r="BA5468" s="32"/>
      <c r="BB5468" s="31"/>
      <c r="BC5468" s="31"/>
      <c r="BD5468" s="31"/>
      <c r="BE5468" s="31"/>
      <c r="BF5468" s="96"/>
    </row>
    <row r="5469" spans="42:58" x14ac:dyDescent="0.35">
      <c r="AP5469" s="92"/>
      <c r="AQ5469" s="67"/>
      <c r="AR5469" s="67"/>
      <c r="AS5469" s="73"/>
      <c r="AT5469" s="67"/>
      <c r="AU5469" s="67"/>
      <c r="AV5469" s="73"/>
      <c r="AW5469" s="68"/>
      <c r="AX5469" s="68"/>
      <c r="AY5469" s="68"/>
      <c r="AZ5469" s="68"/>
      <c r="BA5469" s="68"/>
      <c r="BB5469" s="67"/>
      <c r="BC5469" s="67"/>
      <c r="BD5469" s="67"/>
      <c r="BE5469" s="67"/>
      <c r="BF5469" s="95"/>
    </row>
    <row r="5470" spans="42:58" x14ac:dyDescent="0.35">
      <c r="AP5470" s="93"/>
      <c r="AQ5470" s="31"/>
      <c r="AR5470" s="31"/>
      <c r="AS5470" s="94"/>
      <c r="AT5470" s="31"/>
      <c r="AU5470" s="31"/>
      <c r="AV5470" s="94"/>
      <c r="AW5470" s="32"/>
      <c r="AX5470" s="32"/>
      <c r="AY5470" s="32"/>
      <c r="AZ5470" s="32"/>
      <c r="BA5470" s="32"/>
      <c r="BB5470" s="31"/>
      <c r="BC5470" s="31"/>
      <c r="BD5470" s="31"/>
      <c r="BE5470" s="31"/>
      <c r="BF5470" s="96"/>
    </row>
    <row r="5471" spans="42:58" x14ac:dyDescent="0.35">
      <c r="AP5471" s="92"/>
      <c r="AQ5471" s="67"/>
      <c r="AR5471" s="67"/>
      <c r="AS5471" s="73"/>
      <c r="AT5471" s="67"/>
      <c r="AU5471" s="67"/>
      <c r="AV5471" s="73"/>
      <c r="AW5471" s="68"/>
      <c r="AX5471" s="68"/>
      <c r="AY5471" s="68"/>
      <c r="AZ5471" s="68"/>
      <c r="BA5471" s="68"/>
      <c r="BB5471" s="67"/>
      <c r="BC5471" s="67"/>
      <c r="BD5471" s="67"/>
      <c r="BE5471" s="67"/>
      <c r="BF5471" s="95"/>
    </row>
    <row r="5472" spans="42:58" x14ac:dyDescent="0.35">
      <c r="AP5472" s="93"/>
      <c r="AQ5472" s="31"/>
      <c r="AR5472" s="31"/>
      <c r="AS5472" s="94"/>
      <c r="AT5472" s="31"/>
      <c r="AU5472" s="31"/>
      <c r="AV5472" s="94"/>
      <c r="AW5472" s="32"/>
      <c r="AX5472" s="32"/>
      <c r="AY5472" s="32"/>
      <c r="AZ5472" s="32"/>
      <c r="BA5472" s="32"/>
      <c r="BB5472" s="31"/>
      <c r="BC5472" s="31"/>
      <c r="BD5472" s="31"/>
      <c r="BE5472" s="31"/>
      <c r="BF5472" s="96"/>
    </row>
    <row r="5473" spans="42:58" x14ac:dyDescent="0.35">
      <c r="AP5473" s="92"/>
      <c r="AQ5473" s="67"/>
      <c r="AR5473" s="67"/>
      <c r="AS5473" s="73"/>
      <c r="AT5473" s="67"/>
      <c r="AU5473" s="67"/>
      <c r="AV5473" s="73"/>
      <c r="AW5473" s="68"/>
      <c r="AX5473" s="68"/>
      <c r="AY5473" s="68"/>
      <c r="AZ5473" s="68"/>
      <c r="BA5473" s="68"/>
      <c r="BB5473" s="67"/>
      <c r="BC5473" s="67"/>
      <c r="BD5473" s="67"/>
      <c r="BE5473" s="67"/>
      <c r="BF5473" s="95"/>
    </row>
    <row r="5474" spans="42:58" x14ac:dyDescent="0.35">
      <c r="AP5474" s="93"/>
      <c r="AQ5474" s="31"/>
      <c r="AR5474" s="31"/>
      <c r="AS5474" s="94"/>
      <c r="AT5474" s="31"/>
      <c r="AU5474" s="31"/>
      <c r="AV5474" s="94"/>
      <c r="AW5474" s="32"/>
      <c r="AX5474" s="32"/>
      <c r="AY5474" s="32"/>
      <c r="AZ5474" s="32"/>
      <c r="BA5474" s="32"/>
      <c r="BB5474" s="31"/>
      <c r="BC5474" s="31"/>
      <c r="BD5474" s="31"/>
      <c r="BE5474" s="31"/>
      <c r="BF5474" s="96"/>
    </row>
    <row r="5475" spans="42:58" x14ac:dyDescent="0.35">
      <c r="AP5475" s="92"/>
      <c r="AQ5475" s="67"/>
      <c r="AR5475" s="67"/>
      <c r="AS5475" s="73"/>
      <c r="AT5475" s="67"/>
      <c r="AU5475" s="67"/>
      <c r="AV5475" s="73"/>
      <c r="AW5475" s="68"/>
      <c r="AX5475" s="68"/>
      <c r="AY5475" s="68"/>
      <c r="AZ5475" s="68"/>
      <c r="BA5475" s="68"/>
      <c r="BB5475" s="67"/>
      <c r="BC5475" s="67"/>
      <c r="BD5475" s="67"/>
      <c r="BE5475" s="67"/>
      <c r="BF5475" s="95"/>
    </row>
    <row r="5476" spans="42:58" x14ac:dyDescent="0.35">
      <c r="AP5476" s="93"/>
      <c r="AQ5476" s="31"/>
      <c r="AR5476" s="31"/>
      <c r="AS5476" s="94"/>
      <c r="AT5476" s="31"/>
      <c r="AU5476" s="31"/>
      <c r="AV5476" s="94"/>
      <c r="AW5476" s="32"/>
      <c r="AX5476" s="32"/>
      <c r="AY5476" s="32"/>
      <c r="AZ5476" s="32"/>
      <c r="BA5476" s="32"/>
      <c r="BB5476" s="31"/>
      <c r="BC5476" s="31"/>
      <c r="BD5476" s="31"/>
      <c r="BE5476" s="31"/>
      <c r="BF5476" s="96"/>
    </row>
    <row r="5477" spans="42:58" x14ac:dyDescent="0.35">
      <c r="AP5477" s="92"/>
      <c r="AQ5477" s="67"/>
      <c r="AR5477" s="67"/>
      <c r="AS5477" s="73"/>
      <c r="AT5477" s="67"/>
      <c r="AU5477" s="67"/>
      <c r="AV5477" s="73"/>
      <c r="AW5477" s="68"/>
      <c r="AX5477" s="68"/>
      <c r="AY5477" s="68"/>
      <c r="AZ5477" s="68"/>
      <c r="BA5477" s="68"/>
      <c r="BB5477" s="67"/>
      <c r="BC5477" s="67"/>
      <c r="BD5477" s="67"/>
      <c r="BE5477" s="67"/>
      <c r="BF5477" s="95"/>
    </row>
    <row r="5478" spans="42:58" x14ac:dyDescent="0.35">
      <c r="AP5478" s="93"/>
      <c r="AQ5478" s="31"/>
      <c r="AR5478" s="31"/>
      <c r="AS5478" s="94"/>
      <c r="AT5478" s="31"/>
      <c r="AU5478" s="31"/>
      <c r="AV5478" s="94"/>
      <c r="AW5478" s="32"/>
      <c r="AX5478" s="32"/>
      <c r="AY5478" s="32"/>
      <c r="AZ5478" s="32"/>
      <c r="BA5478" s="32"/>
      <c r="BB5478" s="31"/>
      <c r="BC5478" s="31"/>
      <c r="BD5478" s="31"/>
      <c r="BE5478" s="31"/>
      <c r="BF5478" s="96"/>
    </row>
    <row r="5479" spans="42:58" x14ac:dyDescent="0.35">
      <c r="AP5479" s="92"/>
      <c r="AQ5479" s="67"/>
      <c r="AR5479" s="67"/>
      <c r="AS5479" s="73"/>
      <c r="AT5479" s="67"/>
      <c r="AU5479" s="67"/>
      <c r="AV5479" s="73"/>
      <c r="AW5479" s="68"/>
      <c r="AX5479" s="68"/>
      <c r="AY5479" s="68"/>
      <c r="AZ5479" s="68"/>
      <c r="BA5479" s="68"/>
      <c r="BB5479" s="67"/>
      <c r="BC5479" s="67"/>
      <c r="BD5479" s="67"/>
      <c r="BE5479" s="67"/>
      <c r="BF5479" s="95"/>
    </row>
    <row r="5480" spans="42:58" x14ac:dyDescent="0.35">
      <c r="AP5480" s="93"/>
      <c r="AQ5480" s="31"/>
      <c r="AR5480" s="31"/>
      <c r="AS5480" s="94"/>
      <c r="AT5480" s="31"/>
      <c r="AU5480" s="31"/>
      <c r="AV5480" s="94"/>
      <c r="AW5480" s="32"/>
      <c r="AX5480" s="32"/>
      <c r="AY5480" s="32"/>
      <c r="AZ5480" s="32"/>
      <c r="BA5480" s="32"/>
      <c r="BB5480" s="31"/>
      <c r="BC5480" s="31"/>
      <c r="BD5480" s="31"/>
      <c r="BE5480" s="31"/>
      <c r="BF5480" s="96"/>
    </row>
    <row r="5481" spans="42:58" x14ac:dyDescent="0.35">
      <c r="AP5481" s="92"/>
      <c r="AQ5481" s="67"/>
      <c r="AR5481" s="67"/>
      <c r="AS5481" s="73"/>
      <c r="AT5481" s="67"/>
      <c r="AU5481" s="67"/>
      <c r="AV5481" s="73"/>
      <c r="AW5481" s="68"/>
      <c r="AX5481" s="68"/>
      <c r="AY5481" s="68"/>
      <c r="AZ5481" s="68"/>
      <c r="BA5481" s="68"/>
      <c r="BB5481" s="67"/>
      <c r="BC5481" s="67"/>
      <c r="BD5481" s="67"/>
      <c r="BE5481" s="67"/>
      <c r="BF5481" s="95"/>
    </row>
    <row r="5482" spans="42:58" x14ac:dyDescent="0.35">
      <c r="AP5482" s="93"/>
      <c r="AQ5482" s="31"/>
      <c r="AR5482" s="31"/>
      <c r="AS5482" s="94"/>
      <c r="AT5482" s="31"/>
      <c r="AU5482" s="31"/>
      <c r="AV5482" s="94"/>
      <c r="AW5482" s="32"/>
      <c r="AX5482" s="32"/>
      <c r="AY5482" s="32"/>
      <c r="AZ5482" s="32"/>
      <c r="BA5482" s="32"/>
      <c r="BB5482" s="31"/>
      <c r="BC5482" s="31"/>
      <c r="BD5482" s="31"/>
      <c r="BE5482" s="31"/>
      <c r="BF5482" s="96"/>
    </row>
    <row r="5483" spans="42:58" x14ac:dyDescent="0.35">
      <c r="AP5483" s="92"/>
      <c r="AQ5483" s="67"/>
      <c r="AR5483" s="67"/>
      <c r="AS5483" s="73"/>
      <c r="AT5483" s="67"/>
      <c r="AU5483" s="67"/>
      <c r="AV5483" s="73"/>
      <c r="AW5483" s="68"/>
      <c r="AX5483" s="68"/>
      <c r="AY5483" s="68"/>
      <c r="AZ5483" s="68"/>
      <c r="BA5483" s="68"/>
      <c r="BB5483" s="67"/>
      <c r="BC5483" s="67"/>
      <c r="BD5483" s="67"/>
      <c r="BE5483" s="67"/>
      <c r="BF5483" s="95"/>
    </row>
    <row r="5484" spans="42:58" x14ac:dyDescent="0.35">
      <c r="AP5484" s="93"/>
      <c r="AQ5484" s="31"/>
      <c r="AR5484" s="31"/>
      <c r="AS5484" s="94"/>
      <c r="AT5484" s="31"/>
      <c r="AU5484" s="31"/>
      <c r="AV5484" s="94"/>
      <c r="AW5484" s="32"/>
      <c r="AX5484" s="32"/>
      <c r="AY5484" s="32"/>
      <c r="AZ5484" s="32"/>
      <c r="BA5484" s="32"/>
      <c r="BB5484" s="31"/>
      <c r="BC5484" s="31"/>
      <c r="BD5484" s="31"/>
      <c r="BE5484" s="31"/>
      <c r="BF5484" s="96"/>
    </row>
    <row r="5485" spans="42:58" x14ac:dyDescent="0.35">
      <c r="AP5485" s="92"/>
      <c r="AQ5485" s="67"/>
      <c r="AR5485" s="67"/>
      <c r="AS5485" s="73"/>
      <c r="AT5485" s="67"/>
      <c r="AU5485" s="67"/>
      <c r="AV5485" s="73"/>
      <c r="AW5485" s="68"/>
      <c r="AX5485" s="68"/>
      <c r="AY5485" s="68"/>
      <c r="AZ5485" s="68"/>
      <c r="BA5485" s="68"/>
      <c r="BB5485" s="67"/>
      <c r="BC5485" s="67"/>
      <c r="BD5485" s="67"/>
      <c r="BE5485" s="67"/>
      <c r="BF5485" s="95"/>
    </row>
    <row r="5486" spans="42:58" x14ac:dyDescent="0.35">
      <c r="AP5486" s="93"/>
      <c r="AQ5486" s="31"/>
      <c r="AR5486" s="31"/>
      <c r="AS5486" s="94"/>
      <c r="AT5486" s="31"/>
      <c r="AU5486" s="31"/>
      <c r="AV5486" s="94"/>
      <c r="AW5486" s="32"/>
      <c r="AX5486" s="32"/>
      <c r="AY5486" s="32"/>
      <c r="AZ5486" s="32"/>
      <c r="BA5486" s="32"/>
      <c r="BB5486" s="31"/>
      <c r="BC5486" s="31"/>
      <c r="BD5486" s="31"/>
      <c r="BE5486" s="31"/>
      <c r="BF5486" s="96"/>
    </row>
    <row r="5487" spans="42:58" x14ac:dyDescent="0.35">
      <c r="AP5487" s="92"/>
      <c r="AQ5487" s="67"/>
      <c r="AR5487" s="67"/>
      <c r="AS5487" s="73"/>
      <c r="AT5487" s="67"/>
      <c r="AU5487" s="67"/>
      <c r="AV5487" s="73"/>
      <c r="AW5487" s="68"/>
      <c r="AX5487" s="68"/>
      <c r="AY5487" s="68"/>
      <c r="AZ5487" s="68"/>
      <c r="BA5487" s="68"/>
      <c r="BB5487" s="67"/>
      <c r="BC5487" s="67"/>
      <c r="BD5487" s="67"/>
      <c r="BE5487" s="67"/>
      <c r="BF5487" s="95"/>
    </row>
    <row r="5488" spans="42:58" x14ac:dyDescent="0.35">
      <c r="AP5488" s="93"/>
      <c r="AQ5488" s="31"/>
      <c r="AR5488" s="31"/>
      <c r="AS5488" s="94"/>
      <c r="AT5488" s="31"/>
      <c r="AU5488" s="31"/>
      <c r="AV5488" s="94"/>
      <c r="AW5488" s="32"/>
      <c r="AX5488" s="32"/>
      <c r="AY5488" s="32"/>
      <c r="AZ5488" s="32"/>
      <c r="BA5488" s="32"/>
      <c r="BB5488" s="31"/>
      <c r="BC5488" s="31"/>
      <c r="BD5488" s="31"/>
      <c r="BE5488" s="31"/>
      <c r="BF5488" s="96"/>
    </row>
    <row r="5489" spans="42:58" x14ac:dyDescent="0.35">
      <c r="AP5489" s="92"/>
      <c r="AQ5489" s="67"/>
      <c r="AR5489" s="67"/>
      <c r="AS5489" s="73"/>
      <c r="AT5489" s="67"/>
      <c r="AU5489" s="67"/>
      <c r="AV5489" s="73"/>
      <c r="AW5489" s="68"/>
      <c r="AX5489" s="68"/>
      <c r="AY5489" s="68"/>
      <c r="AZ5489" s="68"/>
      <c r="BA5489" s="68"/>
      <c r="BB5489" s="67"/>
      <c r="BC5489" s="67"/>
      <c r="BD5489" s="67"/>
      <c r="BE5489" s="67"/>
      <c r="BF5489" s="95"/>
    </row>
    <row r="5490" spans="42:58" x14ac:dyDescent="0.35">
      <c r="AP5490" s="93"/>
      <c r="AQ5490" s="31"/>
      <c r="AR5490" s="31"/>
      <c r="AS5490" s="94"/>
      <c r="AT5490" s="31"/>
      <c r="AU5490" s="31"/>
      <c r="AV5490" s="94"/>
      <c r="AW5490" s="32"/>
      <c r="AX5490" s="32"/>
      <c r="AY5490" s="32"/>
      <c r="AZ5490" s="32"/>
      <c r="BA5490" s="32"/>
      <c r="BB5490" s="31"/>
      <c r="BC5490" s="31"/>
      <c r="BD5490" s="31"/>
      <c r="BE5490" s="31"/>
      <c r="BF5490" s="96"/>
    </row>
    <row r="5491" spans="42:58" x14ac:dyDescent="0.35">
      <c r="AP5491" s="92"/>
      <c r="AQ5491" s="67"/>
      <c r="AR5491" s="67"/>
      <c r="AS5491" s="73"/>
      <c r="AT5491" s="67"/>
      <c r="AU5491" s="67"/>
      <c r="AV5491" s="73"/>
      <c r="AW5491" s="68"/>
      <c r="AX5491" s="68"/>
      <c r="AY5491" s="68"/>
      <c r="AZ5491" s="68"/>
      <c r="BA5491" s="68"/>
      <c r="BB5491" s="67"/>
      <c r="BC5491" s="67"/>
      <c r="BD5491" s="67"/>
      <c r="BE5491" s="67"/>
      <c r="BF5491" s="95"/>
    </row>
    <row r="5492" spans="42:58" x14ac:dyDescent="0.35">
      <c r="AP5492" s="93"/>
      <c r="AQ5492" s="31"/>
      <c r="AR5492" s="31"/>
      <c r="AS5492" s="94"/>
      <c r="AT5492" s="31"/>
      <c r="AU5492" s="31"/>
      <c r="AV5492" s="94"/>
      <c r="AW5492" s="32"/>
      <c r="AX5492" s="32"/>
      <c r="AY5492" s="32"/>
      <c r="AZ5492" s="32"/>
      <c r="BA5492" s="32"/>
      <c r="BB5492" s="31"/>
      <c r="BC5492" s="31"/>
      <c r="BD5492" s="31"/>
      <c r="BE5492" s="31"/>
      <c r="BF5492" s="96"/>
    </row>
    <row r="5493" spans="42:58" x14ac:dyDescent="0.35">
      <c r="AP5493" s="92"/>
      <c r="AQ5493" s="67"/>
      <c r="AR5493" s="67"/>
      <c r="AS5493" s="73"/>
      <c r="AT5493" s="67"/>
      <c r="AU5493" s="67"/>
      <c r="AV5493" s="73"/>
      <c r="AW5493" s="68"/>
      <c r="AX5493" s="68"/>
      <c r="AY5493" s="68"/>
      <c r="AZ5493" s="68"/>
      <c r="BA5493" s="68"/>
      <c r="BB5493" s="67"/>
      <c r="BC5493" s="67"/>
      <c r="BD5493" s="67"/>
      <c r="BE5493" s="67"/>
      <c r="BF5493" s="95"/>
    </row>
    <row r="5494" spans="42:58" x14ac:dyDescent="0.35">
      <c r="AP5494" s="93"/>
      <c r="AQ5494" s="31"/>
      <c r="AR5494" s="31"/>
      <c r="AS5494" s="94"/>
      <c r="AT5494" s="31"/>
      <c r="AU5494" s="31"/>
      <c r="AV5494" s="94"/>
      <c r="AW5494" s="32"/>
      <c r="AX5494" s="32"/>
      <c r="AY5494" s="32"/>
      <c r="AZ5494" s="32"/>
      <c r="BA5494" s="32"/>
      <c r="BB5494" s="31"/>
      <c r="BC5494" s="31"/>
      <c r="BD5494" s="31"/>
      <c r="BE5494" s="31"/>
      <c r="BF5494" s="96"/>
    </row>
    <row r="5495" spans="42:58" x14ac:dyDescent="0.35">
      <c r="AP5495" s="92"/>
      <c r="AQ5495" s="67"/>
      <c r="AR5495" s="67"/>
      <c r="AS5495" s="73"/>
      <c r="AT5495" s="67"/>
      <c r="AU5495" s="67"/>
      <c r="AV5495" s="73"/>
      <c r="AW5495" s="68"/>
      <c r="AX5495" s="68"/>
      <c r="AY5495" s="68"/>
      <c r="AZ5495" s="68"/>
      <c r="BA5495" s="68"/>
      <c r="BB5495" s="67"/>
      <c r="BC5495" s="67"/>
      <c r="BD5495" s="67"/>
      <c r="BE5495" s="67"/>
      <c r="BF5495" s="95"/>
    </row>
    <row r="5496" spans="42:58" x14ac:dyDescent="0.35">
      <c r="AP5496" s="93"/>
      <c r="AQ5496" s="31"/>
      <c r="AR5496" s="31"/>
      <c r="AS5496" s="94"/>
      <c r="AT5496" s="31"/>
      <c r="AU5496" s="31"/>
      <c r="AV5496" s="94"/>
      <c r="AW5496" s="32"/>
      <c r="AX5496" s="32"/>
      <c r="AY5496" s="32"/>
      <c r="AZ5496" s="32"/>
      <c r="BA5496" s="32"/>
      <c r="BB5496" s="31"/>
      <c r="BC5496" s="31"/>
      <c r="BD5496" s="31"/>
      <c r="BE5496" s="31"/>
      <c r="BF5496" s="96"/>
    </row>
    <row r="5497" spans="42:58" x14ac:dyDescent="0.35">
      <c r="AP5497" s="92"/>
      <c r="AQ5497" s="67"/>
      <c r="AR5497" s="67"/>
      <c r="AS5497" s="73"/>
      <c r="AT5497" s="67"/>
      <c r="AU5497" s="67"/>
      <c r="AV5497" s="73"/>
      <c r="AW5497" s="68"/>
      <c r="AX5497" s="68"/>
      <c r="AY5497" s="68"/>
      <c r="AZ5497" s="68"/>
      <c r="BA5497" s="68"/>
      <c r="BB5497" s="67"/>
      <c r="BC5497" s="67"/>
      <c r="BD5497" s="67"/>
      <c r="BE5497" s="67"/>
      <c r="BF5497" s="95"/>
    </row>
    <row r="5498" spans="42:58" x14ac:dyDescent="0.35">
      <c r="AP5498" s="93"/>
      <c r="AQ5498" s="31"/>
      <c r="AR5498" s="31"/>
      <c r="AS5498" s="94"/>
      <c r="AT5498" s="31"/>
      <c r="AU5498" s="31"/>
      <c r="AV5498" s="94"/>
      <c r="AW5498" s="32"/>
      <c r="AX5498" s="32"/>
      <c r="AY5498" s="32"/>
      <c r="AZ5498" s="32"/>
      <c r="BA5498" s="32"/>
      <c r="BB5498" s="31"/>
      <c r="BC5498" s="31"/>
      <c r="BD5498" s="31"/>
      <c r="BE5498" s="31"/>
      <c r="BF5498" s="96"/>
    </row>
    <row r="5499" spans="42:58" x14ac:dyDescent="0.35">
      <c r="AP5499" s="92"/>
      <c r="AQ5499" s="67"/>
      <c r="AR5499" s="67"/>
      <c r="AS5499" s="73"/>
      <c r="AT5499" s="67"/>
      <c r="AU5499" s="67"/>
      <c r="AV5499" s="73"/>
      <c r="AW5499" s="68"/>
      <c r="AX5499" s="68"/>
      <c r="AY5499" s="68"/>
      <c r="AZ5499" s="68"/>
      <c r="BA5499" s="68"/>
      <c r="BB5499" s="67"/>
      <c r="BC5499" s="67"/>
      <c r="BD5499" s="67"/>
      <c r="BE5499" s="67"/>
      <c r="BF5499" s="95"/>
    </row>
    <row r="5500" spans="42:58" x14ac:dyDescent="0.35">
      <c r="AP5500" s="93"/>
      <c r="AQ5500" s="31"/>
      <c r="AR5500" s="31"/>
      <c r="AS5500" s="94"/>
      <c r="AT5500" s="31"/>
      <c r="AU5500" s="31"/>
      <c r="AV5500" s="94"/>
      <c r="AW5500" s="32"/>
      <c r="AX5500" s="32"/>
      <c r="AY5500" s="32"/>
      <c r="AZ5500" s="32"/>
      <c r="BA5500" s="32"/>
      <c r="BB5500" s="31"/>
      <c r="BC5500" s="31"/>
      <c r="BD5500" s="31"/>
      <c r="BE5500" s="31"/>
      <c r="BF5500" s="96"/>
    </row>
    <row r="5501" spans="42:58" x14ac:dyDescent="0.35">
      <c r="AP5501" s="92"/>
      <c r="AQ5501" s="67"/>
      <c r="AR5501" s="67"/>
      <c r="AS5501" s="73"/>
      <c r="AT5501" s="67"/>
      <c r="AU5501" s="67"/>
      <c r="AV5501" s="73"/>
      <c r="AW5501" s="68"/>
      <c r="AX5501" s="68"/>
      <c r="AY5501" s="68"/>
      <c r="AZ5501" s="68"/>
      <c r="BA5501" s="68"/>
      <c r="BB5501" s="67"/>
      <c r="BC5501" s="67"/>
      <c r="BD5501" s="67"/>
      <c r="BE5501" s="67"/>
      <c r="BF5501" s="95"/>
    </row>
    <row r="5502" spans="42:58" x14ac:dyDescent="0.35">
      <c r="AP5502" s="93"/>
      <c r="AQ5502" s="31"/>
      <c r="AR5502" s="31"/>
      <c r="AS5502" s="94"/>
      <c r="AT5502" s="31"/>
      <c r="AU5502" s="31"/>
      <c r="AV5502" s="94"/>
      <c r="AW5502" s="32"/>
      <c r="AX5502" s="32"/>
      <c r="AY5502" s="32"/>
      <c r="AZ5502" s="32"/>
      <c r="BA5502" s="32"/>
      <c r="BB5502" s="31"/>
      <c r="BC5502" s="31"/>
      <c r="BD5502" s="31"/>
      <c r="BE5502" s="31"/>
      <c r="BF5502" s="96"/>
    </row>
    <row r="5503" spans="42:58" x14ac:dyDescent="0.35">
      <c r="AP5503" s="92"/>
      <c r="AQ5503" s="67"/>
      <c r="AR5503" s="67"/>
      <c r="AS5503" s="73"/>
      <c r="AT5503" s="67"/>
      <c r="AU5503" s="67"/>
      <c r="AV5503" s="73"/>
      <c r="AW5503" s="68"/>
      <c r="AX5503" s="68"/>
      <c r="AY5503" s="68"/>
      <c r="AZ5503" s="68"/>
      <c r="BA5503" s="68"/>
      <c r="BB5503" s="67"/>
      <c r="BC5503" s="67"/>
      <c r="BD5503" s="67"/>
      <c r="BE5503" s="67"/>
      <c r="BF5503" s="95"/>
    </row>
    <row r="5504" spans="42:58" x14ac:dyDescent="0.35">
      <c r="AP5504" s="93"/>
      <c r="AQ5504" s="31"/>
      <c r="AR5504" s="31"/>
      <c r="AS5504" s="94"/>
      <c r="AT5504" s="31"/>
      <c r="AU5504" s="31"/>
      <c r="AV5504" s="94"/>
      <c r="AW5504" s="32"/>
      <c r="AX5504" s="32"/>
      <c r="AY5504" s="32"/>
      <c r="AZ5504" s="32"/>
      <c r="BA5504" s="32"/>
      <c r="BB5504" s="31"/>
      <c r="BC5504" s="31"/>
      <c r="BD5504" s="31"/>
      <c r="BE5504" s="31"/>
      <c r="BF5504" s="96"/>
    </row>
    <row r="5505" spans="42:58" x14ac:dyDescent="0.35">
      <c r="AP5505" s="92"/>
      <c r="AQ5505" s="67"/>
      <c r="AR5505" s="67"/>
      <c r="AS5505" s="73"/>
      <c r="AT5505" s="67"/>
      <c r="AU5505" s="67"/>
      <c r="AV5505" s="73"/>
      <c r="AW5505" s="68"/>
      <c r="AX5505" s="68"/>
      <c r="AY5505" s="68"/>
      <c r="AZ5505" s="68"/>
      <c r="BA5505" s="68"/>
      <c r="BB5505" s="67"/>
      <c r="BC5505" s="67"/>
      <c r="BD5505" s="67"/>
      <c r="BE5505" s="67"/>
      <c r="BF5505" s="95"/>
    </row>
    <row r="5506" spans="42:58" x14ac:dyDescent="0.35">
      <c r="AP5506" s="93"/>
      <c r="AQ5506" s="31"/>
      <c r="AR5506" s="31"/>
      <c r="AS5506" s="94"/>
      <c r="AT5506" s="31"/>
      <c r="AU5506" s="31"/>
      <c r="AV5506" s="94"/>
      <c r="AW5506" s="32"/>
      <c r="AX5506" s="32"/>
      <c r="AY5506" s="32"/>
      <c r="AZ5506" s="32"/>
      <c r="BA5506" s="32"/>
      <c r="BB5506" s="31"/>
      <c r="BC5506" s="31"/>
      <c r="BD5506" s="31"/>
      <c r="BE5506" s="31"/>
      <c r="BF5506" s="96"/>
    </row>
    <row r="5507" spans="42:58" x14ac:dyDescent="0.35">
      <c r="AP5507" s="92"/>
      <c r="AQ5507" s="67"/>
      <c r="AR5507" s="67"/>
      <c r="AS5507" s="73"/>
      <c r="AT5507" s="67"/>
      <c r="AU5507" s="67"/>
      <c r="AV5507" s="73"/>
      <c r="AW5507" s="68"/>
      <c r="AX5507" s="68"/>
      <c r="AY5507" s="68"/>
      <c r="AZ5507" s="68"/>
      <c r="BA5507" s="68"/>
      <c r="BB5507" s="67"/>
      <c r="BC5507" s="67"/>
      <c r="BD5507" s="67"/>
      <c r="BE5507" s="67"/>
      <c r="BF5507" s="95"/>
    </row>
    <row r="5508" spans="42:58" x14ac:dyDescent="0.35">
      <c r="AP5508" s="93"/>
      <c r="AQ5508" s="31"/>
      <c r="AR5508" s="31"/>
      <c r="AS5508" s="94"/>
      <c r="AT5508" s="31"/>
      <c r="AU5508" s="31"/>
      <c r="AV5508" s="94"/>
      <c r="AW5508" s="32"/>
      <c r="AX5508" s="32"/>
      <c r="AY5508" s="32"/>
      <c r="AZ5508" s="32"/>
      <c r="BA5508" s="32"/>
      <c r="BB5508" s="31"/>
      <c r="BC5508" s="31"/>
      <c r="BD5508" s="31"/>
      <c r="BE5508" s="31"/>
      <c r="BF5508" s="96"/>
    </row>
    <row r="5509" spans="42:58" x14ac:dyDescent="0.35">
      <c r="AP5509" s="92"/>
      <c r="AQ5509" s="67"/>
      <c r="AR5509" s="67"/>
      <c r="AS5509" s="73"/>
      <c r="AT5509" s="67"/>
      <c r="AU5509" s="67"/>
      <c r="AV5509" s="73"/>
      <c r="AW5509" s="68"/>
      <c r="AX5509" s="68"/>
      <c r="AY5509" s="68"/>
      <c r="AZ5509" s="68"/>
      <c r="BA5509" s="68"/>
      <c r="BB5509" s="67"/>
      <c r="BC5509" s="67"/>
      <c r="BD5509" s="67"/>
      <c r="BE5509" s="67"/>
      <c r="BF5509" s="95"/>
    </row>
    <row r="5510" spans="42:58" x14ac:dyDescent="0.35">
      <c r="AP5510" s="93"/>
      <c r="AQ5510" s="31"/>
      <c r="AR5510" s="31"/>
      <c r="AS5510" s="94"/>
      <c r="AT5510" s="31"/>
      <c r="AU5510" s="31"/>
      <c r="AV5510" s="94"/>
      <c r="AW5510" s="32"/>
      <c r="AX5510" s="32"/>
      <c r="AY5510" s="32"/>
      <c r="AZ5510" s="32"/>
      <c r="BA5510" s="32"/>
      <c r="BB5510" s="31"/>
      <c r="BC5510" s="31"/>
      <c r="BD5510" s="31"/>
      <c r="BE5510" s="31"/>
      <c r="BF5510" s="96"/>
    </row>
    <row r="5511" spans="42:58" x14ac:dyDescent="0.35">
      <c r="AP5511" s="92"/>
      <c r="AQ5511" s="67"/>
      <c r="AR5511" s="67"/>
      <c r="AS5511" s="73"/>
      <c r="AT5511" s="67"/>
      <c r="AU5511" s="67"/>
      <c r="AV5511" s="73"/>
      <c r="AW5511" s="68"/>
      <c r="AX5511" s="68"/>
      <c r="AY5511" s="68"/>
      <c r="AZ5511" s="68"/>
      <c r="BA5511" s="68"/>
      <c r="BB5511" s="67"/>
      <c r="BC5511" s="67"/>
      <c r="BD5511" s="67"/>
      <c r="BE5511" s="67"/>
      <c r="BF5511" s="95"/>
    </row>
    <row r="5512" spans="42:58" x14ac:dyDescent="0.35">
      <c r="AP5512" s="93"/>
      <c r="AQ5512" s="31"/>
      <c r="AR5512" s="31"/>
      <c r="AS5512" s="94"/>
      <c r="AT5512" s="31"/>
      <c r="AU5512" s="31"/>
      <c r="AV5512" s="94"/>
      <c r="AW5512" s="32"/>
      <c r="AX5512" s="32"/>
      <c r="AY5512" s="32"/>
      <c r="AZ5512" s="32"/>
      <c r="BA5512" s="32"/>
      <c r="BB5512" s="31"/>
      <c r="BC5512" s="31"/>
      <c r="BD5512" s="31"/>
      <c r="BE5512" s="31"/>
      <c r="BF5512" s="96"/>
    </row>
    <row r="5513" spans="42:58" x14ac:dyDescent="0.35">
      <c r="AP5513" s="92"/>
      <c r="AQ5513" s="67"/>
      <c r="AR5513" s="67"/>
      <c r="AS5513" s="73"/>
      <c r="AT5513" s="67"/>
      <c r="AU5513" s="67"/>
      <c r="AV5513" s="73"/>
      <c r="AW5513" s="68"/>
      <c r="AX5513" s="68"/>
      <c r="AY5513" s="68"/>
      <c r="AZ5513" s="68"/>
      <c r="BA5513" s="68"/>
      <c r="BB5513" s="67"/>
      <c r="BC5513" s="67"/>
      <c r="BD5513" s="67"/>
      <c r="BE5513" s="67"/>
      <c r="BF5513" s="95"/>
    </row>
    <row r="5514" spans="42:58" x14ac:dyDescent="0.35">
      <c r="AP5514" s="93"/>
      <c r="AQ5514" s="31"/>
      <c r="AR5514" s="31"/>
      <c r="AS5514" s="94"/>
      <c r="AT5514" s="31"/>
      <c r="AU5514" s="31"/>
      <c r="AV5514" s="94"/>
      <c r="AW5514" s="32"/>
      <c r="AX5514" s="32"/>
      <c r="AY5514" s="32"/>
      <c r="AZ5514" s="32"/>
      <c r="BA5514" s="32"/>
      <c r="BB5514" s="31"/>
      <c r="BC5514" s="31"/>
      <c r="BD5514" s="31"/>
      <c r="BE5514" s="31"/>
      <c r="BF5514" s="96"/>
    </row>
    <row r="5515" spans="42:58" x14ac:dyDescent="0.35">
      <c r="AP5515" s="92"/>
      <c r="AQ5515" s="67"/>
      <c r="AR5515" s="67"/>
      <c r="AS5515" s="73"/>
      <c r="AT5515" s="67"/>
      <c r="AU5515" s="67"/>
      <c r="AV5515" s="73"/>
      <c r="AW5515" s="68"/>
      <c r="AX5515" s="68"/>
      <c r="AY5515" s="68"/>
      <c r="AZ5515" s="68"/>
      <c r="BA5515" s="68"/>
      <c r="BB5515" s="67"/>
      <c r="BC5515" s="67"/>
      <c r="BD5515" s="67"/>
      <c r="BE5515" s="67"/>
      <c r="BF5515" s="95"/>
    </row>
    <row r="5516" spans="42:58" x14ac:dyDescent="0.35">
      <c r="AP5516" s="93"/>
      <c r="AQ5516" s="31"/>
      <c r="AR5516" s="31"/>
      <c r="AS5516" s="94"/>
      <c r="AT5516" s="31"/>
      <c r="AU5516" s="31"/>
      <c r="AV5516" s="94"/>
      <c r="AW5516" s="32"/>
      <c r="AX5516" s="32"/>
      <c r="AY5516" s="32"/>
      <c r="AZ5516" s="32"/>
      <c r="BA5516" s="32"/>
      <c r="BB5516" s="31"/>
      <c r="BC5516" s="31"/>
      <c r="BD5516" s="31"/>
      <c r="BE5516" s="31"/>
      <c r="BF5516" s="96"/>
    </row>
    <row r="5517" spans="42:58" x14ac:dyDescent="0.35">
      <c r="AP5517" s="92"/>
      <c r="AQ5517" s="67"/>
      <c r="AR5517" s="67"/>
      <c r="AS5517" s="73"/>
      <c r="AT5517" s="67"/>
      <c r="AU5517" s="67"/>
      <c r="AV5517" s="73"/>
      <c r="AW5517" s="68"/>
      <c r="AX5517" s="68"/>
      <c r="AY5517" s="68"/>
      <c r="AZ5517" s="68"/>
      <c r="BA5517" s="68"/>
      <c r="BB5517" s="67"/>
      <c r="BC5517" s="67"/>
      <c r="BD5517" s="67"/>
      <c r="BE5517" s="67"/>
      <c r="BF5517" s="95"/>
    </row>
    <row r="5518" spans="42:58" x14ac:dyDescent="0.35">
      <c r="AP5518" s="93"/>
      <c r="AQ5518" s="31"/>
      <c r="AR5518" s="31"/>
      <c r="AS5518" s="94"/>
      <c r="AT5518" s="31"/>
      <c r="AU5518" s="31"/>
      <c r="AV5518" s="94"/>
      <c r="AW5518" s="32"/>
      <c r="AX5518" s="32"/>
      <c r="AY5518" s="32"/>
      <c r="AZ5518" s="32"/>
      <c r="BA5518" s="32"/>
      <c r="BB5518" s="31"/>
      <c r="BC5518" s="31"/>
      <c r="BD5518" s="31"/>
      <c r="BE5518" s="31"/>
      <c r="BF5518" s="96"/>
    </row>
    <row r="5519" spans="42:58" x14ac:dyDescent="0.35">
      <c r="AP5519" s="92"/>
      <c r="AQ5519" s="67"/>
      <c r="AR5519" s="67"/>
      <c r="AS5519" s="73"/>
      <c r="AT5519" s="67"/>
      <c r="AU5519" s="67"/>
      <c r="AV5519" s="73"/>
      <c r="AW5519" s="68"/>
      <c r="AX5519" s="68"/>
      <c r="AY5519" s="68"/>
      <c r="AZ5519" s="68"/>
      <c r="BA5519" s="68"/>
      <c r="BB5519" s="67"/>
      <c r="BC5519" s="67"/>
      <c r="BD5519" s="67"/>
      <c r="BE5519" s="67"/>
      <c r="BF5519" s="95"/>
    </row>
    <row r="5520" spans="42:58" x14ac:dyDescent="0.35">
      <c r="AP5520" s="93"/>
      <c r="AQ5520" s="31"/>
      <c r="AR5520" s="31"/>
      <c r="AS5520" s="94"/>
      <c r="AT5520" s="31"/>
      <c r="AU5520" s="31"/>
      <c r="AV5520" s="94"/>
      <c r="AW5520" s="32"/>
      <c r="AX5520" s="32"/>
      <c r="AY5520" s="32"/>
      <c r="AZ5520" s="32"/>
      <c r="BA5520" s="32"/>
      <c r="BB5520" s="31"/>
      <c r="BC5520" s="31"/>
      <c r="BD5520" s="31"/>
      <c r="BE5520" s="31"/>
      <c r="BF5520" s="96"/>
    </row>
    <row r="5521" spans="42:58" x14ac:dyDescent="0.35">
      <c r="AP5521" s="92"/>
      <c r="AQ5521" s="67"/>
      <c r="AR5521" s="67"/>
      <c r="AS5521" s="73"/>
      <c r="AT5521" s="67"/>
      <c r="AU5521" s="67"/>
      <c r="AV5521" s="73"/>
      <c r="AW5521" s="68"/>
      <c r="AX5521" s="68"/>
      <c r="AY5521" s="68"/>
      <c r="AZ5521" s="68"/>
      <c r="BA5521" s="68"/>
      <c r="BB5521" s="67"/>
      <c r="BC5521" s="67"/>
      <c r="BD5521" s="67"/>
      <c r="BE5521" s="67"/>
      <c r="BF5521" s="95"/>
    </row>
    <row r="5522" spans="42:58" x14ac:dyDescent="0.35">
      <c r="AP5522" s="93"/>
      <c r="AQ5522" s="31"/>
      <c r="AR5522" s="31"/>
      <c r="AS5522" s="94"/>
      <c r="AT5522" s="31"/>
      <c r="AU5522" s="31"/>
      <c r="AV5522" s="94"/>
      <c r="AW5522" s="32"/>
      <c r="AX5522" s="32"/>
      <c r="AY5522" s="32"/>
      <c r="AZ5522" s="32"/>
      <c r="BA5522" s="32"/>
      <c r="BB5522" s="31"/>
      <c r="BC5522" s="31"/>
      <c r="BD5522" s="31"/>
      <c r="BE5522" s="31"/>
      <c r="BF5522" s="96"/>
    </row>
    <row r="5523" spans="42:58" x14ac:dyDescent="0.35">
      <c r="AP5523" s="92"/>
      <c r="AQ5523" s="67"/>
      <c r="AR5523" s="67"/>
      <c r="AS5523" s="73"/>
      <c r="AT5523" s="67"/>
      <c r="AU5523" s="67"/>
      <c r="AV5523" s="73"/>
      <c r="AW5523" s="68"/>
      <c r="AX5523" s="68"/>
      <c r="AY5523" s="68"/>
      <c r="AZ5523" s="68"/>
      <c r="BA5523" s="68"/>
      <c r="BB5523" s="67"/>
      <c r="BC5523" s="67"/>
      <c r="BD5523" s="67"/>
      <c r="BE5523" s="67"/>
      <c r="BF5523" s="95"/>
    </row>
    <row r="5524" spans="42:58" x14ac:dyDescent="0.35">
      <c r="AP5524" s="93"/>
      <c r="AQ5524" s="31"/>
      <c r="AR5524" s="31"/>
      <c r="AS5524" s="94"/>
      <c r="AT5524" s="31"/>
      <c r="AU5524" s="31"/>
      <c r="AV5524" s="94"/>
      <c r="AW5524" s="32"/>
      <c r="AX5524" s="32"/>
      <c r="AY5524" s="32"/>
      <c r="AZ5524" s="32"/>
      <c r="BA5524" s="32"/>
      <c r="BB5524" s="31"/>
      <c r="BC5524" s="31"/>
      <c r="BD5524" s="31"/>
      <c r="BE5524" s="31"/>
      <c r="BF5524" s="96"/>
    </row>
    <row r="5525" spans="42:58" x14ac:dyDescent="0.35">
      <c r="AP5525" s="92"/>
      <c r="AQ5525" s="67"/>
      <c r="AR5525" s="67"/>
      <c r="AS5525" s="73"/>
      <c r="AT5525" s="67"/>
      <c r="AU5525" s="67"/>
      <c r="AV5525" s="73"/>
      <c r="AW5525" s="68"/>
      <c r="AX5525" s="68"/>
      <c r="AY5525" s="68"/>
      <c r="AZ5525" s="68"/>
      <c r="BA5525" s="68"/>
      <c r="BB5525" s="67"/>
      <c r="BC5525" s="67"/>
      <c r="BD5525" s="67"/>
      <c r="BE5525" s="67"/>
      <c r="BF5525" s="95"/>
    </row>
    <row r="5526" spans="42:58" x14ac:dyDescent="0.35">
      <c r="AP5526" s="93"/>
      <c r="AQ5526" s="31"/>
      <c r="AR5526" s="31"/>
      <c r="AS5526" s="94"/>
      <c r="AT5526" s="31"/>
      <c r="AU5526" s="31"/>
      <c r="AV5526" s="94"/>
      <c r="AW5526" s="32"/>
      <c r="AX5526" s="32"/>
      <c r="AY5526" s="32"/>
      <c r="AZ5526" s="32"/>
      <c r="BA5526" s="32"/>
      <c r="BB5526" s="31"/>
      <c r="BC5526" s="31"/>
      <c r="BD5526" s="31"/>
      <c r="BE5526" s="31"/>
      <c r="BF5526" s="96"/>
    </row>
    <row r="5527" spans="42:58" x14ac:dyDescent="0.35">
      <c r="AP5527" s="92"/>
      <c r="AQ5527" s="67"/>
      <c r="AR5527" s="67"/>
      <c r="AS5527" s="73"/>
      <c r="AT5527" s="67"/>
      <c r="AU5527" s="67"/>
      <c r="AV5527" s="73"/>
      <c r="AW5527" s="68"/>
      <c r="AX5527" s="68"/>
      <c r="AY5527" s="68"/>
      <c r="AZ5527" s="68"/>
      <c r="BA5527" s="68"/>
      <c r="BB5527" s="67"/>
      <c r="BC5527" s="67"/>
      <c r="BD5527" s="67"/>
      <c r="BE5527" s="67"/>
      <c r="BF5527" s="95"/>
    </row>
    <row r="5528" spans="42:58" x14ac:dyDescent="0.35">
      <c r="AP5528" s="93"/>
      <c r="AQ5528" s="31"/>
      <c r="AR5528" s="31"/>
      <c r="AS5528" s="94"/>
      <c r="AT5528" s="31"/>
      <c r="AU5528" s="31"/>
      <c r="AV5528" s="94"/>
      <c r="AW5528" s="32"/>
      <c r="AX5528" s="32"/>
      <c r="AY5528" s="32"/>
      <c r="AZ5528" s="32"/>
      <c r="BA5528" s="32"/>
      <c r="BB5528" s="31"/>
      <c r="BC5528" s="31"/>
      <c r="BD5528" s="31"/>
      <c r="BE5528" s="31"/>
      <c r="BF5528" s="96"/>
    </row>
    <row r="5529" spans="42:58" x14ac:dyDescent="0.35">
      <c r="AP5529" s="92"/>
      <c r="AQ5529" s="67"/>
      <c r="AR5529" s="67"/>
      <c r="AS5529" s="73"/>
      <c r="AT5529" s="67"/>
      <c r="AU5529" s="67"/>
      <c r="AV5529" s="73"/>
      <c r="AW5529" s="68"/>
      <c r="AX5529" s="68"/>
      <c r="AY5529" s="68"/>
      <c r="AZ5529" s="68"/>
      <c r="BA5529" s="68"/>
      <c r="BB5529" s="67"/>
      <c r="BC5529" s="67"/>
      <c r="BD5529" s="67"/>
      <c r="BE5529" s="67"/>
      <c r="BF5529" s="95"/>
    </row>
    <row r="5530" spans="42:58" x14ac:dyDescent="0.35">
      <c r="AP5530" s="93"/>
      <c r="AQ5530" s="31"/>
      <c r="AR5530" s="31"/>
      <c r="AS5530" s="94"/>
      <c r="AT5530" s="31"/>
      <c r="AU5530" s="31"/>
      <c r="AV5530" s="94"/>
      <c r="AW5530" s="32"/>
      <c r="AX5530" s="32"/>
      <c r="AY5530" s="32"/>
      <c r="AZ5530" s="32"/>
      <c r="BA5530" s="32"/>
      <c r="BB5530" s="31"/>
      <c r="BC5530" s="31"/>
      <c r="BD5530" s="31"/>
      <c r="BE5530" s="31"/>
      <c r="BF5530" s="96"/>
    </row>
    <row r="5531" spans="42:58" x14ac:dyDescent="0.35">
      <c r="AP5531" s="92"/>
      <c r="AQ5531" s="67"/>
      <c r="AR5531" s="67"/>
      <c r="AS5531" s="73"/>
      <c r="AT5531" s="67"/>
      <c r="AU5531" s="67"/>
      <c r="AV5531" s="73"/>
      <c r="AW5531" s="68"/>
      <c r="AX5531" s="68"/>
      <c r="AY5531" s="68"/>
      <c r="AZ5531" s="68"/>
      <c r="BA5531" s="68"/>
      <c r="BB5531" s="67"/>
      <c r="BC5531" s="67"/>
      <c r="BD5531" s="67"/>
      <c r="BE5531" s="67"/>
      <c r="BF5531" s="95"/>
    </row>
    <row r="5532" spans="42:58" x14ac:dyDescent="0.35">
      <c r="AP5532" s="93"/>
      <c r="AQ5532" s="31"/>
      <c r="AR5532" s="31"/>
      <c r="AS5532" s="94"/>
      <c r="AT5532" s="31"/>
      <c r="AU5532" s="31"/>
      <c r="AV5532" s="94"/>
      <c r="AW5532" s="32"/>
      <c r="AX5532" s="32"/>
      <c r="AY5532" s="32"/>
      <c r="AZ5532" s="32"/>
      <c r="BA5532" s="32"/>
      <c r="BB5532" s="31"/>
      <c r="BC5532" s="31"/>
      <c r="BD5532" s="31"/>
      <c r="BE5532" s="31"/>
      <c r="BF5532" s="96"/>
    </row>
    <row r="5533" spans="42:58" x14ac:dyDescent="0.35">
      <c r="AP5533" s="92"/>
      <c r="AQ5533" s="67"/>
      <c r="AR5533" s="67"/>
      <c r="AS5533" s="73"/>
      <c r="AT5533" s="67"/>
      <c r="AU5533" s="67"/>
      <c r="AV5533" s="73"/>
      <c r="AW5533" s="68"/>
      <c r="AX5533" s="68"/>
      <c r="AY5533" s="68"/>
      <c r="AZ5533" s="68"/>
      <c r="BA5533" s="68"/>
      <c r="BB5533" s="67"/>
      <c r="BC5533" s="67"/>
      <c r="BD5533" s="67"/>
      <c r="BE5533" s="67"/>
      <c r="BF5533" s="95"/>
    </row>
    <row r="5534" spans="42:58" x14ac:dyDescent="0.35">
      <c r="AP5534" s="93"/>
      <c r="AQ5534" s="31"/>
      <c r="AR5534" s="31"/>
      <c r="AS5534" s="94"/>
      <c r="AT5534" s="31"/>
      <c r="AU5534" s="31"/>
      <c r="AV5534" s="94"/>
      <c r="AW5534" s="32"/>
      <c r="AX5534" s="32"/>
      <c r="AY5534" s="32"/>
      <c r="AZ5534" s="32"/>
      <c r="BA5534" s="32"/>
      <c r="BB5534" s="31"/>
      <c r="BC5534" s="31"/>
      <c r="BD5534" s="31"/>
      <c r="BE5534" s="31"/>
      <c r="BF5534" s="96"/>
    </row>
    <row r="5535" spans="42:58" x14ac:dyDescent="0.35">
      <c r="AP5535" s="92"/>
      <c r="AQ5535" s="67"/>
      <c r="AR5535" s="67"/>
      <c r="AS5535" s="73"/>
      <c r="AT5535" s="67"/>
      <c r="AU5535" s="67"/>
      <c r="AV5535" s="73"/>
      <c r="AW5535" s="68"/>
      <c r="AX5535" s="68"/>
      <c r="AY5535" s="68"/>
      <c r="AZ5535" s="68"/>
      <c r="BA5535" s="68"/>
      <c r="BB5535" s="67"/>
      <c r="BC5535" s="67"/>
      <c r="BD5535" s="67"/>
      <c r="BE5535" s="67"/>
      <c r="BF5535" s="95"/>
    </row>
    <row r="5536" spans="42:58" x14ac:dyDescent="0.35">
      <c r="AP5536" s="93"/>
      <c r="AQ5536" s="31"/>
      <c r="AR5536" s="31"/>
      <c r="AS5536" s="94"/>
      <c r="AT5536" s="31"/>
      <c r="AU5536" s="31"/>
      <c r="AV5536" s="94"/>
      <c r="AW5536" s="32"/>
      <c r="AX5536" s="32"/>
      <c r="AY5536" s="32"/>
      <c r="AZ5536" s="32"/>
      <c r="BA5536" s="32"/>
      <c r="BB5536" s="31"/>
      <c r="BC5536" s="31"/>
      <c r="BD5536" s="31"/>
      <c r="BE5536" s="31"/>
      <c r="BF5536" s="96"/>
    </row>
    <row r="5537" spans="42:58" x14ac:dyDescent="0.35">
      <c r="AP5537" s="92"/>
      <c r="AQ5537" s="67"/>
      <c r="AR5537" s="67"/>
      <c r="AS5537" s="73"/>
      <c r="AT5537" s="67"/>
      <c r="AU5537" s="67"/>
      <c r="AV5537" s="73"/>
      <c r="AW5537" s="68"/>
      <c r="AX5537" s="68"/>
      <c r="AY5537" s="68"/>
      <c r="AZ5537" s="68"/>
      <c r="BA5537" s="68"/>
      <c r="BB5537" s="67"/>
      <c r="BC5537" s="67"/>
      <c r="BD5537" s="67"/>
      <c r="BE5537" s="67"/>
      <c r="BF5537" s="95"/>
    </row>
    <row r="5538" spans="42:58" x14ac:dyDescent="0.35">
      <c r="AP5538" s="93"/>
      <c r="AQ5538" s="31"/>
      <c r="AR5538" s="31"/>
      <c r="AS5538" s="94"/>
      <c r="AT5538" s="31"/>
      <c r="AU5538" s="31"/>
      <c r="AV5538" s="94"/>
      <c r="AW5538" s="32"/>
      <c r="AX5538" s="32"/>
      <c r="AY5538" s="32"/>
      <c r="AZ5538" s="32"/>
      <c r="BA5538" s="32"/>
      <c r="BB5538" s="31"/>
      <c r="BC5538" s="31"/>
      <c r="BD5538" s="31"/>
      <c r="BE5538" s="31"/>
      <c r="BF5538" s="96"/>
    </row>
    <row r="5539" spans="42:58" x14ac:dyDescent="0.35">
      <c r="AP5539" s="92"/>
      <c r="AQ5539" s="67"/>
      <c r="AR5539" s="67"/>
      <c r="AS5539" s="73"/>
      <c r="AT5539" s="67"/>
      <c r="AU5539" s="67"/>
      <c r="AV5539" s="73"/>
      <c r="AW5539" s="68"/>
      <c r="AX5539" s="68"/>
      <c r="AY5539" s="68"/>
      <c r="AZ5539" s="68"/>
      <c r="BA5539" s="68"/>
      <c r="BB5539" s="67"/>
      <c r="BC5539" s="67"/>
      <c r="BD5539" s="67"/>
      <c r="BE5539" s="67"/>
      <c r="BF5539" s="95"/>
    </row>
    <row r="5540" spans="42:58" x14ac:dyDescent="0.35">
      <c r="AP5540" s="93"/>
      <c r="AQ5540" s="31"/>
      <c r="AR5540" s="31"/>
      <c r="AS5540" s="94"/>
      <c r="AT5540" s="31"/>
      <c r="AU5540" s="31"/>
      <c r="AV5540" s="94"/>
      <c r="AW5540" s="32"/>
      <c r="AX5540" s="32"/>
      <c r="AY5540" s="32"/>
      <c r="AZ5540" s="32"/>
      <c r="BA5540" s="32"/>
      <c r="BB5540" s="31"/>
      <c r="BC5540" s="31"/>
      <c r="BD5540" s="31"/>
      <c r="BE5540" s="31"/>
      <c r="BF5540" s="96"/>
    </row>
    <row r="5541" spans="42:58" x14ac:dyDescent="0.35">
      <c r="AP5541" s="92"/>
      <c r="AQ5541" s="67"/>
      <c r="AR5541" s="67"/>
      <c r="AS5541" s="73"/>
      <c r="AT5541" s="67"/>
      <c r="AU5541" s="67"/>
      <c r="AV5541" s="73"/>
      <c r="AW5541" s="68"/>
      <c r="AX5541" s="68"/>
      <c r="AY5541" s="68"/>
      <c r="AZ5541" s="68"/>
      <c r="BA5541" s="68"/>
      <c r="BB5541" s="67"/>
      <c r="BC5541" s="67"/>
      <c r="BD5541" s="67"/>
      <c r="BE5541" s="67"/>
      <c r="BF5541" s="95"/>
    </row>
    <row r="5542" spans="42:58" x14ac:dyDescent="0.35">
      <c r="AP5542" s="93"/>
      <c r="AQ5542" s="31"/>
      <c r="AR5542" s="31"/>
      <c r="AS5542" s="94"/>
      <c r="AT5542" s="31"/>
      <c r="AU5542" s="31"/>
      <c r="AV5542" s="94"/>
      <c r="AW5542" s="32"/>
      <c r="AX5542" s="32"/>
      <c r="AY5542" s="32"/>
      <c r="AZ5542" s="32"/>
      <c r="BA5542" s="32"/>
      <c r="BB5542" s="31"/>
      <c r="BC5542" s="31"/>
      <c r="BD5542" s="31"/>
      <c r="BE5542" s="31"/>
      <c r="BF5542" s="96"/>
    </row>
    <row r="5543" spans="42:58" x14ac:dyDescent="0.35">
      <c r="AP5543" s="92"/>
      <c r="AQ5543" s="67"/>
      <c r="AR5543" s="67"/>
      <c r="AS5543" s="73"/>
      <c r="AT5543" s="67"/>
      <c r="AU5543" s="67"/>
      <c r="AV5543" s="73"/>
      <c r="AW5543" s="68"/>
      <c r="AX5543" s="68"/>
      <c r="AY5543" s="68"/>
      <c r="AZ5543" s="68"/>
      <c r="BA5543" s="68"/>
      <c r="BB5543" s="67"/>
      <c r="BC5543" s="67"/>
      <c r="BD5543" s="67"/>
      <c r="BE5543" s="67"/>
      <c r="BF5543" s="95"/>
    </row>
    <row r="5544" spans="42:58" x14ac:dyDescent="0.35">
      <c r="AP5544" s="93"/>
      <c r="AQ5544" s="31"/>
      <c r="AR5544" s="31"/>
      <c r="AS5544" s="94"/>
      <c r="AT5544" s="31"/>
      <c r="AU5544" s="31"/>
      <c r="AV5544" s="94"/>
      <c r="AW5544" s="32"/>
      <c r="AX5544" s="32"/>
      <c r="AY5544" s="32"/>
      <c r="AZ5544" s="32"/>
      <c r="BA5544" s="32"/>
      <c r="BB5544" s="31"/>
      <c r="BC5544" s="31"/>
      <c r="BD5544" s="31"/>
      <c r="BE5544" s="31"/>
      <c r="BF5544" s="96"/>
    </row>
    <row r="5545" spans="42:58" x14ac:dyDescent="0.35">
      <c r="AP5545" s="92"/>
      <c r="AQ5545" s="67"/>
      <c r="AR5545" s="67"/>
      <c r="AS5545" s="73"/>
      <c r="AT5545" s="67"/>
      <c r="AU5545" s="67"/>
      <c r="AV5545" s="73"/>
      <c r="AW5545" s="68"/>
      <c r="AX5545" s="68"/>
      <c r="AY5545" s="68"/>
      <c r="AZ5545" s="68"/>
      <c r="BA5545" s="68"/>
      <c r="BB5545" s="67"/>
      <c r="BC5545" s="67"/>
      <c r="BD5545" s="67"/>
      <c r="BE5545" s="67"/>
      <c r="BF5545" s="95"/>
    </row>
    <row r="5546" spans="42:58" x14ac:dyDescent="0.35">
      <c r="AP5546" s="93"/>
      <c r="AQ5546" s="31"/>
      <c r="AR5546" s="31"/>
      <c r="AS5546" s="94"/>
      <c r="AT5546" s="31"/>
      <c r="AU5546" s="31"/>
      <c r="AV5546" s="94"/>
      <c r="AW5546" s="32"/>
      <c r="AX5546" s="32"/>
      <c r="AY5546" s="32"/>
      <c r="AZ5546" s="32"/>
      <c r="BA5546" s="32"/>
      <c r="BB5546" s="31"/>
      <c r="BC5546" s="31"/>
      <c r="BD5546" s="31"/>
      <c r="BE5546" s="31"/>
      <c r="BF5546" s="96"/>
    </row>
    <row r="5547" spans="42:58" x14ac:dyDescent="0.35">
      <c r="AP5547" s="92"/>
      <c r="AQ5547" s="67"/>
      <c r="AR5547" s="67"/>
      <c r="AS5547" s="73"/>
      <c r="AT5547" s="67"/>
      <c r="AU5547" s="67"/>
      <c r="AV5547" s="73"/>
      <c r="AW5547" s="68"/>
      <c r="AX5547" s="68"/>
      <c r="AY5547" s="68"/>
      <c r="AZ5547" s="68"/>
      <c r="BA5547" s="68"/>
      <c r="BB5547" s="67"/>
      <c r="BC5547" s="67"/>
      <c r="BD5547" s="67"/>
      <c r="BE5547" s="67"/>
      <c r="BF5547" s="95"/>
    </row>
    <row r="5548" spans="42:58" x14ac:dyDescent="0.35">
      <c r="AP5548" s="93"/>
      <c r="AQ5548" s="31"/>
      <c r="AR5548" s="31"/>
      <c r="AS5548" s="94"/>
      <c r="AT5548" s="31"/>
      <c r="AU5548" s="31"/>
      <c r="AV5548" s="94"/>
      <c r="AW5548" s="32"/>
      <c r="AX5548" s="32"/>
      <c r="AY5548" s="32"/>
      <c r="AZ5548" s="32"/>
      <c r="BA5548" s="32"/>
      <c r="BB5548" s="31"/>
      <c r="BC5548" s="31"/>
      <c r="BD5548" s="31"/>
      <c r="BE5548" s="31"/>
      <c r="BF5548" s="96"/>
    </row>
    <row r="5549" spans="42:58" x14ac:dyDescent="0.35">
      <c r="AP5549" s="92"/>
      <c r="AQ5549" s="67"/>
      <c r="AR5549" s="67"/>
      <c r="AS5549" s="73"/>
      <c r="AT5549" s="67"/>
      <c r="AU5549" s="67"/>
      <c r="AV5549" s="73"/>
      <c r="AW5549" s="68"/>
      <c r="AX5549" s="68"/>
      <c r="AY5549" s="68"/>
      <c r="AZ5549" s="68"/>
      <c r="BA5549" s="68"/>
      <c r="BB5549" s="67"/>
      <c r="BC5549" s="67"/>
      <c r="BD5549" s="67"/>
      <c r="BE5549" s="67"/>
      <c r="BF5549" s="95"/>
    </row>
    <row r="5550" spans="42:58" x14ac:dyDescent="0.35">
      <c r="AP5550" s="93"/>
      <c r="AQ5550" s="31"/>
      <c r="AR5550" s="31"/>
      <c r="AS5550" s="94"/>
      <c r="AT5550" s="31"/>
      <c r="AU5550" s="31"/>
      <c r="AV5550" s="94"/>
      <c r="AW5550" s="32"/>
      <c r="AX5550" s="32"/>
      <c r="AY5550" s="32"/>
      <c r="AZ5550" s="32"/>
      <c r="BA5550" s="32"/>
      <c r="BB5550" s="31"/>
      <c r="BC5550" s="31"/>
      <c r="BD5550" s="31"/>
      <c r="BE5550" s="31"/>
      <c r="BF5550" s="96"/>
    </row>
    <row r="5551" spans="42:58" x14ac:dyDescent="0.35">
      <c r="AP5551" s="92"/>
      <c r="AQ5551" s="67"/>
      <c r="AR5551" s="67"/>
      <c r="AS5551" s="73"/>
      <c r="AT5551" s="67"/>
      <c r="AU5551" s="67"/>
      <c r="AV5551" s="73"/>
      <c r="AW5551" s="68"/>
      <c r="AX5551" s="68"/>
      <c r="AY5551" s="68"/>
      <c r="AZ5551" s="68"/>
      <c r="BA5551" s="68"/>
      <c r="BB5551" s="67"/>
      <c r="BC5551" s="67"/>
      <c r="BD5551" s="67"/>
      <c r="BE5551" s="67"/>
      <c r="BF5551" s="95"/>
    </row>
    <row r="5552" spans="42:58" x14ac:dyDescent="0.35">
      <c r="AP5552" s="93"/>
      <c r="AQ5552" s="31"/>
      <c r="AR5552" s="31"/>
      <c r="AS5552" s="94"/>
      <c r="AT5552" s="31"/>
      <c r="AU5552" s="31"/>
      <c r="AV5552" s="94"/>
      <c r="AW5552" s="32"/>
      <c r="AX5552" s="32"/>
      <c r="AY5552" s="32"/>
      <c r="AZ5552" s="32"/>
      <c r="BA5552" s="32"/>
      <c r="BB5552" s="31"/>
      <c r="BC5552" s="31"/>
      <c r="BD5552" s="31"/>
      <c r="BE5552" s="31"/>
      <c r="BF5552" s="96"/>
    </row>
    <row r="5553" spans="42:58" x14ac:dyDescent="0.35">
      <c r="AP5553" s="92"/>
      <c r="AQ5553" s="67"/>
      <c r="AR5553" s="67"/>
      <c r="AS5553" s="73"/>
      <c r="AT5553" s="67"/>
      <c r="AU5553" s="67"/>
      <c r="AV5553" s="73"/>
      <c r="AW5553" s="68"/>
      <c r="AX5553" s="68"/>
      <c r="AY5553" s="68"/>
      <c r="AZ5553" s="68"/>
      <c r="BA5553" s="68"/>
      <c r="BB5553" s="67"/>
      <c r="BC5553" s="67"/>
      <c r="BD5553" s="67"/>
      <c r="BE5553" s="67"/>
      <c r="BF5553" s="95"/>
    </row>
    <row r="5554" spans="42:58" x14ac:dyDescent="0.35">
      <c r="AP5554" s="93"/>
      <c r="AQ5554" s="31"/>
      <c r="AR5554" s="31"/>
      <c r="AS5554" s="94"/>
      <c r="AT5554" s="31"/>
      <c r="AU5554" s="31"/>
      <c r="AV5554" s="94"/>
      <c r="AW5554" s="32"/>
      <c r="AX5554" s="32"/>
      <c r="AY5554" s="32"/>
      <c r="AZ5554" s="32"/>
      <c r="BA5554" s="32"/>
      <c r="BB5554" s="31"/>
      <c r="BC5554" s="31"/>
      <c r="BD5554" s="31"/>
      <c r="BE5554" s="31"/>
      <c r="BF5554" s="96"/>
    </row>
    <row r="5555" spans="42:58" x14ac:dyDescent="0.35">
      <c r="AP5555" s="92"/>
      <c r="AQ5555" s="67"/>
      <c r="AR5555" s="67"/>
      <c r="AS5555" s="73"/>
      <c r="AT5555" s="67"/>
      <c r="AU5555" s="67"/>
      <c r="AV5555" s="73"/>
      <c r="AW5555" s="68"/>
      <c r="AX5555" s="68"/>
      <c r="AY5555" s="68"/>
      <c r="AZ5555" s="68"/>
      <c r="BA5555" s="68"/>
      <c r="BB5555" s="67"/>
      <c r="BC5555" s="67"/>
      <c r="BD5555" s="67"/>
      <c r="BE5555" s="67"/>
      <c r="BF5555" s="95"/>
    </row>
    <row r="5556" spans="42:58" x14ac:dyDescent="0.35">
      <c r="AP5556" s="93"/>
      <c r="AQ5556" s="31"/>
      <c r="AR5556" s="31"/>
      <c r="AS5556" s="94"/>
      <c r="AT5556" s="31"/>
      <c r="AU5556" s="31"/>
      <c r="AV5556" s="94"/>
      <c r="AW5556" s="32"/>
      <c r="AX5556" s="32"/>
      <c r="AY5556" s="32"/>
      <c r="AZ5556" s="32"/>
      <c r="BA5556" s="32"/>
      <c r="BB5556" s="31"/>
      <c r="BC5556" s="31"/>
      <c r="BD5556" s="31"/>
      <c r="BE5556" s="31"/>
      <c r="BF5556" s="96"/>
    </row>
    <row r="5557" spans="42:58" x14ac:dyDescent="0.35">
      <c r="AP5557" s="92"/>
      <c r="AQ5557" s="67"/>
      <c r="AR5557" s="67"/>
      <c r="AS5557" s="73"/>
      <c r="AT5557" s="67"/>
      <c r="AU5557" s="67"/>
      <c r="AV5557" s="73"/>
      <c r="AW5557" s="68"/>
      <c r="AX5557" s="68"/>
      <c r="AY5557" s="68"/>
      <c r="AZ5557" s="68"/>
      <c r="BA5557" s="68"/>
      <c r="BB5557" s="67"/>
      <c r="BC5557" s="67"/>
      <c r="BD5557" s="67"/>
      <c r="BE5557" s="67"/>
      <c r="BF5557" s="95"/>
    </row>
    <row r="5558" spans="42:58" x14ac:dyDescent="0.35">
      <c r="AP5558" s="93"/>
      <c r="AQ5558" s="31"/>
      <c r="AR5558" s="31"/>
      <c r="AS5558" s="94"/>
      <c r="AT5558" s="31"/>
      <c r="AU5558" s="31"/>
      <c r="AV5558" s="94"/>
      <c r="AW5558" s="32"/>
      <c r="AX5558" s="32"/>
      <c r="AY5558" s="32"/>
      <c r="AZ5558" s="32"/>
      <c r="BA5558" s="32"/>
      <c r="BB5558" s="31"/>
      <c r="BC5558" s="31"/>
      <c r="BD5558" s="31"/>
      <c r="BE5558" s="31"/>
      <c r="BF5558" s="96"/>
    </row>
    <row r="5559" spans="42:58" x14ac:dyDescent="0.35">
      <c r="AP5559" s="92"/>
      <c r="AQ5559" s="67"/>
      <c r="AR5559" s="67"/>
      <c r="AS5559" s="73"/>
      <c r="AT5559" s="67"/>
      <c r="AU5559" s="67"/>
      <c r="AV5559" s="73"/>
      <c r="AW5559" s="68"/>
      <c r="AX5559" s="68"/>
      <c r="AY5559" s="68"/>
      <c r="AZ5559" s="68"/>
      <c r="BA5559" s="68"/>
      <c r="BB5559" s="67"/>
      <c r="BC5559" s="67"/>
      <c r="BD5559" s="67"/>
      <c r="BE5559" s="67"/>
      <c r="BF5559" s="95"/>
    </row>
    <row r="5560" spans="42:58" x14ac:dyDescent="0.35">
      <c r="AP5560" s="93"/>
      <c r="AQ5560" s="31"/>
      <c r="AR5560" s="31"/>
      <c r="AS5560" s="94"/>
      <c r="AT5560" s="31"/>
      <c r="AU5560" s="31"/>
      <c r="AV5560" s="94"/>
      <c r="AW5560" s="32"/>
      <c r="AX5560" s="32"/>
      <c r="AY5560" s="32"/>
      <c r="AZ5560" s="32"/>
      <c r="BA5560" s="32"/>
      <c r="BB5560" s="31"/>
      <c r="BC5560" s="31"/>
      <c r="BD5560" s="31"/>
      <c r="BE5560" s="31"/>
      <c r="BF5560" s="96"/>
    </row>
    <row r="5561" spans="42:58" x14ac:dyDescent="0.35">
      <c r="AP5561" s="92"/>
      <c r="AQ5561" s="67"/>
      <c r="AR5561" s="67"/>
      <c r="AS5561" s="73"/>
      <c r="AT5561" s="67"/>
      <c r="AU5561" s="67"/>
      <c r="AV5561" s="73"/>
      <c r="AW5561" s="68"/>
      <c r="AX5561" s="68"/>
      <c r="AY5561" s="68"/>
      <c r="AZ5561" s="68"/>
      <c r="BA5561" s="68"/>
      <c r="BB5561" s="67"/>
      <c r="BC5561" s="67"/>
      <c r="BD5561" s="67"/>
      <c r="BE5561" s="67"/>
      <c r="BF5561" s="95"/>
    </row>
    <row r="5562" spans="42:58" x14ac:dyDescent="0.35">
      <c r="AP5562" s="93"/>
      <c r="AQ5562" s="31"/>
      <c r="AR5562" s="31"/>
      <c r="AS5562" s="94"/>
      <c r="AT5562" s="31"/>
      <c r="AU5562" s="31"/>
      <c r="AV5562" s="94"/>
      <c r="AW5562" s="32"/>
      <c r="AX5562" s="32"/>
      <c r="AY5562" s="32"/>
      <c r="AZ5562" s="32"/>
      <c r="BA5562" s="32"/>
      <c r="BB5562" s="31"/>
      <c r="BC5562" s="31"/>
      <c r="BD5562" s="31"/>
      <c r="BE5562" s="31"/>
      <c r="BF5562" s="96"/>
    </row>
    <row r="5563" spans="42:58" x14ac:dyDescent="0.35">
      <c r="AP5563" s="92"/>
      <c r="AQ5563" s="67"/>
      <c r="AR5563" s="67"/>
      <c r="AS5563" s="73"/>
      <c r="AT5563" s="67"/>
      <c r="AU5563" s="67"/>
      <c r="AV5563" s="73"/>
      <c r="AW5563" s="68"/>
      <c r="AX5563" s="68"/>
      <c r="AY5563" s="68"/>
      <c r="AZ5563" s="68"/>
      <c r="BA5563" s="68"/>
      <c r="BB5563" s="67"/>
      <c r="BC5563" s="67"/>
      <c r="BD5563" s="67"/>
      <c r="BE5563" s="67"/>
      <c r="BF5563" s="95"/>
    </row>
    <row r="5564" spans="42:58" x14ac:dyDescent="0.35">
      <c r="AP5564" s="93"/>
      <c r="AQ5564" s="31"/>
      <c r="AR5564" s="31"/>
      <c r="AS5564" s="94"/>
      <c r="AT5564" s="31"/>
      <c r="AU5564" s="31"/>
      <c r="AV5564" s="94"/>
      <c r="AW5564" s="32"/>
      <c r="AX5564" s="32"/>
      <c r="AY5564" s="32"/>
      <c r="AZ5564" s="32"/>
      <c r="BA5564" s="32"/>
      <c r="BB5564" s="31"/>
      <c r="BC5564" s="31"/>
      <c r="BD5564" s="31"/>
      <c r="BE5564" s="31"/>
      <c r="BF5564" s="96"/>
    </row>
    <row r="5565" spans="42:58" x14ac:dyDescent="0.35">
      <c r="AP5565" s="92"/>
      <c r="AQ5565" s="67"/>
      <c r="AR5565" s="67"/>
      <c r="AS5565" s="73"/>
      <c r="AT5565" s="67"/>
      <c r="AU5565" s="67"/>
      <c r="AV5565" s="73"/>
      <c r="AW5565" s="68"/>
      <c r="AX5565" s="68"/>
      <c r="AY5565" s="68"/>
      <c r="AZ5565" s="68"/>
      <c r="BA5565" s="68"/>
      <c r="BB5565" s="67"/>
      <c r="BC5565" s="67"/>
      <c r="BD5565" s="67"/>
      <c r="BE5565" s="67"/>
      <c r="BF5565" s="95"/>
    </row>
    <row r="5566" spans="42:58" x14ac:dyDescent="0.35">
      <c r="AP5566" s="93"/>
      <c r="AQ5566" s="31"/>
      <c r="AR5566" s="31"/>
      <c r="AS5566" s="94"/>
      <c r="AT5566" s="31"/>
      <c r="AU5566" s="31"/>
      <c r="AV5566" s="94"/>
      <c r="AW5566" s="32"/>
      <c r="AX5566" s="32"/>
      <c r="AY5566" s="32"/>
      <c r="AZ5566" s="32"/>
      <c r="BA5566" s="32"/>
      <c r="BB5566" s="31"/>
      <c r="BC5566" s="31"/>
      <c r="BD5566" s="31"/>
      <c r="BE5566" s="31"/>
      <c r="BF5566" s="96"/>
    </row>
    <row r="5567" spans="42:58" x14ac:dyDescent="0.35">
      <c r="AP5567" s="92"/>
      <c r="AQ5567" s="67"/>
      <c r="AR5567" s="67"/>
      <c r="AS5567" s="73"/>
      <c r="AT5567" s="67"/>
      <c r="AU5567" s="67"/>
      <c r="AV5567" s="73"/>
      <c r="AW5567" s="68"/>
      <c r="AX5567" s="68"/>
      <c r="AY5567" s="68"/>
      <c r="AZ5567" s="68"/>
      <c r="BA5567" s="68"/>
      <c r="BB5567" s="67"/>
      <c r="BC5567" s="67"/>
      <c r="BD5567" s="67"/>
      <c r="BE5567" s="67"/>
      <c r="BF5567" s="95"/>
    </row>
    <row r="5568" spans="42:58" x14ac:dyDescent="0.35">
      <c r="AP5568" s="93"/>
      <c r="AQ5568" s="31"/>
      <c r="AR5568" s="31"/>
      <c r="AS5568" s="94"/>
      <c r="AT5568" s="31"/>
      <c r="AU5568" s="31"/>
      <c r="AV5568" s="94"/>
      <c r="AW5568" s="32"/>
      <c r="AX5568" s="32"/>
      <c r="AY5568" s="32"/>
      <c r="AZ5568" s="32"/>
      <c r="BA5568" s="32"/>
      <c r="BB5568" s="31"/>
      <c r="BC5568" s="31"/>
      <c r="BD5568" s="31"/>
      <c r="BE5568" s="31"/>
      <c r="BF5568" s="96"/>
    </row>
    <row r="5569" spans="42:58" x14ac:dyDescent="0.35">
      <c r="AP5569" s="92"/>
      <c r="AQ5569" s="67"/>
      <c r="AR5569" s="67"/>
      <c r="AS5569" s="73"/>
      <c r="AT5569" s="67"/>
      <c r="AU5569" s="67"/>
      <c r="AV5569" s="73"/>
      <c r="AW5569" s="68"/>
      <c r="AX5569" s="68"/>
      <c r="AY5569" s="68"/>
      <c r="AZ5569" s="68"/>
      <c r="BA5569" s="68"/>
      <c r="BB5569" s="67"/>
      <c r="BC5569" s="67"/>
      <c r="BD5569" s="67"/>
      <c r="BE5569" s="67"/>
      <c r="BF5569" s="95"/>
    </row>
    <row r="5570" spans="42:58" x14ac:dyDescent="0.35">
      <c r="AP5570" s="93"/>
      <c r="AQ5570" s="31"/>
      <c r="AR5570" s="31"/>
      <c r="AS5570" s="94"/>
      <c r="AT5570" s="31"/>
      <c r="AU5570" s="31"/>
      <c r="AV5570" s="94"/>
      <c r="AW5570" s="32"/>
      <c r="AX5570" s="32"/>
      <c r="AY5570" s="32"/>
      <c r="AZ5570" s="32"/>
      <c r="BA5570" s="32"/>
      <c r="BB5570" s="31"/>
      <c r="BC5570" s="31"/>
      <c r="BD5570" s="31"/>
      <c r="BE5570" s="31"/>
      <c r="BF5570" s="96"/>
    </row>
    <row r="5571" spans="42:58" x14ac:dyDescent="0.35">
      <c r="AP5571" s="92"/>
      <c r="AQ5571" s="67"/>
      <c r="AR5571" s="67"/>
      <c r="AS5571" s="73"/>
      <c r="AT5571" s="67"/>
      <c r="AU5571" s="67"/>
      <c r="AV5571" s="73"/>
      <c r="AW5571" s="68"/>
      <c r="AX5571" s="68"/>
      <c r="AY5571" s="68"/>
      <c r="AZ5571" s="68"/>
      <c r="BA5571" s="68"/>
      <c r="BB5571" s="67"/>
      <c r="BC5571" s="67"/>
      <c r="BD5571" s="67"/>
      <c r="BE5571" s="67"/>
      <c r="BF5571" s="95"/>
    </row>
    <row r="5572" spans="42:58" x14ac:dyDescent="0.35">
      <c r="AP5572" s="93"/>
      <c r="AQ5572" s="31"/>
      <c r="AR5572" s="31"/>
      <c r="AS5572" s="94"/>
      <c r="AT5572" s="31"/>
      <c r="AU5572" s="31"/>
      <c r="AV5572" s="94"/>
      <c r="AW5572" s="32"/>
      <c r="AX5572" s="32"/>
      <c r="AY5572" s="32"/>
      <c r="AZ5572" s="32"/>
      <c r="BA5572" s="32"/>
      <c r="BB5572" s="31"/>
      <c r="BC5572" s="31"/>
      <c r="BD5572" s="31"/>
      <c r="BE5572" s="31"/>
      <c r="BF5572" s="96"/>
    </row>
    <row r="5573" spans="42:58" x14ac:dyDescent="0.35">
      <c r="AP5573" s="92"/>
      <c r="AQ5573" s="67"/>
      <c r="AR5573" s="67"/>
      <c r="AS5573" s="73"/>
      <c r="AT5573" s="67"/>
      <c r="AU5573" s="67"/>
      <c r="AV5573" s="73"/>
      <c r="AW5573" s="68"/>
      <c r="AX5573" s="68"/>
      <c r="AY5573" s="68"/>
      <c r="AZ5573" s="68"/>
      <c r="BA5573" s="68"/>
      <c r="BB5573" s="67"/>
      <c r="BC5573" s="67"/>
      <c r="BD5573" s="67"/>
      <c r="BE5573" s="67"/>
      <c r="BF5573" s="95"/>
    </row>
    <row r="5574" spans="42:58" x14ac:dyDescent="0.35">
      <c r="AP5574" s="93"/>
      <c r="AQ5574" s="31"/>
      <c r="AR5574" s="31"/>
      <c r="AS5574" s="94"/>
      <c r="AT5574" s="31"/>
      <c r="AU5574" s="31"/>
      <c r="AV5574" s="94"/>
      <c r="AW5574" s="32"/>
      <c r="AX5574" s="32"/>
      <c r="AY5574" s="32"/>
      <c r="AZ5574" s="32"/>
      <c r="BA5574" s="32"/>
      <c r="BB5574" s="31"/>
      <c r="BC5574" s="31"/>
      <c r="BD5574" s="31"/>
      <c r="BE5574" s="31"/>
      <c r="BF5574" s="96"/>
    </row>
    <row r="5575" spans="42:58" x14ac:dyDescent="0.35">
      <c r="AP5575" s="92"/>
      <c r="AQ5575" s="67"/>
      <c r="AR5575" s="67"/>
      <c r="AS5575" s="73"/>
      <c r="AT5575" s="67"/>
      <c r="AU5575" s="67"/>
      <c r="AV5575" s="73"/>
      <c r="AW5575" s="68"/>
      <c r="AX5575" s="68"/>
      <c r="AY5575" s="68"/>
      <c r="AZ5575" s="68"/>
      <c r="BA5575" s="68"/>
      <c r="BB5575" s="67"/>
      <c r="BC5575" s="67"/>
      <c r="BD5575" s="67"/>
      <c r="BE5575" s="67"/>
      <c r="BF5575" s="95"/>
    </row>
    <row r="5576" spans="42:58" x14ac:dyDescent="0.35">
      <c r="AP5576" s="93"/>
      <c r="AQ5576" s="31"/>
      <c r="AR5576" s="31"/>
      <c r="AS5576" s="94"/>
      <c r="AT5576" s="31"/>
      <c r="AU5576" s="31"/>
      <c r="AV5576" s="94"/>
      <c r="AW5576" s="32"/>
      <c r="AX5576" s="32"/>
      <c r="AY5576" s="32"/>
      <c r="AZ5576" s="32"/>
      <c r="BA5576" s="32"/>
      <c r="BB5576" s="31"/>
      <c r="BC5576" s="31"/>
      <c r="BD5576" s="31"/>
      <c r="BE5576" s="31"/>
      <c r="BF5576" s="96"/>
    </row>
    <row r="5577" spans="42:58" x14ac:dyDescent="0.35">
      <c r="AP5577" s="92"/>
      <c r="AQ5577" s="67"/>
      <c r="AR5577" s="67"/>
      <c r="AS5577" s="73"/>
      <c r="AT5577" s="67"/>
      <c r="AU5577" s="67"/>
      <c r="AV5577" s="73"/>
      <c r="AW5577" s="68"/>
      <c r="AX5577" s="68"/>
      <c r="AY5577" s="68"/>
      <c r="AZ5577" s="68"/>
      <c r="BA5577" s="68"/>
      <c r="BB5577" s="67"/>
      <c r="BC5577" s="67"/>
      <c r="BD5577" s="67"/>
      <c r="BE5577" s="67"/>
      <c r="BF5577" s="95"/>
    </row>
    <row r="5578" spans="42:58" x14ac:dyDescent="0.35">
      <c r="AP5578" s="93"/>
      <c r="AQ5578" s="31"/>
      <c r="AR5578" s="31"/>
      <c r="AS5578" s="94"/>
      <c r="AT5578" s="31"/>
      <c r="AU5578" s="31"/>
      <c r="AV5578" s="94"/>
      <c r="AW5578" s="32"/>
      <c r="AX5578" s="32"/>
      <c r="AY5578" s="32"/>
      <c r="AZ5578" s="32"/>
      <c r="BA5578" s="32"/>
      <c r="BB5578" s="31"/>
      <c r="BC5578" s="31"/>
      <c r="BD5578" s="31"/>
      <c r="BE5578" s="31"/>
      <c r="BF5578" s="96"/>
    </row>
    <row r="5579" spans="42:58" x14ac:dyDescent="0.35">
      <c r="AP5579" s="92"/>
      <c r="AQ5579" s="67"/>
      <c r="AR5579" s="67"/>
      <c r="AS5579" s="73"/>
      <c r="AT5579" s="67"/>
      <c r="AU5579" s="67"/>
      <c r="AV5579" s="73"/>
      <c r="AW5579" s="68"/>
      <c r="AX5579" s="68"/>
      <c r="AY5579" s="68"/>
      <c r="AZ5579" s="68"/>
      <c r="BA5579" s="68"/>
      <c r="BB5579" s="67"/>
      <c r="BC5579" s="67"/>
      <c r="BD5579" s="67"/>
      <c r="BE5579" s="67"/>
      <c r="BF5579" s="95"/>
    </row>
    <row r="5580" spans="42:58" x14ac:dyDescent="0.35">
      <c r="AP5580" s="93"/>
      <c r="AQ5580" s="31"/>
      <c r="AR5580" s="31"/>
      <c r="AS5580" s="94"/>
      <c r="AT5580" s="31"/>
      <c r="AU5580" s="31"/>
      <c r="AV5580" s="94"/>
      <c r="AW5580" s="32"/>
      <c r="AX5580" s="32"/>
      <c r="AY5580" s="32"/>
      <c r="AZ5580" s="32"/>
      <c r="BA5580" s="32"/>
      <c r="BB5580" s="31"/>
      <c r="BC5580" s="31"/>
      <c r="BD5580" s="31"/>
      <c r="BE5580" s="31"/>
      <c r="BF5580" s="96"/>
    </row>
    <row r="5581" spans="42:58" x14ac:dyDescent="0.35">
      <c r="AP5581" s="92"/>
      <c r="AQ5581" s="67"/>
      <c r="AR5581" s="67"/>
      <c r="AS5581" s="73"/>
      <c r="AT5581" s="67"/>
      <c r="AU5581" s="67"/>
      <c r="AV5581" s="73"/>
      <c r="AW5581" s="68"/>
      <c r="AX5581" s="68"/>
      <c r="AY5581" s="68"/>
      <c r="AZ5581" s="68"/>
      <c r="BA5581" s="68"/>
      <c r="BB5581" s="67"/>
      <c r="BC5581" s="67"/>
      <c r="BD5581" s="67"/>
      <c r="BE5581" s="67"/>
      <c r="BF5581" s="95"/>
    </row>
    <row r="5582" spans="42:58" x14ac:dyDescent="0.35">
      <c r="AP5582" s="93"/>
      <c r="AQ5582" s="31"/>
      <c r="AR5582" s="31"/>
      <c r="AS5582" s="94"/>
      <c r="AT5582" s="31"/>
      <c r="AU5582" s="31"/>
      <c r="AV5582" s="94"/>
      <c r="AW5582" s="32"/>
      <c r="AX5582" s="32"/>
      <c r="AY5582" s="32"/>
      <c r="AZ5582" s="32"/>
      <c r="BA5582" s="32"/>
      <c r="BB5582" s="31"/>
      <c r="BC5582" s="31"/>
      <c r="BD5582" s="31"/>
      <c r="BE5582" s="31"/>
      <c r="BF5582" s="96"/>
    </row>
    <row r="5583" spans="42:58" x14ac:dyDescent="0.35">
      <c r="AP5583" s="92"/>
      <c r="AQ5583" s="67"/>
      <c r="AR5583" s="67"/>
      <c r="AS5583" s="73"/>
      <c r="AT5583" s="67"/>
      <c r="AU5583" s="67"/>
      <c r="AV5583" s="73"/>
      <c r="AW5583" s="68"/>
      <c r="AX5583" s="68"/>
      <c r="AY5583" s="68"/>
      <c r="AZ5583" s="68"/>
      <c r="BA5583" s="68"/>
      <c r="BB5583" s="67"/>
      <c r="BC5583" s="67"/>
      <c r="BD5583" s="67"/>
      <c r="BE5583" s="67"/>
      <c r="BF5583" s="95"/>
    </row>
    <row r="5584" spans="42:58" x14ac:dyDescent="0.35">
      <c r="AP5584" s="93"/>
      <c r="AQ5584" s="31"/>
      <c r="AR5584" s="31"/>
      <c r="AS5584" s="94"/>
      <c r="AT5584" s="31"/>
      <c r="AU5584" s="31"/>
      <c r="AV5584" s="94"/>
      <c r="AW5584" s="32"/>
      <c r="AX5584" s="32"/>
      <c r="AY5584" s="32"/>
      <c r="AZ5584" s="32"/>
      <c r="BA5584" s="32"/>
      <c r="BB5584" s="31"/>
      <c r="BC5584" s="31"/>
      <c r="BD5584" s="31"/>
      <c r="BE5584" s="31"/>
      <c r="BF5584" s="96"/>
    </row>
    <row r="5585" spans="42:58" x14ac:dyDescent="0.35">
      <c r="AP5585" s="92"/>
      <c r="AQ5585" s="67"/>
      <c r="AR5585" s="67"/>
      <c r="AS5585" s="73"/>
      <c r="AT5585" s="67"/>
      <c r="AU5585" s="67"/>
      <c r="AV5585" s="73"/>
      <c r="AW5585" s="68"/>
      <c r="AX5585" s="68"/>
      <c r="AY5585" s="68"/>
      <c r="AZ5585" s="68"/>
      <c r="BA5585" s="68"/>
      <c r="BB5585" s="67"/>
      <c r="BC5585" s="67"/>
      <c r="BD5585" s="67"/>
      <c r="BE5585" s="67"/>
      <c r="BF5585" s="95"/>
    </row>
    <row r="5586" spans="42:58" x14ac:dyDescent="0.35">
      <c r="AP5586" s="93"/>
      <c r="AQ5586" s="31"/>
      <c r="AR5586" s="31"/>
      <c r="AS5586" s="94"/>
      <c r="AT5586" s="31"/>
      <c r="AU5586" s="31"/>
      <c r="AV5586" s="94"/>
      <c r="AW5586" s="32"/>
      <c r="AX5586" s="32"/>
      <c r="AY5586" s="32"/>
      <c r="AZ5586" s="32"/>
      <c r="BA5586" s="32"/>
      <c r="BB5586" s="31"/>
      <c r="BC5586" s="31"/>
      <c r="BD5586" s="31"/>
      <c r="BE5586" s="31"/>
      <c r="BF5586" s="96"/>
    </row>
    <row r="5587" spans="42:58" x14ac:dyDescent="0.35">
      <c r="AP5587" s="92"/>
      <c r="AQ5587" s="67"/>
      <c r="AR5587" s="67"/>
      <c r="AS5587" s="73"/>
      <c r="AT5587" s="67"/>
      <c r="AU5587" s="67"/>
      <c r="AV5587" s="73"/>
      <c r="AW5587" s="68"/>
      <c r="AX5587" s="68"/>
      <c r="AY5587" s="68"/>
      <c r="AZ5587" s="68"/>
      <c r="BA5587" s="68"/>
      <c r="BB5587" s="67"/>
      <c r="BC5587" s="67"/>
      <c r="BD5587" s="67"/>
      <c r="BE5587" s="67"/>
      <c r="BF5587" s="95"/>
    </row>
    <row r="5588" spans="42:58" x14ac:dyDescent="0.35">
      <c r="AP5588" s="93"/>
      <c r="AQ5588" s="31"/>
      <c r="AR5588" s="31"/>
      <c r="AS5588" s="94"/>
      <c r="AT5588" s="31"/>
      <c r="AU5588" s="31"/>
      <c r="AV5588" s="94"/>
      <c r="AW5588" s="32"/>
      <c r="AX5588" s="32"/>
      <c r="AY5588" s="32"/>
      <c r="AZ5588" s="32"/>
      <c r="BA5588" s="32"/>
      <c r="BB5588" s="31"/>
      <c r="BC5588" s="31"/>
      <c r="BD5588" s="31"/>
      <c r="BE5588" s="31"/>
      <c r="BF5588" s="96"/>
    </row>
    <row r="5589" spans="42:58" x14ac:dyDescent="0.35">
      <c r="AP5589" s="92"/>
      <c r="AQ5589" s="67"/>
      <c r="AR5589" s="67"/>
      <c r="AS5589" s="73"/>
      <c r="AT5589" s="67"/>
      <c r="AU5589" s="67"/>
      <c r="AV5589" s="73"/>
      <c r="AW5589" s="68"/>
      <c r="AX5589" s="68"/>
      <c r="AY5589" s="68"/>
      <c r="AZ5589" s="68"/>
      <c r="BA5589" s="68"/>
      <c r="BB5589" s="67"/>
      <c r="BC5589" s="67"/>
      <c r="BD5589" s="67"/>
      <c r="BE5589" s="67"/>
      <c r="BF5589" s="95"/>
    </row>
    <row r="5590" spans="42:58" x14ac:dyDescent="0.35">
      <c r="AP5590" s="93"/>
      <c r="AQ5590" s="31"/>
      <c r="AR5590" s="31"/>
      <c r="AS5590" s="94"/>
      <c r="AT5590" s="31"/>
      <c r="AU5590" s="31"/>
      <c r="AV5590" s="94"/>
      <c r="AW5590" s="32"/>
      <c r="AX5590" s="32"/>
      <c r="AY5590" s="32"/>
      <c r="AZ5590" s="32"/>
      <c r="BA5590" s="32"/>
      <c r="BB5590" s="31"/>
      <c r="BC5590" s="31"/>
      <c r="BD5590" s="31"/>
      <c r="BE5590" s="31"/>
      <c r="BF5590" s="96"/>
    </row>
    <row r="5591" spans="42:58" x14ac:dyDescent="0.35">
      <c r="AP5591" s="92"/>
      <c r="AQ5591" s="67"/>
      <c r="AR5591" s="67"/>
      <c r="AS5591" s="73"/>
      <c r="AT5591" s="67"/>
      <c r="AU5591" s="67"/>
      <c r="AV5591" s="73"/>
      <c r="AW5591" s="68"/>
      <c r="AX5591" s="68"/>
      <c r="AY5591" s="68"/>
      <c r="AZ5591" s="68"/>
      <c r="BA5591" s="68"/>
      <c r="BB5591" s="67"/>
      <c r="BC5591" s="67"/>
      <c r="BD5591" s="67"/>
      <c r="BE5591" s="67"/>
      <c r="BF5591" s="95"/>
    </row>
    <row r="5592" spans="42:58" x14ac:dyDescent="0.35">
      <c r="AP5592" s="93"/>
      <c r="AQ5592" s="31"/>
      <c r="AR5592" s="31"/>
      <c r="AS5592" s="94"/>
      <c r="AT5592" s="31"/>
      <c r="AU5592" s="31"/>
      <c r="AV5592" s="94"/>
      <c r="AW5592" s="32"/>
      <c r="AX5592" s="32"/>
      <c r="AY5592" s="32"/>
      <c r="AZ5592" s="32"/>
      <c r="BA5592" s="32"/>
      <c r="BB5592" s="31"/>
      <c r="BC5592" s="31"/>
      <c r="BD5592" s="31"/>
      <c r="BE5592" s="31"/>
      <c r="BF5592" s="96"/>
    </row>
    <row r="5593" spans="42:58" x14ac:dyDescent="0.35">
      <c r="AP5593" s="92"/>
      <c r="AQ5593" s="67"/>
      <c r="AR5593" s="67"/>
      <c r="AS5593" s="73"/>
      <c r="AT5593" s="67"/>
      <c r="AU5593" s="67"/>
      <c r="AV5593" s="73"/>
      <c r="AW5593" s="68"/>
      <c r="AX5593" s="68"/>
      <c r="AY5593" s="68"/>
      <c r="AZ5593" s="68"/>
      <c r="BA5593" s="68"/>
      <c r="BB5593" s="67"/>
      <c r="BC5593" s="67"/>
      <c r="BD5593" s="67"/>
      <c r="BE5593" s="67"/>
      <c r="BF5593" s="95"/>
    </row>
    <row r="5594" spans="42:58" x14ac:dyDescent="0.35">
      <c r="AP5594" s="93"/>
      <c r="AQ5594" s="31"/>
      <c r="AR5594" s="31"/>
      <c r="AS5594" s="94"/>
      <c r="AT5594" s="31"/>
      <c r="AU5594" s="31"/>
      <c r="AV5594" s="94"/>
      <c r="AW5594" s="32"/>
      <c r="AX5594" s="32"/>
      <c r="AY5594" s="32"/>
      <c r="AZ5594" s="32"/>
      <c r="BA5594" s="32"/>
      <c r="BB5594" s="31"/>
      <c r="BC5594" s="31"/>
      <c r="BD5594" s="31"/>
      <c r="BE5594" s="31"/>
      <c r="BF5594" s="96"/>
    </row>
    <row r="5595" spans="42:58" x14ac:dyDescent="0.35">
      <c r="AP5595" s="92"/>
      <c r="AQ5595" s="67"/>
      <c r="AR5595" s="67"/>
      <c r="AS5595" s="73"/>
      <c r="AT5595" s="67"/>
      <c r="AU5595" s="67"/>
      <c r="AV5595" s="73"/>
      <c r="AW5595" s="68"/>
      <c r="AX5595" s="68"/>
      <c r="AY5595" s="68"/>
      <c r="AZ5595" s="68"/>
      <c r="BA5595" s="68"/>
      <c r="BB5595" s="67"/>
      <c r="BC5595" s="67"/>
      <c r="BD5595" s="67"/>
      <c r="BE5595" s="67"/>
      <c r="BF5595" s="95"/>
    </row>
    <row r="5596" spans="42:58" x14ac:dyDescent="0.35">
      <c r="AP5596" s="93"/>
      <c r="AQ5596" s="31"/>
      <c r="AR5596" s="31"/>
      <c r="AS5596" s="94"/>
      <c r="AT5596" s="31"/>
      <c r="AU5596" s="31"/>
      <c r="AV5596" s="94"/>
      <c r="AW5596" s="32"/>
      <c r="AX5596" s="32"/>
      <c r="AY5596" s="32"/>
      <c r="AZ5596" s="32"/>
      <c r="BA5596" s="32"/>
      <c r="BB5596" s="31"/>
      <c r="BC5596" s="31"/>
      <c r="BD5596" s="31"/>
      <c r="BE5596" s="31"/>
      <c r="BF5596" s="96"/>
    </row>
    <row r="5597" spans="42:58" x14ac:dyDescent="0.35">
      <c r="AP5597" s="92"/>
      <c r="AQ5597" s="67"/>
      <c r="AR5597" s="67"/>
      <c r="AS5597" s="73"/>
      <c r="AT5597" s="67"/>
      <c r="AU5597" s="67"/>
      <c r="AV5597" s="73"/>
      <c r="AW5597" s="68"/>
      <c r="AX5597" s="68"/>
      <c r="AY5597" s="68"/>
      <c r="AZ5597" s="68"/>
      <c r="BA5597" s="68"/>
      <c r="BB5597" s="67"/>
      <c r="BC5597" s="67"/>
      <c r="BD5597" s="67"/>
      <c r="BE5597" s="67"/>
      <c r="BF5597" s="95"/>
    </row>
    <row r="5598" spans="42:58" x14ac:dyDescent="0.35">
      <c r="AP5598" s="93"/>
      <c r="AQ5598" s="31"/>
      <c r="AR5598" s="31"/>
      <c r="AS5598" s="94"/>
      <c r="AT5598" s="31"/>
      <c r="AU5598" s="31"/>
      <c r="AV5598" s="94"/>
      <c r="AW5598" s="32"/>
      <c r="AX5598" s="32"/>
      <c r="AY5598" s="32"/>
      <c r="AZ5598" s="32"/>
      <c r="BA5598" s="32"/>
      <c r="BB5598" s="31"/>
      <c r="BC5598" s="31"/>
      <c r="BD5598" s="31"/>
      <c r="BE5598" s="31"/>
      <c r="BF5598" s="96"/>
    </row>
    <row r="5599" spans="42:58" x14ac:dyDescent="0.35">
      <c r="AP5599" s="92"/>
      <c r="AQ5599" s="67"/>
      <c r="AR5599" s="67"/>
      <c r="AS5599" s="73"/>
      <c r="AT5599" s="67"/>
      <c r="AU5599" s="67"/>
      <c r="AV5599" s="73"/>
      <c r="AW5599" s="68"/>
      <c r="AX5599" s="68"/>
      <c r="AY5599" s="68"/>
      <c r="AZ5599" s="68"/>
      <c r="BA5599" s="68"/>
      <c r="BB5599" s="67"/>
      <c r="BC5599" s="67"/>
      <c r="BD5599" s="67"/>
      <c r="BE5599" s="67"/>
      <c r="BF5599" s="95"/>
    </row>
    <row r="5600" spans="42:58" x14ac:dyDescent="0.35">
      <c r="AP5600" s="93"/>
      <c r="AQ5600" s="31"/>
      <c r="AR5600" s="31"/>
      <c r="AS5600" s="94"/>
      <c r="AT5600" s="31"/>
      <c r="AU5600" s="31"/>
      <c r="AV5600" s="94"/>
      <c r="AW5600" s="32"/>
      <c r="AX5600" s="32"/>
      <c r="AY5600" s="32"/>
      <c r="AZ5600" s="32"/>
      <c r="BA5600" s="32"/>
      <c r="BB5600" s="31"/>
      <c r="BC5600" s="31"/>
      <c r="BD5600" s="31"/>
      <c r="BE5600" s="31"/>
      <c r="BF5600" s="96"/>
    </row>
    <row r="5601" spans="42:58" x14ac:dyDescent="0.35">
      <c r="AP5601" s="92"/>
      <c r="AQ5601" s="67"/>
      <c r="AR5601" s="67"/>
      <c r="AS5601" s="73"/>
      <c r="AT5601" s="67"/>
      <c r="AU5601" s="67"/>
      <c r="AV5601" s="73"/>
      <c r="AW5601" s="68"/>
      <c r="AX5601" s="68"/>
      <c r="AY5601" s="68"/>
      <c r="AZ5601" s="68"/>
      <c r="BA5601" s="68"/>
      <c r="BB5601" s="67"/>
      <c r="BC5601" s="67"/>
      <c r="BD5601" s="67"/>
      <c r="BE5601" s="67"/>
      <c r="BF5601" s="95"/>
    </row>
    <row r="5602" spans="42:58" x14ac:dyDescent="0.35">
      <c r="AP5602" s="93"/>
      <c r="AQ5602" s="31"/>
      <c r="AR5602" s="31"/>
      <c r="AS5602" s="94"/>
      <c r="AT5602" s="31"/>
      <c r="AU5602" s="31"/>
      <c r="AV5602" s="94"/>
      <c r="AW5602" s="32"/>
      <c r="AX5602" s="32"/>
      <c r="AY5602" s="32"/>
      <c r="AZ5602" s="32"/>
      <c r="BA5602" s="32"/>
      <c r="BB5602" s="31"/>
      <c r="BC5602" s="31"/>
      <c r="BD5602" s="31"/>
      <c r="BE5602" s="31"/>
      <c r="BF5602" s="96"/>
    </row>
    <row r="5603" spans="42:58" x14ac:dyDescent="0.35">
      <c r="AP5603" s="92"/>
      <c r="AQ5603" s="67"/>
      <c r="AR5603" s="67"/>
      <c r="AS5603" s="73"/>
      <c r="AT5603" s="67"/>
      <c r="AU5603" s="67"/>
      <c r="AV5603" s="73"/>
      <c r="AW5603" s="68"/>
      <c r="AX5603" s="68"/>
      <c r="AY5603" s="68"/>
      <c r="AZ5603" s="68"/>
      <c r="BA5603" s="68"/>
      <c r="BB5603" s="67"/>
      <c r="BC5603" s="67"/>
      <c r="BD5603" s="67"/>
      <c r="BE5603" s="67"/>
      <c r="BF5603" s="95"/>
    </row>
    <row r="5604" spans="42:58" x14ac:dyDescent="0.35">
      <c r="AP5604" s="93"/>
      <c r="AQ5604" s="31"/>
      <c r="AR5604" s="31"/>
      <c r="AS5604" s="94"/>
      <c r="AT5604" s="31"/>
      <c r="AU5604" s="31"/>
      <c r="AV5604" s="94"/>
      <c r="AW5604" s="32"/>
      <c r="AX5604" s="32"/>
      <c r="AY5604" s="32"/>
      <c r="AZ5604" s="32"/>
      <c r="BA5604" s="32"/>
      <c r="BB5604" s="31"/>
      <c r="BC5604" s="31"/>
      <c r="BD5604" s="31"/>
      <c r="BE5604" s="31"/>
      <c r="BF5604" s="96"/>
    </row>
    <row r="5605" spans="42:58" x14ac:dyDescent="0.35">
      <c r="AP5605" s="92"/>
      <c r="AQ5605" s="67"/>
      <c r="AR5605" s="67"/>
      <c r="AS5605" s="73"/>
      <c r="AT5605" s="67"/>
      <c r="AU5605" s="67"/>
      <c r="AV5605" s="73"/>
      <c r="AW5605" s="68"/>
      <c r="AX5605" s="68"/>
      <c r="AY5605" s="68"/>
      <c r="AZ5605" s="68"/>
      <c r="BA5605" s="68"/>
      <c r="BB5605" s="67"/>
      <c r="BC5605" s="67"/>
      <c r="BD5605" s="67"/>
      <c r="BE5605" s="67"/>
      <c r="BF5605" s="95"/>
    </row>
    <row r="5606" spans="42:58" x14ac:dyDescent="0.35">
      <c r="AP5606" s="93"/>
      <c r="AQ5606" s="31"/>
      <c r="AR5606" s="31"/>
      <c r="AS5606" s="94"/>
      <c r="AT5606" s="31"/>
      <c r="AU5606" s="31"/>
      <c r="AV5606" s="94"/>
      <c r="AW5606" s="32"/>
      <c r="AX5606" s="32"/>
      <c r="AY5606" s="32"/>
      <c r="AZ5606" s="32"/>
      <c r="BA5606" s="32"/>
      <c r="BB5606" s="31"/>
      <c r="BC5606" s="31"/>
      <c r="BD5606" s="31"/>
      <c r="BE5606" s="31"/>
      <c r="BF5606" s="96"/>
    </row>
    <row r="5607" spans="42:58" x14ac:dyDescent="0.35">
      <c r="AP5607" s="92"/>
      <c r="AQ5607" s="67"/>
      <c r="AR5607" s="67"/>
      <c r="AS5607" s="73"/>
      <c r="AT5607" s="67"/>
      <c r="AU5607" s="67"/>
      <c r="AV5607" s="73"/>
      <c r="AW5607" s="68"/>
      <c r="AX5607" s="68"/>
      <c r="AY5607" s="68"/>
      <c r="AZ5607" s="68"/>
      <c r="BA5607" s="68"/>
      <c r="BB5607" s="67"/>
      <c r="BC5607" s="67"/>
      <c r="BD5607" s="67"/>
      <c r="BE5607" s="67"/>
      <c r="BF5607" s="95"/>
    </row>
    <row r="5608" spans="42:58" x14ac:dyDescent="0.35">
      <c r="AP5608" s="93"/>
      <c r="AQ5608" s="31"/>
      <c r="AR5608" s="31"/>
      <c r="AS5608" s="94"/>
      <c r="AT5608" s="31"/>
      <c r="AU5608" s="31"/>
      <c r="AV5608" s="94"/>
      <c r="AW5608" s="32"/>
      <c r="AX5608" s="32"/>
      <c r="AY5608" s="32"/>
      <c r="AZ5608" s="32"/>
      <c r="BA5608" s="32"/>
      <c r="BB5608" s="31"/>
      <c r="BC5608" s="31"/>
      <c r="BD5608" s="31"/>
      <c r="BE5608" s="31"/>
      <c r="BF5608" s="96"/>
    </row>
    <row r="5609" spans="42:58" x14ac:dyDescent="0.35">
      <c r="AP5609" s="92"/>
      <c r="AQ5609" s="67"/>
      <c r="AR5609" s="67"/>
      <c r="AS5609" s="73"/>
      <c r="AT5609" s="67"/>
      <c r="AU5609" s="67"/>
      <c r="AV5609" s="73"/>
      <c r="AW5609" s="68"/>
      <c r="AX5609" s="68"/>
      <c r="AY5609" s="68"/>
      <c r="AZ5609" s="68"/>
      <c r="BA5609" s="68"/>
      <c r="BB5609" s="67"/>
      <c r="BC5609" s="67"/>
      <c r="BD5609" s="67"/>
      <c r="BE5609" s="67"/>
      <c r="BF5609" s="95"/>
    </row>
    <row r="5610" spans="42:58" x14ac:dyDescent="0.35">
      <c r="AP5610" s="93"/>
      <c r="AQ5610" s="31"/>
      <c r="AR5610" s="31"/>
      <c r="AS5610" s="94"/>
      <c r="AT5610" s="31"/>
      <c r="AU5610" s="31"/>
      <c r="AV5610" s="94"/>
      <c r="AW5610" s="32"/>
      <c r="AX5610" s="32"/>
      <c r="AY5610" s="32"/>
      <c r="AZ5610" s="32"/>
      <c r="BA5610" s="32"/>
      <c r="BB5610" s="31"/>
      <c r="BC5610" s="31"/>
      <c r="BD5610" s="31"/>
      <c r="BE5610" s="31"/>
      <c r="BF5610" s="96"/>
    </row>
    <row r="5611" spans="42:58" x14ac:dyDescent="0.35">
      <c r="AP5611" s="92"/>
      <c r="AQ5611" s="67"/>
      <c r="AR5611" s="67"/>
      <c r="AS5611" s="73"/>
      <c r="AT5611" s="67"/>
      <c r="AU5611" s="67"/>
      <c r="AV5611" s="73"/>
      <c r="AW5611" s="68"/>
      <c r="AX5611" s="68"/>
      <c r="AY5611" s="68"/>
      <c r="AZ5611" s="68"/>
      <c r="BA5611" s="68"/>
      <c r="BB5611" s="67"/>
      <c r="BC5611" s="67"/>
      <c r="BD5611" s="67"/>
      <c r="BE5611" s="67"/>
      <c r="BF5611" s="95"/>
    </row>
    <row r="5612" spans="42:58" x14ac:dyDescent="0.35">
      <c r="AP5612" s="93"/>
      <c r="AQ5612" s="31"/>
      <c r="AR5612" s="31"/>
      <c r="AS5612" s="94"/>
      <c r="AT5612" s="31"/>
      <c r="AU5612" s="31"/>
      <c r="AV5612" s="94"/>
      <c r="AW5612" s="32"/>
      <c r="AX5612" s="32"/>
      <c r="AY5612" s="32"/>
      <c r="AZ5612" s="32"/>
      <c r="BA5612" s="32"/>
      <c r="BB5612" s="31"/>
      <c r="BC5612" s="31"/>
      <c r="BD5612" s="31"/>
      <c r="BE5612" s="31"/>
      <c r="BF5612" s="96"/>
    </row>
    <row r="5613" spans="42:58" x14ac:dyDescent="0.35">
      <c r="AP5613" s="92"/>
      <c r="AQ5613" s="67"/>
      <c r="AR5613" s="67"/>
      <c r="AS5613" s="73"/>
      <c r="AT5613" s="67"/>
      <c r="AU5613" s="67"/>
      <c r="AV5613" s="73"/>
      <c r="AW5613" s="68"/>
      <c r="AX5613" s="68"/>
      <c r="AY5613" s="68"/>
      <c r="AZ5613" s="68"/>
      <c r="BA5613" s="68"/>
      <c r="BB5613" s="67"/>
      <c r="BC5613" s="67"/>
      <c r="BD5613" s="67"/>
      <c r="BE5613" s="67"/>
      <c r="BF5613" s="95"/>
    </row>
    <row r="5614" spans="42:58" x14ac:dyDescent="0.35">
      <c r="AP5614" s="93"/>
      <c r="AQ5614" s="31"/>
      <c r="AR5614" s="31"/>
      <c r="AS5614" s="94"/>
      <c r="AT5614" s="31"/>
      <c r="AU5614" s="31"/>
      <c r="AV5614" s="94"/>
      <c r="AW5614" s="32"/>
      <c r="AX5614" s="32"/>
      <c r="AY5614" s="32"/>
      <c r="AZ5614" s="32"/>
      <c r="BA5614" s="32"/>
      <c r="BB5614" s="31"/>
      <c r="BC5614" s="31"/>
      <c r="BD5614" s="31"/>
      <c r="BE5614" s="31"/>
      <c r="BF5614" s="96"/>
    </row>
    <row r="5615" spans="42:58" x14ac:dyDescent="0.35">
      <c r="AP5615" s="92"/>
      <c r="AQ5615" s="67"/>
      <c r="AR5615" s="67"/>
      <c r="AS5615" s="73"/>
      <c r="AT5615" s="67"/>
      <c r="AU5615" s="67"/>
      <c r="AV5615" s="73"/>
      <c r="AW5615" s="68"/>
      <c r="AX5615" s="68"/>
      <c r="AY5615" s="68"/>
      <c r="AZ5615" s="68"/>
      <c r="BA5615" s="68"/>
      <c r="BB5615" s="67"/>
      <c r="BC5615" s="67"/>
      <c r="BD5615" s="67"/>
      <c r="BE5615" s="67"/>
      <c r="BF5615" s="95"/>
    </row>
    <row r="5616" spans="42:58" x14ac:dyDescent="0.35">
      <c r="AP5616" s="93"/>
      <c r="AQ5616" s="31"/>
      <c r="AR5616" s="31"/>
      <c r="AS5616" s="94"/>
      <c r="AT5616" s="31"/>
      <c r="AU5616" s="31"/>
      <c r="AV5616" s="94"/>
      <c r="AW5616" s="32"/>
      <c r="AX5616" s="32"/>
      <c r="AY5616" s="32"/>
      <c r="AZ5616" s="32"/>
      <c r="BA5616" s="32"/>
      <c r="BB5616" s="31"/>
      <c r="BC5616" s="31"/>
      <c r="BD5616" s="31"/>
      <c r="BE5616" s="31"/>
      <c r="BF5616" s="96"/>
    </row>
    <row r="5617" spans="42:58" x14ac:dyDescent="0.35">
      <c r="AP5617" s="92"/>
      <c r="AQ5617" s="67"/>
      <c r="AR5617" s="67"/>
      <c r="AS5617" s="73"/>
      <c r="AT5617" s="67"/>
      <c r="AU5617" s="67"/>
      <c r="AV5617" s="73"/>
      <c r="AW5617" s="68"/>
      <c r="AX5617" s="68"/>
      <c r="AY5617" s="68"/>
      <c r="AZ5617" s="68"/>
      <c r="BA5617" s="68"/>
      <c r="BB5617" s="67"/>
      <c r="BC5617" s="67"/>
      <c r="BD5617" s="67"/>
      <c r="BE5617" s="67"/>
      <c r="BF5617" s="95"/>
    </row>
    <row r="5618" spans="42:58" x14ac:dyDescent="0.35">
      <c r="AP5618" s="93"/>
      <c r="AQ5618" s="31"/>
      <c r="AR5618" s="31"/>
      <c r="AS5618" s="94"/>
      <c r="AT5618" s="31"/>
      <c r="AU5618" s="31"/>
      <c r="AV5618" s="94"/>
      <c r="AW5618" s="32"/>
      <c r="AX5618" s="32"/>
      <c r="AY5618" s="32"/>
      <c r="AZ5618" s="32"/>
      <c r="BA5618" s="32"/>
      <c r="BB5618" s="31"/>
      <c r="BC5618" s="31"/>
      <c r="BD5618" s="31"/>
      <c r="BE5618" s="31"/>
      <c r="BF5618" s="96"/>
    </row>
    <row r="5619" spans="42:58" x14ac:dyDescent="0.35">
      <c r="AP5619" s="92"/>
      <c r="AQ5619" s="67"/>
      <c r="AR5619" s="67"/>
      <c r="AS5619" s="73"/>
      <c r="AT5619" s="67"/>
      <c r="AU5619" s="67"/>
      <c r="AV5619" s="73"/>
      <c r="AW5619" s="68"/>
      <c r="AX5619" s="68"/>
      <c r="AY5619" s="68"/>
      <c r="AZ5619" s="68"/>
      <c r="BA5619" s="68"/>
      <c r="BB5619" s="67"/>
      <c r="BC5619" s="67"/>
      <c r="BD5619" s="67"/>
      <c r="BE5619" s="67"/>
      <c r="BF5619" s="95"/>
    </row>
    <row r="5620" spans="42:58" x14ac:dyDescent="0.35">
      <c r="AP5620" s="93"/>
      <c r="AQ5620" s="31"/>
      <c r="AR5620" s="31"/>
      <c r="AS5620" s="94"/>
      <c r="AT5620" s="31"/>
      <c r="AU5620" s="31"/>
      <c r="AV5620" s="94"/>
      <c r="AW5620" s="32"/>
      <c r="AX5620" s="32"/>
      <c r="AY5620" s="32"/>
      <c r="AZ5620" s="32"/>
      <c r="BA5620" s="32"/>
      <c r="BB5620" s="31"/>
      <c r="BC5620" s="31"/>
      <c r="BD5620" s="31"/>
      <c r="BE5620" s="31"/>
      <c r="BF5620" s="96"/>
    </row>
    <row r="5621" spans="42:58" x14ac:dyDescent="0.35">
      <c r="AP5621" s="92"/>
      <c r="AQ5621" s="67"/>
      <c r="AR5621" s="67"/>
      <c r="AS5621" s="73"/>
      <c r="AT5621" s="67"/>
      <c r="AU5621" s="67"/>
      <c r="AV5621" s="73"/>
      <c r="AW5621" s="68"/>
      <c r="AX5621" s="68"/>
      <c r="AY5621" s="68"/>
      <c r="AZ5621" s="68"/>
      <c r="BA5621" s="68"/>
      <c r="BB5621" s="67"/>
      <c r="BC5621" s="67"/>
      <c r="BD5621" s="67"/>
      <c r="BE5621" s="67"/>
      <c r="BF5621" s="95"/>
    </row>
    <row r="5622" spans="42:58" x14ac:dyDescent="0.35">
      <c r="AP5622" s="93"/>
      <c r="AQ5622" s="31"/>
      <c r="AR5622" s="31"/>
      <c r="AS5622" s="94"/>
      <c r="AT5622" s="31"/>
      <c r="AU5622" s="31"/>
      <c r="AV5622" s="94"/>
      <c r="AW5622" s="32"/>
      <c r="AX5622" s="32"/>
      <c r="AY5622" s="32"/>
      <c r="AZ5622" s="32"/>
      <c r="BA5622" s="32"/>
      <c r="BB5622" s="31"/>
      <c r="BC5622" s="31"/>
      <c r="BD5622" s="31"/>
      <c r="BE5622" s="31"/>
      <c r="BF5622" s="96"/>
    </row>
    <row r="5623" spans="42:58" x14ac:dyDescent="0.35">
      <c r="AP5623" s="92"/>
      <c r="AQ5623" s="67"/>
      <c r="AR5623" s="67"/>
      <c r="AS5623" s="73"/>
      <c r="AT5623" s="67"/>
      <c r="AU5623" s="67"/>
      <c r="AV5623" s="73"/>
      <c r="AW5623" s="68"/>
      <c r="AX5623" s="68"/>
      <c r="AY5623" s="68"/>
      <c r="AZ5623" s="68"/>
      <c r="BA5623" s="68"/>
      <c r="BB5623" s="67"/>
      <c r="BC5623" s="67"/>
      <c r="BD5623" s="67"/>
      <c r="BE5623" s="67"/>
      <c r="BF5623" s="95"/>
    </row>
    <row r="5624" spans="42:58" x14ac:dyDescent="0.35">
      <c r="AP5624" s="93"/>
      <c r="AQ5624" s="31"/>
      <c r="AR5624" s="31"/>
      <c r="AS5624" s="94"/>
      <c r="AT5624" s="31"/>
      <c r="AU5624" s="31"/>
      <c r="AV5624" s="94"/>
      <c r="AW5624" s="32"/>
      <c r="AX5624" s="32"/>
      <c r="AY5624" s="32"/>
      <c r="AZ5624" s="32"/>
      <c r="BA5624" s="32"/>
      <c r="BB5624" s="31"/>
      <c r="BC5624" s="31"/>
      <c r="BD5624" s="31"/>
      <c r="BE5624" s="31"/>
      <c r="BF5624" s="96"/>
    </row>
    <row r="5625" spans="42:58" x14ac:dyDescent="0.35">
      <c r="AP5625" s="92"/>
      <c r="AQ5625" s="67"/>
      <c r="AR5625" s="67"/>
      <c r="AS5625" s="73"/>
      <c r="AT5625" s="67"/>
      <c r="AU5625" s="67"/>
      <c r="AV5625" s="73"/>
      <c r="AW5625" s="68"/>
      <c r="AX5625" s="68"/>
      <c r="AY5625" s="68"/>
      <c r="AZ5625" s="68"/>
      <c r="BA5625" s="68"/>
      <c r="BB5625" s="67"/>
      <c r="BC5625" s="67"/>
      <c r="BD5625" s="67"/>
      <c r="BE5625" s="67"/>
      <c r="BF5625" s="95"/>
    </row>
    <row r="5626" spans="42:58" x14ac:dyDescent="0.35">
      <c r="AP5626" s="93"/>
      <c r="AQ5626" s="31"/>
      <c r="AR5626" s="31"/>
      <c r="AS5626" s="94"/>
      <c r="AT5626" s="31"/>
      <c r="AU5626" s="31"/>
      <c r="AV5626" s="94"/>
      <c r="AW5626" s="32"/>
      <c r="AX5626" s="32"/>
      <c r="AY5626" s="32"/>
      <c r="AZ5626" s="32"/>
      <c r="BA5626" s="32"/>
      <c r="BB5626" s="31"/>
      <c r="BC5626" s="31"/>
      <c r="BD5626" s="31"/>
      <c r="BE5626" s="31"/>
      <c r="BF5626" s="96"/>
    </row>
    <row r="5627" spans="42:58" x14ac:dyDescent="0.35">
      <c r="AP5627" s="92"/>
      <c r="AQ5627" s="67"/>
      <c r="AR5627" s="67"/>
      <c r="AS5627" s="73"/>
      <c r="AT5627" s="67"/>
      <c r="AU5627" s="67"/>
      <c r="AV5627" s="73"/>
      <c r="AW5627" s="68"/>
      <c r="AX5627" s="68"/>
      <c r="AY5627" s="68"/>
      <c r="AZ5627" s="68"/>
      <c r="BA5627" s="68"/>
      <c r="BB5627" s="67"/>
      <c r="BC5627" s="67"/>
      <c r="BD5627" s="67"/>
      <c r="BE5627" s="67"/>
      <c r="BF5627" s="95"/>
    </row>
    <row r="5628" spans="42:58" x14ac:dyDescent="0.35">
      <c r="AP5628" s="93"/>
      <c r="AQ5628" s="31"/>
      <c r="AR5628" s="31"/>
      <c r="AS5628" s="94"/>
      <c r="AT5628" s="31"/>
      <c r="AU5628" s="31"/>
      <c r="AV5628" s="94"/>
      <c r="AW5628" s="32"/>
      <c r="AX5628" s="32"/>
      <c r="AY5628" s="32"/>
      <c r="AZ5628" s="32"/>
      <c r="BA5628" s="32"/>
      <c r="BB5628" s="31"/>
      <c r="BC5628" s="31"/>
      <c r="BD5628" s="31"/>
      <c r="BE5628" s="31"/>
      <c r="BF5628" s="96"/>
    </row>
    <row r="5629" spans="42:58" x14ac:dyDescent="0.35">
      <c r="AP5629" s="92"/>
      <c r="AQ5629" s="67"/>
      <c r="AR5629" s="67"/>
      <c r="AS5629" s="73"/>
      <c r="AT5629" s="67"/>
      <c r="AU5629" s="67"/>
      <c r="AV5629" s="73"/>
      <c r="AW5629" s="68"/>
      <c r="AX5629" s="68"/>
      <c r="AY5629" s="68"/>
      <c r="AZ5629" s="68"/>
      <c r="BA5629" s="68"/>
      <c r="BB5629" s="67"/>
      <c r="BC5629" s="67"/>
      <c r="BD5629" s="67"/>
      <c r="BE5629" s="67"/>
      <c r="BF5629" s="95"/>
    </row>
    <row r="5630" spans="42:58" x14ac:dyDescent="0.35">
      <c r="AP5630" s="93"/>
      <c r="AQ5630" s="31"/>
      <c r="AR5630" s="31"/>
      <c r="AS5630" s="94"/>
      <c r="AT5630" s="31"/>
      <c r="AU5630" s="31"/>
      <c r="AV5630" s="94"/>
      <c r="AW5630" s="32"/>
      <c r="AX5630" s="32"/>
      <c r="AY5630" s="32"/>
      <c r="AZ5630" s="32"/>
      <c r="BA5630" s="32"/>
      <c r="BB5630" s="31"/>
      <c r="BC5630" s="31"/>
      <c r="BD5630" s="31"/>
      <c r="BE5630" s="31"/>
      <c r="BF5630" s="96"/>
    </row>
    <row r="5631" spans="42:58" x14ac:dyDescent="0.35">
      <c r="AP5631" s="92"/>
      <c r="AQ5631" s="67"/>
      <c r="AR5631" s="67"/>
      <c r="AS5631" s="73"/>
      <c r="AT5631" s="67"/>
      <c r="AU5631" s="67"/>
      <c r="AV5631" s="73"/>
      <c r="AW5631" s="68"/>
      <c r="AX5631" s="68"/>
      <c r="AY5631" s="68"/>
      <c r="AZ5631" s="68"/>
      <c r="BA5631" s="68"/>
      <c r="BB5631" s="67"/>
      <c r="BC5631" s="67"/>
      <c r="BD5631" s="67"/>
      <c r="BE5631" s="67"/>
      <c r="BF5631" s="95"/>
    </row>
    <row r="5632" spans="42:58" x14ac:dyDescent="0.35">
      <c r="AP5632" s="93"/>
      <c r="AQ5632" s="31"/>
      <c r="AR5632" s="31"/>
      <c r="AS5632" s="94"/>
      <c r="AT5632" s="31"/>
      <c r="AU5632" s="31"/>
      <c r="AV5632" s="94"/>
      <c r="AW5632" s="32"/>
      <c r="AX5632" s="32"/>
      <c r="AY5632" s="32"/>
      <c r="AZ5632" s="32"/>
      <c r="BA5632" s="32"/>
      <c r="BB5632" s="31"/>
      <c r="BC5632" s="31"/>
      <c r="BD5632" s="31"/>
      <c r="BE5632" s="31"/>
      <c r="BF5632" s="96"/>
    </row>
    <row r="5633" spans="42:58" x14ac:dyDescent="0.35">
      <c r="AP5633" s="92"/>
      <c r="AQ5633" s="67"/>
      <c r="AR5633" s="67"/>
      <c r="AS5633" s="73"/>
      <c r="AT5633" s="67"/>
      <c r="AU5633" s="67"/>
      <c r="AV5633" s="73"/>
      <c r="AW5633" s="68"/>
      <c r="AX5633" s="68"/>
      <c r="AY5633" s="68"/>
      <c r="AZ5633" s="68"/>
      <c r="BA5633" s="68"/>
      <c r="BB5633" s="67"/>
      <c r="BC5633" s="67"/>
      <c r="BD5633" s="67"/>
      <c r="BE5633" s="67"/>
      <c r="BF5633" s="95"/>
    </row>
    <row r="5634" spans="42:58" x14ac:dyDescent="0.35">
      <c r="AP5634" s="93"/>
      <c r="AQ5634" s="31"/>
      <c r="AR5634" s="31"/>
      <c r="AS5634" s="94"/>
      <c r="AT5634" s="31"/>
      <c r="AU5634" s="31"/>
      <c r="AV5634" s="94"/>
      <c r="AW5634" s="32"/>
      <c r="AX5634" s="32"/>
      <c r="AY5634" s="32"/>
      <c r="AZ5634" s="32"/>
      <c r="BA5634" s="32"/>
      <c r="BB5634" s="31"/>
      <c r="BC5634" s="31"/>
      <c r="BD5634" s="31"/>
      <c r="BE5634" s="31"/>
      <c r="BF5634" s="96"/>
    </row>
    <row r="5635" spans="42:58" x14ac:dyDescent="0.35">
      <c r="AP5635" s="92"/>
      <c r="AQ5635" s="67"/>
      <c r="AR5635" s="67"/>
      <c r="AS5635" s="73"/>
      <c r="AT5635" s="67"/>
      <c r="AU5635" s="67"/>
      <c r="AV5635" s="73"/>
      <c r="AW5635" s="68"/>
      <c r="AX5635" s="68"/>
      <c r="AY5635" s="68"/>
      <c r="AZ5635" s="68"/>
      <c r="BA5635" s="68"/>
      <c r="BB5635" s="67"/>
      <c r="BC5635" s="67"/>
      <c r="BD5635" s="67"/>
      <c r="BE5635" s="67"/>
      <c r="BF5635" s="95"/>
    </row>
    <row r="5636" spans="42:58" x14ac:dyDescent="0.35">
      <c r="AP5636" s="93"/>
      <c r="AQ5636" s="31"/>
      <c r="AR5636" s="31"/>
      <c r="AS5636" s="94"/>
      <c r="AT5636" s="31"/>
      <c r="AU5636" s="31"/>
      <c r="AV5636" s="94"/>
      <c r="AW5636" s="32"/>
      <c r="AX5636" s="32"/>
      <c r="AY5636" s="32"/>
      <c r="AZ5636" s="32"/>
      <c r="BA5636" s="32"/>
      <c r="BB5636" s="31"/>
      <c r="BC5636" s="31"/>
      <c r="BD5636" s="31"/>
      <c r="BE5636" s="31"/>
      <c r="BF5636" s="96"/>
    </row>
    <row r="5637" spans="42:58" x14ac:dyDescent="0.35">
      <c r="AP5637" s="92"/>
      <c r="AQ5637" s="67"/>
      <c r="AR5637" s="67"/>
      <c r="AS5637" s="73"/>
      <c r="AT5637" s="67"/>
      <c r="AU5637" s="67"/>
      <c r="AV5637" s="73"/>
      <c r="AW5637" s="68"/>
      <c r="AX5637" s="68"/>
      <c r="AY5637" s="68"/>
      <c r="AZ5637" s="68"/>
      <c r="BA5637" s="68"/>
      <c r="BB5637" s="67"/>
      <c r="BC5637" s="67"/>
      <c r="BD5637" s="67"/>
      <c r="BE5637" s="67"/>
      <c r="BF5637" s="95"/>
    </row>
    <row r="5638" spans="42:58" x14ac:dyDescent="0.35">
      <c r="AP5638" s="93"/>
      <c r="AQ5638" s="31"/>
      <c r="AR5638" s="31"/>
      <c r="AS5638" s="94"/>
      <c r="AT5638" s="31"/>
      <c r="AU5638" s="31"/>
      <c r="AV5638" s="94"/>
      <c r="AW5638" s="32"/>
      <c r="AX5638" s="32"/>
      <c r="AY5638" s="32"/>
      <c r="AZ5638" s="32"/>
      <c r="BA5638" s="32"/>
      <c r="BB5638" s="31"/>
      <c r="BC5638" s="31"/>
      <c r="BD5638" s="31"/>
      <c r="BE5638" s="31"/>
      <c r="BF5638" s="96"/>
    </row>
    <row r="5639" spans="42:58" x14ac:dyDescent="0.35">
      <c r="AP5639" s="92"/>
      <c r="AQ5639" s="67"/>
      <c r="AR5639" s="67"/>
      <c r="AS5639" s="73"/>
      <c r="AT5639" s="67"/>
      <c r="AU5639" s="67"/>
      <c r="AV5639" s="73"/>
      <c r="AW5639" s="68"/>
      <c r="AX5639" s="68"/>
      <c r="AY5639" s="68"/>
      <c r="AZ5639" s="68"/>
      <c r="BA5639" s="68"/>
      <c r="BB5639" s="67"/>
      <c r="BC5639" s="67"/>
      <c r="BD5639" s="67"/>
      <c r="BE5639" s="67"/>
      <c r="BF5639" s="95"/>
    </row>
    <row r="5640" spans="42:58" x14ac:dyDescent="0.35">
      <c r="AP5640" s="93"/>
      <c r="AQ5640" s="31"/>
      <c r="AR5640" s="31"/>
      <c r="AS5640" s="94"/>
      <c r="AT5640" s="31"/>
      <c r="AU5640" s="31"/>
      <c r="AV5640" s="94"/>
      <c r="AW5640" s="32"/>
      <c r="AX5640" s="32"/>
      <c r="AY5640" s="32"/>
      <c r="AZ5640" s="32"/>
      <c r="BA5640" s="32"/>
      <c r="BB5640" s="31"/>
      <c r="BC5640" s="31"/>
      <c r="BD5640" s="31"/>
      <c r="BE5640" s="31"/>
      <c r="BF5640" s="96"/>
    </row>
    <row r="5641" spans="42:58" x14ac:dyDescent="0.35">
      <c r="AP5641" s="92"/>
      <c r="AQ5641" s="67"/>
      <c r="AR5641" s="67"/>
      <c r="AS5641" s="73"/>
      <c r="AT5641" s="67"/>
      <c r="AU5641" s="67"/>
      <c r="AV5641" s="73"/>
      <c r="AW5641" s="68"/>
      <c r="AX5641" s="68"/>
      <c r="AY5641" s="68"/>
      <c r="AZ5641" s="68"/>
      <c r="BA5641" s="68"/>
      <c r="BB5641" s="67"/>
      <c r="BC5641" s="67"/>
      <c r="BD5641" s="67"/>
      <c r="BE5641" s="67"/>
      <c r="BF5641" s="95"/>
    </row>
    <row r="5642" spans="42:58" x14ac:dyDescent="0.35">
      <c r="AP5642" s="93"/>
      <c r="AQ5642" s="31"/>
      <c r="AR5642" s="31"/>
      <c r="AS5642" s="94"/>
      <c r="AT5642" s="31"/>
      <c r="AU5642" s="31"/>
      <c r="AV5642" s="94"/>
      <c r="AW5642" s="32"/>
      <c r="AX5642" s="32"/>
      <c r="AY5642" s="32"/>
      <c r="AZ5642" s="32"/>
      <c r="BA5642" s="32"/>
      <c r="BB5642" s="31"/>
      <c r="BC5642" s="31"/>
      <c r="BD5642" s="31"/>
      <c r="BE5642" s="31"/>
      <c r="BF5642" s="96"/>
    </row>
    <row r="5643" spans="42:58" x14ac:dyDescent="0.35">
      <c r="AP5643" s="92"/>
      <c r="AQ5643" s="67"/>
      <c r="AR5643" s="67"/>
      <c r="AS5643" s="73"/>
      <c r="AT5643" s="67"/>
      <c r="AU5643" s="67"/>
      <c r="AV5643" s="73"/>
      <c r="AW5643" s="68"/>
      <c r="AX5643" s="68"/>
      <c r="AY5643" s="68"/>
      <c r="AZ5643" s="68"/>
      <c r="BA5643" s="68"/>
      <c r="BB5643" s="67"/>
      <c r="BC5643" s="67"/>
      <c r="BD5643" s="67"/>
      <c r="BE5643" s="67"/>
      <c r="BF5643" s="95"/>
    </row>
    <row r="5644" spans="42:58" x14ac:dyDescent="0.35">
      <c r="AP5644" s="93"/>
      <c r="AQ5644" s="31"/>
      <c r="AR5644" s="31"/>
      <c r="AS5644" s="94"/>
      <c r="AT5644" s="31"/>
      <c r="AU5644" s="31"/>
      <c r="AV5644" s="94"/>
      <c r="AW5644" s="32"/>
      <c r="AX5644" s="32"/>
      <c r="AY5644" s="32"/>
      <c r="AZ5644" s="32"/>
      <c r="BA5644" s="32"/>
      <c r="BB5644" s="31"/>
      <c r="BC5644" s="31"/>
      <c r="BD5644" s="31"/>
      <c r="BE5644" s="31"/>
      <c r="BF5644" s="96"/>
    </row>
    <row r="5645" spans="42:58" x14ac:dyDescent="0.35">
      <c r="AP5645" s="92"/>
      <c r="AQ5645" s="67"/>
      <c r="AR5645" s="67"/>
      <c r="AS5645" s="73"/>
      <c r="AT5645" s="67"/>
      <c r="AU5645" s="67"/>
      <c r="AV5645" s="73"/>
      <c r="AW5645" s="68"/>
      <c r="AX5645" s="68"/>
      <c r="AY5645" s="68"/>
      <c r="AZ5645" s="68"/>
      <c r="BA5645" s="68"/>
      <c r="BB5645" s="67"/>
      <c r="BC5645" s="67"/>
      <c r="BD5645" s="67"/>
      <c r="BE5645" s="67"/>
      <c r="BF5645" s="95"/>
    </row>
    <row r="5646" spans="42:58" x14ac:dyDescent="0.35">
      <c r="AP5646" s="93"/>
      <c r="AQ5646" s="31"/>
      <c r="AR5646" s="31"/>
      <c r="AS5646" s="94"/>
      <c r="AT5646" s="31"/>
      <c r="AU5646" s="31"/>
      <c r="AV5646" s="94"/>
      <c r="AW5646" s="32"/>
      <c r="AX5646" s="32"/>
      <c r="AY5646" s="32"/>
      <c r="AZ5646" s="32"/>
      <c r="BA5646" s="32"/>
      <c r="BB5646" s="31"/>
      <c r="BC5646" s="31"/>
      <c r="BD5646" s="31"/>
      <c r="BE5646" s="31"/>
      <c r="BF5646" s="96"/>
    </row>
    <row r="5647" spans="42:58" x14ac:dyDescent="0.35">
      <c r="AP5647" s="92"/>
      <c r="AQ5647" s="67"/>
      <c r="AR5647" s="67"/>
      <c r="AS5647" s="73"/>
      <c r="AT5647" s="67"/>
      <c r="AU5647" s="67"/>
      <c r="AV5647" s="73"/>
      <c r="AW5647" s="68"/>
      <c r="AX5647" s="68"/>
      <c r="AY5647" s="68"/>
      <c r="AZ5647" s="68"/>
      <c r="BA5647" s="68"/>
      <c r="BB5647" s="67"/>
      <c r="BC5647" s="67"/>
      <c r="BD5647" s="67"/>
      <c r="BE5647" s="67"/>
      <c r="BF5647" s="95"/>
    </row>
    <row r="5648" spans="42:58" x14ac:dyDescent="0.35">
      <c r="AP5648" s="93"/>
      <c r="AQ5648" s="31"/>
      <c r="AR5648" s="31"/>
      <c r="AS5648" s="94"/>
      <c r="AT5648" s="31"/>
      <c r="AU5648" s="31"/>
      <c r="AV5648" s="94"/>
      <c r="AW5648" s="32"/>
      <c r="AX5648" s="32"/>
      <c r="AY5648" s="32"/>
      <c r="AZ5648" s="32"/>
      <c r="BA5648" s="32"/>
      <c r="BB5648" s="31"/>
      <c r="BC5648" s="31"/>
      <c r="BD5648" s="31"/>
      <c r="BE5648" s="31"/>
      <c r="BF5648" s="96"/>
    </row>
    <row r="5649" spans="42:58" x14ac:dyDescent="0.35">
      <c r="AP5649" s="92"/>
      <c r="AQ5649" s="67"/>
      <c r="AR5649" s="67"/>
      <c r="AS5649" s="73"/>
      <c r="AT5649" s="67"/>
      <c r="AU5649" s="67"/>
      <c r="AV5649" s="73"/>
      <c r="AW5649" s="68"/>
      <c r="AX5649" s="68"/>
      <c r="AY5649" s="68"/>
      <c r="AZ5649" s="68"/>
      <c r="BA5649" s="68"/>
      <c r="BB5649" s="67"/>
      <c r="BC5649" s="67"/>
      <c r="BD5649" s="67"/>
      <c r="BE5649" s="67"/>
      <c r="BF5649" s="95"/>
    </row>
    <row r="5650" spans="42:58" x14ac:dyDescent="0.35">
      <c r="AP5650" s="93"/>
      <c r="AQ5650" s="31"/>
      <c r="AR5650" s="31"/>
      <c r="AS5650" s="94"/>
      <c r="AT5650" s="31"/>
      <c r="AU5650" s="31"/>
      <c r="AV5650" s="94"/>
      <c r="AW5650" s="32"/>
      <c r="AX5650" s="32"/>
      <c r="AY5650" s="32"/>
      <c r="AZ5650" s="32"/>
      <c r="BA5650" s="32"/>
      <c r="BB5650" s="31"/>
      <c r="BC5650" s="31"/>
      <c r="BD5650" s="31"/>
      <c r="BE5650" s="31"/>
      <c r="BF5650" s="96"/>
    </row>
    <row r="5651" spans="42:58" x14ac:dyDescent="0.35">
      <c r="AP5651" s="92"/>
      <c r="AQ5651" s="67"/>
      <c r="AR5651" s="67"/>
      <c r="AS5651" s="73"/>
      <c r="AT5651" s="67"/>
      <c r="AU5651" s="67"/>
      <c r="AV5651" s="73"/>
      <c r="AW5651" s="68"/>
      <c r="AX5651" s="68"/>
      <c r="AY5651" s="68"/>
      <c r="AZ5651" s="68"/>
      <c r="BA5651" s="68"/>
      <c r="BB5651" s="67"/>
      <c r="BC5651" s="67"/>
      <c r="BD5651" s="67"/>
      <c r="BE5651" s="67"/>
      <c r="BF5651" s="95"/>
    </row>
    <row r="5652" spans="42:58" x14ac:dyDescent="0.35">
      <c r="AP5652" s="93"/>
      <c r="AQ5652" s="31"/>
      <c r="AR5652" s="31"/>
      <c r="AS5652" s="94"/>
      <c r="AT5652" s="31"/>
      <c r="AU5652" s="31"/>
      <c r="AV5652" s="94"/>
      <c r="AW5652" s="32"/>
      <c r="AX5652" s="32"/>
      <c r="AY5652" s="32"/>
      <c r="AZ5652" s="32"/>
      <c r="BA5652" s="32"/>
      <c r="BB5652" s="31"/>
      <c r="BC5652" s="31"/>
      <c r="BD5652" s="31"/>
      <c r="BE5652" s="31"/>
      <c r="BF5652" s="96"/>
    </row>
    <row r="5653" spans="42:58" x14ac:dyDescent="0.35">
      <c r="AP5653" s="92"/>
      <c r="AQ5653" s="67"/>
      <c r="AR5653" s="67"/>
      <c r="AS5653" s="73"/>
      <c r="AT5653" s="67"/>
      <c r="AU5653" s="67"/>
      <c r="AV5653" s="73"/>
      <c r="AW5653" s="68"/>
      <c r="AX5653" s="68"/>
      <c r="AY5653" s="68"/>
      <c r="AZ5653" s="68"/>
      <c r="BA5653" s="68"/>
      <c r="BB5653" s="67"/>
      <c r="BC5653" s="67"/>
      <c r="BD5653" s="67"/>
      <c r="BE5653" s="67"/>
      <c r="BF5653" s="95"/>
    </row>
    <row r="5654" spans="42:58" x14ac:dyDescent="0.35">
      <c r="AP5654" s="93"/>
      <c r="AQ5654" s="31"/>
      <c r="AR5654" s="31"/>
      <c r="AS5654" s="94"/>
      <c r="AT5654" s="31"/>
      <c r="AU5654" s="31"/>
      <c r="AV5654" s="94"/>
      <c r="AW5654" s="32"/>
      <c r="AX5654" s="32"/>
      <c r="AY5654" s="32"/>
      <c r="AZ5654" s="32"/>
      <c r="BA5654" s="32"/>
      <c r="BB5654" s="31"/>
      <c r="BC5654" s="31"/>
      <c r="BD5654" s="31"/>
      <c r="BE5654" s="31"/>
      <c r="BF5654" s="96"/>
    </row>
    <row r="5655" spans="42:58" x14ac:dyDescent="0.35">
      <c r="AP5655" s="92"/>
      <c r="AQ5655" s="67"/>
      <c r="AR5655" s="67"/>
      <c r="AS5655" s="73"/>
      <c r="AT5655" s="67"/>
      <c r="AU5655" s="67"/>
      <c r="AV5655" s="73"/>
      <c r="AW5655" s="68"/>
      <c r="AX5655" s="68"/>
      <c r="AY5655" s="68"/>
      <c r="AZ5655" s="68"/>
      <c r="BA5655" s="68"/>
      <c r="BB5655" s="67"/>
      <c r="BC5655" s="67"/>
      <c r="BD5655" s="67"/>
      <c r="BE5655" s="67"/>
      <c r="BF5655" s="95"/>
    </row>
    <row r="5656" spans="42:58" x14ac:dyDescent="0.35">
      <c r="AP5656" s="93"/>
      <c r="AQ5656" s="31"/>
      <c r="AR5656" s="31"/>
      <c r="AS5656" s="94"/>
      <c r="AT5656" s="31"/>
      <c r="AU5656" s="31"/>
      <c r="AV5656" s="94"/>
      <c r="AW5656" s="32"/>
      <c r="AX5656" s="32"/>
      <c r="AY5656" s="32"/>
      <c r="AZ5656" s="32"/>
      <c r="BA5656" s="32"/>
      <c r="BB5656" s="31"/>
      <c r="BC5656" s="31"/>
      <c r="BD5656" s="31"/>
      <c r="BE5656" s="31"/>
      <c r="BF5656" s="96"/>
    </row>
    <row r="5657" spans="42:58" x14ac:dyDescent="0.35">
      <c r="AP5657" s="92"/>
      <c r="AQ5657" s="67"/>
      <c r="AR5657" s="67"/>
      <c r="AS5657" s="73"/>
      <c r="AT5657" s="67"/>
      <c r="AU5657" s="67"/>
      <c r="AV5657" s="73"/>
      <c r="AW5657" s="68"/>
      <c r="AX5657" s="68"/>
      <c r="AY5657" s="68"/>
      <c r="AZ5657" s="68"/>
      <c r="BA5657" s="68"/>
      <c r="BB5657" s="67"/>
      <c r="BC5657" s="67"/>
      <c r="BD5657" s="67"/>
      <c r="BE5657" s="67"/>
      <c r="BF5657" s="95"/>
    </row>
    <row r="5658" spans="42:58" x14ac:dyDescent="0.35">
      <c r="AP5658" s="93"/>
      <c r="AQ5658" s="31"/>
      <c r="AR5658" s="31"/>
      <c r="AS5658" s="94"/>
      <c r="AT5658" s="31"/>
      <c r="AU5658" s="31"/>
      <c r="AV5658" s="94"/>
      <c r="AW5658" s="32"/>
      <c r="AX5658" s="32"/>
      <c r="AY5658" s="32"/>
      <c r="AZ5658" s="32"/>
      <c r="BA5658" s="32"/>
      <c r="BB5658" s="31"/>
      <c r="BC5658" s="31"/>
      <c r="BD5658" s="31"/>
      <c r="BE5658" s="31"/>
      <c r="BF5658" s="96"/>
    </row>
    <row r="5659" spans="42:58" x14ac:dyDescent="0.35">
      <c r="AP5659" s="92"/>
      <c r="AQ5659" s="67"/>
      <c r="AR5659" s="67"/>
      <c r="AS5659" s="73"/>
      <c r="AT5659" s="67"/>
      <c r="AU5659" s="67"/>
      <c r="AV5659" s="73"/>
      <c r="AW5659" s="68"/>
      <c r="AX5659" s="68"/>
      <c r="AY5659" s="68"/>
      <c r="AZ5659" s="68"/>
      <c r="BA5659" s="68"/>
      <c r="BB5659" s="67"/>
      <c r="BC5659" s="67"/>
      <c r="BD5659" s="67"/>
      <c r="BE5659" s="67"/>
      <c r="BF5659" s="95"/>
    </row>
    <row r="5660" spans="42:58" x14ac:dyDescent="0.35">
      <c r="AP5660" s="93"/>
      <c r="AQ5660" s="31"/>
      <c r="AR5660" s="31"/>
      <c r="AS5660" s="94"/>
      <c r="AT5660" s="31"/>
      <c r="AU5660" s="31"/>
      <c r="AV5660" s="94"/>
      <c r="AW5660" s="32"/>
      <c r="AX5660" s="32"/>
      <c r="AY5660" s="32"/>
      <c r="AZ5660" s="32"/>
      <c r="BA5660" s="32"/>
      <c r="BB5660" s="31"/>
      <c r="BC5660" s="31"/>
      <c r="BD5660" s="31"/>
      <c r="BE5660" s="31"/>
      <c r="BF5660" s="96"/>
    </row>
    <row r="5661" spans="42:58" x14ac:dyDescent="0.35">
      <c r="AP5661" s="92"/>
      <c r="AQ5661" s="67"/>
      <c r="AR5661" s="67"/>
      <c r="AS5661" s="73"/>
      <c r="AT5661" s="67"/>
      <c r="AU5661" s="67"/>
      <c r="AV5661" s="73"/>
      <c r="AW5661" s="68"/>
      <c r="AX5661" s="68"/>
      <c r="AY5661" s="68"/>
      <c r="AZ5661" s="68"/>
      <c r="BA5661" s="68"/>
      <c r="BB5661" s="67"/>
      <c r="BC5661" s="67"/>
      <c r="BD5661" s="67"/>
      <c r="BE5661" s="67"/>
      <c r="BF5661" s="95"/>
    </row>
    <row r="5662" spans="42:58" x14ac:dyDescent="0.35">
      <c r="AP5662" s="93"/>
      <c r="AQ5662" s="31"/>
      <c r="AR5662" s="31"/>
      <c r="AS5662" s="94"/>
      <c r="AT5662" s="31"/>
      <c r="AU5662" s="31"/>
      <c r="AV5662" s="94"/>
      <c r="AW5662" s="32"/>
      <c r="AX5662" s="32"/>
      <c r="AY5662" s="32"/>
      <c r="AZ5662" s="32"/>
      <c r="BA5662" s="32"/>
      <c r="BB5662" s="31"/>
      <c r="BC5662" s="31"/>
      <c r="BD5662" s="31"/>
      <c r="BE5662" s="31"/>
      <c r="BF5662" s="96"/>
    </row>
    <row r="5663" spans="42:58" x14ac:dyDescent="0.35">
      <c r="AP5663" s="92"/>
      <c r="AQ5663" s="67"/>
      <c r="AR5663" s="67"/>
      <c r="AS5663" s="73"/>
      <c r="AT5663" s="67"/>
      <c r="AU5663" s="67"/>
      <c r="AV5663" s="73"/>
      <c r="AW5663" s="68"/>
      <c r="AX5663" s="68"/>
      <c r="AY5663" s="68"/>
      <c r="AZ5663" s="68"/>
      <c r="BA5663" s="68"/>
      <c r="BB5663" s="67"/>
      <c r="BC5663" s="67"/>
      <c r="BD5663" s="67"/>
      <c r="BE5663" s="67"/>
      <c r="BF5663" s="95"/>
    </row>
    <row r="5664" spans="42:58" x14ac:dyDescent="0.35">
      <c r="AP5664" s="93"/>
      <c r="AQ5664" s="31"/>
      <c r="AR5664" s="31"/>
      <c r="AS5664" s="94"/>
      <c r="AT5664" s="31"/>
      <c r="AU5664" s="31"/>
      <c r="AV5664" s="94"/>
      <c r="AW5664" s="32"/>
      <c r="AX5664" s="32"/>
      <c r="AY5664" s="32"/>
      <c r="AZ5664" s="32"/>
      <c r="BA5664" s="32"/>
      <c r="BB5664" s="31"/>
      <c r="BC5664" s="31"/>
      <c r="BD5664" s="31"/>
      <c r="BE5664" s="31"/>
      <c r="BF5664" s="96"/>
    </row>
    <row r="5665" spans="42:58" x14ac:dyDescent="0.35">
      <c r="AP5665" s="92"/>
      <c r="AQ5665" s="67"/>
      <c r="AR5665" s="67"/>
      <c r="AS5665" s="73"/>
      <c r="AT5665" s="67"/>
      <c r="AU5665" s="67"/>
      <c r="AV5665" s="73"/>
      <c r="AW5665" s="68"/>
      <c r="AX5665" s="68"/>
      <c r="AY5665" s="68"/>
      <c r="AZ5665" s="68"/>
      <c r="BA5665" s="68"/>
      <c r="BB5665" s="67"/>
      <c r="BC5665" s="67"/>
      <c r="BD5665" s="67"/>
      <c r="BE5665" s="67"/>
      <c r="BF5665" s="95"/>
    </row>
    <row r="5666" spans="42:58" x14ac:dyDescent="0.35">
      <c r="AP5666" s="93"/>
      <c r="AQ5666" s="31"/>
      <c r="AR5666" s="31"/>
      <c r="AS5666" s="94"/>
      <c r="AT5666" s="31"/>
      <c r="AU5666" s="31"/>
      <c r="AV5666" s="94"/>
      <c r="AW5666" s="32"/>
      <c r="AX5666" s="32"/>
      <c r="AY5666" s="32"/>
      <c r="AZ5666" s="32"/>
      <c r="BA5666" s="32"/>
      <c r="BB5666" s="31"/>
      <c r="BC5666" s="31"/>
      <c r="BD5666" s="31"/>
      <c r="BE5666" s="31"/>
      <c r="BF5666" s="96"/>
    </row>
    <row r="5667" spans="42:58" x14ac:dyDescent="0.35">
      <c r="AP5667" s="92"/>
      <c r="AQ5667" s="67"/>
      <c r="AR5667" s="67"/>
      <c r="AS5667" s="73"/>
      <c r="AT5667" s="67"/>
      <c r="AU5667" s="67"/>
      <c r="AV5667" s="73"/>
      <c r="AW5667" s="68"/>
      <c r="AX5667" s="68"/>
      <c r="AY5667" s="68"/>
      <c r="AZ5667" s="68"/>
      <c r="BA5667" s="68"/>
      <c r="BB5667" s="67"/>
      <c r="BC5667" s="67"/>
      <c r="BD5667" s="67"/>
      <c r="BE5667" s="67"/>
      <c r="BF5667" s="95"/>
    </row>
    <row r="5668" spans="42:58" x14ac:dyDescent="0.35">
      <c r="AP5668" s="93"/>
      <c r="AQ5668" s="31"/>
      <c r="AR5668" s="31"/>
      <c r="AS5668" s="94"/>
      <c r="AT5668" s="31"/>
      <c r="AU5668" s="31"/>
      <c r="AV5668" s="94"/>
      <c r="AW5668" s="32"/>
      <c r="AX5668" s="32"/>
      <c r="AY5668" s="32"/>
      <c r="AZ5668" s="32"/>
      <c r="BA5668" s="32"/>
      <c r="BB5668" s="31"/>
      <c r="BC5668" s="31"/>
      <c r="BD5668" s="31"/>
      <c r="BE5668" s="31"/>
      <c r="BF5668" s="96"/>
    </row>
    <row r="5669" spans="42:58" x14ac:dyDescent="0.35">
      <c r="AP5669" s="92"/>
      <c r="AQ5669" s="67"/>
      <c r="AR5669" s="67"/>
      <c r="AS5669" s="73"/>
      <c r="AT5669" s="67"/>
      <c r="AU5669" s="67"/>
      <c r="AV5669" s="73"/>
      <c r="AW5669" s="68"/>
      <c r="AX5669" s="68"/>
      <c r="AY5669" s="68"/>
      <c r="AZ5669" s="68"/>
      <c r="BA5669" s="68"/>
      <c r="BB5669" s="67"/>
      <c r="BC5669" s="67"/>
      <c r="BD5669" s="67"/>
      <c r="BE5669" s="67"/>
      <c r="BF5669" s="95"/>
    </row>
    <row r="5670" spans="42:58" x14ac:dyDescent="0.35">
      <c r="AP5670" s="93"/>
      <c r="AQ5670" s="31"/>
      <c r="AR5670" s="31"/>
      <c r="AS5670" s="94"/>
      <c r="AT5670" s="31"/>
      <c r="AU5670" s="31"/>
      <c r="AV5670" s="94"/>
      <c r="AW5670" s="32"/>
      <c r="AX5670" s="32"/>
      <c r="AY5670" s="32"/>
      <c r="AZ5670" s="32"/>
      <c r="BA5670" s="32"/>
      <c r="BB5670" s="31"/>
      <c r="BC5670" s="31"/>
      <c r="BD5670" s="31"/>
      <c r="BE5670" s="31"/>
      <c r="BF5670" s="96"/>
    </row>
    <row r="5671" spans="42:58" x14ac:dyDescent="0.35">
      <c r="AP5671" s="92"/>
      <c r="AQ5671" s="67"/>
      <c r="AR5671" s="67"/>
      <c r="AS5671" s="73"/>
      <c r="AT5671" s="67"/>
      <c r="AU5671" s="67"/>
      <c r="AV5671" s="73"/>
      <c r="AW5671" s="68"/>
      <c r="AX5671" s="68"/>
      <c r="AY5671" s="68"/>
      <c r="AZ5671" s="68"/>
      <c r="BA5671" s="68"/>
      <c r="BB5671" s="67"/>
      <c r="BC5671" s="67"/>
      <c r="BD5671" s="67"/>
      <c r="BE5671" s="67"/>
      <c r="BF5671" s="95"/>
    </row>
    <row r="5672" spans="42:58" x14ac:dyDescent="0.35">
      <c r="AP5672" s="93"/>
      <c r="AQ5672" s="31"/>
      <c r="AR5672" s="31"/>
      <c r="AS5672" s="94"/>
      <c r="AT5672" s="31"/>
      <c r="AU5672" s="31"/>
      <c r="AV5672" s="94"/>
      <c r="AW5672" s="32"/>
      <c r="AX5672" s="32"/>
      <c r="AY5672" s="32"/>
      <c r="AZ5672" s="32"/>
      <c r="BA5672" s="32"/>
      <c r="BB5672" s="31"/>
      <c r="BC5672" s="31"/>
      <c r="BD5672" s="31"/>
      <c r="BE5672" s="31"/>
      <c r="BF5672" s="96"/>
    </row>
    <row r="5673" spans="42:58" x14ac:dyDescent="0.35">
      <c r="AP5673" s="92"/>
      <c r="AQ5673" s="67"/>
      <c r="AR5673" s="67"/>
      <c r="AS5673" s="73"/>
      <c r="AT5673" s="67"/>
      <c r="AU5673" s="67"/>
      <c r="AV5673" s="73"/>
      <c r="AW5673" s="68"/>
      <c r="AX5673" s="68"/>
      <c r="AY5673" s="68"/>
      <c r="AZ5673" s="68"/>
      <c r="BA5673" s="68"/>
      <c r="BB5673" s="67"/>
      <c r="BC5673" s="67"/>
      <c r="BD5673" s="67"/>
      <c r="BE5673" s="67"/>
      <c r="BF5673" s="95"/>
    </row>
    <row r="5674" spans="42:58" x14ac:dyDescent="0.35">
      <c r="AP5674" s="93"/>
      <c r="AQ5674" s="31"/>
      <c r="AR5674" s="31"/>
      <c r="AS5674" s="94"/>
      <c r="AT5674" s="31"/>
      <c r="AU5674" s="31"/>
      <c r="AV5674" s="94"/>
      <c r="AW5674" s="32"/>
      <c r="AX5674" s="32"/>
      <c r="AY5674" s="32"/>
      <c r="AZ5674" s="32"/>
      <c r="BA5674" s="32"/>
      <c r="BB5674" s="31"/>
      <c r="BC5674" s="31"/>
      <c r="BD5674" s="31"/>
      <c r="BE5674" s="31"/>
      <c r="BF5674" s="96"/>
    </row>
    <row r="5675" spans="42:58" x14ac:dyDescent="0.35">
      <c r="AP5675" s="92"/>
      <c r="AQ5675" s="67"/>
      <c r="AR5675" s="67"/>
      <c r="AS5675" s="73"/>
      <c r="AT5675" s="67"/>
      <c r="AU5675" s="67"/>
      <c r="AV5675" s="73"/>
      <c r="AW5675" s="68"/>
      <c r="AX5675" s="68"/>
      <c r="AY5675" s="68"/>
      <c r="AZ5675" s="68"/>
      <c r="BA5675" s="68"/>
      <c r="BB5675" s="67"/>
      <c r="BC5675" s="67"/>
      <c r="BD5675" s="67"/>
      <c r="BE5675" s="67"/>
      <c r="BF5675" s="95"/>
    </row>
    <row r="5676" spans="42:58" x14ac:dyDescent="0.35">
      <c r="AP5676" s="93"/>
      <c r="AQ5676" s="31"/>
      <c r="AR5676" s="31"/>
      <c r="AS5676" s="94"/>
      <c r="AT5676" s="31"/>
      <c r="AU5676" s="31"/>
      <c r="AV5676" s="94"/>
      <c r="AW5676" s="32"/>
      <c r="AX5676" s="32"/>
      <c r="AY5676" s="32"/>
      <c r="AZ5676" s="32"/>
      <c r="BA5676" s="32"/>
      <c r="BB5676" s="31"/>
      <c r="BC5676" s="31"/>
      <c r="BD5676" s="31"/>
      <c r="BE5676" s="31"/>
      <c r="BF5676" s="96"/>
    </row>
    <row r="5677" spans="42:58" x14ac:dyDescent="0.35">
      <c r="AP5677" s="92"/>
      <c r="AQ5677" s="67"/>
      <c r="AR5677" s="67"/>
      <c r="AS5677" s="73"/>
      <c r="AT5677" s="67"/>
      <c r="AU5677" s="67"/>
      <c r="AV5677" s="73"/>
      <c r="AW5677" s="68"/>
      <c r="AX5677" s="68"/>
      <c r="AY5677" s="68"/>
      <c r="AZ5677" s="68"/>
      <c r="BA5677" s="68"/>
      <c r="BB5677" s="67"/>
      <c r="BC5677" s="67"/>
      <c r="BD5677" s="67"/>
      <c r="BE5677" s="67"/>
      <c r="BF5677" s="95"/>
    </row>
    <row r="5678" spans="42:58" x14ac:dyDescent="0.35">
      <c r="AP5678" s="93"/>
      <c r="AQ5678" s="31"/>
      <c r="AR5678" s="31"/>
      <c r="AS5678" s="94"/>
      <c r="AT5678" s="31"/>
      <c r="AU5678" s="31"/>
      <c r="AV5678" s="94"/>
      <c r="AW5678" s="32"/>
      <c r="AX5678" s="32"/>
      <c r="AY5678" s="32"/>
      <c r="AZ5678" s="32"/>
      <c r="BA5678" s="32"/>
      <c r="BB5678" s="31"/>
      <c r="BC5678" s="31"/>
      <c r="BD5678" s="31"/>
      <c r="BE5678" s="31"/>
      <c r="BF5678" s="96"/>
    </row>
    <row r="5679" spans="42:58" x14ac:dyDescent="0.35">
      <c r="AP5679" s="92"/>
      <c r="AQ5679" s="67"/>
      <c r="AR5679" s="67"/>
      <c r="AS5679" s="73"/>
      <c r="AT5679" s="67"/>
      <c r="AU5679" s="67"/>
      <c r="AV5679" s="73"/>
      <c r="AW5679" s="68"/>
      <c r="AX5679" s="68"/>
      <c r="AY5679" s="68"/>
      <c r="AZ5679" s="68"/>
      <c r="BA5679" s="68"/>
      <c r="BB5679" s="67"/>
      <c r="BC5679" s="67"/>
      <c r="BD5679" s="67"/>
      <c r="BE5679" s="67"/>
      <c r="BF5679" s="95"/>
    </row>
    <row r="5680" spans="42:58" x14ac:dyDescent="0.35">
      <c r="AP5680" s="93"/>
      <c r="AQ5680" s="31"/>
      <c r="AR5680" s="31"/>
      <c r="AS5680" s="94"/>
      <c r="AT5680" s="31"/>
      <c r="AU5680" s="31"/>
      <c r="AV5680" s="94"/>
      <c r="AW5680" s="32"/>
      <c r="AX5680" s="32"/>
      <c r="AY5680" s="32"/>
      <c r="AZ5680" s="32"/>
      <c r="BA5680" s="32"/>
      <c r="BB5680" s="31"/>
      <c r="BC5680" s="31"/>
      <c r="BD5680" s="31"/>
      <c r="BE5680" s="31"/>
      <c r="BF5680" s="96"/>
    </row>
    <row r="5681" spans="42:58" x14ac:dyDescent="0.35">
      <c r="AP5681" s="92"/>
      <c r="AQ5681" s="67"/>
      <c r="AR5681" s="67"/>
      <c r="AS5681" s="73"/>
      <c r="AT5681" s="67"/>
      <c r="AU5681" s="67"/>
      <c r="AV5681" s="73"/>
      <c r="AW5681" s="68"/>
      <c r="AX5681" s="68"/>
      <c r="AY5681" s="68"/>
      <c r="AZ5681" s="68"/>
      <c r="BA5681" s="68"/>
      <c r="BB5681" s="67"/>
      <c r="BC5681" s="67"/>
      <c r="BD5681" s="67"/>
      <c r="BE5681" s="67"/>
      <c r="BF5681" s="95"/>
    </row>
    <row r="5682" spans="42:58" x14ac:dyDescent="0.35">
      <c r="AP5682" s="93"/>
      <c r="AQ5682" s="31"/>
      <c r="AR5682" s="31"/>
      <c r="AS5682" s="94"/>
      <c r="AT5682" s="31"/>
      <c r="AU5682" s="31"/>
      <c r="AV5682" s="94"/>
      <c r="AW5682" s="32"/>
      <c r="AX5682" s="32"/>
      <c r="AY5682" s="32"/>
      <c r="AZ5682" s="32"/>
      <c r="BA5682" s="32"/>
      <c r="BB5682" s="31"/>
      <c r="BC5682" s="31"/>
      <c r="BD5682" s="31"/>
      <c r="BE5682" s="31"/>
      <c r="BF5682" s="96"/>
    </row>
    <row r="5683" spans="42:58" x14ac:dyDescent="0.35">
      <c r="AP5683" s="92"/>
      <c r="AQ5683" s="67"/>
      <c r="AR5683" s="67"/>
      <c r="AS5683" s="73"/>
      <c r="AT5683" s="67"/>
      <c r="AU5683" s="67"/>
      <c r="AV5683" s="73"/>
      <c r="AW5683" s="68"/>
      <c r="AX5683" s="68"/>
      <c r="AY5683" s="68"/>
      <c r="AZ5683" s="68"/>
      <c r="BA5683" s="68"/>
      <c r="BB5683" s="67"/>
      <c r="BC5683" s="67"/>
      <c r="BD5683" s="67"/>
      <c r="BE5683" s="67"/>
      <c r="BF5683" s="95"/>
    </row>
    <row r="5684" spans="42:58" x14ac:dyDescent="0.35">
      <c r="AP5684" s="93"/>
      <c r="AQ5684" s="31"/>
      <c r="AR5684" s="31"/>
      <c r="AS5684" s="94"/>
      <c r="AT5684" s="31"/>
      <c r="AU5684" s="31"/>
      <c r="AV5684" s="94"/>
      <c r="AW5684" s="32"/>
      <c r="AX5684" s="32"/>
      <c r="AY5684" s="32"/>
      <c r="AZ5684" s="32"/>
      <c r="BA5684" s="32"/>
      <c r="BB5684" s="31"/>
      <c r="BC5684" s="31"/>
      <c r="BD5684" s="31"/>
      <c r="BE5684" s="31"/>
      <c r="BF5684" s="96"/>
    </row>
    <row r="5685" spans="42:58" x14ac:dyDescent="0.35">
      <c r="AP5685" s="92"/>
      <c r="AQ5685" s="67"/>
      <c r="AR5685" s="67"/>
      <c r="AS5685" s="73"/>
      <c r="AT5685" s="67"/>
      <c r="AU5685" s="67"/>
      <c r="AV5685" s="73"/>
      <c r="AW5685" s="68"/>
      <c r="AX5685" s="68"/>
      <c r="AY5685" s="68"/>
      <c r="AZ5685" s="68"/>
      <c r="BA5685" s="68"/>
      <c r="BB5685" s="67"/>
      <c r="BC5685" s="67"/>
      <c r="BD5685" s="67"/>
      <c r="BE5685" s="67"/>
      <c r="BF5685" s="95"/>
    </row>
    <row r="5686" spans="42:58" x14ac:dyDescent="0.35">
      <c r="AP5686" s="93"/>
      <c r="AQ5686" s="31"/>
      <c r="AR5686" s="31"/>
      <c r="AS5686" s="94"/>
      <c r="AT5686" s="31"/>
      <c r="AU5686" s="31"/>
      <c r="AV5686" s="94"/>
      <c r="AW5686" s="32"/>
      <c r="AX5686" s="32"/>
      <c r="AY5686" s="32"/>
      <c r="AZ5686" s="32"/>
      <c r="BA5686" s="32"/>
      <c r="BB5686" s="31"/>
      <c r="BC5686" s="31"/>
      <c r="BD5686" s="31"/>
      <c r="BE5686" s="31"/>
      <c r="BF5686" s="96"/>
    </row>
    <row r="5687" spans="42:58" x14ac:dyDescent="0.35">
      <c r="AP5687" s="92"/>
      <c r="AQ5687" s="67"/>
      <c r="AR5687" s="67"/>
      <c r="AS5687" s="73"/>
      <c r="AT5687" s="67"/>
      <c r="AU5687" s="67"/>
      <c r="AV5687" s="73"/>
      <c r="AW5687" s="68"/>
      <c r="AX5687" s="68"/>
      <c r="AY5687" s="68"/>
      <c r="AZ5687" s="68"/>
      <c r="BA5687" s="68"/>
      <c r="BB5687" s="67"/>
      <c r="BC5687" s="67"/>
      <c r="BD5687" s="67"/>
      <c r="BE5687" s="67"/>
      <c r="BF5687" s="95"/>
    </row>
    <row r="5688" spans="42:58" x14ac:dyDescent="0.35">
      <c r="AP5688" s="93"/>
      <c r="AQ5688" s="31"/>
      <c r="AR5688" s="31"/>
      <c r="AS5688" s="94"/>
      <c r="AT5688" s="31"/>
      <c r="AU5688" s="31"/>
      <c r="AV5688" s="94"/>
      <c r="AW5688" s="32"/>
      <c r="AX5688" s="32"/>
      <c r="AY5688" s="32"/>
      <c r="AZ5688" s="32"/>
      <c r="BA5688" s="32"/>
      <c r="BB5688" s="31"/>
      <c r="BC5688" s="31"/>
      <c r="BD5688" s="31"/>
      <c r="BE5688" s="31"/>
      <c r="BF5688" s="96"/>
    </row>
    <row r="5689" spans="42:58" x14ac:dyDescent="0.35">
      <c r="AP5689" s="92"/>
      <c r="AQ5689" s="67"/>
      <c r="AR5689" s="67"/>
      <c r="AS5689" s="73"/>
      <c r="AT5689" s="67"/>
      <c r="AU5689" s="67"/>
      <c r="AV5689" s="73"/>
      <c r="AW5689" s="68"/>
      <c r="AX5689" s="68"/>
      <c r="AY5689" s="68"/>
      <c r="AZ5689" s="68"/>
      <c r="BA5689" s="68"/>
      <c r="BB5689" s="67"/>
      <c r="BC5689" s="67"/>
      <c r="BD5689" s="67"/>
      <c r="BE5689" s="67"/>
      <c r="BF5689" s="95"/>
    </row>
    <row r="5690" spans="42:58" x14ac:dyDescent="0.35">
      <c r="AP5690" s="93"/>
      <c r="AQ5690" s="31"/>
      <c r="AR5690" s="31"/>
      <c r="AS5690" s="94"/>
      <c r="AT5690" s="31"/>
      <c r="AU5690" s="31"/>
      <c r="AV5690" s="94"/>
      <c r="AW5690" s="32"/>
      <c r="AX5690" s="32"/>
      <c r="AY5690" s="32"/>
      <c r="AZ5690" s="32"/>
      <c r="BA5690" s="32"/>
      <c r="BB5690" s="31"/>
      <c r="BC5690" s="31"/>
      <c r="BD5690" s="31"/>
      <c r="BE5690" s="31"/>
      <c r="BF5690" s="96"/>
    </row>
    <row r="5691" spans="42:58" x14ac:dyDescent="0.35">
      <c r="AP5691" s="92"/>
      <c r="AQ5691" s="67"/>
      <c r="AR5691" s="67"/>
      <c r="AS5691" s="73"/>
      <c r="AT5691" s="67"/>
      <c r="AU5691" s="67"/>
      <c r="AV5691" s="73"/>
      <c r="AW5691" s="68"/>
      <c r="AX5691" s="68"/>
      <c r="AY5691" s="68"/>
      <c r="AZ5691" s="68"/>
      <c r="BA5691" s="68"/>
      <c r="BB5691" s="67"/>
      <c r="BC5691" s="67"/>
      <c r="BD5691" s="67"/>
      <c r="BE5691" s="67"/>
      <c r="BF5691" s="95"/>
    </row>
    <row r="5692" spans="42:58" x14ac:dyDescent="0.35">
      <c r="AP5692" s="93"/>
      <c r="AQ5692" s="31"/>
      <c r="AR5692" s="31"/>
      <c r="AS5692" s="94"/>
      <c r="AT5692" s="31"/>
      <c r="AU5692" s="31"/>
      <c r="AV5692" s="94"/>
      <c r="AW5692" s="32"/>
      <c r="AX5692" s="32"/>
      <c r="AY5692" s="32"/>
      <c r="AZ5692" s="32"/>
      <c r="BA5692" s="32"/>
      <c r="BB5692" s="31"/>
      <c r="BC5692" s="31"/>
      <c r="BD5692" s="31"/>
      <c r="BE5692" s="31"/>
      <c r="BF5692" s="96"/>
    </row>
    <row r="5693" spans="42:58" x14ac:dyDescent="0.35">
      <c r="AP5693" s="92"/>
      <c r="AQ5693" s="67"/>
      <c r="AR5693" s="67"/>
      <c r="AS5693" s="73"/>
      <c r="AT5693" s="67"/>
      <c r="AU5693" s="67"/>
      <c r="AV5693" s="73"/>
      <c r="AW5693" s="68"/>
      <c r="AX5693" s="68"/>
      <c r="AY5693" s="68"/>
      <c r="AZ5693" s="68"/>
      <c r="BA5693" s="68"/>
      <c r="BB5693" s="67"/>
      <c r="BC5693" s="67"/>
      <c r="BD5693" s="67"/>
      <c r="BE5693" s="67"/>
      <c r="BF5693" s="95"/>
    </row>
    <row r="5694" spans="42:58" x14ac:dyDescent="0.35">
      <c r="AP5694" s="93"/>
      <c r="AQ5694" s="31"/>
      <c r="AR5694" s="31"/>
      <c r="AS5694" s="94"/>
      <c r="AT5694" s="31"/>
      <c r="AU5694" s="31"/>
      <c r="AV5694" s="94"/>
      <c r="AW5694" s="32"/>
      <c r="AX5694" s="32"/>
      <c r="AY5694" s="32"/>
      <c r="AZ5694" s="32"/>
      <c r="BA5694" s="32"/>
      <c r="BB5694" s="31"/>
      <c r="BC5694" s="31"/>
      <c r="BD5694" s="31"/>
      <c r="BE5694" s="31"/>
      <c r="BF5694" s="96"/>
    </row>
    <row r="5695" spans="42:58" x14ac:dyDescent="0.35">
      <c r="AP5695" s="92"/>
      <c r="AQ5695" s="67"/>
      <c r="AR5695" s="67"/>
      <c r="AS5695" s="73"/>
      <c r="AT5695" s="67"/>
      <c r="AU5695" s="67"/>
      <c r="AV5695" s="73"/>
      <c r="AW5695" s="68"/>
      <c r="AX5695" s="68"/>
      <c r="AY5695" s="68"/>
      <c r="AZ5695" s="68"/>
      <c r="BA5695" s="68"/>
      <c r="BB5695" s="67"/>
      <c r="BC5695" s="67"/>
      <c r="BD5695" s="67"/>
      <c r="BE5695" s="67"/>
      <c r="BF5695" s="95"/>
    </row>
    <row r="5696" spans="42:58" x14ac:dyDescent="0.35">
      <c r="AP5696" s="93"/>
      <c r="AQ5696" s="31"/>
      <c r="AR5696" s="31"/>
      <c r="AS5696" s="94"/>
      <c r="AT5696" s="31"/>
      <c r="AU5696" s="31"/>
      <c r="AV5696" s="94"/>
      <c r="AW5696" s="32"/>
      <c r="AX5696" s="32"/>
      <c r="AY5696" s="32"/>
      <c r="AZ5696" s="32"/>
      <c r="BA5696" s="32"/>
      <c r="BB5696" s="31"/>
      <c r="BC5696" s="31"/>
      <c r="BD5696" s="31"/>
      <c r="BE5696" s="31"/>
      <c r="BF5696" s="96"/>
    </row>
    <row r="5697" spans="42:58" x14ac:dyDescent="0.35">
      <c r="AP5697" s="92"/>
      <c r="AQ5697" s="67"/>
      <c r="AR5697" s="67"/>
      <c r="AS5697" s="73"/>
      <c r="AT5697" s="67"/>
      <c r="AU5697" s="67"/>
      <c r="AV5697" s="73"/>
      <c r="AW5697" s="68"/>
      <c r="AX5697" s="68"/>
      <c r="AY5697" s="68"/>
      <c r="AZ5697" s="68"/>
      <c r="BA5697" s="68"/>
      <c r="BB5697" s="67"/>
      <c r="BC5697" s="67"/>
      <c r="BD5697" s="67"/>
      <c r="BE5697" s="67"/>
      <c r="BF5697" s="95"/>
    </row>
    <row r="5698" spans="42:58" x14ac:dyDescent="0.35">
      <c r="AP5698" s="93"/>
      <c r="AQ5698" s="31"/>
      <c r="AR5698" s="31"/>
      <c r="AS5698" s="94"/>
      <c r="AT5698" s="31"/>
      <c r="AU5698" s="31"/>
      <c r="AV5698" s="94"/>
      <c r="AW5698" s="32"/>
      <c r="AX5698" s="32"/>
      <c r="AY5698" s="32"/>
      <c r="AZ5698" s="32"/>
      <c r="BA5698" s="32"/>
      <c r="BB5698" s="31"/>
      <c r="BC5698" s="31"/>
      <c r="BD5698" s="31"/>
      <c r="BE5698" s="31"/>
      <c r="BF5698" s="96"/>
    </row>
    <row r="5699" spans="42:58" x14ac:dyDescent="0.35">
      <c r="AP5699" s="92"/>
      <c r="AQ5699" s="67"/>
      <c r="AR5699" s="67"/>
      <c r="AS5699" s="73"/>
      <c r="AT5699" s="67"/>
      <c r="AU5699" s="67"/>
      <c r="AV5699" s="73"/>
      <c r="AW5699" s="68"/>
      <c r="AX5699" s="68"/>
      <c r="AY5699" s="68"/>
      <c r="AZ5699" s="68"/>
      <c r="BA5699" s="68"/>
      <c r="BB5699" s="67"/>
      <c r="BC5699" s="67"/>
      <c r="BD5699" s="67"/>
      <c r="BE5699" s="67"/>
      <c r="BF5699" s="95"/>
    </row>
    <row r="5700" spans="42:58" x14ac:dyDescent="0.35">
      <c r="AP5700" s="93"/>
      <c r="AQ5700" s="31"/>
      <c r="AR5700" s="31"/>
      <c r="AS5700" s="94"/>
      <c r="AT5700" s="31"/>
      <c r="AU5700" s="31"/>
      <c r="AV5700" s="94"/>
      <c r="AW5700" s="32"/>
      <c r="AX5700" s="32"/>
      <c r="AY5700" s="32"/>
      <c r="AZ5700" s="32"/>
      <c r="BA5700" s="32"/>
      <c r="BB5700" s="31"/>
      <c r="BC5700" s="31"/>
      <c r="BD5700" s="31"/>
      <c r="BE5700" s="31"/>
      <c r="BF5700" s="96"/>
    </row>
    <row r="5701" spans="42:58" x14ac:dyDescent="0.35">
      <c r="AP5701" s="92"/>
      <c r="AQ5701" s="67"/>
      <c r="AR5701" s="67"/>
      <c r="AS5701" s="73"/>
      <c r="AT5701" s="67"/>
      <c r="AU5701" s="67"/>
      <c r="AV5701" s="73"/>
      <c r="AW5701" s="68"/>
      <c r="AX5701" s="68"/>
      <c r="AY5701" s="68"/>
      <c r="AZ5701" s="68"/>
      <c r="BA5701" s="68"/>
      <c r="BB5701" s="67"/>
      <c r="BC5701" s="67"/>
      <c r="BD5701" s="67"/>
      <c r="BE5701" s="67"/>
      <c r="BF5701" s="95"/>
    </row>
    <row r="5702" spans="42:58" x14ac:dyDescent="0.35">
      <c r="AP5702" s="93"/>
      <c r="AQ5702" s="31"/>
      <c r="AR5702" s="31"/>
      <c r="AS5702" s="94"/>
      <c r="AT5702" s="31"/>
      <c r="AU5702" s="31"/>
      <c r="AV5702" s="94"/>
      <c r="AW5702" s="32"/>
      <c r="AX5702" s="32"/>
      <c r="AY5702" s="32"/>
      <c r="AZ5702" s="32"/>
      <c r="BA5702" s="32"/>
      <c r="BB5702" s="31"/>
      <c r="BC5702" s="31"/>
      <c r="BD5702" s="31"/>
      <c r="BE5702" s="31"/>
      <c r="BF5702" s="96"/>
    </row>
    <row r="5703" spans="42:58" x14ac:dyDescent="0.35">
      <c r="AP5703" s="92"/>
      <c r="AQ5703" s="67"/>
      <c r="AR5703" s="67"/>
      <c r="AS5703" s="73"/>
      <c r="AT5703" s="67"/>
      <c r="AU5703" s="67"/>
      <c r="AV5703" s="73"/>
      <c r="AW5703" s="68"/>
      <c r="AX5703" s="68"/>
      <c r="AY5703" s="68"/>
      <c r="AZ5703" s="68"/>
      <c r="BA5703" s="68"/>
      <c r="BB5703" s="67"/>
      <c r="BC5703" s="67"/>
      <c r="BD5703" s="67"/>
      <c r="BE5703" s="67"/>
      <c r="BF5703" s="95"/>
    </row>
    <row r="5704" spans="42:58" x14ac:dyDescent="0.35">
      <c r="AP5704" s="93"/>
      <c r="AQ5704" s="31"/>
      <c r="AR5704" s="31"/>
      <c r="AS5704" s="94"/>
      <c r="AT5704" s="31"/>
      <c r="AU5704" s="31"/>
      <c r="AV5704" s="94"/>
      <c r="AW5704" s="32"/>
      <c r="AX5704" s="32"/>
      <c r="AY5704" s="32"/>
      <c r="AZ5704" s="32"/>
      <c r="BA5704" s="32"/>
      <c r="BB5704" s="31"/>
      <c r="BC5704" s="31"/>
      <c r="BD5704" s="31"/>
      <c r="BE5704" s="31"/>
      <c r="BF5704" s="96"/>
    </row>
    <row r="5705" spans="42:58" x14ac:dyDescent="0.35">
      <c r="AP5705" s="92"/>
      <c r="AQ5705" s="67"/>
      <c r="AR5705" s="67"/>
      <c r="AS5705" s="73"/>
      <c r="AT5705" s="67"/>
      <c r="AU5705" s="67"/>
      <c r="AV5705" s="73"/>
      <c r="AW5705" s="68"/>
      <c r="AX5705" s="68"/>
      <c r="AY5705" s="68"/>
      <c r="AZ5705" s="68"/>
      <c r="BA5705" s="68"/>
      <c r="BB5705" s="67"/>
      <c r="BC5705" s="67"/>
      <c r="BD5705" s="67"/>
      <c r="BE5705" s="67"/>
      <c r="BF5705" s="95"/>
    </row>
    <row r="5706" spans="42:58" x14ac:dyDescent="0.35">
      <c r="AP5706" s="93"/>
      <c r="AQ5706" s="31"/>
      <c r="AR5706" s="31"/>
      <c r="AS5706" s="94"/>
      <c r="AT5706" s="31"/>
      <c r="AU5706" s="31"/>
      <c r="AV5706" s="94"/>
      <c r="AW5706" s="32"/>
      <c r="AX5706" s="32"/>
      <c r="AY5706" s="32"/>
      <c r="AZ5706" s="32"/>
      <c r="BA5706" s="32"/>
      <c r="BB5706" s="31"/>
      <c r="BC5706" s="31"/>
      <c r="BD5706" s="31"/>
      <c r="BE5706" s="31"/>
      <c r="BF5706" s="96"/>
    </row>
    <row r="5707" spans="42:58" x14ac:dyDescent="0.35">
      <c r="AP5707" s="92"/>
      <c r="AQ5707" s="67"/>
      <c r="AR5707" s="67"/>
      <c r="AS5707" s="73"/>
      <c r="AT5707" s="67"/>
      <c r="AU5707" s="67"/>
      <c r="AV5707" s="73"/>
      <c r="AW5707" s="68"/>
      <c r="AX5707" s="68"/>
      <c r="AY5707" s="68"/>
      <c r="AZ5707" s="68"/>
      <c r="BA5707" s="68"/>
      <c r="BB5707" s="67"/>
      <c r="BC5707" s="67"/>
      <c r="BD5707" s="67"/>
      <c r="BE5707" s="67"/>
      <c r="BF5707" s="95"/>
    </row>
    <row r="5708" spans="42:58" x14ac:dyDescent="0.35">
      <c r="AP5708" s="93"/>
      <c r="AQ5708" s="31"/>
      <c r="AR5708" s="31"/>
      <c r="AS5708" s="94"/>
      <c r="AT5708" s="31"/>
      <c r="AU5708" s="31"/>
      <c r="AV5708" s="94"/>
      <c r="AW5708" s="32"/>
      <c r="AX5708" s="32"/>
      <c r="AY5708" s="32"/>
      <c r="AZ5708" s="32"/>
      <c r="BA5708" s="32"/>
      <c r="BB5708" s="31"/>
      <c r="BC5708" s="31"/>
      <c r="BD5708" s="31"/>
      <c r="BE5708" s="31"/>
      <c r="BF5708" s="96"/>
    </row>
    <row r="5709" spans="42:58" x14ac:dyDescent="0.35">
      <c r="AP5709" s="92"/>
      <c r="AQ5709" s="67"/>
      <c r="AR5709" s="67"/>
      <c r="AS5709" s="73"/>
      <c r="AT5709" s="67"/>
      <c r="AU5709" s="67"/>
      <c r="AV5709" s="73"/>
      <c r="AW5709" s="68"/>
      <c r="AX5709" s="68"/>
      <c r="AY5709" s="68"/>
      <c r="AZ5709" s="68"/>
      <c r="BA5709" s="68"/>
      <c r="BB5709" s="67"/>
      <c r="BC5709" s="67"/>
      <c r="BD5709" s="67"/>
      <c r="BE5709" s="67"/>
      <c r="BF5709" s="95"/>
    </row>
    <row r="5710" spans="42:58" x14ac:dyDescent="0.35">
      <c r="AP5710" s="93"/>
      <c r="AQ5710" s="31"/>
      <c r="AR5710" s="31"/>
      <c r="AS5710" s="94"/>
      <c r="AT5710" s="31"/>
      <c r="AU5710" s="31"/>
      <c r="AV5710" s="94"/>
      <c r="AW5710" s="32"/>
      <c r="AX5710" s="32"/>
      <c r="AY5710" s="32"/>
      <c r="AZ5710" s="32"/>
      <c r="BA5710" s="32"/>
      <c r="BB5710" s="31"/>
      <c r="BC5710" s="31"/>
      <c r="BD5710" s="31"/>
      <c r="BE5710" s="31"/>
      <c r="BF5710" s="96"/>
    </row>
    <row r="5711" spans="42:58" x14ac:dyDescent="0.35">
      <c r="AP5711" s="92"/>
      <c r="AQ5711" s="67"/>
      <c r="AR5711" s="67"/>
      <c r="AS5711" s="73"/>
      <c r="AT5711" s="67"/>
      <c r="AU5711" s="67"/>
      <c r="AV5711" s="73"/>
      <c r="AW5711" s="68"/>
      <c r="AX5711" s="68"/>
      <c r="AY5711" s="68"/>
      <c r="AZ5711" s="68"/>
      <c r="BA5711" s="68"/>
      <c r="BB5711" s="67"/>
      <c r="BC5711" s="67"/>
      <c r="BD5711" s="67"/>
      <c r="BE5711" s="67"/>
      <c r="BF5711" s="95"/>
    </row>
    <row r="5712" spans="42:58" x14ac:dyDescent="0.35">
      <c r="AP5712" s="93"/>
      <c r="AQ5712" s="31"/>
      <c r="AR5712" s="31"/>
      <c r="AS5712" s="94"/>
      <c r="AT5712" s="31"/>
      <c r="AU5712" s="31"/>
      <c r="AV5712" s="94"/>
      <c r="AW5712" s="32"/>
      <c r="AX5712" s="32"/>
      <c r="AY5712" s="32"/>
      <c r="AZ5712" s="32"/>
      <c r="BA5712" s="32"/>
      <c r="BB5712" s="31"/>
      <c r="BC5712" s="31"/>
      <c r="BD5712" s="31"/>
      <c r="BE5712" s="31"/>
      <c r="BF5712" s="96"/>
    </row>
    <row r="5713" spans="42:58" x14ac:dyDescent="0.35">
      <c r="AP5713" s="92"/>
      <c r="AQ5713" s="67"/>
      <c r="AR5713" s="67"/>
      <c r="AS5713" s="73"/>
      <c r="AT5713" s="67"/>
      <c r="AU5713" s="67"/>
      <c r="AV5713" s="73"/>
      <c r="AW5713" s="68"/>
      <c r="AX5713" s="68"/>
      <c r="AY5713" s="68"/>
      <c r="AZ5713" s="68"/>
      <c r="BA5713" s="68"/>
      <c r="BB5713" s="67"/>
      <c r="BC5713" s="67"/>
      <c r="BD5713" s="67"/>
      <c r="BE5713" s="67"/>
      <c r="BF5713" s="95"/>
    </row>
    <row r="5714" spans="42:58" x14ac:dyDescent="0.35">
      <c r="AP5714" s="93"/>
      <c r="AQ5714" s="31"/>
      <c r="AR5714" s="31"/>
      <c r="AS5714" s="94"/>
      <c r="AT5714" s="31"/>
      <c r="AU5714" s="31"/>
      <c r="AV5714" s="94"/>
      <c r="AW5714" s="32"/>
      <c r="AX5714" s="32"/>
      <c r="AY5714" s="32"/>
      <c r="AZ5714" s="32"/>
      <c r="BA5714" s="32"/>
      <c r="BB5714" s="31"/>
      <c r="BC5714" s="31"/>
      <c r="BD5714" s="31"/>
      <c r="BE5714" s="31"/>
      <c r="BF5714" s="96"/>
    </row>
    <row r="5715" spans="42:58" x14ac:dyDescent="0.35">
      <c r="AP5715" s="92"/>
      <c r="AQ5715" s="67"/>
      <c r="AR5715" s="67"/>
      <c r="AS5715" s="73"/>
      <c r="AT5715" s="67"/>
      <c r="AU5715" s="67"/>
      <c r="AV5715" s="73"/>
      <c r="AW5715" s="68"/>
      <c r="AX5715" s="68"/>
      <c r="AY5715" s="68"/>
      <c r="AZ5715" s="68"/>
      <c r="BA5715" s="68"/>
      <c r="BB5715" s="67"/>
      <c r="BC5715" s="67"/>
      <c r="BD5715" s="67"/>
      <c r="BE5715" s="67"/>
      <c r="BF5715" s="95"/>
    </row>
    <row r="5716" spans="42:58" x14ac:dyDescent="0.35">
      <c r="AP5716" s="93"/>
      <c r="AQ5716" s="31"/>
      <c r="AR5716" s="31"/>
      <c r="AS5716" s="94"/>
      <c r="AT5716" s="31"/>
      <c r="AU5716" s="31"/>
      <c r="AV5716" s="94"/>
      <c r="AW5716" s="32"/>
      <c r="AX5716" s="32"/>
      <c r="AY5716" s="32"/>
      <c r="AZ5716" s="32"/>
      <c r="BA5716" s="32"/>
      <c r="BB5716" s="31"/>
      <c r="BC5716" s="31"/>
      <c r="BD5716" s="31"/>
      <c r="BE5716" s="31"/>
      <c r="BF5716" s="96"/>
    </row>
    <row r="5717" spans="42:58" x14ac:dyDescent="0.35">
      <c r="AP5717" s="92"/>
      <c r="AQ5717" s="67"/>
      <c r="AR5717" s="67"/>
      <c r="AS5717" s="73"/>
      <c r="AT5717" s="67"/>
      <c r="AU5717" s="67"/>
      <c r="AV5717" s="73"/>
      <c r="AW5717" s="68"/>
      <c r="AX5717" s="68"/>
      <c r="AY5717" s="68"/>
      <c r="AZ5717" s="68"/>
      <c r="BA5717" s="68"/>
      <c r="BB5717" s="67"/>
      <c r="BC5717" s="67"/>
      <c r="BD5717" s="67"/>
      <c r="BE5717" s="67"/>
      <c r="BF5717" s="95"/>
    </row>
    <row r="5718" spans="42:58" x14ac:dyDescent="0.35">
      <c r="AP5718" s="93"/>
      <c r="AQ5718" s="31"/>
      <c r="AR5718" s="31"/>
      <c r="AS5718" s="94"/>
      <c r="AT5718" s="31"/>
      <c r="AU5718" s="31"/>
      <c r="AV5718" s="94"/>
      <c r="AW5718" s="32"/>
      <c r="AX5718" s="32"/>
      <c r="AY5718" s="32"/>
      <c r="AZ5718" s="32"/>
      <c r="BA5718" s="32"/>
      <c r="BB5718" s="31"/>
      <c r="BC5718" s="31"/>
      <c r="BD5718" s="31"/>
      <c r="BE5718" s="31"/>
      <c r="BF5718" s="96"/>
    </row>
    <row r="5719" spans="42:58" x14ac:dyDescent="0.35">
      <c r="AP5719" s="92"/>
      <c r="AQ5719" s="67"/>
      <c r="AR5719" s="67"/>
      <c r="AS5719" s="73"/>
      <c r="AT5719" s="67"/>
      <c r="AU5719" s="67"/>
      <c r="AV5719" s="73"/>
      <c r="AW5719" s="68"/>
      <c r="AX5719" s="68"/>
      <c r="AY5719" s="68"/>
      <c r="AZ5719" s="68"/>
      <c r="BA5719" s="68"/>
      <c r="BB5719" s="67"/>
      <c r="BC5719" s="67"/>
      <c r="BD5719" s="67"/>
      <c r="BE5719" s="67"/>
      <c r="BF5719" s="95"/>
    </row>
    <row r="5720" spans="42:58" x14ac:dyDescent="0.35">
      <c r="AP5720" s="93"/>
      <c r="AQ5720" s="31"/>
      <c r="AR5720" s="31"/>
      <c r="AS5720" s="94"/>
      <c r="AT5720" s="31"/>
      <c r="AU5720" s="31"/>
      <c r="AV5720" s="94"/>
      <c r="AW5720" s="32"/>
      <c r="AX5720" s="32"/>
      <c r="AY5720" s="32"/>
      <c r="AZ5720" s="32"/>
      <c r="BA5720" s="32"/>
      <c r="BB5720" s="31"/>
      <c r="BC5720" s="31"/>
      <c r="BD5720" s="31"/>
      <c r="BE5720" s="31"/>
      <c r="BF5720" s="96"/>
    </row>
    <row r="5721" spans="42:58" x14ac:dyDescent="0.35">
      <c r="AP5721" s="92"/>
      <c r="AQ5721" s="67"/>
      <c r="AR5721" s="67"/>
      <c r="AS5721" s="73"/>
      <c r="AT5721" s="67"/>
      <c r="AU5721" s="67"/>
      <c r="AV5721" s="73"/>
      <c r="AW5721" s="68"/>
      <c r="AX5721" s="68"/>
      <c r="AY5721" s="68"/>
      <c r="AZ5721" s="68"/>
      <c r="BA5721" s="68"/>
      <c r="BB5721" s="67"/>
      <c r="BC5721" s="67"/>
      <c r="BD5721" s="67"/>
      <c r="BE5721" s="67"/>
      <c r="BF5721" s="95"/>
    </row>
    <row r="5722" spans="42:58" x14ac:dyDescent="0.35">
      <c r="AP5722" s="93"/>
      <c r="AQ5722" s="31"/>
      <c r="AR5722" s="31"/>
      <c r="AS5722" s="94"/>
      <c r="AT5722" s="31"/>
      <c r="AU5722" s="31"/>
      <c r="AV5722" s="94"/>
      <c r="AW5722" s="32"/>
      <c r="AX5722" s="32"/>
      <c r="AY5722" s="32"/>
      <c r="AZ5722" s="32"/>
      <c r="BA5722" s="32"/>
      <c r="BB5722" s="31"/>
      <c r="BC5722" s="31"/>
      <c r="BD5722" s="31"/>
      <c r="BE5722" s="31"/>
      <c r="BF5722" s="96"/>
    </row>
    <row r="5723" spans="42:58" x14ac:dyDescent="0.35">
      <c r="AP5723" s="92"/>
      <c r="AQ5723" s="67"/>
      <c r="AR5723" s="67"/>
      <c r="AS5723" s="73"/>
      <c r="AT5723" s="67"/>
      <c r="AU5723" s="67"/>
      <c r="AV5723" s="73"/>
      <c r="AW5723" s="68"/>
      <c r="AX5723" s="68"/>
      <c r="AY5723" s="68"/>
      <c r="AZ5723" s="68"/>
      <c r="BA5723" s="68"/>
      <c r="BB5723" s="67"/>
      <c r="BC5723" s="67"/>
      <c r="BD5723" s="67"/>
      <c r="BE5723" s="67"/>
      <c r="BF5723" s="95"/>
    </row>
    <row r="5724" spans="42:58" x14ac:dyDescent="0.35">
      <c r="AP5724" s="93"/>
      <c r="AQ5724" s="31"/>
      <c r="AR5724" s="31"/>
      <c r="AS5724" s="94"/>
      <c r="AT5724" s="31"/>
      <c r="AU5724" s="31"/>
      <c r="AV5724" s="94"/>
      <c r="AW5724" s="32"/>
      <c r="AX5724" s="32"/>
      <c r="AY5724" s="32"/>
      <c r="AZ5724" s="32"/>
      <c r="BA5724" s="32"/>
      <c r="BB5724" s="31"/>
      <c r="BC5724" s="31"/>
      <c r="BD5724" s="31"/>
      <c r="BE5724" s="31"/>
      <c r="BF5724" s="96"/>
    </row>
    <row r="5725" spans="42:58" x14ac:dyDescent="0.35">
      <c r="AP5725" s="92"/>
      <c r="AQ5725" s="67"/>
      <c r="AR5725" s="67"/>
      <c r="AS5725" s="73"/>
      <c r="AT5725" s="67"/>
      <c r="AU5725" s="67"/>
      <c r="AV5725" s="73"/>
      <c r="AW5725" s="68"/>
      <c r="AX5725" s="68"/>
      <c r="AY5725" s="68"/>
      <c r="AZ5725" s="68"/>
      <c r="BA5725" s="68"/>
      <c r="BB5725" s="67"/>
      <c r="BC5725" s="67"/>
      <c r="BD5725" s="67"/>
      <c r="BE5725" s="67"/>
      <c r="BF5725" s="95"/>
    </row>
    <row r="5726" spans="42:58" x14ac:dyDescent="0.35">
      <c r="AP5726" s="93"/>
      <c r="AQ5726" s="31"/>
      <c r="AR5726" s="31"/>
      <c r="AS5726" s="94"/>
      <c r="AT5726" s="31"/>
      <c r="AU5726" s="31"/>
      <c r="AV5726" s="94"/>
      <c r="AW5726" s="32"/>
      <c r="AX5726" s="32"/>
      <c r="AY5726" s="32"/>
      <c r="AZ5726" s="32"/>
      <c r="BA5726" s="32"/>
      <c r="BB5726" s="31"/>
      <c r="BC5726" s="31"/>
      <c r="BD5726" s="31"/>
      <c r="BE5726" s="31"/>
      <c r="BF5726" s="96"/>
    </row>
    <row r="5727" spans="42:58" x14ac:dyDescent="0.35">
      <c r="AP5727" s="92"/>
      <c r="AQ5727" s="67"/>
      <c r="AR5727" s="67"/>
      <c r="AS5727" s="73"/>
      <c r="AT5727" s="67"/>
      <c r="AU5727" s="67"/>
      <c r="AV5727" s="73"/>
      <c r="AW5727" s="68"/>
      <c r="AX5727" s="68"/>
      <c r="AY5727" s="68"/>
      <c r="AZ5727" s="68"/>
      <c r="BA5727" s="68"/>
      <c r="BB5727" s="67"/>
      <c r="BC5727" s="67"/>
      <c r="BD5727" s="67"/>
      <c r="BE5727" s="67"/>
      <c r="BF5727" s="95"/>
    </row>
    <row r="5728" spans="42:58" x14ac:dyDescent="0.35">
      <c r="AP5728" s="93"/>
      <c r="AQ5728" s="31"/>
      <c r="AR5728" s="31"/>
      <c r="AS5728" s="94"/>
      <c r="AT5728" s="31"/>
      <c r="AU5728" s="31"/>
      <c r="AV5728" s="94"/>
      <c r="AW5728" s="32"/>
      <c r="AX5728" s="32"/>
      <c r="AY5728" s="32"/>
      <c r="AZ5728" s="32"/>
      <c r="BA5728" s="32"/>
      <c r="BB5728" s="31"/>
      <c r="BC5728" s="31"/>
      <c r="BD5728" s="31"/>
      <c r="BE5728" s="31"/>
      <c r="BF5728" s="96"/>
    </row>
    <row r="5729" spans="42:58" x14ac:dyDescent="0.35">
      <c r="AP5729" s="92"/>
      <c r="AQ5729" s="67"/>
      <c r="AR5729" s="67"/>
      <c r="AS5729" s="73"/>
      <c r="AT5729" s="67"/>
      <c r="AU5729" s="67"/>
      <c r="AV5729" s="73"/>
      <c r="AW5729" s="68"/>
      <c r="AX5729" s="68"/>
      <c r="AY5729" s="68"/>
      <c r="AZ5729" s="68"/>
      <c r="BA5729" s="68"/>
      <c r="BB5729" s="67"/>
      <c r="BC5729" s="67"/>
      <c r="BD5729" s="67"/>
      <c r="BE5729" s="67"/>
      <c r="BF5729" s="95"/>
    </row>
    <row r="5730" spans="42:58" x14ac:dyDescent="0.35">
      <c r="AP5730" s="93"/>
      <c r="AQ5730" s="31"/>
      <c r="AR5730" s="31"/>
      <c r="AS5730" s="94"/>
      <c r="AT5730" s="31"/>
      <c r="AU5730" s="31"/>
      <c r="AV5730" s="94"/>
      <c r="AW5730" s="32"/>
      <c r="AX5730" s="32"/>
      <c r="AY5730" s="32"/>
      <c r="AZ5730" s="32"/>
      <c r="BA5730" s="32"/>
      <c r="BB5730" s="31"/>
      <c r="BC5730" s="31"/>
      <c r="BD5730" s="31"/>
      <c r="BE5730" s="31"/>
      <c r="BF5730" s="96"/>
    </row>
    <row r="5731" spans="42:58" x14ac:dyDescent="0.35">
      <c r="AP5731" s="92"/>
      <c r="AQ5731" s="67"/>
      <c r="AR5731" s="67"/>
      <c r="AS5731" s="73"/>
      <c r="AT5731" s="67"/>
      <c r="AU5731" s="67"/>
      <c r="AV5731" s="73"/>
      <c r="AW5731" s="68"/>
      <c r="AX5731" s="68"/>
      <c r="AY5731" s="68"/>
      <c r="AZ5731" s="68"/>
      <c r="BA5731" s="68"/>
      <c r="BB5731" s="67"/>
      <c r="BC5731" s="67"/>
      <c r="BD5731" s="67"/>
      <c r="BE5731" s="67"/>
      <c r="BF5731" s="95"/>
    </row>
    <row r="5732" spans="42:58" x14ac:dyDescent="0.35">
      <c r="AP5732" s="93"/>
      <c r="AQ5732" s="31"/>
      <c r="AR5732" s="31"/>
      <c r="AS5732" s="94"/>
      <c r="AT5732" s="31"/>
      <c r="AU5732" s="31"/>
      <c r="AV5732" s="94"/>
      <c r="AW5732" s="32"/>
      <c r="AX5732" s="32"/>
      <c r="AY5732" s="32"/>
      <c r="AZ5732" s="32"/>
      <c r="BA5732" s="32"/>
      <c r="BB5732" s="31"/>
      <c r="BC5732" s="31"/>
      <c r="BD5732" s="31"/>
      <c r="BE5732" s="31"/>
      <c r="BF5732" s="96"/>
    </row>
    <row r="5733" spans="42:58" x14ac:dyDescent="0.35">
      <c r="AP5733" s="92"/>
      <c r="AQ5733" s="67"/>
      <c r="AR5733" s="67"/>
      <c r="AS5733" s="73"/>
      <c r="AT5733" s="67"/>
      <c r="AU5733" s="67"/>
      <c r="AV5733" s="73"/>
      <c r="AW5733" s="68"/>
      <c r="AX5733" s="68"/>
      <c r="AY5733" s="68"/>
      <c r="AZ5733" s="68"/>
      <c r="BA5733" s="68"/>
      <c r="BB5733" s="67"/>
      <c r="BC5733" s="67"/>
      <c r="BD5733" s="67"/>
      <c r="BE5733" s="67"/>
      <c r="BF5733" s="95"/>
    </row>
    <row r="5734" spans="42:58" x14ac:dyDescent="0.35">
      <c r="AP5734" s="93"/>
      <c r="AQ5734" s="31"/>
      <c r="AR5734" s="31"/>
      <c r="AS5734" s="94"/>
      <c r="AT5734" s="31"/>
      <c r="AU5734" s="31"/>
      <c r="AV5734" s="94"/>
      <c r="AW5734" s="32"/>
      <c r="AX5734" s="32"/>
      <c r="AY5734" s="32"/>
      <c r="AZ5734" s="32"/>
      <c r="BA5734" s="32"/>
      <c r="BB5734" s="31"/>
      <c r="BC5734" s="31"/>
      <c r="BD5734" s="31"/>
      <c r="BE5734" s="31"/>
      <c r="BF5734" s="96"/>
    </row>
    <row r="5735" spans="42:58" x14ac:dyDescent="0.35">
      <c r="AP5735" s="92"/>
      <c r="AQ5735" s="67"/>
      <c r="AR5735" s="67"/>
      <c r="AS5735" s="73"/>
      <c r="AT5735" s="67"/>
      <c r="AU5735" s="67"/>
      <c r="AV5735" s="73"/>
      <c r="AW5735" s="68"/>
      <c r="AX5735" s="68"/>
      <c r="AY5735" s="68"/>
      <c r="AZ5735" s="68"/>
      <c r="BA5735" s="68"/>
      <c r="BB5735" s="67"/>
      <c r="BC5735" s="67"/>
      <c r="BD5735" s="67"/>
      <c r="BE5735" s="67"/>
      <c r="BF5735" s="95"/>
    </row>
    <row r="5736" spans="42:58" x14ac:dyDescent="0.35">
      <c r="AP5736" s="93"/>
      <c r="AQ5736" s="31"/>
      <c r="AR5736" s="31"/>
      <c r="AS5736" s="94"/>
      <c r="AT5736" s="31"/>
      <c r="AU5736" s="31"/>
      <c r="AV5736" s="94"/>
      <c r="AW5736" s="32"/>
      <c r="AX5736" s="32"/>
      <c r="AY5736" s="32"/>
      <c r="AZ5736" s="32"/>
      <c r="BA5736" s="32"/>
      <c r="BB5736" s="31"/>
      <c r="BC5736" s="31"/>
      <c r="BD5736" s="31"/>
      <c r="BE5736" s="31"/>
      <c r="BF5736" s="96"/>
    </row>
    <row r="5737" spans="42:58" x14ac:dyDescent="0.35">
      <c r="AP5737" s="92"/>
      <c r="AQ5737" s="67"/>
      <c r="AR5737" s="67"/>
      <c r="AS5737" s="73"/>
      <c r="AT5737" s="67"/>
      <c r="AU5737" s="67"/>
      <c r="AV5737" s="73"/>
      <c r="AW5737" s="68"/>
      <c r="AX5737" s="68"/>
      <c r="AY5737" s="68"/>
      <c r="AZ5737" s="68"/>
      <c r="BA5737" s="68"/>
      <c r="BB5737" s="67"/>
      <c r="BC5737" s="67"/>
      <c r="BD5737" s="67"/>
      <c r="BE5737" s="67"/>
      <c r="BF5737" s="95"/>
    </row>
    <row r="5738" spans="42:58" x14ac:dyDescent="0.35">
      <c r="AP5738" s="93"/>
      <c r="AQ5738" s="31"/>
      <c r="AR5738" s="31"/>
      <c r="AS5738" s="94"/>
      <c r="AT5738" s="31"/>
      <c r="AU5738" s="31"/>
      <c r="AV5738" s="94"/>
      <c r="AW5738" s="32"/>
      <c r="AX5738" s="32"/>
      <c r="AY5738" s="32"/>
      <c r="AZ5738" s="32"/>
      <c r="BA5738" s="32"/>
      <c r="BB5738" s="31"/>
      <c r="BC5738" s="31"/>
      <c r="BD5738" s="31"/>
      <c r="BE5738" s="31"/>
      <c r="BF5738" s="96"/>
    </row>
    <row r="5739" spans="42:58" x14ac:dyDescent="0.35">
      <c r="AP5739" s="92"/>
      <c r="AQ5739" s="67"/>
      <c r="AR5739" s="67"/>
      <c r="AS5739" s="73"/>
      <c r="AT5739" s="67"/>
      <c r="AU5739" s="67"/>
      <c r="AV5739" s="73"/>
      <c r="AW5739" s="68"/>
      <c r="AX5739" s="68"/>
      <c r="AY5739" s="68"/>
      <c r="AZ5739" s="68"/>
      <c r="BA5739" s="68"/>
      <c r="BB5739" s="67"/>
      <c r="BC5739" s="67"/>
      <c r="BD5739" s="67"/>
      <c r="BE5739" s="67"/>
      <c r="BF5739" s="95"/>
    </row>
    <row r="5740" spans="42:58" x14ac:dyDescent="0.35">
      <c r="AP5740" s="93"/>
      <c r="AQ5740" s="31"/>
      <c r="AR5740" s="31"/>
      <c r="AS5740" s="94"/>
      <c r="AT5740" s="31"/>
      <c r="AU5740" s="31"/>
      <c r="AV5740" s="94"/>
      <c r="AW5740" s="32"/>
      <c r="AX5740" s="32"/>
      <c r="AY5740" s="32"/>
      <c r="AZ5740" s="32"/>
      <c r="BA5740" s="32"/>
      <c r="BB5740" s="31"/>
      <c r="BC5740" s="31"/>
      <c r="BD5740" s="31"/>
      <c r="BE5740" s="31"/>
      <c r="BF5740" s="96"/>
    </row>
    <row r="5741" spans="42:58" x14ac:dyDescent="0.35">
      <c r="AP5741" s="92"/>
      <c r="AQ5741" s="67"/>
      <c r="AR5741" s="67"/>
      <c r="AS5741" s="73"/>
      <c r="AT5741" s="67"/>
      <c r="AU5741" s="67"/>
      <c r="AV5741" s="73"/>
      <c r="AW5741" s="68"/>
      <c r="AX5741" s="68"/>
      <c r="AY5741" s="68"/>
      <c r="AZ5741" s="68"/>
      <c r="BA5741" s="68"/>
      <c r="BB5741" s="67"/>
      <c r="BC5741" s="67"/>
      <c r="BD5741" s="67"/>
      <c r="BE5741" s="67"/>
      <c r="BF5741" s="95"/>
    </row>
    <row r="5742" spans="42:58" x14ac:dyDescent="0.35">
      <c r="AP5742" s="93"/>
      <c r="AQ5742" s="31"/>
      <c r="AR5742" s="31"/>
      <c r="AS5742" s="94"/>
      <c r="AT5742" s="31"/>
      <c r="AU5742" s="31"/>
      <c r="AV5742" s="94"/>
      <c r="AW5742" s="32"/>
      <c r="AX5742" s="32"/>
      <c r="AY5742" s="32"/>
      <c r="AZ5742" s="32"/>
      <c r="BA5742" s="32"/>
      <c r="BB5742" s="31"/>
      <c r="BC5742" s="31"/>
      <c r="BD5742" s="31"/>
      <c r="BE5742" s="31"/>
      <c r="BF5742" s="96"/>
    </row>
    <row r="5743" spans="42:58" x14ac:dyDescent="0.35">
      <c r="AP5743" s="92"/>
      <c r="AQ5743" s="67"/>
      <c r="AR5743" s="67"/>
      <c r="AS5743" s="73"/>
      <c r="AT5743" s="67"/>
      <c r="AU5743" s="67"/>
      <c r="AV5743" s="73"/>
      <c r="AW5743" s="68"/>
      <c r="AX5743" s="68"/>
      <c r="AY5743" s="68"/>
      <c r="AZ5743" s="68"/>
      <c r="BA5743" s="68"/>
      <c r="BB5743" s="67"/>
      <c r="BC5743" s="67"/>
      <c r="BD5743" s="67"/>
      <c r="BE5743" s="67"/>
      <c r="BF5743" s="95"/>
    </row>
    <row r="5744" spans="42:58" x14ac:dyDescent="0.35">
      <c r="AP5744" s="93"/>
      <c r="AQ5744" s="31"/>
      <c r="AR5744" s="31"/>
      <c r="AS5744" s="94"/>
      <c r="AT5744" s="31"/>
      <c r="AU5744" s="31"/>
      <c r="AV5744" s="94"/>
      <c r="AW5744" s="32"/>
      <c r="AX5744" s="32"/>
      <c r="AY5744" s="32"/>
      <c r="AZ5744" s="32"/>
      <c r="BA5744" s="32"/>
      <c r="BB5744" s="31"/>
      <c r="BC5744" s="31"/>
      <c r="BD5744" s="31"/>
      <c r="BE5744" s="31"/>
      <c r="BF5744" s="96"/>
    </row>
    <row r="5745" spans="42:58" x14ac:dyDescent="0.35">
      <c r="AP5745" s="92"/>
      <c r="AQ5745" s="67"/>
      <c r="AR5745" s="67"/>
      <c r="AS5745" s="73"/>
      <c r="AT5745" s="67"/>
      <c r="AU5745" s="67"/>
      <c r="AV5745" s="73"/>
      <c r="AW5745" s="68"/>
      <c r="AX5745" s="68"/>
      <c r="AY5745" s="68"/>
      <c r="AZ5745" s="68"/>
      <c r="BA5745" s="68"/>
      <c r="BB5745" s="67"/>
      <c r="BC5745" s="67"/>
      <c r="BD5745" s="67"/>
      <c r="BE5745" s="67"/>
      <c r="BF5745" s="95"/>
    </row>
    <row r="5746" spans="42:58" x14ac:dyDescent="0.35">
      <c r="AP5746" s="93"/>
      <c r="AQ5746" s="31"/>
      <c r="AR5746" s="31"/>
      <c r="AS5746" s="94"/>
      <c r="AT5746" s="31"/>
      <c r="AU5746" s="31"/>
      <c r="AV5746" s="94"/>
      <c r="AW5746" s="32"/>
      <c r="AX5746" s="32"/>
      <c r="AY5746" s="32"/>
      <c r="AZ5746" s="32"/>
      <c r="BA5746" s="32"/>
      <c r="BB5746" s="31"/>
      <c r="BC5746" s="31"/>
      <c r="BD5746" s="31"/>
      <c r="BE5746" s="31"/>
      <c r="BF5746" s="96"/>
    </row>
    <row r="5747" spans="42:58" x14ac:dyDescent="0.35">
      <c r="AP5747" s="92"/>
      <c r="AQ5747" s="67"/>
      <c r="AR5747" s="67"/>
      <c r="AS5747" s="73"/>
      <c r="AT5747" s="67"/>
      <c r="AU5747" s="67"/>
      <c r="AV5747" s="73"/>
      <c r="AW5747" s="68"/>
      <c r="AX5747" s="68"/>
      <c r="AY5747" s="68"/>
      <c r="AZ5747" s="68"/>
      <c r="BA5747" s="68"/>
      <c r="BB5747" s="67"/>
      <c r="BC5747" s="67"/>
      <c r="BD5747" s="67"/>
      <c r="BE5747" s="67"/>
      <c r="BF5747" s="95"/>
    </row>
    <row r="5748" spans="42:58" x14ac:dyDescent="0.35">
      <c r="AP5748" s="93"/>
      <c r="AQ5748" s="31"/>
      <c r="AR5748" s="31"/>
      <c r="AS5748" s="94"/>
      <c r="AT5748" s="31"/>
      <c r="AU5748" s="31"/>
      <c r="AV5748" s="94"/>
      <c r="AW5748" s="32"/>
      <c r="AX5748" s="32"/>
      <c r="AY5748" s="32"/>
      <c r="AZ5748" s="32"/>
      <c r="BA5748" s="32"/>
      <c r="BB5748" s="31"/>
      <c r="BC5748" s="31"/>
      <c r="BD5748" s="31"/>
      <c r="BE5748" s="31"/>
      <c r="BF5748" s="96"/>
    </row>
    <row r="5749" spans="42:58" x14ac:dyDescent="0.35">
      <c r="AP5749" s="92"/>
      <c r="AQ5749" s="67"/>
      <c r="AR5749" s="67"/>
      <c r="AS5749" s="73"/>
      <c r="AT5749" s="67"/>
      <c r="AU5749" s="67"/>
      <c r="AV5749" s="73"/>
      <c r="AW5749" s="68"/>
      <c r="AX5749" s="68"/>
      <c r="AY5749" s="68"/>
      <c r="AZ5749" s="68"/>
      <c r="BA5749" s="68"/>
      <c r="BB5749" s="67"/>
      <c r="BC5749" s="67"/>
      <c r="BD5749" s="67"/>
      <c r="BE5749" s="67"/>
      <c r="BF5749" s="95"/>
    </row>
    <row r="5750" spans="42:58" x14ac:dyDescent="0.35">
      <c r="AP5750" s="93"/>
      <c r="AQ5750" s="31"/>
      <c r="AR5750" s="31"/>
      <c r="AS5750" s="94"/>
      <c r="AT5750" s="31"/>
      <c r="AU5750" s="31"/>
      <c r="AV5750" s="94"/>
      <c r="AW5750" s="32"/>
      <c r="AX5750" s="32"/>
      <c r="AY5750" s="32"/>
      <c r="AZ5750" s="32"/>
      <c r="BA5750" s="32"/>
      <c r="BB5750" s="31"/>
      <c r="BC5750" s="31"/>
      <c r="BD5750" s="31"/>
      <c r="BE5750" s="31"/>
      <c r="BF5750" s="96"/>
    </row>
    <row r="5751" spans="42:58" x14ac:dyDescent="0.35">
      <c r="AP5751" s="92"/>
      <c r="AQ5751" s="67"/>
      <c r="AR5751" s="67"/>
      <c r="AS5751" s="73"/>
      <c r="AT5751" s="67"/>
      <c r="AU5751" s="67"/>
      <c r="AV5751" s="73"/>
      <c r="AW5751" s="68"/>
      <c r="AX5751" s="68"/>
      <c r="AY5751" s="68"/>
      <c r="AZ5751" s="68"/>
      <c r="BA5751" s="68"/>
      <c r="BB5751" s="67"/>
      <c r="BC5751" s="67"/>
      <c r="BD5751" s="67"/>
      <c r="BE5751" s="67"/>
      <c r="BF5751" s="95"/>
    </row>
    <row r="5752" spans="42:58" x14ac:dyDescent="0.35">
      <c r="AP5752" s="93"/>
      <c r="AQ5752" s="31"/>
      <c r="AR5752" s="31"/>
      <c r="AS5752" s="94"/>
      <c r="AT5752" s="31"/>
      <c r="AU5752" s="31"/>
      <c r="AV5752" s="94"/>
      <c r="AW5752" s="32"/>
      <c r="AX5752" s="32"/>
      <c r="AY5752" s="32"/>
      <c r="AZ5752" s="32"/>
      <c r="BA5752" s="32"/>
      <c r="BB5752" s="31"/>
      <c r="BC5752" s="31"/>
      <c r="BD5752" s="31"/>
      <c r="BE5752" s="31"/>
      <c r="BF5752" s="96"/>
    </row>
    <row r="5753" spans="42:58" x14ac:dyDescent="0.35">
      <c r="AP5753" s="92"/>
      <c r="AQ5753" s="67"/>
      <c r="AR5753" s="67"/>
      <c r="AS5753" s="73"/>
      <c r="AT5753" s="67"/>
      <c r="AU5753" s="67"/>
      <c r="AV5753" s="73"/>
      <c r="AW5753" s="68"/>
      <c r="AX5753" s="68"/>
      <c r="AY5753" s="68"/>
      <c r="AZ5753" s="68"/>
      <c r="BA5753" s="68"/>
      <c r="BB5753" s="67"/>
      <c r="BC5753" s="67"/>
      <c r="BD5753" s="67"/>
      <c r="BE5753" s="67"/>
      <c r="BF5753" s="95"/>
    </row>
    <row r="5754" spans="42:58" x14ac:dyDescent="0.35">
      <c r="AP5754" s="93"/>
      <c r="AQ5754" s="31"/>
      <c r="AR5754" s="31"/>
      <c r="AS5754" s="94"/>
      <c r="AT5754" s="31"/>
      <c r="AU5754" s="31"/>
      <c r="AV5754" s="94"/>
      <c r="AW5754" s="32"/>
      <c r="AX5754" s="32"/>
      <c r="AY5754" s="32"/>
      <c r="AZ5754" s="32"/>
      <c r="BA5754" s="32"/>
      <c r="BB5754" s="31"/>
      <c r="BC5754" s="31"/>
      <c r="BD5754" s="31"/>
      <c r="BE5754" s="31"/>
      <c r="BF5754" s="96"/>
    </row>
    <row r="5755" spans="42:58" x14ac:dyDescent="0.35">
      <c r="AP5755" s="92"/>
      <c r="AQ5755" s="67"/>
      <c r="AR5755" s="67"/>
      <c r="AS5755" s="73"/>
      <c r="AT5755" s="67"/>
      <c r="AU5755" s="67"/>
      <c r="AV5755" s="73"/>
      <c r="AW5755" s="68"/>
      <c r="AX5755" s="68"/>
      <c r="AY5755" s="68"/>
      <c r="AZ5755" s="68"/>
      <c r="BA5755" s="68"/>
      <c r="BB5755" s="67"/>
      <c r="BC5755" s="67"/>
      <c r="BD5755" s="67"/>
      <c r="BE5755" s="67"/>
      <c r="BF5755" s="95"/>
    </row>
    <row r="5756" spans="42:58" x14ac:dyDescent="0.35">
      <c r="AP5756" s="93"/>
      <c r="AQ5756" s="31"/>
      <c r="AR5756" s="31"/>
      <c r="AS5756" s="94"/>
      <c r="AT5756" s="31"/>
      <c r="AU5756" s="31"/>
      <c r="AV5756" s="94"/>
      <c r="AW5756" s="32"/>
      <c r="AX5756" s="32"/>
      <c r="AY5756" s="32"/>
      <c r="AZ5756" s="32"/>
      <c r="BA5756" s="32"/>
      <c r="BB5756" s="31"/>
      <c r="BC5756" s="31"/>
      <c r="BD5756" s="31"/>
      <c r="BE5756" s="31"/>
      <c r="BF5756" s="96"/>
    </row>
    <row r="5757" spans="42:58" x14ac:dyDescent="0.35">
      <c r="AP5757" s="92"/>
      <c r="AQ5757" s="67"/>
      <c r="AR5757" s="67"/>
      <c r="AS5757" s="73"/>
      <c r="AT5757" s="67"/>
      <c r="AU5757" s="67"/>
      <c r="AV5757" s="73"/>
      <c r="AW5757" s="68"/>
      <c r="AX5757" s="68"/>
      <c r="AY5757" s="68"/>
      <c r="AZ5757" s="68"/>
      <c r="BA5757" s="68"/>
      <c r="BB5757" s="67"/>
      <c r="BC5757" s="67"/>
      <c r="BD5757" s="67"/>
      <c r="BE5757" s="67"/>
      <c r="BF5757" s="95"/>
    </row>
    <row r="5758" spans="42:58" x14ac:dyDescent="0.35">
      <c r="AP5758" s="93"/>
      <c r="AQ5758" s="31"/>
      <c r="AR5758" s="31"/>
      <c r="AS5758" s="94"/>
      <c r="AT5758" s="31"/>
      <c r="AU5758" s="31"/>
      <c r="AV5758" s="94"/>
      <c r="AW5758" s="32"/>
      <c r="AX5758" s="32"/>
      <c r="AY5758" s="32"/>
      <c r="AZ5758" s="32"/>
      <c r="BA5758" s="32"/>
      <c r="BB5758" s="31"/>
      <c r="BC5758" s="31"/>
      <c r="BD5758" s="31"/>
      <c r="BE5758" s="31"/>
      <c r="BF5758" s="96"/>
    </row>
    <row r="5759" spans="42:58" x14ac:dyDescent="0.35">
      <c r="AP5759" s="92"/>
      <c r="AQ5759" s="67"/>
      <c r="AR5759" s="67"/>
      <c r="AS5759" s="73"/>
      <c r="AT5759" s="67"/>
      <c r="AU5759" s="67"/>
      <c r="AV5759" s="73"/>
      <c r="AW5759" s="68"/>
      <c r="AX5759" s="68"/>
      <c r="AY5759" s="68"/>
      <c r="AZ5759" s="68"/>
      <c r="BA5759" s="68"/>
      <c r="BB5759" s="67"/>
      <c r="BC5759" s="67"/>
      <c r="BD5759" s="67"/>
      <c r="BE5759" s="67"/>
      <c r="BF5759" s="95"/>
    </row>
    <row r="5760" spans="42:58" x14ac:dyDescent="0.35">
      <c r="AP5760" s="93"/>
      <c r="AQ5760" s="31"/>
      <c r="AR5760" s="31"/>
      <c r="AS5760" s="94"/>
      <c r="AT5760" s="31"/>
      <c r="AU5760" s="31"/>
      <c r="AV5760" s="94"/>
      <c r="AW5760" s="32"/>
      <c r="AX5760" s="32"/>
      <c r="AY5760" s="32"/>
      <c r="AZ5760" s="32"/>
      <c r="BA5760" s="32"/>
      <c r="BB5760" s="31"/>
      <c r="BC5760" s="31"/>
      <c r="BD5760" s="31"/>
      <c r="BE5760" s="31"/>
      <c r="BF5760" s="96"/>
    </row>
    <row r="5761" spans="42:58" x14ac:dyDescent="0.35">
      <c r="AP5761" s="92"/>
      <c r="AQ5761" s="67"/>
      <c r="AR5761" s="67"/>
      <c r="AS5761" s="73"/>
      <c r="AT5761" s="67"/>
      <c r="AU5761" s="67"/>
      <c r="AV5761" s="73"/>
      <c r="AW5761" s="68"/>
      <c r="AX5761" s="68"/>
      <c r="AY5761" s="68"/>
      <c r="AZ5761" s="68"/>
      <c r="BA5761" s="68"/>
      <c r="BB5761" s="67"/>
      <c r="BC5761" s="67"/>
      <c r="BD5761" s="67"/>
      <c r="BE5761" s="67"/>
      <c r="BF5761" s="95"/>
    </row>
    <row r="5762" spans="42:58" x14ac:dyDescent="0.35">
      <c r="AP5762" s="93"/>
      <c r="AQ5762" s="31"/>
      <c r="AR5762" s="31"/>
      <c r="AS5762" s="94"/>
      <c r="AT5762" s="31"/>
      <c r="AU5762" s="31"/>
      <c r="AV5762" s="94"/>
      <c r="AW5762" s="32"/>
      <c r="AX5762" s="32"/>
      <c r="AY5762" s="32"/>
      <c r="AZ5762" s="32"/>
      <c r="BA5762" s="32"/>
      <c r="BB5762" s="31"/>
      <c r="BC5762" s="31"/>
      <c r="BD5762" s="31"/>
      <c r="BE5762" s="31"/>
      <c r="BF5762" s="96"/>
    </row>
    <row r="5763" spans="42:58" x14ac:dyDescent="0.35">
      <c r="AP5763" s="92"/>
      <c r="AQ5763" s="67"/>
      <c r="AR5763" s="67"/>
      <c r="AS5763" s="73"/>
      <c r="AT5763" s="67"/>
      <c r="AU5763" s="67"/>
      <c r="AV5763" s="73"/>
      <c r="AW5763" s="68"/>
      <c r="AX5763" s="68"/>
      <c r="AY5763" s="68"/>
      <c r="AZ5763" s="68"/>
      <c r="BA5763" s="68"/>
      <c r="BB5763" s="67"/>
      <c r="BC5763" s="67"/>
      <c r="BD5763" s="67"/>
      <c r="BE5763" s="67"/>
      <c r="BF5763" s="95"/>
    </row>
    <row r="5764" spans="42:58" x14ac:dyDescent="0.35">
      <c r="AP5764" s="93"/>
      <c r="AQ5764" s="31"/>
      <c r="AR5764" s="31"/>
      <c r="AS5764" s="94"/>
      <c r="AT5764" s="31"/>
      <c r="AU5764" s="31"/>
      <c r="AV5764" s="94"/>
      <c r="AW5764" s="32"/>
      <c r="AX5764" s="32"/>
      <c r="AY5764" s="32"/>
      <c r="AZ5764" s="32"/>
      <c r="BA5764" s="32"/>
      <c r="BB5764" s="31"/>
      <c r="BC5764" s="31"/>
      <c r="BD5764" s="31"/>
      <c r="BE5764" s="31"/>
      <c r="BF5764" s="96"/>
    </row>
    <row r="5765" spans="42:58" x14ac:dyDescent="0.35">
      <c r="AP5765" s="92"/>
      <c r="AQ5765" s="67"/>
      <c r="AR5765" s="67"/>
      <c r="AS5765" s="73"/>
      <c r="AT5765" s="67"/>
      <c r="AU5765" s="67"/>
      <c r="AV5765" s="73"/>
      <c r="AW5765" s="68"/>
      <c r="AX5765" s="68"/>
      <c r="AY5765" s="68"/>
      <c r="AZ5765" s="68"/>
      <c r="BA5765" s="68"/>
      <c r="BB5765" s="67"/>
      <c r="BC5765" s="67"/>
      <c r="BD5765" s="67"/>
      <c r="BE5765" s="67"/>
      <c r="BF5765" s="95"/>
    </row>
    <row r="5766" spans="42:58" x14ac:dyDescent="0.35">
      <c r="AP5766" s="93"/>
      <c r="AQ5766" s="31"/>
      <c r="AR5766" s="31"/>
      <c r="AS5766" s="94"/>
      <c r="AT5766" s="31"/>
      <c r="AU5766" s="31"/>
      <c r="AV5766" s="94"/>
      <c r="AW5766" s="32"/>
      <c r="AX5766" s="32"/>
      <c r="AY5766" s="32"/>
      <c r="AZ5766" s="32"/>
      <c r="BA5766" s="32"/>
      <c r="BB5766" s="31"/>
      <c r="BC5766" s="31"/>
      <c r="BD5766" s="31"/>
      <c r="BE5766" s="31"/>
      <c r="BF5766" s="96"/>
    </row>
    <row r="5767" spans="42:58" x14ac:dyDescent="0.35">
      <c r="AP5767" s="92"/>
      <c r="AQ5767" s="67"/>
      <c r="AR5767" s="67"/>
      <c r="AS5767" s="73"/>
      <c r="AT5767" s="67"/>
      <c r="AU5767" s="67"/>
      <c r="AV5767" s="73"/>
      <c r="AW5767" s="68"/>
      <c r="AX5767" s="68"/>
      <c r="AY5767" s="68"/>
      <c r="AZ5767" s="68"/>
      <c r="BA5767" s="68"/>
      <c r="BB5767" s="67"/>
      <c r="BC5767" s="67"/>
      <c r="BD5767" s="67"/>
      <c r="BE5767" s="67"/>
      <c r="BF5767" s="95"/>
    </row>
    <row r="5768" spans="42:58" x14ac:dyDescent="0.35">
      <c r="AP5768" s="93"/>
      <c r="AQ5768" s="31"/>
      <c r="AR5768" s="31"/>
      <c r="AS5768" s="94"/>
      <c r="AT5768" s="31"/>
      <c r="AU5768" s="31"/>
      <c r="AV5768" s="94"/>
      <c r="AW5768" s="32"/>
      <c r="AX5768" s="32"/>
      <c r="AY5768" s="32"/>
      <c r="AZ5768" s="32"/>
      <c r="BA5768" s="32"/>
      <c r="BB5768" s="31"/>
      <c r="BC5768" s="31"/>
      <c r="BD5768" s="31"/>
      <c r="BE5768" s="31"/>
      <c r="BF5768" s="96"/>
    </row>
    <row r="5769" spans="42:58" x14ac:dyDescent="0.35">
      <c r="AP5769" s="92"/>
      <c r="AQ5769" s="67"/>
      <c r="AR5769" s="67"/>
      <c r="AS5769" s="73"/>
      <c r="AT5769" s="67"/>
      <c r="AU5769" s="67"/>
      <c r="AV5769" s="73"/>
      <c r="AW5769" s="68"/>
      <c r="AX5769" s="68"/>
      <c r="AY5769" s="68"/>
      <c r="AZ5769" s="68"/>
      <c r="BA5769" s="68"/>
      <c r="BB5769" s="67"/>
      <c r="BC5769" s="67"/>
      <c r="BD5769" s="67"/>
      <c r="BE5769" s="67"/>
      <c r="BF5769" s="95"/>
    </row>
    <row r="5770" spans="42:58" x14ac:dyDescent="0.35">
      <c r="AP5770" s="93"/>
      <c r="AQ5770" s="31"/>
      <c r="AR5770" s="31"/>
      <c r="AS5770" s="94"/>
      <c r="AT5770" s="31"/>
      <c r="AU5770" s="31"/>
      <c r="AV5770" s="94"/>
      <c r="AW5770" s="32"/>
      <c r="AX5770" s="32"/>
      <c r="AY5770" s="32"/>
      <c r="AZ5770" s="32"/>
      <c r="BA5770" s="32"/>
      <c r="BB5770" s="31"/>
      <c r="BC5770" s="31"/>
      <c r="BD5770" s="31"/>
      <c r="BE5770" s="31"/>
      <c r="BF5770" s="96"/>
    </row>
    <row r="5771" spans="42:58" x14ac:dyDescent="0.35">
      <c r="AP5771" s="92"/>
      <c r="AQ5771" s="67"/>
      <c r="AR5771" s="67"/>
      <c r="AS5771" s="73"/>
      <c r="AT5771" s="67"/>
      <c r="AU5771" s="67"/>
      <c r="AV5771" s="73"/>
      <c r="AW5771" s="68"/>
      <c r="AX5771" s="68"/>
      <c r="AY5771" s="68"/>
      <c r="AZ5771" s="68"/>
      <c r="BA5771" s="68"/>
      <c r="BB5771" s="67"/>
      <c r="BC5771" s="67"/>
      <c r="BD5771" s="67"/>
      <c r="BE5771" s="67"/>
      <c r="BF5771" s="95"/>
    </row>
    <row r="5772" spans="42:58" x14ac:dyDescent="0.35">
      <c r="AP5772" s="93"/>
      <c r="AQ5772" s="31"/>
      <c r="AR5772" s="31"/>
      <c r="AS5772" s="94"/>
      <c r="AT5772" s="31"/>
      <c r="AU5772" s="31"/>
      <c r="AV5772" s="94"/>
      <c r="AW5772" s="32"/>
      <c r="AX5772" s="32"/>
      <c r="AY5772" s="32"/>
      <c r="AZ5772" s="32"/>
      <c r="BA5772" s="32"/>
      <c r="BB5772" s="31"/>
      <c r="BC5772" s="31"/>
      <c r="BD5772" s="31"/>
      <c r="BE5772" s="31"/>
      <c r="BF5772" s="96"/>
    </row>
    <row r="5773" spans="42:58" x14ac:dyDescent="0.35">
      <c r="AP5773" s="92"/>
      <c r="AQ5773" s="67"/>
      <c r="AR5773" s="67"/>
      <c r="AS5773" s="73"/>
      <c r="AT5773" s="67"/>
      <c r="AU5773" s="67"/>
      <c r="AV5773" s="73"/>
      <c r="AW5773" s="68"/>
      <c r="AX5773" s="68"/>
      <c r="AY5773" s="68"/>
      <c r="AZ5773" s="68"/>
      <c r="BA5773" s="68"/>
      <c r="BB5773" s="67"/>
      <c r="BC5773" s="67"/>
      <c r="BD5773" s="67"/>
      <c r="BE5773" s="67"/>
      <c r="BF5773" s="95"/>
    </row>
    <row r="5774" spans="42:58" x14ac:dyDescent="0.35">
      <c r="AP5774" s="93"/>
      <c r="AQ5774" s="31"/>
      <c r="AR5774" s="31"/>
      <c r="AS5774" s="94"/>
      <c r="AT5774" s="31"/>
      <c r="AU5774" s="31"/>
      <c r="AV5774" s="94"/>
      <c r="AW5774" s="32"/>
      <c r="AX5774" s="32"/>
      <c r="AY5774" s="32"/>
      <c r="AZ5774" s="32"/>
      <c r="BA5774" s="32"/>
      <c r="BB5774" s="31"/>
      <c r="BC5774" s="31"/>
      <c r="BD5774" s="31"/>
      <c r="BE5774" s="31"/>
      <c r="BF5774" s="96"/>
    </row>
    <row r="5775" spans="42:58" x14ac:dyDescent="0.35">
      <c r="AP5775" s="92"/>
      <c r="AQ5775" s="67"/>
      <c r="AR5775" s="67"/>
      <c r="AS5775" s="73"/>
      <c r="AT5775" s="67"/>
      <c r="AU5775" s="67"/>
      <c r="AV5775" s="73"/>
      <c r="AW5775" s="68"/>
      <c r="AX5775" s="68"/>
      <c r="AY5775" s="68"/>
      <c r="AZ5775" s="68"/>
      <c r="BA5775" s="68"/>
      <c r="BB5775" s="67"/>
      <c r="BC5775" s="67"/>
      <c r="BD5775" s="67"/>
      <c r="BE5775" s="67"/>
      <c r="BF5775" s="95"/>
    </row>
    <row r="5776" spans="42:58" x14ac:dyDescent="0.35">
      <c r="AP5776" s="93"/>
      <c r="AQ5776" s="31"/>
      <c r="AR5776" s="31"/>
      <c r="AS5776" s="94"/>
      <c r="AT5776" s="31"/>
      <c r="AU5776" s="31"/>
      <c r="AV5776" s="94"/>
      <c r="AW5776" s="32"/>
      <c r="AX5776" s="32"/>
      <c r="AY5776" s="32"/>
      <c r="AZ5776" s="32"/>
      <c r="BA5776" s="32"/>
      <c r="BB5776" s="31"/>
      <c r="BC5776" s="31"/>
      <c r="BD5776" s="31"/>
      <c r="BE5776" s="31"/>
      <c r="BF5776" s="96"/>
    </row>
    <row r="5777" spans="42:58" x14ac:dyDescent="0.35">
      <c r="AP5777" s="92"/>
      <c r="AQ5777" s="67"/>
      <c r="AR5777" s="67"/>
      <c r="AS5777" s="73"/>
      <c r="AT5777" s="67"/>
      <c r="AU5777" s="67"/>
      <c r="AV5777" s="73"/>
      <c r="AW5777" s="68"/>
      <c r="AX5777" s="68"/>
      <c r="AY5777" s="68"/>
      <c r="AZ5777" s="68"/>
      <c r="BA5777" s="68"/>
      <c r="BB5777" s="67"/>
      <c r="BC5777" s="67"/>
      <c r="BD5777" s="67"/>
      <c r="BE5777" s="67"/>
      <c r="BF5777" s="95"/>
    </row>
    <row r="5778" spans="42:58" x14ac:dyDescent="0.35">
      <c r="AP5778" s="93"/>
      <c r="AQ5778" s="31"/>
      <c r="AR5778" s="31"/>
      <c r="AS5778" s="94"/>
      <c r="AT5778" s="31"/>
      <c r="AU5778" s="31"/>
      <c r="AV5778" s="94"/>
      <c r="AW5778" s="32"/>
      <c r="AX5778" s="32"/>
      <c r="AY5778" s="32"/>
      <c r="AZ5778" s="32"/>
      <c r="BA5778" s="32"/>
      <c r="BB5778" s="31"/>
      <c r="BC5778" s="31"/>
      <c r="BD5778" s="31"/>
      <c r="BE5778" s="31"/>
      <c r="BF5778" s="96"/>
    </row>
    <row r="5779" spans="42:58" x14ac:dyDescent="0.35">
      <c r="AP5779" s="92"/>
      <c r="AQ5779" s="67"/>
      <c r="AR5779" s="67"/>
      <c r="AS5779" s="73"/>
      <c r="AT5779" s="67"/>
      <c r="AU5779" s="67"/>
      <c r="AV5779" s="73"/>
      <c r="AW5779" s="68"/>
      <c r="AX5779" s="68"/>
      <c r="AY5779" s="68"/>
      <c r="AZ5779" s="68"/>
      <c r="BA5779" s="68"/>
      <c r="BB5779" s="67"/>
      <c r="BC5779" s="67"/>
      <c r="BD5779" s="67"/>
      <c r="BE5779" s="67"/>
      <c r="BF5779" s="95"/>
    </row>
    <row r="5780" spans="42:58" x14ac:dyDescent="0.35">
      <c r="AP5780" s="93"/>
      <c r="AQ5780" s="31"/>
      <c r="AR5780" s="31"/>
      <c r="AS5780" s="94"/>
      <c r="AT5780" s="31"/>
      <c r="AU5780" s="31"/>
      <c r="AV5780" s="94"/>
      <c r="AW5780" s="32"/>
      <c r="AX5780" s="32"/>
      <c r="AY5780" s="32"/>
      <c r="AZ5780" s="32"/>
      <c r="BA5780" s="32"/>
      <c r="BB5780" s="31"/>
      <c r="BC5780" s="31"/>
      <c r="BD5780" s="31"/>
      <c r="BE5780" s="31"/>
      <c r="BF5780" s="96"/>
    </row>
    <row r="5781" spans="42:58" x14ac:dyDescent="0.35">
      <c r="AP5781" s="92"/>
      <c r="AQ5781" s="67"/>
      <c r="AR5781" s="67"/>
      <c r="AS5781" s="73"/>
      <c r="AT5781" s="67"/>
      <c r="AU5781" s="67"/>
      <c r="AV5781" s="73"/>
      <c r="AW5781" s="68"/>
      <c r="AX5781" s="68"/>
      <c r="AY5781" s="68"/>
      <c r="AZ5781" s="68"/>
      <c r="BA5781" s="68"/>
      <c r="BB5781" s="67"/>
      <c r="BC5781" s="67"/>
      <c r="BD5781" s="67"/>
      <c r="BE5781" s="67"/>
      <c r="BF5781" s="95"/>
    </row>
    <row r="5782" spans="42:58" x14ac:dyDescent="0.35">
      <c r="AP5782" s="93"/>
      <c r="AQ5782" s="31"/>
      <c r="AR5782" s="31"/>
      <c r="AS5782" s="94"/>
      <c r="AT5782" s="31"/>
      <c r="AU5782" s="31"/>
      <c r="AV5782" s="94"/>
      <c r="AW5782" s="32"/>
      <c r="AX5782" s="32"/>
      <c r="AY5782" s="32"/>
      <c r="AZ5782" s="32"/>
      <c r="BA5782" s="32"/>
      <c r="BB5782" s="31"/>
      <c r="BC5782" s="31"/>
      <c r="BD5782" s="31"/>
      <c r="BE5782" s="31"/>
      <c r="BF5782" s="96"/>
    </row>
    <row r="5783" spans="42:58" x14ac:dyDescent="0.35">
      <c r="AP5783" s="92"/>
      <c r="AQ5783" s="67"/>
      <c r="AR5783" s="67"/>
      <c r="AS5783" s="73"/>
      <c r="AT5783" s="67"/>
      <c r="AU5783" s="67"/>
      <c r="AV5783" s="73"/>
      <c r="AW5783" s="68"/>
      <c r="AX5783" s="68"/>
      <c r="AY5783" s="68"/>
      <c r="AZ5783" s="68"/>
      <c r="BA5783" s="68"/>
      <c r="BB5783" s="67"/>
      <c r="BC5783" s="67"/>
      <c r="BD5783" s="67"/>
      <c r="BE5783" s="67"/>
      <c r="BF5783" s="95"/>
    </row>
    <row r="5784" spans="42:58" x14ac:dyDescent="0.35">
      <c r="AP5784" s="93"/>
      <c r="AQ5784" s="31"/>
      <c r="AR5784" s="31"/>
      <c r="AS5784" s="94"/>
      <c r="AT5784" s="31"/>
      <c r="AU5784" s="31"/>
      <c r="AV5784" s="94"/>
      <c r="AW5784" s="32"/>
      <c r="AX5784" s="32"/>
      <c r="AY5784" s="32"/>
      <c r="AZ5784" s="32"/>
      <c r="BA5784" s="32"/>
      <c r="BB5784" s="31"/>
      <c r="BC5784" s="31"/>
      <c r="BD5784" s="31"/>
      <c r="BE5784" s="31"/>
      <c r="BF5784" s="96"/>
    </row>
    <row r="5785" spans="42:58" x14ac:dyDescent="0.35">
      <c r="AP5785" s="92"/>
      <c r="AQ5785" s="67"/>
      <c r="AR5785" s="67"/>
      <c r="AS5785" s="73"/>
      <c r="AT5785" s="67"/>
      <c r="AU5785" s="67"/>
      <c r="AV5785" s="73"/>
      <c r="AW5785" s="68"/>
      <c r="AX5785" s="68"/>
      <c r="AY5785" s="68"/>
      <c r="AZ5785" s="68"/>
      <c r="BA5785" s="68"/>
      <c r="BB5785" s="67"/>
      <c r="BC5785" s="67"/>
      <c r="BD5785" s="67"/>
      <c r="BE5785" s="67"/>
      <c r="BF5785" s="95"/>
    </row>
    <row r="5786" spans="42:58" x14ac:dyDescent="0.35">
      <c r="AP5786" s="93"/>
      <c r="AQ5786" s="31"/>
      <c r="AR5786" s="31"/>
      <c r="AS5786" s="94"/>
      <c r="AT5786" s="31"/>
      <c r="AU5786" s="31"/>
      <c r="AV5786" s="94"/>
      <c r="AW5786" s="32"/>
      <c r="AX5786" s="32"/>
      <c r="AY5786" s="32"/>
      <c r="AZ5786" s="32"/>
      <c r="BA5786" s="32"/>
      <c r="BB5786" s="31"/>
      <c r="BC5786" s="31"/>
      <c r="BD5786" s="31"/>
      <c r="BE5786" s="31"/>
      <c r="BF5786" s="96"/>
    </row>
    <row r="5787" spans="42:58" x14ac:dyDescent="0.35">
      <c r="AP5787" s="92"/>
      <c r="AQ5787" s="67"/>
      <c r="AR5787" s="67"/>
      <c r="AS5787" s="73"/>
      <c r="AT5787" s="67"/>
      <c r="AU5787" s="67"/>
      <c r="AV5787" s="73"/>
      <c r="AW5787" s="68"/>
      <c r="AX5787" s="68"/>
      <c r="AY5787" s="68"/>
      <c r="AZ5787" s="68"/>
      <c r="BA5787" s="68"/>
      <c r="BB5787" s="67"/>
      <c r="BC5787" s="67"/>
      <c r="BD5787" s="67"/>
      <c r="BE5787" s="67"/>
      <c r="BF5787" s="95"/>
    </row>
    <row r="5788" spans="42:58" x14ac:dyDescent="0.35">
      <c r="AP5788" s="93"/>
      <c r="AQ5788" s="31"/>
      <c r="AR5788" s="31"/>
      <c r="AS5788" s="94"/>
      <c r="AT5788" s="31"/>
      <c r="AU5788" s="31"/>
      <c r="AV5788" s="94"/>
      <c r="AW5788" s="32"/>
      <c r="AX5788" s="32"/>
      <c r="AY5788" s="32"/>
      <c r="AZ5788" s="32"/>
      <c r="BA5788" s="32"/>
      <c r="BB5788" s="31"/>
      <c r="BC5788" s="31"/>
      <c r="BD5788" s="31"/>
      <c r="BE5788" s="31"/>
      <c r="BF5788" s="96"/>
    </row>
    <row r="5789" spans="42:58" x14ac:dyDescent="0.35">
      <c r="AP5789" s="92"/>
      <c r="AQ5789" s="67"/>
      <c r="AR5789" s="67"/>
      <c r="AS5789" s="73"/>
      <c r="AT5789" s="67"/>
      <c r="AU5789" s="67"/>
      <c r="AV5789" s="73"/>
      <c r="AW5789" s="68"/>
      <c r="AX5789" s="68"/>
      <c r="AY5789" s="68"/>
      <c r="AZ5789" s="68"/>
      <c r="BA5789" s="68"/>
      <c r="BB5789" s="67"/>
      <c r="BC5789" s="67"/>
      <c r="BD5789" s="67"/>
      <c r="BE5789" s="67"/>
      <c r="BF5789" s="95"/>
    </row>
    <row r="5790" spans="42:58" x14ac:dyDescent="0.35">
      <c r="AP5790" s="93"/>
      <c r="AQ5790" s="31"/>
      <c r="AR5790" s="31"/>
      <c r="AS5790" s="94"/>
      <c r="AT5790" s="31"/>
      <c r="AU5790" s="31"/>
      <c r="AV5790" s="94"/>
      <c r="AW5790" s="32"/>
      <c r="AX5790" s="32"/>
      <c r="AY5790" s="32"/>
      <c r="AZ5790" s="32"/>
      <c r="BA5790" s="32"/>
      <c r="BB5790" s="31"/>
      <c r="BC5790" s="31"/>
      <c r="BD5790" s="31"/>
      <c r="BE5790" s="31"/>
      <c r="BF5790" s="96"/>
    </row>
    <row r="5791" spans="42:58" x14ac:dyDescent="0.35">
      <c r="AP5791" s="92"/>
      <c r="AQ5791" s="67"/>
      <c r="AR5791" s="67"/>
      <c r="AS5791" s="73"/>
      <c r="AT5791" s="67"/>
      <c r="AU5791" s="67"/>
      <c r="AV5791" s="73"/>
      <c r="AW5791" s="68"/>
      <c r="AX5791" s="68"/>
      <c r="AY5791" s="68"/>
      <c r="AZ5791" s="68"/>
      <c r="BA5791" s="68"/>
      <c r="BB5791" s="67"/>
      <c r="BC5791" s="67"/>
      <c r="BD5791" s="67"/>
      <c r="BE5791" s="67"/>
      <c r="BF5791" s="95"/>
    </row>
    <row r="5792" spans="42:58" x14ac:dyDescent="0.35">
      <c r="AP5792" s="93"/>
      <c r="AQ5792" s="31"/>
      <c r="AR5792" s="31"/>
      <c r="AS5792" s="94"/>
      <c r="AT5792" s="31"/>
      <c r="AU5792" s="31"/>
      <c r="AV5792" s="94"/>
      <c r="AW5792" s="32"/>
      <c r="AX5792" s="32"/>
      <c r="AY5792" s="32"/>
      <c r="AZ5792" s="32"/>
      <c r="BA5792" s="32"/>
      <c r="BB5792" s="31"/>
      <c r="BC5792" s="31"/>
      <c r="BD5792" s="31"/>
      <c r="BE5792" s="31"/>
      <c r="BF5792" s="96"/>
    </row>
    <row r="5793" spans="42:58" x14ac:dyDescent="0.35">
      <c r="AP5793" s="92"/>
      <c r="AQ5793" s="67"/>
      <c r="AR5793" s="67"/>
      <c r="AS5793" s="73"/>
      <c r="AT5793" s="67"/>
      <c r="AU5793" s="67"/>
      <c r="AV5793" s="73"/>
      <c r="AW5793" s="68"/>
      <c r="AX5793" s="68"/>
      <c r="AY5793" s="68"/>
      <c r="AZ5793" s="68"/>
      <c r="BA5793" s="68"/>
      <c r="BB5793" s="67"/>
      <c r="BC5793" s="67"/>
      <c r="BD5793" s="67"/>
      <c r="BE5793" s="67"/>
      <c r="BF5793" s="95"/>
    </row>
    <row r="5794" spans="42:58" x14ac:dyDescent="0.35">
      <c r="AP5794" s="93"/>
      <c r="AQ5794" s="31"/>
      <c r="AR5794" s="31"/>
      <c r="AS5794" s="94"/>
      <c r="AT5794" s="31"/>
      <c r="AU5794" s="31"/>
      <c r="AV5794" s="94"/>
      <c r="AW5794" s="32"/>
      <c r="AX5794" s="32"/>
      <c r="AY5794" s="32"/>
      <c r="AZ5794" s="32"/>
      <c r="BA5794" s="32"/>
      <c r="BB5794" s="31"/>
      <c r="BC5794" s="31"/>
      <c r="BD5794" s="31"/>
      <c r="BE5794" s="31"/>
      <c r="BF5794" s="96"/>
    </row>
    <row r="5795" spans="42:58" x14ac:dyDescent="0.35">
      <c r="AP5795" s="92"/>
      <c r="AQ5795" s="67"/>
      <c r="AR5795" s="67"/>
      <c r="AS5795" s="73"/>
      <c r="AT5795" s="67"/>
      <c r="AU5795" s="67"/>
      <c r="AV5795" s="73"/>
      <c r="AW5795" s="68"/>
      <c r="AX5795" s="68"/>
      <c r="AY5795" s="68"/>
      <c r="AZ5795" s="68"/>
      <c r="BA5795" s="68"/>
      <c r="BB5795" s="67"/>
      <c r="BC5795" s="67"/>
      <c r="BD5795" s="67"/>
      <c r="BE5795" s="67"/>
      <c r="BF5795" s="95"/>
    </row>
    <row r="5796" spans="42:58" x14ac:dyDescent="0.35">
      <c r="AP5796" s="93"/>
      <c r="AQ5796" s="31"/>
      <c r="AR5796" s="31"/>
      <c r="AS5796" s="94"/>
      <c r="AT5796" s="31"/>
      <c r="AU5796" s="31"/>
      <c r="AV5796" s="94"/>
      <c r="AW5796" s="32"/>
      <c r="AX5796" s="32"/>
      <c r="AY5796" s="32"/>
      <c r="AZ5796" s="32"/>
      <c r="BA5796" s="32"/>
      <c r="BB5796" s="31"/>
      <c r="BC5796" s="31"/>
      <c r="BD5796" s="31"/>
      <c r="BE5796" s="31"/>
      <c r="BF5796" s="96"/>
    </row>
    <row r="5797" spans="42:58" x14ac:dyDescent="0.35">
      <c r="AP5797" s="92"/>
      <c r="AQ5797" s="67"/>
      <c r="AR5797" s="67"/>
      <c r="AS5797" s="73"/>
      <c r="AT5797" s="67"/>
      <c r="AU5797" s="67"/>
      <c r="AV5797" s="73"/>
      <c r="AW5797" s="68"/>
      <c r="AX5797" s="68"/>
      <c r="AY5797" s="68"/>
      <c r="AZ5797" s="68"/>
      <c r="BA5797" s="68"/>
      <c r="BB5797" s="67"/>
      <c r="BC5797" s="67"/>
      <c r="BD5797" s="67"/>
      <c r="BE5797" s="67"/>
      <c r="BF5797" s="95"/>
    </row>
    <row r="5798" spans="42:58" x14ac:dyDescent="0.35">
      <c r="AP5798" s="93"/>
      <c r="AQ5798" s="31"/>
      <c r="AR5798" s="31"/>
      <c r="AS5798" s="94"/>
      <c r="AT5798" s="31"/>
      <c r="AU5798" s="31"/>
      <c r="AV5798" s="94"/>
      <c r="AW5798" s="32"/>
      <c r="AX5798" s="32"/>
      <c r="AY5798" s="32"/>
      <c r="AZ5798" s="32"/>
      <c r="BA5798" s="32"/>
      <c r="BB5798" s="31"/>
      <c r="BC5798" s="31"/>
      <c r="BD5798" s="31"/>
      <c r="BE5798" s="31"/>
      <c r="BF5798" s="96"/>
    </row>
    <row r="5799" spans="42:58" x14ac:dyDescent="0.35">
      <c r="AP5799" s="92"/>
      <c r="AQ5799" s="67"/>
      <c r="AR5799" s="67"/>
      <c r="AS5799" s="73"/>
      <c r="AT5799" s="67"/>
      <c r="AU5799" s="67"/>
      <c r="AV5799" s="73"/>
      <c r="AW5799" s="68"/>
      <c r="AX5799" s="68"/>
      <c r="AY5799" s="68"/>
      <c r="AZ5799" s="68"/>
      <c r="BA5799" s="68"/>
      <c r="BB5799" s="67"/>
      <c r="BC5799" s="67"/>
      <c r="BD5799" s="67"/>
      <c r="BE5799" s="67"/>
      <c r="BF5799" s="95"/>
    </row>
    <row r="5800" spans="42:58" x14ac:dyDescent="0.35">
      <c r="AP5800" s="93"/>
      <c r="AQ5800" s="31"/>
      <c r="AR5800" s="31"/>
      <c r="AS5800" s="94"/>
      <c r="AT5800" s="31"/>
      <c r="AU5800" s="31"/>
      <c r="AV5800" s="94"/>
      <c r="AW5800" s="32"/>
      <c r="AX5800" s="32"/>
      <c r="AY5800" s="32"/>
      <c r="AZ5800" s="32"/>
      <c r="BA5800" s="32"/>
      <c r="BB5800" s="31"/>
      <c r="BC5800" s="31"/>
      <c r="BD5800" s="31"/>
      <c r="BE5800" s="31"/>
      <c r="BF5800" s="96"/>
    </row>
    <row r="5801" spans="42:58" x14ac:dyDescent="0.35">
      <c r="AP5801" s="92"/>
      <c r="AQ5801" s="67"/>
      <c r="AR5801" s="67"/>
      <c r="AS5801" s="73"/>
      <c r="AT5801" s="67"/>
      <c r="AU5801" s="67"/>
      <c r="AV5801" s="73"/>
      <c r="AW5801" s="68"/>
      <c r="AX5801" s="68"/>
      <c r="AY5801" s="68"/>
      <c r="AZ5801" s="68"/>
      <c r="BA5801" s="68"/>
      <c r="BB5801" s="67"/>
      <c r="BC5801" s="67"/>
      <c r="BD5801" s="67"/>
      <c r="BE5801" s="67"/>
      <c r="BF5801" s="95"/>
    </row>
    <row r="5802" spans="42:58" x14ac:dyDescent="0.35">
      <c r="AP5802" s="93"/>
      <c r="AQ5802" s="31"/>
      <c r="AR5802" s="31"/>
      <c r="AS5802" s="94"/>
      <c r="AT5802" s="31"/>
      <c r="AU5802" s="31"/>
      <c r="AV5802" s="94"/>
      <c r="AW5802" s="32"/>
      <c r="AX5802" s="32"/>
      <c r="AY5802" s="32"/>
      <c r="AZ5802" s="32"/>
      <c r="BA5802" s="32"/>
      <c r="BB5802" s="31"/>
      <c r="BC5802" s="31"/>
      <c r="BD5802" s="31"/>
      <c r="BE5802" s="31"/>
      <c r="BF5802" s="96"/>
    </row>
    <row r="5803" spans="42:58" x14ac:dyDescent="0.35">
      <c r="AP5803" s="92"/>
      <c r="AQ5803" s="67"/>
      <c r="AR5803" s="67"/>
      <c r="AS5803" s="73"/>
      <c r="AT5803" s="67"/>
      <c r="AU5803" s="67"/>
      <c r="AV5803" s="73"/>
      <c r="AW5803" s="68"/>
      <c r="AX5803" s="68"/>
      <c r="AY5803" s="68"/>
      <c r="AZ5803" s="68"/>
      <c r="BA5803" s="68"/>
      <c r="BB5803" s="67"/>
      <c r="BC5803" s="67"/>
      <c r="BD5803" s="67"/>
      <c r="BE5803" s="67"/>
      <c r="BF5803" s="95"/>
    </row>
    <row r="5804" spans="42:58" x14ac:dyDescent="0.35">
      <c r="AP5804" s="93"/>
      <c r="AQ5804" s="31"/>
      <c r="AR5804" s="31"/>
      <c r="AS5804" s="94"/>
      <c r="AT5804" s="31"/>
      <c r="AU5804" s="31"/>
      <c r="AV5804" s="94"/>
      <c r="AW5804" s="32"/>
      <c r="AX5804" s="32"/>
      <c r="AY5804" s="32"/>
      <c r="AZ5804" s="32"/>
      <c r="BA5804" s="32"/>
      <c r="BB5804" s="31"/>
      <c r="BC5804" s="31"/>
      <c r="BD5804" s="31"/>
      <c r="BE5804" s="31"/>
      <c r="BF5804" s="96"/>
    </row>
    <row r="5805" spans="42:58" x14ac:dyDescent="0.35">
      <c r="AP5805" s="92"/>
      <c r="AQ5805" s="67"/>
      <c r="AR5805" s="67"/>
      <c r="AS5805" s="73"/>
      <c r="AT5805" s="67"/>
      <c r="AU5805" s="67"/>
      <c r="AV5805" s="73"/>
      <c r="AW5805" s="68"/>
      <c r="AX5805" s="68"/>
      <c r="AY5805" s="68"/>
      <c r="AZ5805" s="68"/>
      <c r="BA5805" s="68"/>
      <c r="BB5805" s="67"/>
      <c r="BC5805" s="67"/>
      <c r="BD5805" s="67"/>
      <c r="BE5805" s="67"/>
      <c r="BF5805" s="95"/>
    </row>
    <row r="5806" spans="42:58" x14ac:dyDescent="0.35">
      <c r="AP5806" s="92"/>
      <c r="AQ5806" s="67"/>
      <c r="AR5806" s="67"/>
      <c r="AS5806" s="73"/>
      <c r="AT5806" s="67"/>
      <c r="AU5806" s="67"/>
      <c r="AV5806" s="73"/>
      <c r="AW5806" s="68"/>
      <c r="AX5806" s="68"/>
      <c r="AY5806" s="68"/>
      <c r="AZ5806" s="68"/>
      <c r="BA5806" s="68"/>
      <c r="BB5806" s="67"/>
      <c r="BC5806" s="67"/>
      <c r="BD5806" s="67"/>
      <c r="BE5806" s="67"/>
      <c r="BF5806" s="95"/>
    </row>
    <row r="5807" spans="42:58" x14ac:dyDescent="0.35">
      <c r="AP5807" s="93"/>
      <c r="AQ5807" s="31"/>
      <c r="AR5807" s="31"/>
      <c r="AS5807" s="94"/>
      <c r="AT5807" s="31"/>
      <c r="AU5807" s="31"/>
      <c r="AV5807" s="94"/>
      <c r="AW5807" s="32"/>
      <c r="AX5807" s="32"/>
      <c r="AY5807" s="32"/>
      <c r="AZ5807" s="32"/>
      <c r="BA5807" s="32"/>
      <c r="BB5807" s="31"/>
      <c r="BC5807" s="31"/>
      <c r="BD5807" s="31"/>
      <c r="BE5807" s="31"/>
      <c r="BF5807" s="96"/>
    </row>
    <row r="5808" spans="42:58" x14ac:dyDescent="0.35">
      <c r="AP5808" s="92"/>
      <c r="AQ5808" s="67"/>
      <c r="AR5808" s="67"/>
      <c r="AS5808" s="73"/>
      <c r="AT5808" s="67"/>
      <c r="AU5808" s="67"/>
      <c r="AV5808" s="73"/>
      <c r="AW5808" s="68"/>
      <c r="AX5808" s="68"/>
      <c r="AY5808" s="68"/>
      <c r="AZ5808" s="68"/>
      <c r="BA5808" s="68"/>
      <c r="BB5808" s="67"/>
      <c r="BC5808" s="67"/>
      <c r="BD5808" s="67"/>
      <c r="BE5808" s="67"/>
      <c r="BF5808" s="95"/>
    </row>
    <row r="5809" spans="42:58" x14ac:dyDescent="0.35">
      <c r="AP5809" s="93"/>
      <c r="AQ5809" s="31"/>
      <c r="AR5809" s="31"/>
      <c r="AS5809" s="94"/>
      <c r="AT5809" s="31"/>
      <c r="AU5809" s="31"/>
      <c r="AV5809" s="94"/>
      <c r="AW5809" s="32"/>
      <c r="AX5809" s="32"/>
      <c r="AY5809" s="32"/>
      <c r="AZ5809" s="32"/>
      <c r="BA5809" s="32"/>
      <c r="BB5809" s="31"/>
      <c r="BC5809" s="31"/>
      <c r="BD5809" s="31"/>
      <c r="BE5809" s="31"/>
      <c r="BF5809" s="96"/>
    </row>
    <row r="5810" spans="42:58" x14ac:dyDescent="0.35">
      <c r="AP5810" s="92"/>
      <c r="AQ5810" s="67"/>
      <c r="AR5810" s="67"/>
      <c r="AS5810" s="73"/>
      <c r="AT5810" s="67"/>
      <c r="AU5810" s="67"/>
      <c r="AV5810" s="73"/>
      <c r="AW5810" s="68"/>
      <c r="AX5810" s="68"/>
      <c r="AY5810" s="68"/>
      <c r="AZ5810" s="68"/>
      <c r="BA5810" s="68"/>
      <c r="BB5810" s="67"/>
      <c r="BC5810" s="67"/>
      <c r="BD5810" s="67"/>
      <c r="BE5810" s="67"/>
      <c r="BF5810" s="95"/>
    </row>
    <row r="5811" spans="42:58" x14ac:dyDescent="0.35">
      <c r="AP5811" s="93"/>
      <c r="AQ5811" s="31"/>
      <c r="AR5811" s="31"/>
      <c r="AS5811" s="94"/>
      <c r="AT5811" s="31"/>
      <c r="AU5811" s="31"/>
      <c r="AV5811" s="94"/>
      <c r="AW5811" s="32"/>
      <c r="AX5811" s="32"/>
      <c r="AY5811" s="32"/>
      <c r="AZ5811" s="32"/>
      <c r="BA5811" s="32"/>
      <c r="BB5811" s="31"/>
      <c r="BC5811" s="31"/>
      <c r="BD5811" s="31"/>
      <c r="BE5811" s="31"/>
      <c r="BF5811" s="96"/>
    </row>
    <row r="5812" spans="42:58" x14ac:dyDescent="0.35">
      <c r="AP5812" s="92"/>
      <c r="AQ5812" s="67"/>
      <c r="AR5812" s="67"/>
      <c r="AS5812" s="73"/>
      <c r="AT5812" s="67"/>
      <c r="AU5812" s="67"/>
      <c r="AV5812" s="73"/>
      <c r="AW5812" s="68"/>
      <c r="AX5812" s="68"/>
      <c r="AY5812" s="68"/>
      <c r="AZ5812" s="68"/>
      <c r="BA5812" s="68"/>
      <c r="BB5812" s="67"/>
      <c r="BC5812" s="67"/>
      <c r="BD5812" s="67"/>
      <c r="BE5812" s="67"/>
      <c r="BF5812" s="95"/>
    </row>
    <row r="5813" spans="42:58" x14ac:dyDescent="0.35">
      <c r="AP5813" s="93"/>
      <c r="AQ5813" s="31"/>
      <c r="AR5813" s="31"/>
      <c r="AS5813" s="94"/>
      <c r="AT5813" s="31"/>
      <c r="AU5813" s="31"/>
      <c r="AV5813" s="94"/>
      <c r="AW5813" s="32"/>
      <c r="AX5813" s="32"/>
      <c r="AY5813" s="32"/>
      <c r="AZ5813" s="32"/>
      <c r="BA5813" s="32"/>
      <c r="BB5813" s="31"/>
      <c r="BC5813" s="31"/>
      <c r="BD5813" s="31"/>
      <c r="BE5813" s="31"/>
      <c r="BF5813" s="96"/>
    </row>
    <row r="5814" spans="42:58" x14ac:dyDescent="0.35">
      <c r="AP5814" s="92"/>
      <c r="AQ5814" s="67"/>
      <c r="AR5814" s="67"/>
      <c r="AS5814" s="73"/>
      <c r="AT5814" s="67"/>
      <c r="AU5814" s="67"/>
      <c r="AV5814" s="73"/>
      <c r="AW5814" s="68"/>
      <c r="AX5814" s="68"/>
      <c r="AY5814" s="68"/>
      <c r="AZ5814" s="68"/>
      <c r="BA5814" s="68"/>
      <c r="BB5814" s="67"/>
      <c r="BC5814" s="67"/>
      <c r="BD5814" s="67"/>
      <c r="BE5814" s="67"/>
      <c r="BF5814" s="95"/>
    </row>
    <row r="5815" spans="42:58" x14ac:dyDescent="0.35">
      <c r="AP5815" s="93"/>
      <c r="AQ5815" s="31"/>
      <c r="AR5815" s="31"/>
      <c r="AS5815" s="94"/>
      <c r="AT5815" s="31"/>
      <c r="AU5815" s="31"/>
      <c r="AV5815" s="94"/>
      <c r="AW5815" s="32"/>
      <c r="AX5815" s="32"/>
      <c r="AY5815" s="32"/>
      <c r="AZ5815" s="32"/>
      <c r="BA5815" s="32"/>
      <c r="BB5815" s="31"/>
      <c r="BC5815" s="31"/>
      <c r="BD5815" s="31"/>
      <c r="BE5815" s="31"/>
      <c r="BF5815" s="96"/>
    </row>
    <row r="5816" spans="42:58" x14ac:dyDescent="0.35">
      <c r="AP5816" s="92"/>
      <c r="AQ5816" s="67"/>
      <c r="AR5816" s="67"/>
      <c r="AS5816" s="73"/>
      <c r="AT5816" s="67"/>
      <c r="AU5816" s="67"/>
      <c r="AV5816" s="73"/>
      <c r="AW5816" s="68"/>
      <c r="AX5816" s="68"/>
      <c r="AY5816" s="68"/>
      <c r="AZ5816" s="68"/>
      <c r="BA5816" s="68"/>
      <c r="BB5816" s="67"/>
      <c r="BC5816" s="67"/>
      <c r="BD5816" s="67"/>
      <c r="BE5816" s="67"/>
      <c r="BF5816" s="95"/>
    </row>
    <row r="5817" spans="42:58" x14ac:dyDescent="0.35">
      <c r="AP5817" s="93"/>
      <c r="AQ5817" s="31"/>
      <c r="AR5817" s="31"/>
      <c r="AS5817" s="94"/>
      <c r="AT5817" s="31"/>
      <c r="AU5817" s="31"/>
      <c r="AV5817" s="94"/>
      <c r="AW5817" s="32"/>
      <c r="AX5817" s="32"/>
      <c r="AY5817" s="32"/>
      <c r="AZ5817" s="32"/>
      <c r="BA5817" s="32"/>
      <c r="BB5817" s="31"/>
      <c r="BC5817" s="31"/>
      <c r="BD5817" s="31"/>
      <c r="BE5817" s="31"/>
      <c r="BF5817" s="96"/>
    </row>
    <row r="5818" spans="42:58" x14ac:dyDescent="0.35">
      <c r="AP5818" s="92"/>
      <c r="AQ5818" s="67"/>
      <c r="AR5818" s="67"/>
      <c r="AS5818" s="73"/>
      <c r="AT5818" s="67"/>
      <c r="AU5818" s="67"/>
      <c r="AV5818" s="73"/>
      <c r="AW5818" s="68"/>
      <c r="AX5818" s="68"/>
      <c r="AY5818" s="68"/>
      <c r="AZ5818" s="68"/>
      <c r="BA5818" s="68"/>
      <c r="BB5818" s="67"/>
      <c r="BC5818" s="67"/>
      <c r="BD5818" s="67"/>
      <c r="BE5818" s="67"/>
      <c r="BF5818" s="95"/>
    </row>
    <row r="5819" spans="42:58" x14ac:dyDescent="0.35">
      <c r="AP5819" s="93"/>
      <c r="AQ5819" s="31"/>
      <c r="AR5819" s="31"/>
      <c r="AS5819" s="94"/>
      <c r="AT5819" s="31"/>
      <c r="AU5819" s="31"/>
      <c r="AV5819" s="94"/>
      <c r="AW5819" s="32"/>
      <c r="AX5819" s="32"/>
      <c r="AY5819" s="32"/>
      <c r="AZ5819" s="32"/>
      <c r="BA5819" s="32"/>
      <c r="BB5819" s="31"/>
      <c r="BC5819" s="31"/>
      <c r="BD5819" s="31"/>
      <c r="BE5819" s="31"/>
      <c r="BF5819" s="96"/>
    </row>
    <row r="5820" spans="42:58" x14ac:dyDescent="0.35">
      <c r="AP5820" s="92"/>
      <c r="AQ5820" s="67"/>
      <c r="AR5820" s="67"/>
      <c r="AS5820" s="73"/>
      <c r="AT5820" s="67"/>
      <c r="AU5820" s="67"/>
      <c r="AV5820" s="73"/>
      <c r="AW5820" s="68"/>
      <c r="AX5820" s="68"/>
      <c r="AY5820" s="68"/>
      <c r="AZ5820" s="68"/>
      <c r="BA5820" s="68"/>
      <c r="BB5820" s="67"/>
      <c r="BC5820" s="67"/>
      <c r="BD5820" s="67"/>
      <c r="BE5820" s="67"/>
      <c r="BF5820" s="95"/>
    </row>
    <row r="5821" spans="42:58" x14ac:dyDescent="0.35">
      <c r="AP5821" s="93"/>
      <c r="AQ5821" s="31"/>
      <c r="AR5821" s="31"/>
      <c r="AS5821" s="94"/>
      <c r="AT5821" s="31"/>
      <c r="AU5821" s="31"/>
      <c r="AV5821" s="94"/>
      <c r="AW5821" s="32"/>
      <c r="AX5821" s="32"/>
      <c r="AY5821" s="32"/>
      <c r="AZ5821" s="32"/>
      <c r="BA5821" s="32"/>
      <c r="BB5821" s="31"/>
      <c r="BC5821" s="31"/>
      <c r="BD5821" s="31"/>
      <c r="BE5821" s="31"/>
      <c r="BF5821" s="96"/>
    </row>
    <row r="5822" spans="42:58" x14ac:dyDescent="0.35">
      <c r="AP5822" s="92"/>
      <c r="AQ5822" s="67"/>
      <c r="AR5822" s="67"/>
      <c r="AS5822" s="73"/>
      <c r="AT5822" s="67"/>
      <c r="AU5822" s="67"/>
      <c r="AV5822" s="73"/>
      <c r="AW5822" s="68"/>
      <c r="AX5822" s="68"/>
      <c r="AY5822" s="68"/>
      <c r="AZ5822" s="68"/>
      <c r="BA5822" s="68"/>
      <c r="BB5822" s="67"/>
      <c r="BC5822" s="67"/>
      <c r="BD5822" s="67"/>
      <c r="BE5822" s="67"/>
      <c r="BF5822" s="95"/>
    </row>
    <row r="5823" spans="42:58" x14ac:dyDescent="0.35">
      <c r="AP5823" s="93"/>
      <c r="AQ5823" s="31"/>
      <c r="AR5823" s="31"/>
      <c r="AS5823" s="94"/>
      <c r="AT5823" s="31"/>
      <c r="AU5823" s="31"/>
      <c r="AV5823" s="94"/>
      <c r="AW5823" s="32"/>
      <c r="AX5823" s="32"/>
      <c r="AY5823" s="32"/>
      <c r="AZ5823" s="32"/>
      <c r="BA5823" s="32"/>
      <c r="BB5823" s="31"/>
      <c r="BC5823" s="31"/>
      <c r="BD5823" s="31"/>
      <c r="BE5823" s="31"/>
      <c r="BF5823" s="96"/>
    </row>
    <row r="5824" spans="42:58" x14ac:dyDescent="0.35">
      <c r="AP5824" s="92"/>
      <c r="AQ5824" s="67"/>
      <c r="AR5824" s="67"/>
      <c r="AS5824" s="73"/>
      <c r="AT5824" s="67"/>
      <c r="AU5824" s="67"/>
      <c r="AV5824" s="73"/>
      <c r="AW5824" s="68"/>
      <c r="AX5824" s="68"/>
      <c r="AY5824" s="68"/>
      <c r="AZ5824" s="68"/>
      <c r="BA5824" s="68"/>
      <c r="BB5824" s="67"/>
      <c r="BC5824" s="67"/>
      <c r="BD5824" s="67"/>
      <c r="BE5824" s="67"/>
      <c r="BF5824" s="95"/>
    </row>
    <row r="5825" spans="42:58" x14ac:dyDescent="0.35">
      <c r="AP5825" s="93"/>
      <c r="AQ5825" s="31"/>
      <c r="AR5825" s="31"/>
      <c r="AS5825" s="94"/>
      <c r="AT5825" s="31"/>
      <c r="AU5825" s="31"/>
      <c r="AV5825" s="94"/>
      <c r="AW5825" s="32"/>
      <c r="AX5825" s="32"/>
      <c r="AY5825" s="32"/>
      <c r="AZ5825" s="32"/>
      <c r="BA5825" s="32"/>
      <c r="BB5825" s="31"/>
      <c r="BC5825" s="31"/>
      <c r="BD5825" s="31"/>
      <c r="BE5825" s="31"/>
      <c r="BF5825" s="96"/>
    </row>
    <row r="5826" spans="42:58" x14ac:dyDescent="0.35">
      <c r="AP5826" s="92"/>
      <c r="AQ5826" s="67"/>
      <c r="AR5826" s="67"/>
      <c r="AS5826" s="73"/>
      <c r="AT5826" s="67"/>
      <c r="AU5826" s="67"/>
      <c r="AV5826" s="73"/>
      <c r="AW5826" s="68"/>
      <c r="AX5826" s="68"/>
      <c r="AY5826" s="68"/>
      <c r="AZ5826" s="68"/>
      <c r="BA5826" s="68"/>
      <c r="BB5826" s="67"/>
      <c r="BC5826" s="67"/>
      <c r="BD5826" s="67"/>
      <c r="BE5826" s="67"/>
      <c r="BF5826" s="95"/>
    </row>
    <row r="5827" spans="42:58" x14ac:dyDescent="0.35">
      <c r="AP5827" s="93"/>
      <c r="AQ5827" s="31"/>
      <c r="AR5827" s="31"/>
      <c r="AS5827" s="94"/>
      <c r="AT5827" s="31"/>
      <c r="AU5827" s="31"/>
      <c r="AV5827" s="94"/>
      <c r="AW5827" s="32"/>
      <c r="AX5827" s="32"/>
      <c r="AY5827" s="32"/>
      <c r="AZ5827" s="32"/>
      <c r="BA5827" s="32"/>
      <c r="BB5827" s="31"/>
      <c r="BC5827" s="31"/>
      <c r="BD5827" s="31"/>
      <c r="BE5827" s="31"/>
      <c r="BF5827" s="96"/>
    </row>
    <row r="5828" spans="42:58" x14ac:dyDescent="0.35">
      <c r="AP5828" s="92"/>
      <c r="AQ5828" s="67"/>
      <c r="AR5828" s="67"/>
      <c r="AS5828" s="73"/>
      <c r="AT5828" s="67"/>
      <c r="AU5828" s="67"/>
      <c r="AV5828" s="73"/>
      <c r="AW5828" s="68"/>
      <c r="AX5828" s="68"/>
      <c r="AY5828" s="68"/>
      <c r="AZ5828" s="68"/>
      <c r="BA5828" s="68"/>
      <c r="BB5828" s="67"/>
      <c r="BC5828" s="67"/>
      <c r="BD5828" s="67"/>
      <c r="BE5828" s="67"/>
      <c r="BF5828" s="95"/>
    </row>
    <row r="5829" spans="42:58" x14ac:dyDescent="0.35">
      <c r="AP5829" s="93"/>
      <c r="AQ5829" s="31"/>
      <c r="AR5829" s="31"/>
      <c r="AS5829" s="94"/>
      <c r="AT5829" s="31"/>
      <c r="AU5829" s="31"/>
      <c r="AV5829" s="94"/>
      <c r="AW5829" s="32"/>
      <c r="AX5829" s="32"/>
      <c r="AY5829" s="32"/>
      <c r="AZ5829" s="32"/>
      <c r="BA5829" s="32"/>
      <c r="BB5829" s="31"/>
      <c r="BC5829" s="31"/>
      <c r="BD5829" s="31"/>
      <c r="BE5829" s="31"/>
      <c r="BF5829" s="96"/>
    </row>
    <row r="5830" spans="42:58" x14ac:dyDescent="0.35">
      <c r="AP5830" s="92"/>
      <c r="AQ5830" s="67"/>
      <c r="AR5830" s="67"/>
      <c r="AS5830" s="73"/>
      <c r="AT5830" s="67"/>
      <c r="AU5830" s="67"/>
      <c r="AV5830" s="73"/>
      <c r="AW5830" s="68"/>
      <c r="AX5830" s="68"/>
      <c r="AY5830" s="68"/>
      <c r="AZ5830" s="68"/>
      <c r="BA5830" s="68"/>
      <c r="BB5830" s="67"/>
      <c r="BC5830" s="67"/>
      <c r="BD5830" s="67"/>
      <c r="BE5830" s="67"/>
      <c r="BF5830" s="95"/>
    </row>
    <row r="5831" spans="42:58" x14ac:dyDescent="0.35">
      <c r="AP5831" s="93"/>
      <c r="AQ5831" s="31"/>
      <c r="AR5831" s="31"/>
      <c r="AS5831" s="94"/>
      <c r="AT5831" s="31"/>
      <c r="AU5831" s="31"/>
      <c r="AV5831" s="94"/>
      <c r="AW5831" s="32"/>
      <c r="AX5831" s="32"/>
      <c r="AY5831" s="32"/>
      <c r="AZ5831" s="32"/>
      <c r="BA5831" s="32"/>
      <c r="BB5831" s="31"/>
      <c r="BC5831" s="31"/>
      <c r="BD5831" s="31"/>
      <c r="BE5831" s="31"/>
      <c r="BF5831" s="96"/>
    </row>
    <row r="5832" spans="42:58" x14ac:dyDescent="0.35">
      <c r="AP5832" s="92"/>
      <c r="AQ5832" s="67"/>
      <c r="AR5832" s="67"/>
      <c r="AS5832" s="73"/>
      <c r="AT5832" s="67"/>
      <c r="AU5832" s="67"/>
      <c r="AV5832" s="73"/>
      <c r="AW5832" s="68"/>
      <c r="AX5832" s="68"/>
      <c r="AY5832" s="68"/>
      <c r="AZ5832" s="68"/>
      <c r="BA5832" s="68"/>
      <c r="BB5832" s="67"/>
      <c r="BC5832" s="67"/>
      <c r="BD5832" s="67"/>
      <c r="BE5832" s="67"/>
      <c r="BF5832" s="95"/>
    </row>
    <row r="5833" spans="42:58" x14ac:dyDescent="0.35">
      <c r="AP5833" s="93"/>
      <c r="AQ5833" s="31"/>
      <c r="AR5833" s="31"/>
      <c r="AS5833" s="94"/>
      <c r="AT5833" s="31"/>
      <c r="AU5833" s="31"/>
      <c r="AV5833" s="94"/>
      <c r="AW5833" s="32"/>
      <c r="AX5833" s="32"/>
      <c r="AY5833" s="32"/>
      <c r="AZ5833" s="32"/>
      <c r="BA5833" s="32"/>
      <c r="BB5833" s="31"/>
      <c r="BC5833" s="31"/>
      <c r="BD5833" s="31"/>
      <c r="BE5833" s="31"/>
      <c r="BF5833" s="96"/>
    </row>
    <row r="5834" spans="42:58" x14ac:dyDescent="0.35">
      <c r="AP5834" s="92"/>
      <c r="AQ5834" s="67"/>
      <c r="AR5834" s="67"/>
      <c r="AS5834" s="73"/>
      <c r="AT5834" s="67"/>
      <c r="AU5834" s="67"/>
      <c r="AV5834" s="73"/>
      <c r="AW5834" s="68"/>
      <c r="AX5834" s="68"/>
      <c r="AY5834" s="68"/>
      <c r="AZ5834" s="68"/>
      <c r="BA5834" s="68"/>
      <c r="BB5834" s="67"/>
      <c r="BC5834" s="67"/>
      <c r="BD5834" s="67"/>
      <c r="BE5834" s="67"/>
      <c r="BF5834" s="95"/>
    </row>
    <row r="5835" spans="42:58" x14ac:dyDescent="0.35">
      <c r="AP5835" s="93"/>
      <c r="AQ5835" s="31"/>
      <c r="AR5835" s="31"/>
      <c r="AS5835" s="94"/>
      <c r="AT5835" s="31"/>
      <c r="AU5835" s="31"/>
      <c r="AV5835" s="94"/>
      <c r="AW5835" s="32"/>
      <c r="AX5835" s="32"/>
      <c r="AY5835" s="32"/>
      <c r="AZ5835" s="32"/>
      <c r="BA5835" s="32"/>
      <c r="BB5835" s="31"/>
      <c r="BC5835" s="31"/>
      <c r="BD5835" s="31"/>
      <c r="BE5835" s="31"/>
      <c r="BF5835" s="96"/>
    </row>
    <row r="5836" spans="42:58" x14ac:dyDescent="0.35">
      <c r="AP5836" s="92"/>
      <c r="AQ5836" s="67"/>
      <c r="AR5836" s="67"/>
      <c r="AS5836" s="73"/>
      <c r="AT5836" s="67"/>
      <c r="AU5836" s="67"/>
      <c r="AV5836" s="73"/>
      <c r="AW5836" s="68"/>
      <c r="AX5836" s="68"/>
      <c r="AY5836" s="68"/>
      <c r="AZ5836" s="68"/>
      <c r="BA5836" s="68"/>
      <c r="BB5836" s="67"/>
      <c r="BC5836" s="67"/>
      <c r="BD5836" s="67"/>
      <c r="BE5836" s="67"/>
      <c r="BF5836" s="95"/>
    </row>
    <row r="5837" spans="42:58" x14ac:dyDescent="0.35">
      <c r="AP5837" s="93"/>
      <c r="AQ5837" s="31"/>
      <c r="AR5837" s="31"/>
      <c r="AS5837" s="94"/>
      <c r="AT5837" s="31"/>
      <c r="AU5837" s="31"/>
      <c r="AV5837" s="94"/>
      <c r="AW5837" s="32"/>
      <c r="AX5837" s="32"/>
      <c r="AY5837" s="32"/>
      <c r="AZ5837" s="32"/>
      <c r="BA5837" s="32"/>
      <c r="BB5837" s="31"/>
      <c r="BC5837" s="31"/>
      <c r="BD5837" s="31"/>
      <c r="BE5837" s="31"/>
      <c r="BF5837" s="96"/>
    </row>
    <row r="5838" spans="42:58" x14ac:dyDescent="0.35">
      <c r="AP5838" s="92"/>
      <c r="AQ5838" s="67"/>
      <c r="AR5838" s="67"/>
      <c r="AS5838" s="73"/>
      <c r="AT5838" s="67"/>
      <c r="AU5838" s="67"/>
      <c r="AV5838" s="73"/>
      <c r="AW5838" s="68"/>
      <c r="AX5838" s="68"/>
      <c r="AY5838" s="68"/>
      <c r="AZ5838" s="68"/>
      <c r="BA5838" s="68"/>
      <c r="BB5838" s="67"/>
      <c r="BC5838" s="67"/>
      <c r="BD5838" s="67"/>
      <c r="BE5838" s="67"/>
      <c r="BF5838" s="95"/>
    </row>
    <row r="5839" spans="42:58" x14ac:dyDescent="0.35">
      <c r="AP5839" s="93"/>
      <c r="AQ5839" s="31"/>
      <c r="AR5839" s="31"/>
      <c r="AS5839" s="94"/>
      <c r="AT5839" s="31"/>
      <c r="AU5839" s="31"/>
      <c r="AV5839" s="94"/>
      <c r="AW5839" s="32"/>
      <c r="AX5839" s="32"/>
      <c r="AY5839" s="32"/>
      <c r="AZ5839" s="32"/>
      <c r="BA5839" s="32"/>
      <c r="BB5839" s="31"/>
      <c r="BC5839" s="31"/>
      <c r="BD5839" s="31"/>
      <c r="BE5839" s="31"/>
      <c r="BF5839" s="96"/>
    </row>
    <row r="5840" spans="42:58" x14ac:dyDescent="0.35">
      <c r="AP5840" s="92"/>
      <c r="AQ5840" s="67"/>
      <c r="AR5840" s="67"/>
      <c r="AS5840" s="73"/>
      <c r="AT5840" s="67"/>
      <c r="AU5840" s="67"/>
      <c r="AV5840" s="73"/>
      <c r="AW5840" s="68"/>
      <c r="AX5840" s="68"/>
      <c r="AY5840" s="68"/>
      <c r="AZ5840" s="68"/>
      <c r="BA5840" s="68"/>
      <c r="BB5840" s="67"/>
      <c r="BC5840" s="67"/>
      <c r="BD5840" s="67"/>
      <c r="BE5840" s="67"/>
      <c r="BF5840" s="95"/>
    </row>
    <row r="5841" spans="42:58" x14ac:dyDescent="0.35">
      <c r="AP5841" s="93"/>
      <c r="AQ5841" s="31"/>
      <c r="AR5841" s="31"/>
      <c r="AS5841" s="94"/>
      <c r="AT5841" s="31"/>
      <c r="AU5841" s="31"/>
      <c r="AV5841" s="94"/>
      <c r="AW5841" s="32"/>
      <c r="AX5841" s="32"/>
      <c r="AY5841" s="32"/>
      <c r="AZ5841" s="32"/>
      <c r="BA5841" s="32"/>
      <c r="BB5841" s="31"/>
      <c r="BC5841" s="31"/>
      <c r="BD5841" s="31"/>
      <c r="BE5841" s="31"/>
      <c r="BF5841" s="96"/>
    </row>
    <row r="5842" spans="42:58" x14ac:dyDescent="0.35">
      <c r="AP5842" s="92"/>
      <c r="AQ5842" s="67"/>
      <c r="AR5842" s="67"/>
      <c r="AS5842" s="73"/>
      <c r="AT5842" s="67"/>
      <c r="AU5842" s="67"/>
      <c r="AV5842" s="73"/>
      <c r="AW5842" s="68"/>
      <c r="AX5842" s="68"/>
      <c r="AY5842" s="68"/>
      <c r="AZ5842" s="68"/>
      <c r="BA5842" s="68"/>
      <c r="BB5842" s="67"/>
      <c r="BC5842" s="67"/>
      <c r="BD5842" s="67"/>
      <c r="BE5842" s="67"/>
      <c r="BF5842" s="95"/>
    </row>
    <row r="5843" spans="42:58" x14ac:dyDescent="0.35">
      <c r="AP5843" s="93"/>
      <c r="AQ5843" s="31"/>
      <c r="AR5843" s="31"/>
      <c r="AS5843" s="94"/>
      <c r="AT5843" s="31"/>
      <c r="AU5843" s="31"/>
      <c r="AV5843" s="94"/>
      <c r="AW5843" s="32"/>
      <c r="AX5843" s="32"/>
      <c r="AY5843" s="32"/>
      <c r="AZ5843" s="32"/>
      <c r="BA5843" s="32"/>
      <c r="BB5843" s="31"/>
      <c r="BC5843" s="31"/>
      <c r="BD5843" s="31"/>
      <c r="BE5843" s="31"/>
      <c r="BF5843" s="96"/>
    </row>
    <row r="5844" spans="42:58" x14ac:dyDescent="0.35">
      <c r="AP5844" s="92"/>
      <c r="AQ5844" s="67"/>
      <c r="AR5844" s="67"/>
      <c r="AS5844" s="73"/>
      <c r="AT5844" s="67"/>
      <c r="AU5844" s="67"/>
      <c r="AV5844" s="73"/>
      <c r="AW5844" s="68"/>
      <c r="AX5844" s="68"/>
      <c r="AY5844" s="68"/>
      <c r="AZ5844" s="68"/>
      <c r="BA5844" s="68"/>
      <c r="BB5844" s="67"/>
      <c r="BC5844" s="67"/>
      <c r="BD5844" s="67"/>
      <c r="BE5844" s="67"/>
      <c r="BF5844" s="95"/>
    </row>
    <row r="5845" spans="42:58" x14ac:dyDescent="0.35">
      <c r="AP5845" s="93"/>
      <c r="AQ5845" s="31"/>
      <c r="AR5845" s="31"/>
      <c r="AS5845" s="94"/>
      <c r="AT5845" s="31"/>
      <c r="AU5845" s="31"/>
      <c r="AV5845" s="94"/>
      <c r="AW5845" s="32"/>
      <c r="AX5845" s="32"/>
      <c r="AY5845" s="32"/>
      <c r="AZ5845" s="32"/>
      <c r="BA5845" s="32"/>
      <c r="BB5845" s="31"/>
      <c r="BC5845" s="31"/>
      <c r="BD5845" s="31"/>
      <c r="BE5845" s="31"/>
      <c r="BF5845" s="96"/>
    </row>
    <row r="5846" spans="42:58" x14ac:dyDescent="0.35">
      <c r="AP5846" s="92"/>
      <c r="AQ5846" s="67"/>
      <c r="AR5846" s="67"/>
      <c r="AS5846" s="73"/>
      <c r="AT5846" s="67"/>
      <c r="AU5846" s="67"/>
      <c r="AV5846" s="73"/>
      <c r="AW5846" s="68"/>
      <c r="AX5846" s="68"/>
      <c r="AY5846" s="68"/>
      <c r="AZ5846" s="68"/>
      <c r="BA5846" s="68"/>
      <c r="BB5846" s="67"/>
      <c r="BC5846" s="67"/>
      <c r="BD5846" s="67"/>
      <c r="BE5846" s="67"/>
      <c r="BF5846" s="95"/>
    </row>
    <row r="5847" spans="42:58" x14ac:dyDescent="0.35">
      <c r="AP5847" s="93"/>
      <c r="AQ5847" s="31"/>
      <c r="AR5847" s="31"/>
      <c r="AS5847" s="94"/>
      <c r="AT5847" s="31"/>
      <c r="AU5847" s="31"/>
      <c r="AV5847" s="94"/>
      <c r="AW5847" s="32"/>
      <c r="AX5847" s="32"/>
      <c r="AY5847" s="32"/>
      <c r="AZ5847" s="32"/>
      <c r="BA5847" s="32"/>
      <c r="BB5847" s="31"/>
      <c r="BC5847" s="31"/>
      <c r="BD5847" s="31"/>
      <c r="BE5847" s="31"/>
      <c r="BF5847" s="96"/>
    </row>
    <row r="5848" spans="42:58" x14ac:dyDescent="0.35">
      <c r="AP5848" s="92"/>
      <c r="AQ5848" s="67"/>
      <c r="AR5848" s="67"/>
      <c r="AS5848" s="73"/>
      <c r="AT5848" s="67"/>
      <c r="AU5848" s="67"/>
      <c r="AV5848" s="73"/>
      <c r="AW5848" s="68"/>
      <c r="AX5848" s="68"/>
      <c r="AY5848" s="68"/>
      <c r="AZ5848" s="68"/>
      <c r="BA5848" s="68"/>
      <c r="BB5848" s="67"/>
      <c r="BC5848" s="67"/>
      <c r="BD5848" s="67"/>
      <c r="BE5848" s="67"/>
      <c r="BF5848" s="95"/>
    </row>
    <row r="5849" spans="42:58" x14ac:dyDescent="0.35">
      <c r="AP5849" s="93"/>
      <c r="AQ5849" s="31"/>
      <c r="AR5849" s="31"/>
      <c r="AS5849" s="94"/>
      <c r="AT5849" s="31"/>
      <c r="AU5849" s="31"/>
      <c r="AV5849" s="94"/>
      <c r="AW5849" s="32"/>
      <c r="AX5849" s="32"/>
      <c r="AY5849" s="32"/>
      <c r="AZ5849" s="32"/>
      <c r="BA5849" s="32"/>
      <c r="BB5849" s="31"/>
      <c r="BC5849" s="31"/>
      <c r="BD5849" s="31"/>
      <c r="BE5849" s="31"/>
      <c r="BF5849" s="96"/>
    </row>
    <row r="5850" spans="42:58" x14ac:dyDescent="0.35">
      <c r="AP5850" s="92"/>
      <c r="AQ5850" s="67"/>
      <c r="AR5850" s="67"/>
      <c r="AS5850" s="73"/>
      <c r="AT5850" s="67"/>
      <c r="AU5850" s="67"/>
      <c r="AV5850" s="73"/>
      <c r="AW5850" s="68"/>
      <c r="AX5850" s="68"/>
      <c r="AY5850" s="68"/>
      <c r="AZ5850" s="68"/>
      <c r="BA5850" s="68"/>
      <c r="BB5850" s="67"/>
      <c r="BC5850" s="67"/>
      <c r="BD5850" s="67"/>
      <c r="BE5850" s="67"/>
      <c r="BF5850" s="95"/>
    </row>
    <row r="5851" spans="42:58" x14ac:dyDescent="0.35">
      <c r="AP5851" s="93"/>
      <c r="AQ5851" s="31"/>
      <c r="AR5851" s="31"/>
      <c r="AS5851" s="94"/>
      <c r="AT5851" s="31"/>
      <c r="AU5851" s="31"/>
      <c r="AV5851" s="94"/>
      <c r="AW5851" s="32"/>
      <c r="AX5851" s="32"/>
      <c r="AY5851" s="32"/>
      <c r="AZ5851" s="32"/>
      <c r="BA5851" s="32"/>
      <c r="BB5851" s="31"/>
      <c r="BC5851" s="31"/>
      <c r="BD5851" s="31"/>
      <c r="BE5851" s="31"/>
      <c r="BF5851" s="96"/>
    </row>
    <row r="5852" spans="42:58" x14ac:dyDescent="0.35">
      <c r="AP5852" s="92"/>
      <c r="AQ5852" s="67"/>
      <c r="AR5852" s="67"/>
      <c r="AS5852" s="73"/>
      <c r="AT5852" s="67"/>
      <c r="AU5852" s="67"/>
      <c r="AV5852" s="73"/>
      <c r="AW5852" s="68"/>
      <c r="AX5852" s="68"/>
      <c r="AY5852" s="68"/>
      <c r="AZ5852" s="68"/>
      <c r="BA5852" s="68"/>
      <c r="BB5852" s="67"/>
      <c r="BC5852" s="67"/>
      <c r="BD5852" s="67"/>
      <c r="BE5852" s="67"/>
      <c r="BF5852" s="95"/>
    </row>
    <row r="5853" spans="42:58" x14ac:dyDescent="0.35">
      <c r="AP5853" s="93"/>
      <c r="AQ5853" s="31"/>
      <c r="AR5853" s="31"/>
      <c r="AS5853" s="94"/>
      <c r="AT5853" s="31"/>
      <c r="AU5853" s="31"/>
      <c r="AV5853" s="94"/>
      <c r="AW5853" s="32"/>
      <c r="AX5853" s="32"/>
      <c r="AY5853" s="32"/>
      <c r="AZ5853" s="32"/>
      <c r="BA5853" s="32"/>
      <c r="BB5853" s="31"/>
      <c r="BC5853" s="31"/>
      <c r="BD5853" s="31"/>
      <c r="BE5853" s="31"/>
      <c r="BF5853" s="96"/>
    </row>
    <row r="5854" spans="42:58" x14ac:dyDescent="0.35">
      <c r="AP5854" s="92"/>
      <c r="AQ5854" s="67"/>
      <c r="AR5854" s="67"/>
      <c r="AS5854" s="73"/>
      <c r="AT5854" s="67"/>
      <c r="AU5854" s="67"/>
      <c r="AV5854" s="73"/>
      <c r="AW5854" s="68"/>
      <c r="AX5854" s="68"/>
      <c r="AY5854" s="68"/>
      <c r="AZ5854" s="68"/>
      <c r="BA5854" s="68"/>
      <c r="BB5854" s="67"/>
      <c r="BC5854" s="67"/>
      <c r="BD5854" s="67"/>
      <c r="BE5854" s="67"/>
      <c r="BF5854" s="95"/>
    </row>
    <row r="5855" spans="42:58" x14ac:dyDescent="0.35">
      <c r="AP5855" s="93"/>
      <c r="AQ5855" s="31"/>
      <c r="AR5855" s="31"/>
      <c r="AS5855" s="94"/>
      <c r="AT5855" s="31"/>
      <c r="AU5855" s="31"/>
      <c r="AV5855" s="94"/>
      <c r="AW5855" s="32"/>
      <c r="AX5855" s="32"/>
      <c r="AY5855" s="32"/>
      <c r="AZ5855" s="32"/>
      <c r="BA5855" s="32"/>
      <c r="BB5855" s="31"/>
      <c r="BC5855" s="31"/>
      <c r="BD5855" s="31"/>
      <c r="BE5855" s="31"/>
      <c r="BF5855" s="96"/>
    </row>
    <row r="5856" spans="42:58" x14ac:dyDescent="0.35">
      <c r="AP5856" s="92"/>
      <c r="AQ5856" s="67"/>
      <c r="AR5856" s="67"/>
      <c r="AS5856" s="73"/>
      <c r="AT5856" s="67"/>
      <c r="AU5856" s="67"/>
      <c r="AV5856" s="73"/>
      <c r="AW5856" s="68"/>
      <c r="AX5856" s="68"/>
      <c r="AY5856" s="68"/>
      <c r="AZ5856" s="68"/>
      <c r="BA5856" s="68"/>
      <c r="BB5856" s="67"/>
      <c r="BC5856" s="67"/>
      <c r="BD5856" s="67"/>
      <c r="BE5856" s="67"/>
      <c r="BF5856" s="95"/>
    </row>
    <row r="5857" spans="42:58" x14ac:dyDescent="0.35">
      <c r="AP5857" s="93"/>
      <c r="AQ5857" s="31"/>
      <c r="AR5857" s="31"/>
      <c r="AS5857" s="94"/>
      <c r="AT5857" s="31"/>
      <c r="AU5857" s="31"/>
      <c r="AV5857" s="94"/>
      <c r="AW5857" s="32"/>
      <c r="AX5857" s="32"/>
      <c r="AY5857" s="32"/>
      <c r="AZ5857" s="32"/>
      <c r="BA5857" s="32"/>
      <c r="BB5857" s="31"/>
      <c r="BC5857" s="31"/>
      <c r="BD5857" s="31"/>
      <c r="BE5857" s="31"/>
      <c r="BF5857" s="96"/>
    </row>
    <row r="5858" spans="42:58" x14ac:dyDescent="0.35">
      <c r="AP5858" s="92"/>
      <c r="AQ5858" s="67"/>
      <c r="AR5858" s="67"/>
      <c r="AS5858" s="73"/>
      <c r="AT5858" s="67"/>
      <c r="AU5858" s="67"/>
      <c r="AV5858" s="73"/>
      <c r="AW5858" s="68"/>
      <c r="AX5858" s="68"/>
      <c r="AY5858" s="68"/>
      <c r="AZ5858" s="68"/>
      <c r="BA5858" s="68"/>
      <c r="BB5858" s="67"/>
      <c r="BC5858" s="67"/>
      <c r="BD5858" s="67"/>
      <c r="BE5858" s="67"/>
      <c r="BF5858" s="95"/>
    </row>
    <row r="5859" spans="42:58" x14ac:dyDescent="0.35">
      <c r="AP5859" s="93"/>
      <c r="AQ5859" s="31"/>
      <c r="AR5859" s="31"/>
      <c r="AS5859" s="94"/>
      <c r="AT5859" s="31"/>
      <c r="AU5859" s="31"/>
      <c r="AV5859" s="94"/>
      <c r="AW5859" s="32"/>
      <c r="AX5859" s="32"/>
      <c r="AY5859" s="32"/>
      <c r="AZ5859" s="32"/>
      <c r="BA5859" s="32"/>
      <c r="BB5859" s="31"/>
      <c r="BC5859" s="31"/>
      <c r="BD5859" s="31"/>
      <c r="BE5859" s="31"/>
      <c r="BF5859" s="96"/>
    </row>
    <row r="5860" spans="42:58" x14ac:dyDescent="0.35">
      <c r="AP5860" s="92"/>
      <c r="AQ5860" s="67"/>
      <c r="AR5860" s="67"/>
      <c r="AS5860" s="73"/>
      <c r="AT5860" s="67"/>
      <c r="AU5860" s="67"/>
      <c r="AV5860" s="73"/>
      <c r="AW5860" s="68"/>
      <c r="AX5860" s="68"/>
      <c r="AY5860" s="68"/>
      <c r="AZ5860" s="68"/>
      <c r="BA5860" s="68"/>
      <c r="BB5860" s="67"/>
      <c r="BC5860" s="67"/>
      <c r="BD5860" s="67"/>
      <c r="BE5860" s="67"/>
      <c r="BF5860" s="95"/>
    </row>
    <row r="5861" spans="42:58" x14ac:dyDescent="0.35">
      <c r="AP5861" s="93"/>
      <c r="AQ5861" s="31"/>
      <c r="AR5861" s="31"/>
      <c r="AS5861" s="94"/>
      <c r="AT5861" s="31"/>
      <c r="AU5861" s="31"/>
      <c r="AV5861" s="94"/>
      <c r="AW5861" s="32"/>
      <c r="AX5861" s="32"/>
      <c r="AY5861" s="32"/>
      <c r="AZ5861" s="32"/>
      <c r="BA5861" s="32"/>
      <c r="BB5861" s="31"/>
      <c r="BC5861" s="31"/>
      <c r="BD5861" s="31"/>
      <c r="BE5861" s="31"/>
      <c r="BF5861" s="96"/>
    </row>
    <row r="5862" spans="42:58" x14ac:dyDescent="0.35">
      <c r="AP5862" s="92"/>
      <c r="AQ5862" s="67"/>
      <c r="AR5862" s="67"/>
      <c r="AS5862" s="73"/>
      <c r="AT5862" s="67"/>
      <c r="AU5862" s="67"/>
      <c r="AV5862" s="73"/>
      <c r="AW5862" s="68"/>
      <c r="AX5862" s="68"/>
      <c r="AY5862" s="68"/>
      <c r="AZ5862" s="68"/>
      <c r="BA5862" s="68"/>
      <c r="BB5862" s="67"/>
      <c r="BC5862" s="67"/>
      <c r="BD5862" s="67"/>
      <c r="BE5862" s="67"/>
      <c r="BF5862" s="95"/>
    </row>
    <row r="5863" spans="42:58" x14ac:dyDescent="0.35">
      <c r="AP5863" s="93"/>
      <c r="AQ5863" s="31"/>
      <c r="AR5863" s="31"/>
      <c r="AS5863" s="94"/>
      <c r="AT5863" s="31"/>
      <c r="AU5863" s="31"/>
      <c r="AV5863" s="94"/>
      <c r="AW5863" s="32"/>
      <c r="AX5863" s="32"/>
      <c r="AY5863" s="32"/>
      <c r="AZ5863" s="32"/>
      <c r="BA5863" s="32"/>
      <c r="BB5863" s="31"/>
      <c r="BC5863" s="31"/>
      <c r="BD5863" s="31"/>
      <c r="BE5863" s="31"/>
      <c r="BF5863" s="96"/>
    </row>
    <row r="5864" spans="42:58" x14ac:dyDescent="0.35">
      <c r="AP5864" s="92"/>
      <c r="AQ5864" s="67"/>
      <c r="AR5864" s="67"/>
      <c r="AS5864" s="73"/>
      <c r="AT5864" s="67"/>
      <c r="AU5864" s="67"/>
      <c r="AV5864" s="73"/>
      <c r="AW5864" s="68"/>
      <c r="AX5864" s="68"/>
      <c r="AY5864" s="68"/>
      <c r="AZ5864" s="68"/>
      <c r="BA5864" s="68"/>
      <c r="BB5864" s="67"/>
      <c r="BC5864" s="67"/>
      <c r="BD5864" s="67"/>
      <c r="BE5864" s="67"/>
      <c r="BF5864" s="95"/>
    </row>
    <row r="5865" spans="42:58" x14ac:dyDescent="0.35">
      <c r="AP5865" s="93"/>
      <c r="AQ5865" s="31"/>
      <c r="AR5865" s="31"/>
      <c r="AS5865" s="94"/>
      <c r="AT5865" s="31"/>
      <c r="AU5865" s="31"/>
      <c r="AV5865" s="94"/>
      <c r="AW5865" s="32"/>
      <c r="AX5865" s="32"/>
      <c r="AY5865" s="32"/>
      <c r="AZ5865" s="32"/>
      <c r="BA5865" s="32"/>
      <c r="BB5865" s="31"/>
      <c r="BC5865" s="31"/>
      <c r="BD5865" s="31"/>
      <c r="BE5865" s="31"/>
      <c r="BF5865" s="96"/>
    </row>
    <row r="5866" spans="42:58" x14ac:dyDescent="0.35">
      <c r="AP5866" s="92"/>
      <c r="AQ5866" s="67"/>
      <c r="AR5866" s="67"/>
      <c r="AS5866" s="73"/>
      <c r="AT5866" s="67"/>
      <c r="AU5866" s="67"/>
      <c r="AV5866" s="73"/>
      <c r="AW5866" s="68"/>
      <c r="AX5866" s="68"/>
      <c r="AY5866" s="68"/>
      <c r="AZ5866" s="68"/>
      <c r="BA5866" s="68"/>
      <c r="BB5866" s="67"/>
      <c r="BC5866" s="67"/>
      <c r="BD5866" s="67"/>
      <c r="BE5866" s="67"/>
      <c r="BF5866" s="95"/>
    </row>
    <row r="5867" spans="42:58" x14ac:dyDescent="0.35">
      <c r="AP5867" s="93"/>
      <c r="AQ5867" s="31"/>
      <c r="AR5867" s="31"/>
      <c r="AS5867" s="94"/>
      <c r="AT5867" s="31"/>
      <c r="AU5867" s="31"/>
      <c r="AV5867" s="94"/>
      <c r="AW5867" s="32"/>
      <c r="AX5867" s="32"/>
      <c r="AY5867" s="32"/>
      <c r="AZ5867" s="32"/>
      <c r="BA5867" s="32"/>
      <c r="BB5867" s="31"/>
      <c r="BC5867" s="31"/>
      <c r="BD5867" s="31"/>
      <c r="BE5867" s="31"/>
      <c r="BF5867" s="96"/>
    </row>
    <row r="5868" spans="42:58" x14ac:dyDescent="0.35">
      <c r="AP5868" s="92"/>
      <c r="AQ5868" s="67"/>
      <c r="AR5868" s="67"/>
      <c r="AS5868" s="73"/>
      <c r="AT5868" s="67"/>
      <c r="AU5868" s="67"/>
      <c r="AV5868" s="73"/>
      <c r="AW5868" s="68"/>
      <c r="AX5868" s="68"/>
      <c r="AY5868" s="68"/>
      <c r="AZ5868" s="68"/>
      <c r="BA5868" s="68"/>
      <c r="BB5868" s="67"/>
      <c r="BC5868" s="67"/>
      <c r="BD5868" s="67"/>
      <c r="BE5868" s="67"/>
      <c r="BF5868" s="95"/>
    </row>
    <row r="5869" spans="42:58" x14ac:dyDescent="0.35">
      <c r="AP5869" s="93"/>
      <c r="AQ5869" s="31"/>
      <c r="AR5869" s="31"/>
      <c r="AS5869" s="94"/>
      <c r="AT5869" s="31"/>
      <c r="AU5869" s="31"/>
      <c r="AV5869" s="94"/>
      <c r="AW5869" s="32"/>
      <c r="AX5869" s="32"/>
      <c r="AY5869" s="32"/>
      <c r="AZ5869" s="32"/>
      <c r="BA5869" s="32"/>
      <c r="BB5869" s="31"/>
      <c r="BC5869" s="31"/>
      <c r="BD5869" s="31"/>
      <c r="BE5869" s="31"/>
      <c r="BF5869" s="96"/>
    </row>
    <row r="5870" spans="42:58" x14ac:dyDescent="0.35">
      <c r="AP5870" s="92"/>
      <c r="AQ5870" s="67"/>
      <c r="AR5870" s="67"/>
      <c r="AS5870" s="73"/>
      <c r="AT5870" s="67"/>
      <c r="AU5870" s="67"/>
      <c r="AV5870" s="73"/>
      <c r="AW5870" s="68"/>
      <c r="AX5870" s="68"/>
      <c r="AY5870" s="68"/>
      <c r="AZ5870" s="68"/>
      <c r="BA5870" s="68"/>
      <c r="BB5870" s="67"/>
      <c r="BC5870" s="67"/>
      <c r="BD5870" s="67"/>
      <c r="BE5870" s="67"/>
      <c r="BF5870" s="95"/>
    </row>
    <row r="5871" spans="42:58" x14ac:dyDescent="0.35">
      <c r="AP5871" s="93"/>
      <c r="AQ5871" s="31"/>
      <c r="AR5871" s="31"/>
      <c r="AS5871" s="94"/>
      <c r="AT5871" s="31"/>
      <c r="AU5871" s="31"/>
      <c r="AV5871" s="94"/>
      <c r="AW5871" s="32"/>
      <c r="AX5871" s="32"/>
      <c r="AY5871" s="32"/>
      <c r="AZ5871" s="32"/>
      <c r="BA5871" s="32"/>
      <c r="BB5871" s="31"/>
      <c r="BC5871" s="31"/>
      <c r="BD5871" s="31"/>
      <c r="BE5871" s="31"/>
      <c r="BF5871" s="96"/>
    </row>
    <row r="5872" spans="42:58" x14ac:dyDescent="0.35">
      <c r="AP5872" s="92"/>
      <c r="AQ5872" s="67"/>
      <c r="AR5872" s="67"/>
      <c r="AS5872" s="73"/>
      <c r="AT5872" s="67"/>
      <c r="AU5872" s="67"/>
      <c r="AV5872" s="73"/>
      <c r="AW5872" s="68"/>
      <c r="AX5872" s="68"/>
      <c r="AY5872" s="68"/>
      <c r="AZ5872" s="68"/>
      <c r="BA5872" s="68"/>
      <c r="BB5872" s="67"/>
      <c r="BC5872" s="67"/>
      <c r="BD5872" s="67"/>
      <c r="BE5872" s="67"/>
      <c r="BF5872" s="95"/>
    </row>
    <row r="5873" spans="42:58" x14ac:dyDescent="0.35">
      <c r="AP5873" s="93"/>
      <c r="AQ5873" s="31"/>
      <c r="AR5873" s="31"/>
      <c r="AS5873" s="94"/>
      <c r="AT5873" s="31"/>
      <c r="AU5873" s="31"/>
      <c r="AV5873" s="94"/>
      <c r="AW5873" s="32"/>
      <c r="AX5873" s="32"/>
      <c r="AY5873" s="32"/>
      <c r="AZ5873" s="32"/>
      <c r="BA5873" s="32"/>
      <c r="BB5873" s="31"/>
      <c r="BC5873" s="31"/>
      <c r="BD5873" s="31"/>
      <c r="BE5873" s="31"/>
      <c r="BF5873" s="96"/>
    </row>
    <row r="5874" spans="42:58" x14ac:dyDescent="0.35">
      <c r="AP5874" s="92"/>
      <c r="AQ5874" s="67"/>
      <c r="AR5874" s="67"/>
      <c r="AS5874" s="73"/>
      <c r="AT5874" s="67"/>
      <c r="AU5874" s="67"/>
      <c r="AV5874" s="73"/>
      <c r="AW5874" s="68"/>
      <c r="AX5874" s="68"/>
      <c r="AY5874" s="68"/>
      <c r="AZ5874" s="68"/>
      <c r="BA5874" s="68"/>
      <c r="BB5874" s="67"/>
      <c r="BC5874" s="67"/>
      <c r="BD5874" s="67"/>
      <c r="BE5874" s="67"/>
      <c r="BF5874" s="95"/>
    </row>
    <row r="5875" spans="42:58" x14ac:dyDescent="0.35">
      <c r="AP5875" s="93"/>
      <c r="AQ5875" s="31"/>
      <c r="AR5875" s="31"/>
      <c r="AS5875" s="94"/>
      <c r="AT5875" s="31"/>
      <c r="AU5875" s="31"/>
      <c r="AV5875" s="94"/>
      <c r="AW5875" s="32"/>
      <c r="AX5875" s="32"/>
      <c r="AY5875" s="32"/>
      <c r="AZ5875" s="32"/>
      <c r="BA5875" s="32"/>
      <c r="BB5875" s="31"/>
      <c r="BC5875" s="31"/>
      <c r="BD5875" s="31"/>
      <c r="BE5875" s="31"/>
      <c r="BF5875" s="96"/>
    </row>
    <row r="5876" spans="42:58" x14ac:dyDescent="0.35">
      <c r="AP5876" s="92"/>
      <c r="AQ5876" s="67"/>
      <c r="AR5876" s="67"/>
      <c r="AS5876" s="73"/>
      <c r="AT5876" s="67"/>
      <c r="AU5876" s="67"/>
      <c r="AV5876" s="73"/>
      <c r="AW5876" s="68"/>
      <c r="AX5876" s="68"/>
      <c r="AY5876" s="68"/>
      <c r="AZ5876" s="68"/>
      <c r="BA5876" s="68"/>
      <c r="BB5876" s="67"/>
      <c r="BC5876" s="67"/>
      <c r="BD5876" s="67"/>
      <c r="BE5876" s="67"/>
      <c r="BF5876" s="95"/>
    </row>
    <row r="5877" spans="42:58" x14ac:dyDescent="0.35">
      <c r="AP5877" s="93"/>
      <c r="AQ5877" s="31"/>
      <c r="AR5877" s="31"/>
      <c r="AS5877" s="94"/>
      <c r="AT5877" s="31"/>
      <c r="AU5877" s="31"/>
      <c r="AV5877" s="94"/>
      <c r="AW5877" s="32"/>
      <c r="AX5877" s="32"/>
      <c r="AY5877" s="32"/>
      <c r="AZ5877" s="32"/>
      <c r="BA5877" s="32"/>
      <c r="BB5877" s="31"/>
      <c r="BC5877" s="31"/>
      <c r="BD5877" s="31"/>
      <c r="BE5877" s="31"/>
      <c r="BF5877" s="96"/>
    </row>
    <row r="5878" spans="42:58" x14ac:dyDescent="0.35">
      <c r="AP5878" s="92"/>
      <c r="AQ5878" s="67"/>
      <c r="AR5878" s="67"/>
      <c r="AS5878" s="73"/>
      <c r="AT5878" s="67"/>
      <c r="AU5878" s="67"/>
      <c r="AV5878" s="73"/>
      <c r="AW5878" s="68"/>
      <c r="AX5878" s="68"/>
      <c r="AY5878" s="68"/>
      <c r="AZ5878" s="68"/>
      <c r="BA5878" s="68"/>
      <c r="BB5878" s="67"/>
      <c r="BC5878" s="67"/>
      <c r="BD5878" s="67"/>
      <c r="BE5878" s="67"/>
      <c r="BF5878" s="95"/>
    </row>
    <row r="5879" spans="42:58" x14ac:dyDescent="0.35">
      <c r="AP5879" s="93"/>
      <c r="AQ5879" s="31"/>
      <c r="AR5879" s="31"/>
      <c r="AS5879" s="94"/>
      <c r="AT5879" s="31"/>
      <c r="AU5879" s="31"/>
      <c r="AV5879" s="94"/>
      <c r="AW5879" s="32"/>
      <c r="AX5879" s="32"/>
      <c r="AY5879" s="32"/>
      <c r="AZ5879" s="32"/>
      <c r="BA5879" s="32"/>
      <c r="BB5879" s="31"/>
      <c r="BC5879" s="31"/>
      <c r="BD5879" s="31"/>
      <c r="BE5879" s="31"/>
      <c r="BF5879" s="96"/>
    </row>
    <row r="5880" spans="42:58" x14ac:dyDescent="0.35">
      <c r="AP5880" s="92"/>
      <c r="AQ5880" s="67"/>
      <c r="AR5880" s="67"/>
      <c r="AS5880" s="73"/>
      <c r="AT5880" s="67"/>
      <c r="AU5880" s="67"/>
      <c r="AV5880" s="73"/>
      <c r="AW5880" s="68"/>
      <c r="AX5880" s="68"/>
      <c r="AY5880" s="68"/>
      <c r="AZ5880" s="68"/>
      <c r="BA5880" s="68"/>
      <c r="BB5880" s="67"/>
      <c r="BC5880" s="67"/>
      <c r="BD5880" s="67"/>
      <c r="BE5880" s="67"/>
      <c r="BF5880" s="95"/>
    </row>
    <row r="5881" spans="42:58" x14ac:dyDescent="0.35">
      <c r="AP5881" s="93"/>
      <c r="AQ5881" s="31"/>
      <c r="AR5881" s="31"/>
      <c r="AS5881" s="94"/>
      <c r="AT5881" s="31"/>
      <c r="AU5881" s="31"/>
      <c r="AV5881" s="94"/>
      <c r="AW5881" s="32"/>
      <c r="AX5881" s="32"/>
      <c r="AY5881" s="32"/>
      <c r="AZ5881" s="32"/>
      <c r="BA5881" s="32"/>
      <c r="BB5881" s="31"/>
      <c r="BC5881" s="31"/>
      <c r="BD5881" s="31"/>
      <c r="BE5881" s="31"/>
      <c r="BF5881" s="96"/>
    </row>
    <row r="5882" spans="42:58" x14ac:dyDescent="0.35">
      <c r="AP5882" s="92"/>
      <c r="AQ5882" s="67"/>
      <c r="AR5882" s="67"/>
      <c r="AS5882" s="73"/>
      <c r="AT5882" s="67"/>
      <c r="AU5882" s="67"/>
      <c r="AV5882" s="73"/>
      <c r="AW5882" s="68"/>
      <c r="AX5882" s="68"/>
      <c r="AY5882" s="68"/>
      <c r="AZ5882" s="68"/>
      <c r="BA5882" s="68"/>
      <c r="BB5882" s="67"/>
      <c r="BC5882" s="67"/>
      <c r="BD5882" s="67"/>
      <c r="BE5882" s="67"/>
      <c r="BF5882" s="95"/>
    </row>
    <row r="5883" spans="42:58" x14ac:dyDescent="0.35">
      <c r="AP5883" s="93"/>
      <c r="AQ5883" s="31"/>
      <c r="AR5883" s="31"/>
      <c r="AS5883" s="94"/>
      <c r="AT5883" s="31"/>
      <c r="AU5883" s="31"/>
      <c r="AV5883" s="94"/>
      <c r="AW5883" s="32"/>
      <c r="AX5883" s="32"/>
      <c r="AY5883" s="32"/>
      <c r="AZ5883" s="32"/>
      <c r="BA5883" s="32"/>
      <c r="BB5883" s="31"/>
      <c r="BC5883" s="31"/>
      <c r="BD5883" s="31"/>
      <c r="BE5883" s="31"/>
      <c r="BF5883" s="96"/>
    </row>
    <row r="5884" spans="42:58" x14ac:dyDescent="0.35">
      <c r="AP5884" s="92"/>
      <c r="AQ5884" s="67"/>
      <c r="AR5884" s="67"/>
      <c r="AS5884" s="73"/>
      <c r="AT5884" s="67"/>
      <c r="AU5884" s="67"/>
      <c r="AV5884" s="73"/>
      <c r="AW5884" s="68"/>
      <c r="AX5884" s="68"/>
      <c r="AY5884" s="68"/>
      <c r="AZ5884" s="68"/>
      <c r="BA5884" s="68"/>
      <c r="BB5884" s="67"/>
      <c r="BC5884" s="67"/>
      <c r="BD5884" s="67"/>
      <c r="BE5884" s="67"/>
      <c r="BF5884" s="95"/>
    </row>
    <row r="5885" spans="42:58" x14ac:dyDescent="0.35">
      <c r="AP5885" s="93"/>
      <c r="AQ5885" s="31"/>
      <c r="AR5885" s="31"/>
      <c r="AS5885" s="94"/>
      <c r="AT5885" s="31"/>
      <c r="AU5885" s="31"/>
      <c r="AV5885" s="94"/>
      <c r="AW5885" s="32"/>
      <c r="AX5885" s="32"/>
      <c r="AY5885" s="32"/>
      <c r="AZ5885" s="32"/>
      <c r="BA5885" s="32"/>
      <c r="BB5885" s="31"/>
      <c r="BC5885" s="31"/>
      <c r="BD5885" s="31"/>
      <c r="BE5885" s="31"/>
      <c r="BF5885" s="96"/>
    </row>
    <row r="5886" spans="42:58" x14ac:dyDescent="0.35">
      <c r="AP5886" s="92"/>
      <c r="AQ5886" s="67"/>
      <c r="AR5886" s="67"/>
      <c r="AS5886" s="73"/>
      <c r="AT5886" s="67"/>
      <c r="AU5886" s="67"/>
      <c r="AV5886" s="73"/>
      <c r="AW5886" s="68"/>
      <c r="AX5886" s="68"/>
      <c r="AY5886" s="68"/>
      <c r="AZ5886" s="68"/>
      <c r="BA5886" s="68"/>
      <c r="BB5886" s="67"/>
      <c r="BC5886" s="67"/>
      <c r="BD5886" s="67"/>
      <c r="BE5886" s="67"/>
      <c r="BF5886" s="95"/>
    </row>
    <row r="5887" spans="42:58" x14ac:dyDescent="0.35">
      <c r="AP5887" s="93"/>
      <c r="AQ5887" s="31"/>
      <c r="AR5887" s="31"/>
      <c r="AS5887" s="94"/>
      <c r="AT5887" s="31"/>
      <c r="AU5887" s="31"/>
      <c r="AV5887" s="94"/>
      <c r="AW5887" s="32"/>
      <c r="AX5887" s="32"/>
      <c r="AY5887" s="32"/>
      <c r="AZ5887" s="32"/>
      <c r="BA5887" s="32"/>
      <c r="BB5887" s="31"/>
      <c r="BC5887" s="31"/>
      <c r="BD5887" s="31"/>
      <c r="BE5887" s="31"/>
      <c r="BF5887" s="96"/>
    </row>
    <row r="5888" spans="42:58" x14ac:dyDescent="0.35">
      <c r="AP5888" s="92"/>
      <c r="AQ5888" s="67"/>
      <c r="AR5888" s="67"/>
      <c r="AS5888" s="73"/>
      <c r="AT5888" s="67"/>
      <c r="AU5888" s="67"/>
      <c r="AV5888" s="73"/>
      <c r="AW5888" s="68"/>
      <c r="AX5888" s="68"/>
      <c r="AY5888" s="68"/>
      <c r="AZ5888" s="68"/>
      <c r="BA5888" s="68"/>
      <c r="BB5888" s="67"/>
      <c r="BC5888" s="67"/>
      <c r="BD5888" s="67"/>
      <c r="BE5888" s="67"/>
      <c r="BF5888" s="95"/>
    </row>
    <row r="5889" spans="42:58" x14ac:dyDescent="0.35">
      <c r="AP5889" s="93"/>
      <c r="AQ5889" s="31"/>
      <c r="AR5889" s="31"/>
      <c r="AS5889" s="94"/>
      <c r="AT5889" s="31"/>
      <c r="AU5889" s="31"/>
      <c r="AV5889" s="94"/>
      <c r="AW5889" s="32"/>
      <c r="AX5889" s="32"/>
      <c r="AY5889" s="32"/>
      <c r="AZ5889" s="32"/>
      <c r="BA5889" s="32"/>
      <c r="BB5889" s="31"/>
      <c r="BC5889" s="31"/>
      <c r="BD5889" s="31"/>
      <c r="BE5889" s="31"/>
      <c r="BF5889" s="96"/>
    </row>
    <row r="5890" spans="42:58" x14ac:dyDescent="0.35">
      <c r="AP5890" s="92"/>
      <c r="AQ5890" s="67"/>
      <c r="AR5890" s="67"/>
      <c r="AS5890" s="73"/>
      <c r="AT5890" s="67"/>
      <c r="AU5890" s="67"/>
      <c r="AV5890" s="73"/>
      <c r="AW5890" s="68"/>
      <c r="AX5890" s="68"/>
      <c r="AY5890" s="68"/>
      <c r="AZ5890" s="68"/>
      <c r="BA5890" s="68"/>
      <c r="BB5890" s="67"/>
      <c r="BC5890" s="67"/>
      <c r="BD5890" s="67"/>
      <c r="BE5890" s="67"/>
      <c r="BF5890" s="95"/>
    </row>
    <row r="5891" spans="42:58" x14ac:dyDescent="0.35">
      <c r="AP5891" s="93"/>
      <c r="AQ5891" s="31"/>
      <c r="AR5891" s="31"/>
      <c r="AS5891" s="94"/>
      <c r="AT5891" s="31"/>
      <c r="AU5891" s="31"/>
      <c r="AV5891" s="94"/>
      <c r="AW5891" s="32"/>
      <c r="AX5891" s="32"/>
      <c r="AY5891" s="32"/>
      <c r="AZ5891" s="32"/>
      <c r="BA5891" s="32"/>
      <c r="BB5891" s="31"/>
      <c r="BC5891" s="31"/>
      <c r="BD5891" s="31"/>
      <c r="BE5891" s="31"/>
      <c r="BF5891" s="96"/>
    </row>
    <row r="5892" spans="42:58" x14ac:dyDescent="0.35">
      <c r="AP5892" s="92"/>
      <c r="AQ5892" s="67"/>
      <c r="AR5892" s="67"/>
      <c r="AS5892" s="73"/>
      <c r="AT5892" s="67"/>
      <c r="AU5892" s="67"/>
      <c r="AV5892" s="73"/>
      <c r="AW5892" s="68"/>
      <c r="AX5892" s="68"/>
      <c r="AY5892" s="68"/>
      <c r="AZ5892" s="68"/>
      <c r="BA5892" s="68"/>
      <c r="BB5892" s="67"/>
      <c r="BC5892" s="67"/>
      <c r="BD5892" s="67"/>
      <c r="BE5892" s="67"/>
      <c r="BF5892" s="95"/>
    </row>
    <row r="5893" spans="42:58" x14ac:dyDescent="0.35">
      <c r="AP5893" s="93"/>
      <c r="AQ5893" s="31"/>
      <c r="AR5893" s="31"/>
      <c r="AS5893" s="94"/>
      <c r="AT5893" s="31"/>
      <c r="AU5893" s="31"/>
      <c r="AV5893" s="94"/>
      <c r="AW5893" s="32"/>
      <c r="AX5893" s="32"/>
      <c r="AY5893" s="32"/>
      <c r="AZ5893" s="32"/>
      <c r="BA5893" s="32"/>
      <c r="BB5893" s="31"/>
      <c r="BC5893" s="31"/>
      <c r="BD5893" s="31"/>
      <c r="BE5893" s="31"/>
      <c r="BF5893" s="96"/>
    </row>
    <row r="5894" spans="42:58" x14ac:dyDescent="0.35">
      <c r="AP5894" s="92"/>
      <c r="AQ5894" s="67"/>
      <c r="AR5894" s="67"/>
      <c r="AS5894" s="73"/>
      <c r="AT5894" s="67"/>
      <c r="AU5894" s="67"/>
      <c r="AV5894" s="73"/>
      <c r="AW5894" s="68"/>
      <c r="AX5894" s="68"/>
      <c r="AY5894" s="68"/>
      <c r="AZ5894" s="68"/>
      <c r="BA5894" s="68"/>
      <c r="BB5894" s="67"/>
      <c r="BC5894" s="67"/>
      <c r="BD5894" s="67"/>
      <c r="BE5894" s="67"/>
      <c r="BF5894" s="95"/>
    </row>
    <row r="5895" spans="42:58" x14ac:dyDescent="0.35">
      <c r="AP5895" s="93"/>
      <c r="AQ5895" s="31"/>
      <c r="AR5895" s="31"/>
      <c r="AS5895" s="94"/>
      <c r="AT5895" s="31"/>
      <c r="AU5895" s="31"/>
      <c r="AV5895" s="94"/>
      <c r="AW5895" s="32"/>
      <c r="AX5895" s="32"/>
      <c r="AY5895" s="32"/>
      <c r="AZ5895" s="32"/>
      <c r="BA5895" s="32"/>
      <c r="BB5895" s="31"/>
      <c r="BC5895" s="31"/>
      <c r="BD5895" s="31"/>
      <c r="BE5895" s="31"/>
      <c r="BF5895" s="96"/>
    </row>
    <row r="5896" spans="42:58" x14ac:dyDescent="0.35">
      <c r="AP5896" s="92"/>
      <c r="AQ5896" s="67"/>
      <c r="AR5896" s="67"/>
      <c r="AS5896" s="73"/>
      <c r="AT5896" s="67"/>
      <c r="AU5896" s="67"/>
      <c r="AV5896" s="73"/>
      <c r="AW5896" s="68"/>
      <c r="AX5896" s="68"/>
      <c r="AY5896" s="68"/>
      <c r="AZ5896" s="68"/>
      <c r="BA5896" s="68"/>
      <c r="BB5896" s="67"/>
      <c r="BC5896" s="67"/>
      <c r="BD5896" s="67"/>
      <c r="BE5896" s="67"/>
      <c r="BF5896" s="95"/>
    </row>
    <row r="5897" spans="42:58" x14ac:dyDescent="0.35">
      <c r="AP5897" s="93"/>
      <c r="AQ5897" s="31"/>
      <c r="AR5897" s="31"/>
      <c r="AS5897" s="94"/>
      <c r="AT5897" s="31"/>
      <c r="AU5897" s="31"/>
      <c r="AV5897" s="94"/>
      <c r="AW5897" s="32"/>
      <c r="AX5897" s="32"/>
      <c r="AY5897" s="32"/>
      <c r="AZ5897" s="32"/>
      <c r="BA5897" s="32"/>
      <c r="BB5897" s="31"/>
      <c r="BC5897" s="31"/>
      <c r="BD5897" s="31"/>
      <c r="BE5897" s="31"/>
      <c r="BF5897" s="96"/>
    </row>
    <row r="5898" spans="42:58" x14ac:dyDescent="0.35">
      <c r="AP5898" s="92"/>
      <c r="AQ5898" s="67"/>
      <c r="AR5898" s="67"/>
      <c r="AS5898" s="73"/>
      <c r="AT5898" s="67"/>
      <c r="AU5898" s="67"/>
      <c r="AV5898" s="73"/>
      <c r="AW5898" s="68"/>
      <c r="AX5898" s="68"/>
      <c r="AY5898" s="68"/>
      <c r="AZ5898" s="68"/>
      <c r="BA5898" s="68"/>
      <c r="BB5898" s="67"/>
      <c r="BC5898" s="67"/>
      <c r="BD5898" s="67"/>
      <c r="BE5898" s="67"/>
      <c r="BF5898" s="95"/>
    </row>
    <row r="5899" spans="42:58" x14ac:dyDescent="0.35">
      <c r="AP5899" s="93"/>
      <c r="AQ5899" s="31"/>
      <c r="AR5899" s="31"/>
      <c r="AS5899" s="94"/>
      <c r="AT5899" s="31"/>
      <c r="AU5899" s="31"/>
      <c r="AV5899" s="94"/>
      <c r="AW5899" s="32"/>
      <c r="AX5899" s="32"/>
      <c r="AY5899" s="32"/>
      <c r="AZ5899" s="32"/>
      <c r="BA5899" s="32"/>
      <c r="BB5899" s="31"/>
      <c r="BC5899" s="31"/>
      <c r="BD5899" s="31"/>
      <c r="BE5899" s="31"/>
      <c r="BF5899" s="96"/>
    </row>
    <row r="5900" spans="42:58" x14ac:dyDescent="0.35">
      <c r="AP5900" s="92"/>
      <c r="AQ5900" s="67"/>
      <c r="AR5900" s="67"/>
      <c r="AS5900" s="73"/>
      <c r="AT5900" s="67"/>
      <c r="AU5900" s="67"/>
      <c r="AV5900" s="73"/>
      <c r="AW5900" s="68"/>
      <c r="AX5900" s="68"/>
      <c r="AY5900" s="68"/>
      <c r="AZ5900" s="68"/>
      <c r="BA5900" s="68"/>
      <c r="BB5900" s="67"/>
      <c r="BC5900" s="67"/>
      <c r="BD5900" s="67"/>
      <c r="BE5900" s="67"/>
      <c r="BF5900" s="95"/>
    </row>
    <row r="5901" spans="42:58" x14ac:dyDescent="0.35">
      <c r="AP5901" s="93"/>
      <c r="AQ5901" s="31"/>
      <c r="AR5901" s="31"/>
      <c r="AS5901" s="94"/>
      <c r="AT5901" s="31"/>
      <c r="AU5901" s="31"/>
      <c r="AV5901" s="94"/>
      <c r="AW5901" s="32"/>
      <c r="AX5901" s="32"/>
      <c r="AY5901" s="32"/>
      <c r="AZ5901" s="32"/>
      <c r="BA5901" s="32"/>
      <c r="BB5901" s="31"/>
      <c r="BC5901" s="31"/>
      <c r="BD5901" s="31"/>
      <c r="BE5901" s="31"/>
      <c r="BF5901" s="96"/>
    </row>
    <row r="5902" spans="42:58" x14ac:dyDescent="0.35">
      <c r="AP5902" s="92"/>
      <c r="AQ5902" s="67"/>
      <c r="AR5902" s="67"/>
      <c r="AS5902" s="73"/>
      <c r="AT5902" s="67"/>
      <c r="AU5902" s="67"/>
      <c r="AV5902" s="73"/>
      <c r="AW5902" s="68"/>
      <c r="AX5902" s="68"/>
      <c r="AY5902" s="68"/>
      <c r="AZ5902" s="68"/>
      <c r="BA5902" s="68"/>
      <c r="BB5902" s="67"/>
      <c r="BC5902" s="67"/>
      <c r="BD5902" s="67"/>
      <c r="BE5902" s="67"/>
      <c r="BF5902" s="95"/>
    </row>
    <row r="5903" spans="42:58" x14ac:dyDescent="0.35">
      <c r="AP5903" s="93"/>
      <c r="AQ5903" s="31"/>
      <c r="AR5903" s="31"/>
      <c r="AS5903" s="94"/>
      <c r="AT5903" s="31"/>
      <c r="AU5903" s="31"/>
      <c r="AV5903" s="94"/>
      <c r="AW5903" s="32"/>
      <c r="AX5903" s="32"/>
      <c r="AY5903" s="32"/>
      <c r="AZ5903" s="32"/>
      <c r="BA5903" s="32"/>
      <c r="BB5903" s="31"/>
      <c r="BC5903" s="31"/>
      <c r="BD5903" s="31"/>
      <c r="BE5903" s="31"/>
      <c r="BF5903" s="96"/>
    </row>
    <row r="5904" spans="42:58" x14ac:dyDescent="0.35">
      <c r="AP5904" s="92"/>
      <c r="AQ5904" s="67"/>
      <c r="AR5904" s="67"/>
      <c r="AS5904" s="73"/>
      <c r="AT5904" s="67"/>
      <c r="AU5904" s="67"/>
      <c r="AV5904" s="73"/>
      <c r="AW5904" s="68"/>
      <c r="AX5904" s="68"/>
      <c r="AY5904" s="68"/>
      <c r="AZ5904" s="68"/>
      <c r="BA5904" s="68"/>
      <c r="BB5904" s="67"/>
      <c r="BC5904" s="67"/>
      <c r="BD5904" s="67"/>
      <c r="BE5904" s="67"/>
      <c r="BF5904" s="95"/>
    </row>
    <row r="5905" spans="42:58" x14ac:dyDescent="0.35">
      <c r="AP5905" s="93"/>
      <c r="AQ5905" s="31"/>
      <c r="AR5905" s="31"/>
      <c r="AS5905" s="94"/>
      <c r="AT5905" s="31"/>
      <c r="AU5905" s="31"/>
      <c r="AV5905" s="94"/>
      <c r="AW5905" s="32"/>
      <c r="AX5905" s="32"/>
      <c r="AY5905" s="32"/>
      <c r="AZ5905" s="32"/>
      <c r="BA5905" s="32"/>
      <c r="BB5905" s="31"/>
      <c r="BC5905" s="31"/>
      <c r="BD5905" s="31"/>
      <c r="BE5905" s="31"/>
      <c r="BF5905" s="96"/>
    </row>
    <row r="5906" spans="42:58" x14ac:dyDescent="0.35">
      <c r="AP5906" s="92"/>
      <c r="AQ5906" s="67"/>
      <c r="AR5906" s="67"/>
      <c r="AS5906" s="73"/>
      <c r="AT5906" s="67"/>
      <c r="AU5906" s="67"/>
      <c r="AV5906" s="73"/>
      <c r="AW5906" s="68"/>
      <c r="AX5906" s="68"/>
      <c r="AY5906" s="68"/>
      <c r="AZ5906" s="68"/>
      <c r="BA5906" s="68"/>
      <c r="BB5906" s="67"/>
      <c r="BC5906" s="67"/>
      <c r="BD5906" s="67"/>
      <c r="BE5906" s="67"/>
      <c r="BF5906" s="95"/>
    </row>
    <row r="5907" spans="42:58" x14ac:dyDescent="0.35">
      <c r="AP5907" s="93"/>
      <c r="AQ5907" s="31"/>
      <c r="AR5907" s="31"/>
      <c r="AS5907" s="94"/>
      <c r="AT5907" s="31"/>
      <c r="AU5907" s="31"/>
      <c r="AV5907" s="94"/>
      <c r="AW5907" s="32"/>
      <c r="AX5907" s="32"/>
      <c r="AY5907" s="32"/>
      <c r="AZ5907" s="32"/>
      <c r="BA5907" s="32"/>
      <c r="BB5907" s="31"/>
      <c r="BC5907" s="31"/>
      <c r="BD5907" s="31"/>
      <c r="BE5907" s="31"/>
      <c r="BF5907" s="96"/>
    </row>
    <row r="5908" spans="42:58" x14ac:dyDescent="0.35">
      <c r="AP5908" s="92"/>
      <c r="AQ5908" s="67"/>
      <c r="AR5908" s="67"/>
      <c r="AS5908" s="73"/>
      <c r="AT5908" s="67"/>
      <c r="AU5908" s="67"/>
      <c r="AV5908" s="73"/>
      <c r="AW5908" s="68"/>
      <c r="AX5908" s="68"/>
      <c r="AY5908" s="68"/>
      <c r="AZ5908" s="68"/>
      <c r="BA5908" s="68"/>
      <c r="BB5908" s="67"/>
      <c r="BC5908" s="67"/>
      <c r="BD5908" s="67"/>
      <c r="BE5908" s="67"/>
      <c r="BF5908" s="95"/>
    </row>
    <row r="5909" spans="42:58" x14ac:dyDescent="0.35">
      <c r="AP5909" s="93"/>
      <c r="AQ5909" s="31"/>
      <c r="AR5909" s="31"/>
      <c r="AS5909" s="94"/>
      <c r="AT5909" s="31"/>
      <c r="AU5909" s="31"/>
      <c r="AV5909" s="94"/>
      <c r="AW5909" s="32"/>
      <c r="AX5909" s="32"/>
      <c r="AY5909" s="32"/>
      <c r="AZ5909" s="32"/>
      <c r="BA5909" s="32"/>
      <c r="BB5909" s="31"/>
      <c r="BC5909" s="31"/>
      <c r="BD5909" s="31"/>
      <c r="BE5909" s="31"/>
      <c r="BF5909" s="96"/>
    </row>
    <row r="5910" spans="42:58" x14ac:dyDescent="0.35">
      <c r="AP5910" s="92"/>
      <c r="AQ5910" s="67"/>
      <c r="AR5910" s="67"/>
      <c r="AS5910" s="73"/>
      <c r="AT5910" s="67"/>
      <c r="AU5910" s="67"/>
      <c r="AV5910" s="73"/>
      <c r="AW5910" s="68"/>
      <c r="AX5910" s="68"/>
      <c r="AY5910" s="68"/>
      <c r="AZ5910" s="68"/>
      <c r="BA5910" s="68"/>
      <c r="BB5910" s="67"/>
      <c r="BC5910" s="67"/>
      <c r="BD5910" s="67"/>
      <c r="BE5910" s="67"/>
      <c r="BF5910" s="95"/>
    </row>
    <row r="5911" spans="42:58" x14ac:dyDescent="0.35">
      <c r="AP5911" s="93"/>
      <c r="AQ5911" s="31"/>
      <c r="AR5911" s="31"/>
      <c r="AS5911" s="94"/>
      <c r="AT5911" s="31"/>
      <c r="AU5911" s="31"/>
      <c r="AV5911" s="94"/>
      <c r="AW5911" s="32"/>
      <c r="AX5911" s="32"/>
      <c r="AY5911" s="32"/>
      <c r="AZ5911" s="32"/>
      <c r="BA5911" s="32"/>
      <c r="BB5911" s="31"/>
      <c r="BC5911" s="31"/>
      <c r="BD5911" s="31"/>
      <c r="BE5911" s="31"/>
      <c r="BF5911" s="96"/>
    </row>
    <row r="5912" spans="42:58" x14ac:dyDescent="0.35">
      <c r="AP5912" s="92"/>
      <c r="AQ5912" s="67"/>
      <c r="AR5912" s="67"/>
      <c r="AS5912" s="73"/>
      <c r="AT5912" s="67"/>
      <c r="AU5912" s="67"/>
      <c r="AV5912" s="73"/>
      <c r="AW5912" s="68"/>
      <c r="AX5912" s="68"/>
      <c r="AY5912" s="68"/>
      <c r="AZ5912" s="68"/>
      <c r="BA5912" s="68"/>
      <c r="BB5912" s="67"/>
      <c r="BC5912" s="67"/>
      <c r="BD5912" s="67"/>
      <c r="BE5912" s="67"/>
      <c r="BF5912" s="95"/>
    </row>
    <row r="5913" spans="42:58" x14ac:dyDescent="0.35">
      <c r="AP5913" s="93"/>
      <c r="AQ5913" s="31"/>
      <c r="AR5913" s="31"/>
      <c r="AS5913" s="94"/>
      <c r="AT5913" s="31"/>
      <c r="AU5913" s="31"/>
      <c r="AV5913" s="94"/>
      <c r="AW5913" s="32"/>
      <c r="AX5913" s="32"/>
      <c r="AY5913" s="32"/>
      <c r="AZ5913" s="32"/>
      <c r="BA5913" s="32"/>
      <c r="BB5913" s="31"/>
      <c r="BC5913" s="31"/>
      <c r="BD5913" s="31"/>
      <c r="BE5913" s="31"/>
      <c r="BF5913" s="96"/>
    </row>
    <row r="5914" spans="42:58" x14ac:dyDescent="0.35">
      <c r="AP5914" s="92"/>
      <c r="AQ5914" s="67"/>
      <c r="AR5914" s="67"/>
      <c r="AS5914" s="73"/>
      <c r="AT5914" s="67"/>
      <c r="AU5914" s="67"/>
      <c r="AV5914" s="73"/>
      <c r="AW5914" s="68"/>
      <c r="AX5914" s="68"/>
      <c r="AY5914" s="68"/>
      <c r="AZ5914" s="68"/>
      <c r="BA5914" s="68"/>
      <c r="BB5914" s="67"/>
      <c r="BC5914" s="67"/>
      <c r="BD5914" s="67"/>
      <c r="BE5914" s="67"/>
      <c r="BF5914" s="95"/>
    </row>
    <row r="5915" spans="42:58" x14ac:dyDescent="0.35">
      <c r="AP5915" s="93"/>
      <c r="AQ5915" s="31"/>
      <c r="AR5915" s="31"/>
      <c r="AS5915" s="94"/>
      <c r="AT5915" s="31"/>
      <c r="AU5915" s="31"/>
      <c r="AV5915" s="94"/>
      <c r="AW5915" s="32"/>
      <c r="AX5915" s="32"/>
      <c r="AY5915" s="32"/>
      <c r="AZ5915" s="32"/>
      <c r="BA5915" s="32"/>
      <c r="BB5915" s="31"/>
      <c r="BC5915" s="31"/>
      <c r="BD5915" s="31"/>
      <c r="BE5915" s="31"/>
      <c r="BF5915" s="96"/>
    </row>
    <row r="5916" spans="42:58" x14ac:dyDescent="0.35">
      <c r="AP5916" s="92"/>
      <c r="AQ5916" s="67"/>
      <c r="AR5916" s="67"/>
      <c r="AS5916" s="73"/>
      <c r="AT5916" s="67"/>
      <c r="AU5916" s="67"/>
      <c r="AV5916" s="73"/>
      <c r="AW5916" s="68"/>
      <c r="AX5916" s="68"/>
      <c r="AY5916" s="68"/>
      <c r="AZ5916" s="68"/>
      <c r="BA5916" s="68"/>
      <c r="BB5916" s="67"/>
      <c r="BC5916" s="67"/>
      <c r="BD5916" s="67"/>
      <c r="BE5916" s="67"/>
      <c r="BF5916" s="95"/>
    </row>
    <row r="5917" spans="42:58" x14ac:dyDescent="0.35">
      <c r="AP5917" s="93"/>
      <c r="AQ5917" s="31"/>
      <c r="AR5917" s="31"/>
      <c r="AS5917" s="94"/>
      <c r="AT5917" s="31"/>
      <c r="AU5917" s="31"/>
      <c r="AV5917" s="94"/>
      <c r="AW5917" s="32"/>
      <c r="AX5917" s="32"/>
      <c r="AY5917" s="32"/>
      <c r="AZ5917" s="32"/>
      <c r="BA5917" s="32"/>
      <c r="BB5917" s="31"/>
      <c r="BC5917" s="31"/>
      <c r="BD5917" s="31"/>
      <c r="BE5917" s="31"/>
      <c r="BF5917" s="96"/>
    </row>
    <row r="5918" spans="42:58" x14ac:dyDescent="0.35">
      <c r="AP5918" s="92"/>
      <c r="AQ5918" s="67"/>
      <c r="AR5918" s="67"/>
      <c r="AS5918" s="73"/>
      <c r="AT5918" s="67"/>
      <c r="AU5918" s="67"/>
      <c r="AV5918" s="73"/>
      <c r="AW5918" s="68"/>
      <c r="AX5918" s="68"/>
      <c r="AY5918" s="68"/>
      <c r="AZ5918" s="68"/>
      <c r="BA5918" s="68"/>
      <c r="BB5918" s="67"/>
      <c r="BC5918" s="67"/>
      <c r="BD5918" s="67"/>
      <c r="BE5918" s="67"/>
      <c r="BF5918" s="95"/>
    </row>
    <row r="5919" spans="42:58" x14ac:dyDescent="0.35">
      <c r="AP5919" s="93"/>
      <c r="AQ5919" s="31"/>
      <c r="AR5919" s="31"/>
      <c r="AS5919" s="94"/>
      <c r="AT5919" s="31"/>
      <c r="AU5919" s="31"/>
      <c r="AV5919" s="94"/>
      <c r="AW5919" s="32"/>
      <c r="AX5919" s="32"/>
      <c r="AY5919" s="32"/>
      <c r="AZ5919" s="32"/>
      <c r="BA5919" s="32"/>
      <c r="BB5919" s="31"/>
      <c r="BC5919" s="31"/>
      <c r="BD5919" s="31"/>
      <c r="BE5919" s="31"/>
      <c r="BF5919" s="96"/>
    </row>
    <row r="5920" spans="42:58" x14ac:dyDescent="0.35">
      <c r="AP5920" s="92"/>
      <c r="AQ5920" s="67"/>
      <c r="AR5920" s="67"/>
      <c r="AS5920" s="73"/>
      <c r="AT5920" s="67"/>
      <c r="AU5920" s="67"/>
      <c r="AV5920" s="73"/>
      <c r="AW5920" s="68"/>
      <c r="AX5920" s="68"/>
      <c r="AY5920" s="68"/>
      <c r="AZ5920" s="68"/>
      <c r="BA5920" s="68"/>
      <c r="BB5920" s="67"/>
      <c r="BC5920" s="67"/>
      <c r="BD5920" s="67"/>
      <c r="BE5920" s="67"/>
      <c r="BF5920" s="95"/>
    </row>
    <row r="5921" spans="42:58" x14ac:dyDescent="0.35">
      <c r="AP5921" s="93"/>
      <c r="AQ5921" s="31"/>
      <c r="AR5921" s="31"/>
      <c r="AS5921" s="94"/>
      <c r="AT5921" s="31"/>
      <c r="AU5921" s="31"/>
      <c r="AV5921" s="94"/>
      <c r="AW5921" s="32"/>
      <c r="AX5921" s="32"/>
      <c r="AY5921" s="32"/>
      <c r="AZ5921" s="32"/>
      <c r="BA5921" s="32"/>
      <c r="BB5921" s="31"/>
      <c r="BC5921" s="31"/>
      <c r="BD5921" s="31"/>
      <c r="BE5921" s="31"/>
      <c r="BF5921" s="96"/>
    </row>
    <row r="5922" spans="42:58" x14ac:dyDescent="0.35">
      <c r="AP5922" s="92"/>
      <c r="AQ5922" s="67"/>
      <c r="AR5922" s="67"/>
      <c r="AS5922" s="73"/>
      <c r="AT5922" s="67"/>
      <c r="AU5922" s="67"/>
      <c r="AV5922" s="73"/>
      <c r="AW5922" s="68"/>
      <c r="AX5922" s="68"/>
      <c r="AY5922" s="68"/>
      <c r="AZ5922" s="68"/>
      <c r="BA5922" s="68"/>
      <c r="BB5922" s="67"/>
      <c r="BC5922" s="67"/>
      <c r="BD5922" s="67"/>
      <c r="BE5922" s="67"/>
      <c r="BF5922" s="95"/>
    </row>
    <row r="5923" spans="42:58" x14ac:dyDescent="0.35">
      <c r="AP5923" s="93"/>
      <c r="AQ5923" s="31"/>
      <c r="AR5923" s="31"/>
      <c r="AS5923" s="94"/>
      <c r="AT5923" s="31"/>
      <c r="AU5923" s="31"/>
      <c r="AV5923" s="94"/>
      <c r="AW5923" s="32"/>
      <c r="AX5923" s="32"/>
      <c r="AY5923" s="32"/>
      <c r="AZ5923" s="32"/>
      <c r="BA5923" s="32"/>
      <c r="BB5923" s="31"/>
      <c r="BC5923" s="31"/>
      <c r="BD5923" s="31"/>
      <c r="BE5923" s="31"/>
      <c r="BF5923" s="96"/>
    </row>
    <row r="5924" spans="42:58" x14ac:dyDescent="0.35">
      <c r="AP5924" s="92"/>
      <c r="AQ5924" s="67"/>
      <c r="AR5924" s="67"/>
      <c r="AS5924" s="73"/>
      <c r="AT5924" s="67"/>
      <c r="AU5924" s="67"/>
      <c r="AV5924" s="73"/>
      <c r="AW5924" s="68"/>
      <c r="AX5924" s="68"/>
      <c r="AY5924" s="68"/>
      <c r="AZ5924" s="68"/>
      <c r="BA5924" s="68"/>
      <c r="BB5924" s="67"/>
      <c r="BC5924" s="67"/>
      <c r="BD5924" s="67"/>
      <c r="BE5924" s="67"/>
      <c r="BF5924" s="95"/>
    </row>
    <row r="5925" spans="42:58" x14ac:dyDescent="0.35">
      <c r="AP5925" s="93"/>
      <c r="AQ5925" s="31"/>
      <c r="AR5925" s="31"/>
      <c r="AS5925" s="94"/>
      <c r="AT5925" s="31"/>
      <c r="AU5925" s="31"/>
      <c r="AV5925" s="94"/>
      <c r="AW5925" s="32"/>
      <c r="AX5925" s="32"/>
      <c r="AY5925" s="32"/>
      <c r="AZ5925" s="32"/>
      <c r="BA5925" s="32"/>
      <c r="BB5925" s="31"/>
      <c r="BC5925" s="31"/>
      <c r="BD5925" s="31"/>
      <c r="BE5925" s="31"/>
      <c r="BF5925" s="96"/>
    </row>
    <row r="5926" spans="42:58" x14ac:dyDescent="0.35">
      <c r="AP5926" s="92"/>
      <c r="AQ5926" s="67"/>
      <c r="AR5926" s="67"/>
      <c r="AS5926" s="73"/>
      <c r="AT5926" s="67"/>
      <c r="AU5926" s="67"/>
      <c r="AV5926" s="73"/>
      <c r="AW5926" s="68"/>
      <c r="AX5926" s="68"/>
      <c r="AY5926" s="68"/>
      <c r="AZ5926" s="68"/>
      <c r="BA5926" s="68"/>
      <c r="BB5926" s="67"/>
      <c r="BC5926" s="67"/>
      <c r="BD5926" s="67"/>
      <c r="BE5926" s="67"/>
      <c r="BF5926" s="95"/>
    </row>
    <row r="5927" spans="42:58" x14ac:dyDescent="0.35">
      <c r="AP5927" s="93"/>
      <c r="AQ5927" s="31"/>
      <c r="AR5927" s="31"/>
      <c r="AS5927" s="94"/>
      <c r="AT5927" s="31"/>
      <c r="AU5927" s="31"/>
      <c r="AV5927" s="94"/>
      <c r="AW5927" s="32"/>
      <c r="AX5927" s="32"/>
      <c r="AY5927" s="32"/>
      <c r="AZ5927" s="32"/>
      <c r="BA5927" s="32"/>
      <c r="BB5927" s="31"/>
      <c r="BC5927" s="31"/>
      <c r="BD5927" s="31"/>
      <c r="BE5927" s="31"/>
      <c r="BF5927" s="96"/>
    </row>
    <row r="5928" spans="42:58" x14ac:dyDescent="0.35">
      <c r="AP5928" s="92"/>
      <c r="AQ5928" s="67"/>
      <c r="AR5928" s="67"/>
      <c r="AS5928" s="73"/>
      <c r="AT5928" s="67"/>
      <c r="AU5928" s="67"/>
      <c r="AV5928" s="73"/>
      <c r="AW5928" s="68"/>
      <c r="AX5928" s="68"/>
      <c r="AY5928" s="68"/>
      <c r="AZ5928" s="68"/>
      <c r="BA5928" s="68"/>
      <c r="BB5928" s="67"/>
      <c r="BC5928" s="67"/>
      <c r="BD5928" s="67"/>
      <c r="BE5928" s="67"/>
      <c r="BF5928" s="95"/>
    </row>
    <row r="5929" spans="42:58" x14ac:dyDescent="0.35">
      <c r="AP5929" s="93"/>
      <c r="AQ5929" s="31"/>
      <c r="AR5929" s="31"/>
      <c r="AS5929" s="94"/>
      <c r="AT5929" s="31"/>
      <c r="AU5929" s="31"/>
      <c r="AV5929" s="94"/>
      <c r="AW5929" s="32"/>
      <c r="AX5929" s="32"/>
      <c r="AY5929" s="32"/>
      <c r="AZ5929" s="32"/>
      <c r="BA5929" s="32"/>
      <c r="BB5929" s="31"/>
      <c r="BC5929" s="31"/>
      <c r="BD5929" s="31"/>
      <c r="BE5929" s="31"/>
      <c r="BF5929" s="96"/>
    </row>
    <row r="5930" spans="42:58" x14ac:dyDescent="0.35">
      <c r="AP5930" s="92"/>
      <c r="AQ5930" s="67"/>
      <c r="AR5930" s="67"/>
      <c r="AS5930" s="73"/>
      <c r="AT5930" s="67"/>
      <c r="AU5930" s="67"/>
      <c r="AV5930" s="73"/>
      <c r="AW5930" s="68"/>
      <c r="AX5930" s="68"/>
      <c r="AY5930" s="68"/>
      <c r="AZ5930" s="68"/>
      <c r="BA5930" s="68"/>
      <c r="BB5930" s="67"/>
      <c r="BC5930" s="67"/>
      <c r="BD5930" s="67"/>
      <c r="BE5930" s="67"/>
      <c r="BF5930" s="95"/>
    </row>
    <row r="5931" spans="42:58" x14ac:dyDescent="0.35">
      <c r="AP5931" s="93"/>
      <c r="AQ5931" s="31"/>
      <c r="AR5931" s="31"/>
      <c r="AS5931" s="94"/>
      <c r="AT5931" s="31"/>
      <c r="AU5931" s="31"/>
      <c r="AV5931" s="94"/>
      <c r="AW5931" s="32"/>
      <c r="AX5931" s="32"/>
      <c r="AY5931" s="32"/>
      <c r="AZ5931" s="32"/>
      <c r="BA5931" s="32"/>
      <c r="BB5931" s="31"/>
      <c r="BC5931" s="31"/>
      <c r="BD5931" s="31"/>
      <c r="BE5931" s="31"/>
      <c r="BF5931" s="96"/>
    </row>
    <row r="5932" spans="42:58" x14ac:dyDescent="0.35">
      <c r="AP5932" s="92"/>
      <c r="AQ5932" s="67"/>
      <c r="AR5932" s="67"/>
      <c r="AS5932" s="73"/>
      <c r="AT5932" s="67"/>
      <c r="AU5932" s="67"/>
      <c r="AV5932" s="73"/>
      <c r="AW5932" s="68"/>
      <c r="AX5932" s="68"/>
      <c r="AY5932" s="68"/>
      <c r="AZ5932" s="68"/>
      <c r="BA5932" s="68"/>
      <c r="BB5932" s="67"/>
      <c r="BC5932" s="67"/>
      <c r="BD5932" s="67"/>
      <c r="BE5932" s="67"/>
      <c r="BF5932" s="95"/>
    </row>
    <row r="5933" spans="42:58" x14ac:dyDescent="0.35">
      <c r="AP5933" s="93"/>
      <c r="AQ5933" s="31"/>
      <c r="AR5933" s="31"/>
      <c r="AS5933" s="94"/>
      <c r="AT5933" s="31"/>
      <c r="AU5933" s="31"/>
      <c r="AV5933" s="94"/>
      <c r="AW5933" s="32"/>
      <c r="AX5933" s="32"/>
      <c r="AY5933" s="32"/>
      <c r="AZ5933" s="32"/>
      <c r="BA5933" s="32"/>
      <c r="BB5933" s="31"/>
      <c r="BC5933" s="31"/>
      <c r="BD5933" s="31"/>
      <c r="BE5933" s="31"/>
      <c r="BF5933" s="96"/>
    </row>
    <row r="5934" spans="42:58" x14ac:dyDescent="0.35">
      <c r="AP5934" s="92"/>
      <c r="AQ5934" s="67"/>
      <c r="AR5934" s="67"/>
      <c r="AS5934" s="73"/>
      <c r="AT5934" s="67"/>
      <c r="AU5934" s="67"/>
      <c r="AV5934" s="73"/>
      <c r="AW5934" s="68"/>
      <c r="AX5934" s="68"/>
      <c r="AY5934" s="68"/>
      <c r="AZ5934" s="68"/>
      <c r="BA5934" s="68"/>
      <c r="BB5934" s="67"/>
      <c r="BC5934" s="67"/>
      <c r="BD5934" s="67"/>
      <c r="BE5934" s="67"/>
      <c r="BF5934" s="95"/>
    </row>
    <row r="5935" spans="42:58" x14ac:dyDescent="0.35">
      <c r="AP5935" s="93"/>
      <c r="AQ5935" s="31"/>
      <c r="AR5935" s="31"/>
      <c r="AS5935" s="94"/>
      <c r="AT5935" s="31"/>
      <c r="AU5935" s="31"/>
      <c r="AV5935" s="94"/>
      <c r="AW5935" s="32"/>
      <c r="AX5935" s="32"/>
      <c r="AY5935" s="32"/>
      <c r="AZ5935" s="32"/>
      <c r="BA5935" s="32"/>
      <c r="BB5935" s="31"/>
      <c r="BC5935" s="31"/>
      <c r="BD5935" s="31"/>
      <c r="BE5935" s="31"/>
      <c r="BF5935" s="96"/>
    </row>
    <row r="5936" spans="42:58" x14ac:dyDescent="0.35">
      <c r="AP5936" s="92"/>
      <c r="AQ5936" s="67"/>
      <c r="AR5936" s="67"/>
      <c r="AS5936" s="73"/>
      <c r="AT5936" s="67"/>
      <c r="AU5936" s="67"/>
      <c r="AV5936" s="73"/>
      <c r="AW5936" s="68"/>
      <c r="AX5936" s="68"/>
      <c r="AY5936" s="68"/>
      <c r="AZ5936" s="68"/>
      <c r="BA5936" s="68"/>
      <c r="BB5936" s="67"/>
      <c r="BC5936" s="67"/>
      <c r="BD5936" s="67"/>
      <c r="BE5936" s="67"/>
      <c r="BF5936" s="95"/>
    </row>
    <row r="5937" spans="42:58" x14ac:dyDescent="0.35">
      <c r="AP5937" s="93"/>
      <c r="AQ5937" s="31"/>
      <c r="AR5937" s="31"/>
      <c r="AS5937" s="94"/>
      <c r="AT5937" s="31"/>
      <c r="AU5937" s="31"/>
      <c r="AV5937" s="94"/>
      <c r="AW5937" s="32"/>
      <c r="AX5937" s="32"/>
      <c r="AY5937" s="32"/>
      <c r="AZ5937" s="32"/>
      <c r="BA5937" s="32"/>
      <c r="BB5937" s="31"/>
      <c r="BC5937" s="31"/>
      <c r="BD5937" s="31"/>
      <c r="BE5937" s="31"/>
      <c r="BF5937" s="96"/>
    </row>
    <row r="5938" spans="42:58" x14ac:dyDescent="0.35">
      <c r="AP5938" s="92"/>
      <c r="AQ5938" s="67"/>
      <c r="AR5938" s="67"/>
      <c r="AS5938" s="73"/>
      <c r="AT5938" s="67"/>
      <c r="AU5938" s="67"/>
      <c r="AV5938" s="73"/>
      <c r="AW5938" s="68"/>
      <c r="AX5938" s="68"/>
      <c r="AY5938" s="68"/>
      <c r="AZ5938" s="68"/>
      <c r="BA5938" s="68"/>
      <c r="BB5938" s="67"/>
      <c r="BC5938" s="67"/>
      <c r="BD5938" s="67"/>
      <c r="BE5938" s="67"/>
      <c r="BF5938" s="95"/>
    </row>
    <row r="5939" spans="42:58" x14ac:dyDescent="0.35">
      <c r="AP5939" s="93"/>
      <c r="AQ5939" s="31"/>
      <c r="AR5939" s="31"/>
      <c r="AS5939" s="94"/>
      <c r="AT5939" s="31"/>
      <c r="AU5939" s="31"/>
      <c r="AV5939" s="94"/>
      <c r="AW5939" s="32"/>
      <c r="AX5939" s="32"/>
      <c r="AY5939" s="32"/>
      <c r="AZ5939" s="32"/>
      <c r="BA5939" s="32"/>
      <c r="BB5939" s="31"/>
      <c r="BC5939" s="31"/>
      <c r="BD5939" s="31"/>
      <c r="BE5939" s="31"/>
      <c r="BF5939" s="96"/>
    </row>
    <row r="5940" spans="42:58" x14ac:dyDescent="0.35">
      <c r="AP5940" s="92"/>
      <c r="AQ5940" s="67"/>
      <c r="AR5940" s="67"/>
      <c r="AS5940" s="73"/>
      <c r="AT5940" s="67"/>
      <c r="AU5940" s="67"/>
      <c r="AV5940" s="73"/>
      <c r="AW5940" s="68"/>
      <c r="AX5940" s="68"/>
      <c r="AY5940" s="68"/>
      <c r="AZ5940" s="68"/>
      <c r="BA5940" s="68"/>
      <c r="BB5940" s="67"/>
      <c r="BC5940" s="67"/>
      <c r="BD5940" s="67"/>
      <c r="BE5940" s="67"/>
      <c r="BF5940" s="95"/>
    </row>
    <row r="5941" spans="42:58" x14ac:dyDescent="0.35">
      <c r="AP5941" s="93"/>
      <c r="AQ5941" s="31"/>
      <c r="AR5941" s="31"/>
      <c r="AS5941" s="94"/>
      <c r="AT5941" s="31"/>
      <c r="AU5941" s="31"/>
      <c r="AV5941" s="94"/>
      <c r="AW5941" s="32"/>
      <c r="AX5941" s="32"/>
      <c r="AY5941" s="32"/>
      <c r="AZ5941" s="32"/>
      <c r="BA5941" s="32"/>
      <c r="BB5941" s="31"/>
      <c r="BC5941" s="31"/>
      <c r="BD5941" s="31"/>
      <c r="BE5941" s="31"/>
      <c r="BF5941" s="96"/>
    </row>
    <row r="5942" spans="42:58" x14ac:dyDescent="0.35">
      <c r="AP5942" s="92"/>
      <c r="AQ5942" s="67"/>
      <c r="AR5942" s="67"/>
      <c r="AS5942" s="73"/>
      <c r="AT5942" s="67"/>
      <c r="AU5942" s="67"/>
      <c r="AV5942" s="73"/>
      <c r="AW5942" s="68"/>
      <c r="AX5942" s="68"/>
      <c r="AY5942" s="68"/>
      <c r="AZ5942" s="68"/>
      <c r="BA5942" s="68"/>
      <c r="BB5942" s="67"/>
      <c r="BC5942" s="67"/>
      <c r="BD5942" s="67"/>
      <c r="BE5942" s="67"/>
      <c r="BF5942" s="95"/>
    </row>
    <row r="5943" spans="42:58" x14ac:dyDescent="0.35">
      <c r="AP5943" s="93"/>
      <c r="AQ5943" s="31"/>
      <c r="AR5943" s="31"/>
      <c r="AS5943" s="94"/>
      <c r="AT5943" s="31"/>
      <c r="AU5943" s="31"/>
      <c r="AV5943" s="94"/>
      <c r="AW5943" s="32"/>
      <c r="AX5943" s="32"/>
      <c r="AY5943" s="32"/>
      <c r="AZ5943" s="32"/>
      <c r="BA5943" s="32"/>
      <c r="BB5943" s="31"/>
      <c r="BC5943" s="31"/>
      <c r="BD5943" s="31"/>
      <c r="BE5943" s="31"/>
      <c r="BF5943" s="96"/>
    </row>
    <row r="5944" spans="42:58" x14ac:dyDescent="0.35">
      <c r="AP5944" s="92"/>
      <c r="AQ5944" s="67"/>
      <c r="AR5944" s="67"/>
      <c r="AS5944" s="73"/>
      <c r="AT5944" s="67"/>
      <c r="AU5944" s="67"/>
      <c r="AV5944" s="73"/>
      <c r="AW5944" s="68"/>
      <c r="AX5944" s="68"/>
      <c r="AY5944" s="68"/>
      <c r="AZ5944" s="68"/>
      <c r="BA5944" s="68"/>
      <c r="BB5944" s="67"/>
      <c r="BC5944" s="67"/>
      <c r="BD5944" s="67"/>
      <c r="BE5944" s="67"/>
      <c r="BF5944" s="95"/>
    </row>
    <row r="5945" spans="42:58" x14ac:dyDescent="0.35">
      <c r="AP5945" s="93"/>
      <c r="AQ5945" s="31"/>
      <c r="AR5945" s="31"/>
      <c r="AS5945" s="94"/>
      <c r="AT5945" s="31"/>
      <c r="AU5945" s="31"/>
      <c r="AV5945" s="94"/>
      <c r="AW5945" s="32"/>
      <c r="AX5945" s="32"/>
      <c r="AY5945" s="32"/>
      <c r="AZ5945" s="32"/>
      <c r="BA5945" s="32"/>
      <c r="BB5945" s="31"/>
      <c r="BC5945" s="31"/>
      <c r="BD5945" s="31"/>
      <c r="BE5945" s="31"/>
      <c r="BF5945" s="96"/>
    </row>
    <row r="5946" spans="42:58" x14ac:dyDescent="0.35">
      <c r="AP5946" s="92"/>
      <c r="AQ5946" s="67"/>
      <c r="AR5946" s="67"/>
      <c r="AS5946" s="73"/>
      <c r="AT5946" s="67"/>
      <c r="AU5946" s="67"/>
      <c r="AV5946" s="73"/>
      <c r="AW5946" s="68"/>
      <c r="AX5946" s="68"/>
      <c r="AY5946" s="68"/>
      <c r="AZ5946" s="68"/>
      <c r="BA5946" s="68"/>
      <c r="BB5946" s="67"/>
      <c r="BC5946" s="67"/>
      <c r="BD5946" s="67"/>
      <c r="BE5946" s="67"/>
      <c r="BF5946" s="95"/>
    </row>
    <row r="5947" spans="42:58" x14ac:dyDescent="0.35">
      <c r="AP5947" s="93"/>
      <c r="AQ5947" s="31"/>
      <c r="AR5947" s="31"/>
      <c r="AS5947" s="94"/>
      <c r="AT5947" s="31"/>
      <c r="AU5947" s="31"/>
      <c r="AV5947" s="94"/>
      <c r="AW5947" s="32"/>
      <c r="AX5947" s="32"/>
      <c r="AY5947" s="32"/>
      <c r="AZ5947" s="32"/>
      <c r="BA5947" s="32"/>
      <c r="BB5947" s="31"/>
      <c r="BC5947" s="31"/>
      <c r="BD5947" s="31"/>
      <c r="BE5947" s="31"/>
      <c r="BF5947" s="96"/>
    </row>
    <row r="5948" spans="42:58" x14ac:dyDescent="0.35">
      <c r="AP5948" s="92"/>
      <c r="AQ5948" s="67"/>
      <c r="AR5948" s="67"/>
      <c r="AS5948" s="73"/>
      <c r="AT5948" s="67"/>
      <c r="AU5948" s="67"/>
      <c r="AV5948" s="73"/>
      <c r="AW5948" s="68"/>
      <c r="AX5948" s="68"/>
      <c r="AY5948" s="68"/>
      <c r="AZ5948" s="68"/>
      <c r="BA5948" s="68"/>
      <c r="BB5948" s="67"/>
      <c r="BC5948" s="67"/>
      <c r="BD5948" s="67"/>
      <c r="BE5948" s="67"/>
      <c r="BF5948" s="95"/>
    </row>
    <row r="5949" spans="42:58" x14ac:dyDescent="0.35">
      <c r="AP5949" s="93"/>
      <c r="AQ5949" s="31"/>
      <c r="AR5949" s="31"/>
      <c r="AS5949" s="94"/>
      <c r="AT5949" s="31"/>
      <c r="AU5949" s="31"/>
      <c r="AV5949" s="94"/>
      <c r="AW5949" s="32"/>
      <c r="AX5949" s="32"/>
      <c r="AY5949" s="32"/>
      <c r="AZ5949" s="32"/>
      <c r="BA5949" s="32"/>
      <c r="BB5949" s="31"/>
      <c r="BC5949" s="31"/>
      <c r="BD5949" s="31"/>
      <c r="BE5949" s="31"/>
      <c r="BF5949" s="96"/>
    </row>
    <row r="5950" spans="42:58" x14ac:dyDescent="0.35">
      <c r="AP5950" s="92"/>
      <c r="AQ5950" s="67"/>
      <c r="AR5950" s="67"/>
      <c r="AS5950" s="73"/>
      <c r="AT5950" s="67"/>
      <c r="AU5950" s="67"/>
      <c r="AV5950" s="73"/>
      <c r="AW5950" s="68"/>
      <c r="AX5950" s="68"/>
      <c r="AY5950" s="68"/>
      <c r="AZ5950" s="68"/>
      <c r="BA5950" s="68"/>
      <c r="BB5950" s="67"/>
      <c r="BC5950" s="67"/>
      <c r="BD5950" s="67"/>
      <c r="BE5950" s="67"/>
      <c r="BF5950" s="95"/>
    </row>
    <row r="5951" spans="42:58" x14ac:dyDescent="0.35">
      <c r="AP5951" s="93"/>
      <c r="AQ5951" s="31"/>
      <c r="AR5951" s="31"/>
      <c r="AS5951" s="94"/>
      <c r="AT5951" s="31"/>
      <c r="AU5951" s="31"/>
      <c r="AV5951" s="94"/>
      <c r="AW5951" s="32"/>
      <c r="AX5951" s="32"/>
      <c r="AY5951" s="32"/>
      <c r="AZ5951" s="32"/>
      <c r="BA5951" s="32"/>
      <c r="BB5951" s="31"/>
      <c r="BC5951" s="31"/>
      <c r="BD5951" s="31"/>
      <c r="BE5951" s="31"/>
      <c r="BF5951" s="96"/>
    </row>
    <row r="5952" spans="42:58" x14ac:dyDescent="0.35">
      <c r="AP5952" s="92"/>
      <c r="AQ5952" s="67"/>
      <c r="AR5952" s="67"/>
      <c r="AS5952" s="73"/>
      <c r="AT5952" s="67"/>
      <c r="AU5952" s="67"/>
      <c r="AV5952" s="73"/>
      <c r="AW5952" s="68"/>
      <c r="AX5952" s="68"/>
      <c r="AY5952" s="68"/>
      <c r="AZ5952" s="68"/>
      <c r="BA5952" s="68"/>
      <c r="BB5952" s="67"/>
      <c r="BC5952" s="67"/>
      <c r="BD5952" s="67"/>
      <c r="BE5952" s="67"/>
      <c r="BF5952" s="95"/>
    </row>
    <row r="5953" spans="42:58" x14ac:dyDescent="0.35">
      <c r="AP5953" s="93"/>
      <c r="AQ5953" s="31"/>
      <c r="AR5953" s="31"/>
      <c r="AS5953" s="94"/>
      <c r="AT5953" s="31"/>
      <c r="AU5953" s="31"/>
      <c r="AV5953" s="94"/>
      <c r="AW5953" s="32"/>
      <c r="AX5953" s="32"/>
      <c r="AY5953" s="32"/>
      <c r="AZ5953" s="32"/>
      <c r="BA5953" s="32"/>
      <c r="BB5953" s="31"/>
      <c r="BC5953" s="31"/>
      <c r="BD5953" s="31"/>
      <c r="BE5953" s="31"/>
      <c r="BF5953" s="96"/>
    </row>
    <row r="5954" spans="42:58" x14ac:dyDescent="0.35">
      <c r="AP5954" s="92"/>
      <c r="AQ5954" s="67"/>
      <c r="AR5954" s="67"/>
      <c r="AS5954" s="73"/>
      <c r="AT5954" s="67"/>
      <c r="AU5954" s="67"/>
      <c r="AV5954" s="73"/>
      <c r="AW5954" s="68"/>
      <c r="AX5954" s="68"/>
      <c r="AY5954" s="68"/>
      <c r="AZ5954" s="68"/>
      <c r="BA5954" s="68"/>
      <c r="BB5954" s="67"/>
      <c r="BC5954" s="67"/>
      <c r="BD5954" s="67"/>
      <c r="BE5954" s="67"/>
      <c r="BF5954" s="95"/>
    </row>
    <row r="5955" spans="42:58" x14ac:dyDescent="0.35">
      <c r="AP5955" s="93"/>
      <c r="AQ5955" s="31"/>
      <c r="AR5955" s="31"/>
      <c r="AS5955" s="94"/>
      <c r="AT5955" s="31"/>
      <c r="AU5955" s="31"/>
      <c r="AV5955" s="94"/>
      <c r="AW5955" s="32"/>
      <c r="AX5955" s="32"/>
      <c r="AY5955" s="32"/>
      <c r="AZ5955" s="32"/>
      <c r="BA5955" s="32"/>
      <c r="BB5955" s="31"/>
      <c r="BC5955" s="31"/>
      <c r="BD5955" s="31"/>
      <c r="BE5955" s="31"/>
      <c r="BF5955" s="96"/>
    </row>
    <row r="5956" spans="42:58" x14ac:dyDescent="0.35">
      <c r="AP5956" s="92"/>
      <c r="AQ5956" s="67"/>
      <c r="AR5956" s="67"/>
      <c r="AS5956" s="73"/>
      <c r="AT5956" s="67"/>
      <c r="AU5956" s="67"/>
      <c r="AV5956" s="73"/>
      <c r="AW5956" s="68"/>
      <c r="AX5956" s="68"/>
      <c r="AY5956" s="68"/>
      <c r="AZ5956" s="68"/>
      <c r="BA5956" s="68"/>
      <c r="BB5956" s="67"/>
      <c r="BC5956" s="67"/>
      <c r="BD5956" s="67"/>
      <c r="BE5956" s="67"/>
      <c r="BF5956" s="95"/>
    </row>
    <row r="5957" spans="42:58" x14ac:dyDescent="0.35">
      <c r="AP5957" s="93"/>
      <c r="AQ5957" s="31"/>
      <c r="AR5957" s="31"/>
      <c r="AS5957" s="94"/>
      <c r="AT5957" s="31"/>
      <c r="AU5957" s="31"/>
      <c r="AV5957" s="94"/>
      <c r="AW5957" s="32"/>
      <c r="AX5957" s="32"/>
      <c r="AY5957" s="32"/>
      <c r="AZ5957" s="32"/>
      <c r="BA5957" s="32"/>
      <c r="BB5957" s="31"/>
      <c r="BC5957" s="31"/>
      <c r="BD5957" s="31"/>
      <c r="BE5957" s="31"/>
      <c r="BF5957" s="96"/>
    </row>
    <row r="5958" spans="42:58" x14ac:dyDescent="0.35">
      <c r="AP5958" s="92"/>
      <c r="AQ5958" s="67"/>
      <c r="AR5958" s="67"/>
      <c r="AS5958" s="73"/>
      <c r="AT5958" s="67"/>
      <c r="AU5958" s="67"/>
      <c r="AV5958" s="73"/>
      <c r="AW5958" s="68"/>
      <c r="AX5958" s="68"/>
      <c r="AY5958" s="68"/>
      <c r="AZ5958" s="68"/>
      <c r="BA5958" s="68"/>
      <c r="BB5958" s="67"/>
      <c r="BC5958" s="67"/>
      <c r="BD5958" s="67"/>
      <c r="BE5958" s="67"/>
      <c r="BF5958" s="95"/>
    </row>
    <row r="5959" spans="42:58" x14ac:dyDescent="0.35">
      <c r="AP5959" s="93"/>
      <c r="AQ5959" s="31"/>
      <c r="AR5959" s="31"/>
      <c r="AS5959" s="94"/>
      <c r="AT5959" s="31"/>
      <c r="AU5959" s="31"/>
      <c r="AV5959" s="94"/>
      <c r="AW5959" s="32"/>
      <c r="AX5959" s="32"/>
      <c r="AY5959" s="32"/>
      <c r="AZ5959" s="32"/>
      <c r="BA5959" s="32"/>
      <c r="BB5959" s="31"/>
      <c r="BC5959" s="31"/>
      <c r="BD5959" s="31"/>
      <c r="BE5959" s="31"/>
      <c r="BF5959" s="96"/>
    </row>
    <row r="5960" spans="42:58" x14ac:dyDescent="0.35">
      <c r="AP5960" s="92"/>
      <c r="AQ5960" s="67"/>
      <c r="AR5960" s="67"/>
      <c r="AS5960" s="73"/>
      <c r="AT5960" s="67"/>
      <c r="AU5960" s="67"/>
      <c r="AV5960" s="73"/>
      <c r="AW5960" s="68"/>
      <c r="AX5960" s="68"/>
      <c r="AY5960" s="68"/>
      <c r="AZ5960" s="68"/>
      <c r="BA5960" s="68"/>
      <c r="BB5960" s="67"/>
      <c r="BC5960" s="67"/>
      <c r="BD5960" s="67"/>
      <c r="BE5960" s="67"/>
      <c r="BF5960" s="95"/>
    </row>
    <row r="5961" spans="42:58" x14ac:dyDescent="0.35">
      <c r="AP5961" s="93"/>
      <c r="AQ5961" s="31"/>
      <c r="AR5961" s="31"/>
      <c r="AS5961" s="94"/>
      <c r="AT5961" s="31"/>
      <c r="AU5961" s="31"/>
      <c r="AV5961" s="94"/>
      <c r="AW5961" s="32"/>
      <c r="AX5961" s="32"/>
      <c r="AY5961" s="32"/>
      <c r="AZ5961" s="32"/>
      <c r="BA5961" s="32"/>
      <c r="BB5961" s="31"/>
      <c r="BC5961" s="31"/>
      <c r="BD5961" s="31"/>
      <c r="BE5961" s="31"/>
      <c r="BF5961" s="96"/>
    </row>
    <row r="5962" spans="42:58" x14ac:dyDescent="0.35">
      <c r="AP5962" s="92"/>
      <c r="AQ5962" s="67"/>
      <c r="AR5962" s="67"/>
      <c r="AS5962" s="73"/>
      <c r="AT5962" s="67"/>
      <c r="AU5962" s="67"/>
      <c r="AV5962" s="73"/>
      <c r="AW5962" s="68"/>
      <c r="AX5962" s="68"/>
      <c r="AY5962" s="68"/>
      <c r="AZ5962" s="68"/>
      <c r="BA5962" s="68"/>
      <c r="BB5962" s="67"/>
      <c r="BC5962" s="67"/>
      <c r="BD5962" s="67"/>
      <c r="BE5962" s="67"/>
      <c r="BF5962" s="95"/>
    </row>
    <row r="5963" spans="42:58" x14ac:dyDescent="0.35">
      <c r="AP5963" s="93"/>
      <c r="AQ5963" s="31"/>
      <c r="AR5963" s="31"/>
      <c r="AS5963" s="94"/>
      <c r="AT5963" s="31"/>
      <c r="AU5963" s="31"/>
      <c r="AV5963" s="94"/>
      <c r="AW5963" s="32"/>
      <c r="AX5963" s="32"/>
      <c r="AY5963" s="32"/>
      <c r="AZ5963" s="32"/>
      <c r="BA5963" s="32"/>
      <c r="BB5963" s="31"/>
      <c r="BC5963" s="31"/>
      <c r="BD5963" s="31"/>
      <c r="BE5963" s="31"/>
      <c r="BF5963" s="96"/>
    </row>
    <row r="5964" spans="42:58" x14ac:dyDescent="0.35">
      <c r="AP5964" s="92"/>
      <c r="AQ5964" s="67"/>
      <c r="AR5964" s="67"/>
      <c r="AS5964" s="73"/>
      <c r="AT5964" s="67"/>
      <c r="AU5964" s="67"/>
      <c r="AV5964" s="73"/>
      <c r="AW5964" s="68"/>
      <c r="AX5964" s="68"/>
      <c r="AY5964" s="68"/>
      <c r="AZ5964" s="68"/>
      <c r="BA5964" s="68"/>
      <c r="BB5964" s="67"/>
      <c r="BC5964" s="67"/>
      <c r="BD5964" s="67"/>
      <c r="BE5964" s="67"/>
      <c r="BF5964" s="95"/>
    </row>
    <row r="5965" spans="42:58" x14ac:dyDescent="0.35">
      <c r="AP5965" s="93"/>
      <c r="AQ5965" s="31"/>
      <c r="AR5965" s="31"/>
      <c r="AS5965" s="94"/>
      <c r="AT5965" s="31"/>
      <c r="AU5965" s="31"/>
      <c r="AV5965" s="94"/>
      <c r="AW5965" s="32"/>
      <c r="AX5965" s="32"/>
      <c r="AY5965" s="32"/>
      <c r="AZ5965" s="32"/>
      <c r="BA5965" s="32"/>
      <c r="BB5965" s="31"/>
      <c r="BC5965" s="31"/>
      <c r="BD5965" s="31"/>
      <c r="BE5965" s="31"/>
      <c r="BF5965" s="96"/>
    </row>
    <row r="5966" spans="42:58" x14ac:dyDescent="0.35">
      <c r="AP5966" s="92"/>
      <c r="AQ5966" s="67"/>
      <c r="AR5966" s="67"/>
      <c r="AS5966" s="73"/>
      <c r="AT5966" s="67"/>
      <c r="AU5966" s="67"/>
      <c r="AV5966" s="73"/>
      <c r="AW5966" s="68"/>
      <c r="AX5966" s="68"/>
      <c r="AY5966" s="68"/>
      <c r="AZ5966" s="68"/>
      <c r="BA5966" s="68"/>
      <c r="BB5966" s="67"/>
      <c r="BC5966" s="67"/>
      <c r="BD5966" s="67"/>
      <c r="BE5966" s="67"/>
      <c r="BF5966" s="95"/>
    </row>
    <row r="5967" spans="42:58" x14ac:dyDescent="0.35">
      <c r="AP5967" s="93"/>
      <c r="AQ5967" s="31"/>
      <c r="AR5967" s="31"/>
      <c r="AS5967" s="94"/>
      <c r="AT5967" s="31"/>
      <c r="AU5967" s="31"/>
      <c r="AV5967" s="94"/>
      <c r="AW5967" s="32"/>
      <c r="AX5967" s="32"/>
      <c r="AY5967" s="32"/>
      <c r="AZ5967" s="32"/>
      <c r="BA5967" s="32"/>
      <c r="BB5967" s="31"/>
      <c r="BC5967" s="31"/>
      <c r="BD5967" s="31"/>
      <c r="BE5967" s="31"/>
      <c r="BF5967" s="96"/>
    </row>
    <row r="5968" spans="42:58" x14ac:dyDescent="0.35">
      <c r="AP5968" s="92"/>
      <c r="AQ5968" s="67"/>
      <c r="AR5968" s="67"/>
      <c r="AS5968" s="73"/>
      <c r="AT5968" s="67"/>
      <c r="AU5968" s="67"/>
      <c r="AV5968" s="73"/>
      <c r="AW5968" s="68"/>
      <c r="AX5968" s="68"/>
      <c r="AY5968" s="68"/>
      <c r="AZ5968" s="68"/>
      <c r="BA5968" s="68"/>
      <c r="BB5968" s="67"/>
      <c r="BC5968" s="67"/>
      <c r="BD5968" s="67"/>
      <c r="BE5968" s="67"/>
      <c r="BF5968" s="95"/>
    </row>
    <row r="5969" spans="42:58" x14ac:dyDescent="0.35">
      <c r="AP5969" s="93"/>
      <c r="AQ5969" s="31"/>
      <c r="AR5969" s="31"/>
      <c r="AS5969" s="94"/>
      <c r="AT5969" s="31"/>
      <c r="AU5969" s="31"/>
      <c r="AV5969" s="94"/>
      <c r="AW5969" s="32"/>
      <c r="AX5969" s="32"/>
      <c r="AY5969" s="32"/>
      <c r="AZ5969" s="32"/>
      <c r="BA5969" s="32"/>
      <c r="BB5969" s="31"/>
      <c r="BC5969" s="31"/>
      <c r="BD5969" s="31"/>
      <c r="BE5969" s="31"/>
      <c r="BF5969" s="96"/>
    </row>
    <row r="5970" spans="42:58" x14ac:dyDescent="0.35">
      <c r="AP5970" s="92"/>
      <c r="AQ5970" s="67"/>
      <c r="AR5970" s="67"/>
      <c r="AS5970" s="73"/>
      <c r="AT5970" s="67"/>
      <c r="AU5970" s="67"/>
      <c r="AV5970" s="73"/>
      <c r="AW5970" s="68"/>
      <c r="AX5970" s="68"/>
      <c r="AY5970" s="68"/>
      <c r="AZ5970" s="68"/>
      <c r="BA5970" s="68"/>
      <c r="BB5970" s="67"/>
      <c r="BC5970" s="67"/>
      <c r="BD5970" s="67"/>
      <c r="BE5970" s="67"/>
      <c r="BF5970" s="95"/>
    </row>
    <row r="5971" spans="42:58" x14ac:dyDescent="0.35">
      <c r="AP5971" s="93"/>
      <c r="AQ5971" s="31"/>
      <c r="AR5971" s="31"/>
      <c r="AS5971" s="94"/>
      <c r="AT5971" s="31"/>
      <c r="AU5971" s="31"/>
      <c r="AV5971" s="94"/>
      <c r="AW5971" s="32"/>
      <c r="AX5971" s="32"/>
      <c r="AY5971" s="32"/>
      <c r="AZ5971" s="32"/>
      <c r="BA5971" s="32"/>
      <c r="BB5971" s="31"/>
      <c r="BC5971" s="31"/>
      <c r="BD5971" s="31"/>
      <c r="BE5971" s="31"/>
      <c r="BF5971" s="96"/>
    </row>
    <row r="5972" spans="42:58" x14ac:dyDescent="0.35">
      <c r="AP5972" s="92"/>
      <c r="AQ5972" s="67"/>
      <c r="AR5972" s="67"/>
      <c r="AS5972" s="73"/>
      <c r="AT5972" s="67"/>
      <c r="AU5972" s="67"/>
      <c r="AV5972" s="73"/>
      <c r="AW5972" s="68"/>
      <c r="AX5972" s="68"/>
      <c r="AY5972" s="68"/>
      <c r="AZ5972" s="68"/>
      <c r="BA5972" s="68"/>
      <c r="BB5972" s="67"/>
      <c r="BC5972" s="67"/>
      <c r="BD5972" s="67"/>
      <c r="BE5972" s="67"/>
      <c r="BF5972" s="95"/>
    </row>
    <row r="5973" spans="42:58" x14ac:dyDescent="0.35">
      <c r="AP5973" s="93"/>
      <c r="AQ5973" s="31"/>
      <c r="AR5973" s="31"/>
      <c r="AS5973" s="94"/>
      <c r="AT5973" s="31"/>
      <c r="AU5973" s="31"/>
      <c r="AV5973" s="94"/>
      <c r="AW5973" s="32"/>
      <c r="AX5973" s="32"/>
      <c r="AY5973" s="32"/>
      <c r="AZ5973" s="32"/>
      <c r="BA5973" s="32"/>
      <c r="BB5973" s="31"/>
      <c r="BC5973" s="31"/>
      <c r="BD5973" s="31"/>
      <c r="BE5973" s="31"/>
      <c r="BF5973" s="96"/>
    </row>
    <row r="5974" spans="42:58" x14ac:dyDescent="0.35">
      <c r="AP5974" s="92"/>
      <c r="AQ5974" s="67"/>
      <c r="AR5974" s="67"/>
      <c r="AS5974" s="73"/>
      <c r="AT5974" s="67"/>
      <c r="AU5974" s="67"/>
      <c r="AV5974" s="73"/>
      <c r="AW5974" s="68"/>
      <c r="AX5974" s="68"/>
      <c r="AY5974" s="68"/>
      <c r="AZ5974" s="68"/>
      <c r="BA5974" s="68"/>
      <c r="BB5974" s="67"/>
      <c r="BC5974" s="67"/>
      <c r="BD5974" s="67"/>
      <c r="BE5974" s="67"/>
      <c r="BF5974" s="95"/>
    </row>
    <row r="5975" spans="42:58" x14ac:dyDescent="0.35">
      <c r="AP5975" s="93"/>
      <c r="AQ5975" s="31"/>
      <c r="AR5975" s="31"/>
      <c r="AS5975" s="94"/>
      <c r="AT5975" s="31"/>
      <c r="AU5975" s="31"/>
      <c r="AV5975" s="94"/>
      <c r="AW5975" s="32"/>
      <c r="AX5975" s="32"/>
      <c r="AY5975" s="32"/>
      <c r="AZ5975" s="32"/>
      <c r="BA5975" s="32"/>
      <c r="BB5975" s="31"/>
      <c r="BC5975" s="31"/>
      <c r="BD5975" s="31"/>
      <c r="BE5975" s="31"/>
      <c r="BF5975" s="96"/>
    </row>
    <row r="5976" spans="42:58" x14ac:dyDescent="0.35">
      <c r="AP5976" s="92"/>
      <c r="AQ5976" s="67"/>
      <c r="AR5976" s="67"/>
      <c r="AS5976" s="73"/>
      <c r="AT5976" s="67"/>
      <c r="AU5976" s="67"/>
      <c r="AV5976" s="73"/>
      <c r="AW5976" s="68"/>
      <c r="AX5976" s="68"/>
      <c r="AY5976" s="68"/>
      <c r="AZ5976" s="68"/>
      <c r="BA5976" s="68"/>
      <c r="BB5976" s="67"/>
      <c r="BC5976" s="67"/>
      <c r="BD5976" s="67"/>
      <c r="BE5976" s="67"/>
      <c r="BF5976" s="95"/>
    </row>
    <row r="5977" spans="42:58" x14ac:dyDescent="0.35">
      <c r="AP5977" s="93"/>
      <c r="AQ5977" s="31"/>
      <c r="AR5977" s="31"/>
      <c r="AS5977" s="94"/>
      <c r="AT5977" s="31"/>
      <c r="AU5977" s="31"/>
      <c r="AV5977" s="94"/>
      <c r="AW5977" s="32"/>
      <c r="AX5977" s="32"/>
      <c r="AY5977" s="32"/>
      <c r="AZ5977" s="32"/>
      <c r="BA5977" s="32"/>
      <c r="BB5977" s="31"/>
      <c r="BC5977" s="31"/>
      <c r="BD5977" s="31"/>
      <c r="BE5977" s="31"/>
      <c r="BF5977" s="96"/>
    </row>
    <row r="5978" spans="42:58" x14ac:dyDescent="0.35">
      <c r="AP5978" s="92"/>
      <c r="AQ5978" s="67"/>
      <c r="AR5978" s="67"/>
      <c r="AS5978" s="73"/>
      <c r="AT5978" s="67"/>
      <c r="AU5978" s="67"/>
      <c r="AV5978" s="73"/>
      <c r="AW5978" s="68"/>
      <c r="AX5978" s="68"/>
      <c r="AY5978" s="68"/>
      <c r="AZ5978" s="68"/>
      <c r="BA5978" s="68"/>
      <c r="BB5978" s="67"/>
      <c r="BC5978" s="67"/>
      <c r="BD5978" s="67"/>
      <c r="BE5978" s="67"/>
      <c r="BF5978" s="95"/>
    </row>
    <row r="5979" spans="42:58" x14ac:dyDescent="0.35">
      <c r="AP5979" s="93"/>
      <c r="AQ5979" s="31"/>
      <c r="AR5979" s="31"/>
      <c r="AS5979" s="94"/>
      <c r="AT5979" s="31"/>
      <c r="AU5979" s="31"/>
      <c r="AV5979" s="94"/>
      <c r="AW5979" s="32"/>
      <c r="AX5979" s="32"/>
      <c r="AY5979" s="32"/>
      <c r="AZ5979" s="32"/>
      <c r="BA5979" s="32"/>
      <c r="BB5979" s="31"/>
      <c r="BC5979" s="31"/>
      <c r="BD5979" s="31"/>
      <c r="BE5979" s="31"/>
      <c r="BF5979" s="96"/>
    </row>
    <row r="5980" spans="42:58" x14ac:dyDescent="0.35">
      <c r="AP5980" s="92"/>
      <c r="AQ5980" s="67"/>
      <c r="AR5980" s="67"/>
      <c r="AS5980" s="73"/>
      <c r="AT5980" s="67"/>
      <c r="AU5980" s="67"/>
      <c r="AV5980" s="73"/>
      <c r="AW5980" s="68"/>
      <c r="AX5980" s="68"/>
      <c r="AY5980" s="68"/>
      <c r="AZ5980" s="68"/>
      <c r="BA5980" s="68"/>
      <c r="BB5980" s="67"/>
      <c r="BC5980" s="67"/>
      <c r="BD5980" s="67"/>
      <c r="BE5980" s="67"/>
      <c r="BF5980" s="95"/>
    </row>
    <row r="5981" spans="42:58" x14ac:dyDescent="0.35">
      <c r="AP5981" s="93"/>
      <c r="AQ5981" s="31"/>
      <c r="AR5981" s="31"/>
      <c r="AS5981" s="94"/>
      <c r="AT5981" s="31"/>
      <c r="AU5981" s="31"/>
      <c r="AV5981" s="94"/>
      <c r="AW5981" s="32"/>
      <c r="AX5981" s="32"/>
      <c r="AY5981" s="32"/>
      <c r="AZ5981" s="32"/>
      <c r="BA5981" s="32"/>
      <c r="BB5981" s="31"/>
      <c r="BC5981" s="31"/>
      <c r="BD5981" s="31"/>
      <c r="BE5981" s="31"/>
      <c r="BF5981" s="96"/>
    </row>
    <row r="5982" spans="42:58" x14ac:dyDescent="0.35">
      <c r="AP5982" s="92"/>
      <c r="AQ5982" s="67"/>
      <c r="AR5982" s="67"/>
      <c r="AS5982" s="73"/>
      <c r="AT5982" s="67"/>
      <c r="AU5982" s="67"/>
      <c r="AV5982" s="73"/>
      <c r="AW5982" s="68"/>
      <c r="AX5982" s="68"/>
      <c r="AY5982" s="68"/>
      <c r="AZ5982" s="68"/>
      <c r="BA5982" s="68"/>
      <c r="BB5982" s="67"/>
      <c r="BC5982" s="67"/>
      <c r="BD5982" s="67"/>
      <c r="BE5982" s="67"/>
      <c r="BF5982" s="95"/>
    </row>
    <row r="5983" spans="42:58" x14ac:dyDescent="0.35">
      <c r="AP5983" s="93"/>
      <c r="AQ5983" s="31"/>
      <c r="AR5983" s="31"/>
      <c r="AS5983" s="94"/>
      <c r="AT5983" s="31"/>
      <c r="AU5983" s="31"/>
      <c r="AV5983" s="94"/>
      <c r="AW5983" s="32"/>
      <c r="AX5983" s="32"/>
      <c r="AY5983" s="32"/>
      <c r="AZ5983" s="32"/>
      <c r="BA5983" s="32"/>
      <c r="BB5983" s="31"/>
      <c r="BC5983" s="31"/>
      <c r="BD5983" s="31"/>
      <c r="BE5983" s="31"/>
      <c r="BF5983" s="96"/>
    </row>
    <row r="5984" spans="42:58" x14ac:dyDescent="0.35">
      <c r="AP5984" s="92"/>
      <c r="AQ5984" s="67"/>
      <c r="AR5984" s="67"/>
      <c r="AS5984" s="73"/>
      <c r="AT5984" s="67"/>
      <c r="AU5984" s="67"/>
      <c r="AV5984" s="73"/>
      <c r="AW5984" s="68"/>
      <c r="AX5984" s="68"/>
      <c r="AY5984" s="68"/>
      <c r="AZ5984" s="68"/>
      <c r="BA5984" s="68"/>
      <c r="BB5984" s="67"/>
      <c r="BC5984" s="67"/>
      <c r="BD5984" s="67"/>
      <c r="BE5984" s="67"/>
      <c r="BF5984" s="95"/>
    </row>
    <row r="5985" spans="42:58" x14ac:dyDescent="0.35">
      <c r="AP5985" s="93"/>
      <c r="AQ5985" s="31"/>
      <c r="AR5985" s="31"/>
      <c r="AS5985" s="94"/>
      <c r="AT5985" s="31"/>
      <c r="AU5985" s="31"/>
      <c r="AV5985" s="94"/>
      <c r="AW5985" s="32"/>
      <c r="AX5985" s="32"/>
      <c r="AY5985" s="32"/>
      <c r="AZ5985" s="32"/>
      <c r="BA5985" s="32"/>
      <c r="BB5985" s="31"/>
      <c r="BC5985" s="31"/>
      <c r="BD5985" s="31"/>
      <c r="BE5985" s="31"/>
      <c r="BF5985" s="96"/>
    </row>
    <row r="5986" spans="42:58" x14ac:dyDescent="0.35">
      <c r="AP5986" s="92"/>
      <c r="AQ5986" s="67"/>
      <c r="AR5986" s="67"/>
      <c r="AS5986" s="73"/>
      <c r="AT5986" s="67"/>
      <c r="AU5986" s="67"/>
      <c r="AV5986" s="73"/>
      <c r="AW5986" s="68"/>
      <c r="AX5986" s="68"/>
      <c r="AY5986" s="68"/>
      <c r="AZ5986" s="68"/>
      <c r="BA5986" s="68"/>
      <c r="BB5986" s="67"/>
      <c r="BC5986" s="67"/>
      <c r="BD5986" s="67"/>
      <c r="BE5986" s="67"/>
      <c r="BF5986" s="95"/>
    </row>
    <row r="5987" spans="42:58" x14ac:dyDescent="0.35">
      <c r="AP5987" s="93"/>
      <c r="AQ5987" s="31"/>
      <c r="AR5987" s="31"/>
      <c r="AS5987" s="94"/>
      <c r="AT5987" s="31"/>
      <c r="AU5987" s="31"/>
      <c r="AV5987" s="94"/>
      <c r="AW5987" s="32"/>
      <c r="AX5987" s="32"/>
      <c r="AY5987" s="32"/>
      <c r="AZ5987" s="32"/>
      <c r="BA5987" s="32"/>
      <c r="BB5987" s="31"/>
      <c r="BC5987" s="31"/>
      <c r="BD5987" s="31"/>
      <c r="BE5987" s="31"/>
      <c r="BF5987" s="96"/>
    </row>
    <row r="5988" spans="42:58" x14ac:dyDescent="0.35">
      <c r="AP5988" s="92"/>
      <c r="AQ5988" s="67"/>
      <c r="AR5988" s="67"/>
      <c r="AS5988" s="73"/>
      <c r="AT5988" s="67"/>
      <c r="AU5988" s="67"/>
      <c r="AV5988" s="73"/>
      <c r="AW5988" s="68"/>
      <c r="AX5988" s="68"/>
      <c r="AY5988" s="68"/>
      <c r="AZ5988" s="68"/>
      <c r="BA5988" s="68"/>
      <c r="BB5988" s="67"/>
      <c r="BC5988" s="67"/>
      <c r="BD5988" s="67"/>
      <c r="BE5988" s="67"/>
      <c r="BF5988" s="95"/>
    </row>
    <row r="5989" spans="42:58" x14ac:dyDescent="0.35">
      <c r="AP5989" s="93"/>
      <c r="AQ5989" s="31"/>
      <c r="AR5989" s="31"/>
      <c r="AS5989" s="94"/>
      <c r="AT5989" s="31"/>
      <c r="AU5989" s="31"/>
      <c r="AV5989" s="94"/>
      <c r="AW5989" s="32"/>
      <c r="AX5989" s="32"/>
      <c r="AY5989" s="32"/>
      <c r="AZ5989" s="32"/>
      <c r="BA5989" s="32"/>
      <c r="BB5989" s="31"/>
      <c r="BC5989" s="31"/>
      <c r="BD5989" s="31"/>
      <c r="BE5989" s="31"/>
      <c r="BF5989" s="96"/>
    </row>
    <row r="5990" spans="42:58" x14ac:dyDescent="0.35">
      <c r="AP5990" s="92"/>
      <c r="AQ5990" s="67"/>
      <c r="AR5990" s="67"/>
      <c r="AS5990" s="73"/>
      <c r="AT5990" s="67"/>
      <c r="AU5990" s="67"/>
      <c r="AV5990" s="73"/>
      <c r="AW5990" s="68"/>
      <c r="AX5990" s="68"/>
      <c r="AY5990" s="68"/>
      <c r="AZ5990" s="68"/>
      <c r="BA5990" s="68"/>
      <c r="BB5990" s="67"/>
      <c r="BC5990" s="67"/>
      <c r="BD5990" s="67"/>
      <c r="BE5990" s="67"/>
      <c r="BF5990" s="95"/>
    </row>
    <row r="5991" spans="42:58" x14ac:dyDescent="0.35">
      <c r="AP5991" s="93"/>
      <c r="AQ5991" s="31"/>
      <c r="AR5991" s="31"/>
      <c r="AS5991" s="94"/>
      <c r="AT5991" s="31"/>
      <c r="AU5991" s="31"/>
      <c r="AV5991" s="94"/>
      <c r="AW5991" s="32"/>
      <c r="AX5991" s="32"/>
      <c r="AY5991" s="32"/>
      <c r="AZ5991" s="32"/>
      <c r="BA5991" s="32"/>
      <c r="BB5991" s="31"/>
      <c r="BC5991" s="31"/>
      <c r="BD5991" s="31"/>
      <c r="BE5991" s="31"/>
      <c r="BF5991" s="96"/>
    </row>
    <row r="5992" spans="42:58" x14ac:dyDescent="0.35">
      <c r="AP5992" s="92"/>
      <c r="AQ5992" s="67"/>
      <c r="AR5992" s="67"/>
      <c r="AS5992" s="73"/>
      <c r="AT5992" s="67"/>
      <c r="AU5992" s="67"/>
      <c r="AV5992" s="73"/>
      <c r="AW5992" s="68"/>
      <c r="AX5992" s="68"/>
      <c r="AY5992" s="68"/>
      <c r="AZ5992" s="68"/>
      <c r="BA5992" s="68"/>
      <c r="BB5992" s="67"/>
      <c r="BC5992" s="67"/>
      <c r="BD5992" s="67"/>
      <c r="BE5992" s="67"/>
      <c r="BF5992" s="95"/>
    </row>
    <row r="5993" spans="42:58" x14ac:dyDescent="0.35">
      <c r="AP5993" s="93"/>
      <c r="AQ5993" s="31"/>
      <c r="AR5993" s="31"/>
      <c r="AS5993" s="94"/>
      <c r="AT5993" s="31"/>
      <c r="AU5993" s="31"/>
      <c r="AV5993" s="94"/>
      <c r="AW5993" s="32"/>
      <c r="AX5993" s="32"/>
      <c r="AY5993" s="32"/>
      <c r="AZ5993" s="32"/>
      <c r="BA5993" s="32"/>
      <c r="BB5993" s="31"/>
      <c r="BC5993" s="31"/>
      <c r="BD5993" s="31"/>
      <c r="BE5993" s="31"/>
      <c r="BF5993" s="96"/>
    </row>
    <row r="5994" spans="42:58" x14ac:dyDescent="0.35">
      <c r="AP5994" s="92"/>
      <c r="AQ5994" s="67"/>
      <c r="AR5994" s="67"/>
      <c r="AS5994" s="73"/>
      <c r="AT5994" s="67"/>
      <c r="AU5994" s="67"/>
      <c r="AV5994" s="73"/>
      <c r="AW5994" s="68"/>
      <c r="AX5994" s="68"/>
      <c r="AY5994" s="68"/>
      <c r="AZ5994" s="68"/>
      <c r="BA5994" s="68"/>
      <c r="BB5994" s="67"/>
      <c r="BC5994" s="67"/>
      <c r="BD5994" s="67"/>
      <c r="BE5994" s="67"/>
      <c r="BF5994" s="95"/>
    </row>
    <row r="5995" spans="42:58" x14ac:dyDescent="0.35">
      <c r="AP5995" s="93"/>
      <c r="AQ5995" s="31"/>
      <c r="AR5995" s="31"/>
      <c r="AS5995" s="94"/>
      <c r="AT5995" s="31"/>
      <c r="AU5995" s="31"/>
      <c r="AV5995" s="94"/>
      <c r="AW5995" s="32"/>
      <c r="AX5995" s="32"/>
      <c r="AY5995" s="32"/>
      <c r="AZ5995" s="32"/>
      <c r="BA5995" s="32"/>
      <c r="BB5995" s="31"/>
      <c r="BC5995" s="31"/>
      <c r="BD5995" s="31"/>
      <c r="BE5995" s="31"/>
      <c r="BF5995" s="96"/>
    </row>
    <row r="5996" spans="42:58" x14ac:dyDescent="0.35">
      <c r="AP5996" s="92"/>
      <c r="AQ5996" s="67"/>
      <c r="AR5996" s="67"/>
      <c r="AS5996" s="73"/>
      <c r="AT5996" s="67"/>
      <c r="AU5996" s="67"/>
      <c r="AV5996" s="73"/>
      <c r="AW5996" s="68"/>
      <c r="AX5996" s="68"/>
      <c r="AY5996" s="68"/>
      <c r="AZ5996" s="68"/>
      <c r="BA5996" s="68"/>
      <c r="BB5996" s="67"/>
      <c r="BC5996" s="67"/>
      <c r="BD5996" s="67"/>
      <c r="BE5996" s="67"/>
      <c r="BF5996" s="95"/>
    </row>
    <row r="5997" spans="42:58" x14ac:dyDescent="0.35">
      <c r="AP5997" s="93"/>
      <c r="AQ5997" s="31"/>
      <c r="AR5997" s="31"/>
      <c r="AS5997" s="94"/>
      <c r="AT5997" s="31"/>
      <c r="AU5997" s="31"/>
      <c r="AV5997" s="94"/>
      <c r="AW5997" s="32"/>
      <c r="AX5997" s="32"/>
      <c r="AY5997" s="32"/>
      <c r="AZ5997" s="32"/>
      <c r="BA5997" s="32"/>
      <c r="BB5997" s="31"/>
      <c r="BC5997" s="31"/>
      <c r="BD5997" s="31"/>
      <c r="BE5997" s="31"/>
      <c r="BF5997" s="96"/>
    </row>
    <row r="5998" spans="42:58" x14ac:dyDescent="0.35">
      <c r="AP5998" s="92"/>
      <c r="AQ5998" s="67"/>
      <c r="AR5998" s="67"/>
      <c r="AS5998" s="73"/>
      <c r="AT5998" s="67"/>
      <c r="AU5998" s="67"/>
      <c r="AV5998" s="73"/>
      <c r="AW5998" s="68"/>
      <c r="AX5998" s="68"/>
      <c r="AY5998" s="68"/>
      <c r="AZ5998" s="68"/>
      <c r="BA5998" s="68"/>
      <c r="BB5998" s="67"/>
      <c r="BC5998" s="67"/>
      <c r="BD5998" s="67"/>
      <c r="BE5998" s="67"/>
      <c r="BF5998" s="95"/>
    </row>
    <row r="5999" spans="42:58" x14ac:dyDescent="0.35">
      <c r="AP5999" s="93"/>
      <c r="AQ5999" s="31"/>
      <c r="AR5999" s="31"/>
      <c r="AS5999" s="94"/>
      <c r="AT5999" s="31"/>
      <c r="AU5999" s="31"/>
      <c r="AV5999" s="94"/>
      <c r="AW5999" s="32"/>
      <c r="AX5999" s="32"/>
      <c r="AY5999" s="32"/>
      <c r="AZ5999" s="32"/>
      <c r="BA5999" s="32"/>
      <c r="BB5999" s="31"/>
      <c r="BC5999" s="31"/>
      <c r="BD5999" s="31"/>
      <c r="BE5999" s="31"/>
      <c r="BF5999" s="96"/>
    </row>
    <row r="6000" spans="42:58" x14ac:dyDescent="0.35">
      <c r="AP6000" s="92"/>
      <c r="AQ6000" s="67"/>
      <c r="AR6000" s="67"/>
      <c r="AS6000" s="73"/>
      <c r="AT6000" s="67"/>
      <c r="AU6000" s="67"/>
      <c r="AV6000" s="73"/>
      <c r="AW6000" s="68"/>
      <c r="AX6000" s="68"/>
      <c r="AY6000" s="68"/>
      <c r="AZ6000" s="68"/>
      <c r="BA6000" s="68"/>
      <c r="BB6000" s="67"/>
      <c r="BC6000" s="67"/>
      <c r="BD6000" s="67"/>
      <c r="BE6000" s="67"/>
      <c r="BF6000" s="95"/>
    </row>
    <row r="6001" spans="42:58" x14ac:dyDescent="0.35">
      <c r="AP6001" s="93"/>
      <c r="AQ6001" s="31"/>
      <c r="AR6001" s="31"/>
      <c r="AS6001" s="94"/>
      <c r="AT6001" s="31"/>
      <c r="AU6001" s="31"/>
      <c r="AV6001" s="94"/>
      <c r="AW6001" s="32"/>
      <c r="AX6001" s="32"/>
      <c r="AY6001" s="32"/>
      <c r="AZ6001" s="32"/>
      <c r="BA6001" s="32"/>
      <c r="BB6001" s="31"/>
      <c r="BC6001" s="31"/>
      <c r="BD6001" s="31"/>
      <c r="BE6001" s="31"/>
      <c r="BF6001" s="96"/>
    </row>
    <row r="6002" spans="42:58" x14ac:dyDescent="0.35">
      <c r="AP6002" s="92"/>
      <c r="AQ6002" s="67"/>
      <c r="AR6002" s="67"/>
      <c r="AS6002" s="73"/>
      <c r="AT6002" s="67"/>
      <c r="AU6002" s="67"/>
      <c r="AV6002" s="73"/>
      <c r="AW6002" s="68"/>
      <c r="AX6002" s="68"/>
      <c r="AY6002" s="68"/>
      <c r="AZ6002" s="68"/>
      <c r="BA6002" s="68"/>
      <c r="BB6002" s="67"/>
      <c r="BC6002" s="67"/>
      <c r="BD6002" s="67"/>
      <c r="BE6002" s="67"/>
      <c r="BF6002" s="95"/>
    </row>
    <row r="6003" spans="42:58" x14ac:dyDescent="0.35">
      <c r="AP6003" s="93"/>
      <c r="AQ6003" s="31"/>
      <c r="AR6003" s="31"/>
      <c r="AS6003" s="94"/>
      <c r="AT6003" s="31"/>
      <c r="AU6003" s="31"/>
      <c r="AV6003" s="94"/>
      <c r="AW6003" s="32"/>
      <c r="AX6003" s="32"/>
      <c r="AY6003" s="32"/>
      <c r="AZ6003" s="32"/>
      <c r="BA6003" s="32"/>
      <c r="BB6003" s="31"/>
      <c r="BC6003" s="31"/>
      <c r="BD6003" s="31"/>
      <c r="BE6003" s="31"/>
      <c r="BF6003" s="96"/>
    </row>
    <row r="6004" spans="42:58" x14ac:dyDescent="0.35">
      <c r="AP6004" s="92"/>
      <c r="AQ6004" s="67"/>
      <c r="AR6004" s="67"/>
      <c r="AS6004" s="73"/>
      <c r="AT6004" s="67"/>
      <c r="AU6004" s="67"/>
      <c r="AV6004" s="73"/>
      <c r="AW6004" s="68"/>
      <c r="AX6004" s="68"/>
      <c r="AY6004" s="68"/>
      <c r="AZ6004" s="68"/>
      <c r="BA6004" s="68"/>
      <c r="BB6004" s="67"/>
      <c r="BC6004" s="67"/>
      <c r="BD6004" s="67"/>
      <c r="BE6004" s="67"/>
      <c r="BF6004" s="95"/>
    </row>
    <row r="6005" spans="42:58" x14ac:dyDescent="0.35">
      <c r="AP6005" s="93"/>
      <c r="AQ6005" s="31"/>
      <c r="AR6005" s="31"/>
      <c r="AS6005" s="94"/>
      <c r="AT6005" s="31"/>
      <c r="AU6005" s="31"/>
      <c r="AV6005" s="94"/>
      <c r="AW6005" s="32"/>
      <c r="AX6005" s="32"/>
      <c r="AY6005" s="32"/>
      <c r="AZ6005" s="32"/>
      <c r="BA6005" s="32"/>
      <c r="BB6005" s="31"/>
      <c r="BC6005" s="31"/>
      <c r="BD6005" s="31"/>
      <c r="BE6005" s="31"/>
      <c r="BF6005" s="96"/>
    </row>
    <row r="6006" spans="42:58" x14ac:dyDescent="0.35">
      <c r="AP6006" s="92"/>
      <c r="AQ6006" s="67"/>
      <c r="AR6006" s="67"/>
      <c r="AS6006" s="73"/>
      <c r="AT6006" s="67"/>
      <c r="AU6006" s="67"/>
      <c r="AV6006" s="73"/>
      <c r="AW6006" s="68"/>
      <c r="AX6006" s="68"/>
      <c r="AY6006" s="68"/>
      <c r="AZ6006" s="68"/>
      <c r="BA6006" s="68"/>
      <c r="BB6006" s="67"/>
      <c r="BC6006" s="67"/>
      <c r="BD6006" s="67"/>
      <c r="BE6006" s="67"/>
      <c r="BF6006" s="95"/>
    </row>
    <row r="6007" spans="42:58" x14ac:dyDescent="0.35">
      <c r="AP6007" s="93"/>
      <c r="AQ6007" s="31"/>
      <c r="AR6007" s="31"/>
      <c r="AS6007" s="94"/>
      <c r="AT6007" s="31"/>
      <c r="AU6007" s="31"/>
      <c r="AV6007" s="94"/>
      <c r="AW6007" s="32"/>
      <c r="AX6007" s="32"/>
      <c r="AY6007" s="32"/>
      <c r="AZ6007" s="32"/>
      <c r="BA6007" s="32"/>
      <c r="BB6007" s="31"/>
      <c r="BC6007" s="31"/>
      <c r="BD6007" s="31"/>
      <c r="BE6007" s="31"/>
      <c r="BF6007" s="96"/>
    </row>
    <row r="6008" spans="42:58" x14ac:dyDescent="0.35">
      <c r="AP6008" s="92"/>
      <c r="AQ6008" s="67"/>
      <c r="AR6008" s="67"/>
      <c r="AS6008" s="73"/>
      <c r="AT6008" s="67"/>
      <c r="AU6008" s="67"/>
      <c r="AV6008" s="73"/>
      <c r="AW6008" s="68"/>
      <c r="AX6008" s="68"/>
      <c r="AY6008" s="68"/>
      <c r="AZ6008" s="68"/>
      <c r="BA6008" s="68"/>
      <c r="BB6008" s="67"/>
      <c r="BC6008" s="67"/>
      <c r="BD6008" s="67"/>
      <c r="BE6008" s="67"/>
      <c r="BF6008" s="95"/>
    </row>
    <row r="6009" spans="42:58" x14ac:dyDescent="0.35">
      <c r="AP6009" s="93"/>
      <c r="AQ6009" s="31"/>
      <c r="AR6009" s="31"/>
      <c r="AS6009" s="94"/>
      <c r="AT6009" s="31"/>
      <c r="AU6009" s="31"/>
      <c r="AV6009" s="94"/>
      <c r="AW6009" s="32"/>
      <c r="AX6009" s="32"/>
      <c r="AY6009" s="32"/>
      <c r="AZ6009" s="32"/>
      <c r="BA6009" s="32"/>
      <c r="BB6009" s="31"/>
      <c r="BC6009" s="31"/>
      <c r="BD6009" s="31"/>
      <c r="BE6009" s="31"/>
      <c r="BF6009" s="96"/>
    </row>
    <row r="6010" spans="42:58" x14ac:dyDescent="0.35">
      <c r="AP6010" s="92"/>
      <c r="AQ6010" s="67"/>
      <c r="AR6010" s="67"/>
      <c r="AS6010" s="73"/>
      <c r="AT6010" s="67"/>
      <c r="AU6010" s="67"/>
      <c r="AV6010" s="73"/>
      <c r="AW6010" s="68"/>
      <c r="AX6010" s="68"/>
      <c r="AY6010" s="68"/>
      <c r="AZ6010" s="68"/>
      <c r="BA6010" s="68"/>
      <c r="BB6010" s="67"/>
      <c r="BC6010" s="67"/>
      <c r="BD6010" s="67"/>
      <c r="BE6010" s="67"/>
      <c r="BF6010" s="95"/>
    </row>
    <row r="6011" spans="42:58" x14ac:dyDescent="0.35">
      <c r="AP6011" s="93"/>
      <c r="AQ6011" s="31"/>
      <c r="AR6011" s="31"/>
      <c r="AS6011" s="94"/>
      <c r="AT6011" s="31"/>
      <c r="AU6011" s="31"/>
      <c r="AV6011" s="94"/>
      <c r="AW6011" s="32"/>
      <c r="AX6011" s="32"/>
      <c r="AY6011" s="32"/>
      <c r="AZ6011" s="32"/>
      <c r="BA6011" s="32"/>
      <c r="BB6011" s="31"/>
      <c r="BC6011" s="31"/>
      <c r="BD6011" s="31"/>
      <c r="BE6011" s="31"/>
      <c r="BF6011" s="96"/>
    </row>
    <row r="6012" spans="42:58" x14ac:dyDescent="0.35">
      <c r="AP6012" s="92"/>
      <c r="AQ6012" s="67"/>
      <c r="AR6012" s="67"/>
      <c r="AS6012" s="73"/>
      <c r="AT6012" s="67"/>
      <c r="AU6012" s="67"/>
      <c r="AV6012" s="73"/>
      <c r="AW6012" s="68"/>
      <c r="AX6012" s="68"/>
      <c r="AY6012" s="68"/>
      <c r="AZ6012" s="68"/>
      <c r="BA6012" s="68"/>
      <c r="BB6012" s="67"/>
      <c r="BC6012" s="67"/>
      <c r="BD6012" s="67"/>
      <c r="BE6012" s="67"/>
      <c r="BF6012" s="95"/>
    </row>
    <row r="6013" spans="42:58" x14ac:dyDescent="0.35">
      <c r="AP6013" s="93"/>
      <c r="AQ6013" s="31"/>
      <c r="AR6013" s="31"/>
      <c r="AS6013" s="94"/>
      <c r="AT6013" s="31"/>
      <c r="AU6013" s="31"/>
      <c r="AV6013" s="94"/>
      <c r="AW6013" s="32"/>
      <c r="AX6013" s="32"/>
      <c r="AY6013" s="32"/>
      <c r="AZ6013" s="32"/>
      <c r="BA6013" s="32"/>
      <c r="BB6013" s="31"/>
      <c r="BC6013" s="31"/>
      <c r="BD6013" s="31"/>
      <c r="BE6013" s="31"/>
      <c r="BF6013" s="96"/>
    </row>
    <row r="6014" spans="42:58" x14ac:dyDescent="0.35">
      <c r="AP6014" s="92"/>
      <c r="AQ6014" s="67"/>
      <c r="AR6014" s="67"/>
      <c r="AS6014" s="73"/>
      <c r="AT6014" s="67"/>
      <c r="AU6014" s="67"/>
      <c r="AV6014" s="73"/>
      <c r="AW6014" s="68"/>
      <c r="AX6014" s="68"/>
      <c r="AY6014" s="68"/>
      <c r="AZ6014" s="68"/>
      <c r="BA6014" s="68"/>
      <c r="BB6014" s="67"/>
      <c r="BC6014" s="67"/>
      <c r="BD6014" s="67"/>
      <c r="BE6014" s="67"/>
      <c r="BF6014" s="95"/>
    </row>
    <row r="6015" spans="42:58" x14ac:dyDescent="0.35">
      <c r="AP6015" s="93"/>
      <c r="AQ6015" s="31"/>
      <c r="AR6015" s="31"/>
      <c r="AS6015" s="94"/>
      <c r="AT6015" s="31"/>
      <c r="AU6015" s="31"/>
      <c r="AV6015" s="94"/>
      <c r="AW6015" s="32"/>
      <c r="AX6015" s="32"/>
      <c r="AY6015" s="32"/>
      <c r="AZ6015" s="32"/>
      <c r="BA6015" s="32"/>
      <c r="BB6015" s="31"/>
      <c r="BC6015" s="31"/>
      <c r="BD6015" s="31"/>
      <c r="BE6015" s="31"/>
      <c r="BF6015" s="96"/>
    </row>
    <row r="6016" spans="42:58" x14ac:dyDescent="0.35">
      <c r="AP6016" s="92"/>
      <c r="AQ6016" s="67"/>
      <c r="AR6016" s="67"/>
      <c r="AS6016" s="73"/>
      <c r="AT6016" s="67"/>
      <c r="AU6016" s="67"/>
      <c r="AV6016" s="73"/>
      <c r="AW6016" s="68"/>
      <c r="AX6016" s="68"/>
      <c r="AY6016" s="68"/>
      <c r="AZ6016" s="68"/>
      <c r="BA6016" s="68"/>
      <c r="BB6016" s="67"/>
      <c r="BC6016" s="67"/>
      <c r="BD6016" s="67"/>
      <c r="BE6016" s="67"/>
      <c r="BF6016" s="95"/>
    </row>
    <row r="6017" spans="42:58" x14ac:dyDescent="0.35">
      <c r="AP6017" s="93"/>
      <c r="AQ6017" s="31"/>
      <c r="AR6017" s="31"/>
      <c r="AS6017" s="94"/>
      <c r="AT6017" s="31"/>
      <c r="AU6017" s="31"/>
      <c r="AV6017" s="94"/>
      <c r="AW6017" s="32"/>
      <c r="AX6017" s="32"/>
      <c r="AY6017" s="32"/>
      <c r="AZ6017" s="32"/>
      <c r="BA6017" s="32"/>
      <c r="BB6017" s="31"/>
      <c r="BC6017" s="31"/>
      <c r="BD6017" s="31"/>
      <c r="BE6017" s="31"/>
      <c r="BF6017" s="96"/>
    </row>
    <row r="6018" spans="42:58" x14ac:dyDescent="0.35">
      <c r="AP6018" s="92"/>
      <c r="AQ6018" s="67"/>
      <c r="AR6018" s="67"/>
      <c r="AS6018" s="73"/>
      <c r="AT6018" s="67"/>
      <c r="AU6018" s="67"/>
      <c r="AV6018" s="73"/>
      <c r="AW6018" s="68"/>
      <c r="AX6018" s="68"/>
      <c r="AY6018" s="68"/>
      <c r="AZ6018" s="68"/>
      <c r="BA6018" s="68"/>
      <c r="BB6018" s="67"/>
      <c r="BC6018" s="67"/>
      <c r="BD6018" s="67"/>
      <c r="BE6018" s="67"/>
      <c r="BF6018" s="95"/>
    </row>
    <row r="6019" spans="42:58" x14ac:dyDescent="0.35">
      <c r="AP6019" s="93"/>
      <c r="AQ6019" s="31"/>
      <c r="AR6019" s="31"/>
      <c r="AS6019" s="94"/>
      <c r="AT6019" s="31"/>
      <c r="AU6019" s="31"/>
      <c r="AV6019" s="94"/>
      <c r="AW6019" s="32"/>
      <c r="AX6019" s="32"/>
      <c r="AY6019" s="32"/>
      <c r="AZ6019" s="32"/>
      <c r="BA6019" s="32"/>
      <c r="BB6019" s="31"/>
      <c r="BC6019" s="31"/>
      <c r="BD6019" s="31"/>
      <c r="BE6019" s="31"/>
      <c r="BF6019" s="96"/>
    </row>
    <row r="6020" spans="42:58" x14ac:dyDescent="0.35">
      <c r="AP6020" s="92"/>
      <c r="AQ6020" s="67"/>
      <c r="AR6020" s="67"/>
      <c r="AS6020" s="73"/>
      <c r="AT6020" s="67"/>
      <c r="AU6020" s="67"/>
      <c r="AV6020" s="73"/>
      <c r="AW6020" s="68"/>
      <c r="AX6020" s="68"/>
      <c r="AY6020" s="68"/>
      <c r="AZ6020" s="68"/>
      <c r="BA6020" s="68"/>
      <c r="BB6020" s="67"/>
      <c r="BC6020" s="67"/>
      <c r="BD6020" s="67"/>
      <c r="BE6020" s="67"/>
      <c r="BF6020" s="95"/>
    </row>
    <row r="6021" spans="42:58" x14ac:dyDescent="0.35">
      <c r="AP6021" s="93"/>
      <c r="AQ6021" s="31"/>
      <c r="AR6021" s="31"/>
      <c r="AS6021" s="94"/>
      <c r="AT6021" s="31"/>
      <c r="AU6021" s="31"/>
      <c r="AV6021" s="94"/>
      <c r="AW6021" s="32"/>
      <c r="AX6021" s="32"/>
      <c r="AY6021" s="32"/>
      <c r="AZ6021" s="32"/>
      <c r="BA6021" s="32"/>
      <c r="BB6021" s="31"/>
      <c r="BC6021" s="31"/>
      <c r="BD6021" s="31"/>
      <c r="BE6021" s="31"/>
      <c r="BF6021" s="96"/>
    </row>
    <row r="6022" spans="42:58" x14ac:dyDescent="0.35">
      <c r="AP6022" s="92"/>
      <c r="AQ6022" s="67"/>
      <c r="AR6022" s="67"/>
      <c r="AS6022" s="73"/>
      <c r="AT6022" s="67"/>
      <c r="AU6022" s="67"/>
      <c r="AV6022" s="73"/>
      <c r="AW6022" s="68"/>
      <c r="AX6022" s="68"/>
      <c r="AY6022" s="68"/>
      <c r="AZ6022" s="68"/>
      <c r="BA6022" s="68"/>
      <c r="BB6022" s="67"/>
      <c r="BC6022" s="67"/>
      <c r="BD6022" s="67"/>
      <c r="BE6022" s="67"/>
      <c r="BF6022" s="95"/>
    </row>
    <row r="6023" spans="42:58" x14ac:dyDescent="0.35">
      <c r="AP6023" s="93"/>
      <c r="AQ6023" s="31"/>
      <c r="AR6023" s="31"/>
      <c r="AS6023" s="94"/>
      <c r="AT6023" s="31"/>
      <c r="AU6023" s="31"/>
      <c r="AV6023" s="94"/>
      <c r="AW6023" s="32"/>
      <c r="AX6023" s="32"/>
      <c r="AY6023" s="32"/>
      <c r="AZ6023" s="32"/>
      <c r="BA6023" s="32"/>
      <c r="BB6023" s="31"/>
      <c r="BC6023" s="31"/>
      <c r="BD6023" s="31"/>
      <c r="BE6023" s="31"/>
      <c r="BF6023" s="96"/>
    </row>
    <row r="6024" spans="42:58" x14ac:dyDescent="0.35">
      <c r="AP6024" s="92"/>
      <c r="AQ6024" s="67"/>
      <c r="AR6024" s="67"/>
      <c r="AS6024" s="73"/>
      <c r="AT6024" s="67"/>
      <c r="AU6024" s="67"/>
      <c r="AV6024" s="73"/>
      <c r="AW6024" s="68"/>
      <c r="AX6024" s="68"/>
      <c r="AY6024" s="68"/>
      <c r="AZ6024" s="68"/>
      <c r="BA6024" s="68"/>
      <c r="BB6024" s="67"/>
      <c r="BC6024" s="67"/>
      <c r="BD6024" s="67"/>
      <c r="BE6024" s="67"/>
      <c r="BF6024" s="95"/>
    </row>
    <row r="6025" spans="42:58" x14ac:dyDescent="0.35">
      <c r="AP6025" s="93"/>
      <c r="AQ6025" s="31"/>
      <c r="AR6025" s="31"/>
      <c r="AS6025" s="94"/>
      <c r="AT6025" s="31"/>
      <c r="AU6025" s="31"/>
      <c r="AV6025" s="94"/>
      <c r="AW6025" s="32"/>
      <c r="AX6025" s="32"/>
      <c r="AY6025" s="32"/>
      <c r="AZ6025" s="32"/>
      <c r="BA6025" s="32"/>
      <c r="BB6025" s="31"/>
      <c r="BC6025" s="31"/>
      <c r="BD6025" s="31"/>
      <c r="BE6025" s="31"/>
      <c r="BF6025" s="96"/>
    </row>
    <row r="6026" spans="42:58" x14ac:dyDescent="0.35">
      <c r="AP6026" s="92"/>
      <c r="AQ6026" s="67"/>
      <c r="AR6026" s="67"/>
      <c r="AS6026" s="73"/>
      <c r="AT6026" s="67"/>
      <c r="AU6026" s="67"/>
      <c r="AV6026" s="73"/>
      <c r="AW6026" s="68"/>
      <c r="AX6026" s="68"/>
      <c r="AY6026" s="68"/>
      <c r="AZ6026" s="68"/>
      <c r="BA6026" s="68"/>
      <c r="BB6026" s="67"/>
      <c r="BC6026" s="67"/>
      <c r="BD6026" s="67"/>
      <c r="BE6026" s="67"/>
      <c r="BF6026" s="95"/>
    </row>
    <row r="6027" spans="42:58" x14ac:dyDescent="0.35">
      <c r="AP6027" s="93"/>
      <c r="AQ6027" s="31"/>
      <c r="AR6027" s="31"/>
      <c r="AS6027" s="94"/>
      <c r="AT6027" s="31"/>
      <c r="AU6027" s="31"/>
      <c r="AV6027" s="94"/>
      <c r="AW6027" s="32"/>
      <c r="AX6027" s="32"/>
      <c r="AY6027" s="32"/>
      <c r="AZ6027" s="32"/>
      <c r="BA6027" s="32"/>
      <c r="BB6027" s="31"/>
      <c r="BC6027" s="31"/>
      <c r="BD6027" s="31"/>
      <c r="BE6027" s="31"/>
      <c r="BF6027" s="96"/>
    </row>
    <row r="6028" spans="42:58" x14ac:dyDescent="0.35">
      <c r="AP6028" s="92"/>
      <c r="AQ6028" s="67"/>
      <c r="AR6028" s="67"/>
      <c r="AS6028" s="73"/>
      <c r="AT6028" s="67"/>
      <c r="AU6028" s="67"/>
      <c r="AV6028" s="73"/>
      <c r="AW6028" s="68"/>
      <c r="AX6028" s="68"/>
      <c r="AY6028" s="68"/>
      <c r="AZ6028" s="68"/>
      <c r="BA6028" s="68"/>
      <c r="BB6028" s="67"/>
      <c r="BC6028" s="67"/>
      <c r="BD6028" s="67"/>
      <c r="BE6028" s="67"/>
      <c r="BF6028" s="95"/>
    </row>
    <row r="6029" spans="42:58" x14ac:dyDescent="0.35">
      <c r="AP6029" s="93"/>
      <c r="AQ6029" s="31"/>
      <c r="AR6029" s="31"/>
      <c r="AS6029" s="94"/>
      <c r="AT6029" s="31"/>
      <c r="AU6029" s="31"/>
      <c r="AV6029" s="94"/>
      <c r="AW6029" s="32"/>
      <c r="AX6029" s="32"/>
      <c r="AY6029" s="32"/>
      <c r="AZ6029" s="32"/>
      <c r="BA6029" s="32"/>
      <c r="BB6029" s="31"/>
      <c r="BC6029" s="31"/>
      <c r="BD6029" s="31"/>
      <c r="BE6029" s="31"/>
      <c r="BF6029" s="96"/>
    </row>
    <row r="6030" spans="42:58" x14ac:dyDescent="0.35">
      <c r="AP6030" s="92"/>
      <c r="AQ6030" s="67"/>
      <c r="AR6030" s="67"/>
      <c r="AS6030" s="73"/>
      <c r="AT6030" s="67"/>
      <c r="AU6030" s="67"/>
      <c r="AV6030" s="73"/>
      <c r="AW6030" s="68"/>
      <c r="AX6030" s="68"/>
      <c r="AY6030" s="68"/>
      <c r="AZ6030" s="68"/>
      <c r="BA6030" s="68"/>
      <c r="BB6030" s="67"/>
      <c r="BC6030" s="67"/>
      <c r="BD6030" s="67"/>
      <c r="BE6030" s="67"/>
      <c r="BF6030" s="95"/>
    </row>
    <row r="6031" spans="42:58" x14ac:dyDescent="0.35">
      <c r="AP6031" s="93"/>
      <c r="AQ6031" s="31"/>
      <c r="AR6031" s="31"/>
      <c r="AS6031" s="94"/>
      <c r="AT6031" s="31"/>
      <c r="AU6031" s="31"/>
      <c r="AV6031" s="94"/>
      <c r="AW6031" s="32"/>
      <c r="AX6031" s="32"/>
      <c r="AY6031" s="32"/>
      <c r="AZ6031" s="32"/>
      <c r="BA6031" s="32"/>
      <c r="BB6031" s="31"/>
      <c r="BC6031" s="31"/>
      <c r="BD6031" s="31"/>
      <c r="BE6031" s="31"/>
      <c r="BF6031" s="96"/>
    </row>
    <row r="6032" spans="42:58" x14ac:dyDescent="0.35">
      <c r="AP6032" s="92"/>
      <c r="AQ6032" s="67"/>
      <c r="AR6032" s="67"/>
      <c r="AS6032" s="73"/>
      <c r="AT6032" s="67"/>
      <c r="AU6032" s="67"/>
      <c r="AV6032" s="73"/>
      <c r="AW6032" s="68"/>
      <c r="AX6032" s="68"/>
      <c r="AY6032" s="68"/>
      <c r="AZ6032" s="68"/>
      <c r="BA6032" s="68"/>
      <c r="BB6032" s="67"/>
      <c r="BC6032" s="67"/>
      <c r="BD6032" s="67"/>
      <c r="BE6032" s="67"/>
      <c r="BF6032" s="95"/>
    </row>
    <row r="6033" spans="42:58" x14ac:dyDescent="0.35">
      <c r="AP6033" s="93"/>
      <c r="AQ6033" s="31"/>
      <c r="AR6033" s="31"/>
      <c r="AS6033" s="94"/>
      <c r="AT6033" s="31"/>
      <c r="AU6033" s="31"/>
      <c r="AV6033" s="94"/>
      <c r="AW6033" s="32"/>
      <c r="AX6033" s="32"/>
      <c r="AY6033" s="32"/>
      <c r="AZ6033" s="32"/>
      <c r="BA6033" s="32"/>
      <c r="BB6033" s="31"/>
      <c r="BC6033" s="31"/>
      <c r="BD6033" s="31"/>
      <c r="BE6033" s="31"/>
      <c r="BF6033" s="96"/>
    </row>
    <row r="6034" spans="42:58" x14ac:dyDescent="0.35">
      <c r="AP6034" s="92"/>
      <c r="AQ6034" s="67"/>
      <c r="AR6034" s="67"/>
      <c r="AS6034" s="73"/>
      <c r="AT6034" s="67"/>
      <c r="AU6034" s="67"/>
      <c r="AV6034" s="73"/>
      <c r="AW6034" s="68"/>
      <c r="AX6034" s="68"/>
      <c r="AY6034" s="68"/>
      <c r="AZ6034" s="68"/>
      <c r="BA6034" s="68"/>
      <c r="BB6034" s="67"/>
      <c r="BC6034" s="67"/>
      <c r="BD6034" s="67"/>
      <c r="BE6034" s="67"/>
      <c r="BF6034" s="95"/>
    </row>
    <row r="6035" spans="42:58" x14ac:dyDescent="0.35">
      <c r="AP6035" s="93"/>
      <c r="AQ6035" s="31"/>
      <c r="AR6035" s="31"/>
      <c r="AS6035" s="94"/>
      <c r="AT6035" s="31"/>
      <c r="AU6035" s="31"/>
      <c r="AV6035" s="94"/>
      <c r="AW6035" s="32"/>
      <c r="AX6035" s="32"/>
      <c r="AY6035" s="32"/>
      <c r="AZ6035" s="32"/>
      <c r="BA6035" s="32"/>
      <c r="BB6035" s="31"/>
      <c r="BC6035" s="31"/>
      <c r="BD6035" s="31"/>
      <c r="BE6035" s="31"/>
      <c r="BF6035" s="96"/>
    </row>
    <row r="6036" spans="42:58" x14ac:dyDescent="0.35">
      <c r="AP6036" s="92"/>
      <c r="AQ6036" s="67"/>
      <c r="AR6036" s="67"/>
      <c r="AS6036" s="73"/>
      <c r="AT6036" s="67"/>
      <c r="AU6036" s="67"/>
      <c r="AV6036" s="73"/>
      <c r="AW6036" s="68"/>
      <c r="AX6036" s="68"/>
      <c r="AY6036" s="68"/>
      <c r="AZ6036" s="68"/>
      <c r="BA6036" s="68"/>
      <c r="BB6036" s="67"/>
      <c r="BC6036" s="67"/>
      <c r="BD6036" s="67"/>
      <c r="BE6036" s="67"/>
      <c r="BF6036" s="95"/>
    </row>
    <row r="6037" spans="42:58" x14ac:dyDescent="0.35">
      <c r="AP6037" s="93"/>
      <c r="AQ6037" s="31"/>
      <c r="AR6037" s="31"/>
      <c r="AS6037" s="94"/>
      <c r="AT6037" s="31"/>
      <c r="AU6037" s="31"/>
      <c r="AV6037" s="94"/>
      <c r="AW6037" s="32"/>
      <c r="AX6037" s="32"/>
      <c r="AY6037" s="32"/>
      <c r="AZ6037" s="32"/>
      <c r="BA6037" s="32"/>
      <c r="BB6037" s="31"/>
      <c r="BC6037" s="31"/>
      <c r="BD6037" s="31"/>
      <c r="BE6037" s="31"/>
      <c r="BF6037" s="96"/>
    </row>
    <row r="6038" spans="42:58" x14ac:dyDescent="0.35">
      <c r="AP6038" s="92"/>
      <c r="AQ6038" s="67"/>
      <c r="AR6038" s="67"/>
      <c r="AS6038" s="73"/>
      <c r="AT6038" s="67"/>
      <c r="AU6038" s="67"/>
      <c r="AV6038" s="73"/>
      <c r="AW6038" s="68"/>
      <c r="AX6038" s="68"/>
      <c r="AY6038" s="68"/>
      <c r="AZ6038" s="68"/>
      <c r="BA6038" s="68"/>
      <c r="BB6038" s="67"/>
      <c r="BC6038" s="67"/>
      <c r="BD6038" s="67"/>
      <c r="BE6038" s="67"/>
      <c r="BF6038" s="95"/>
    </row>
    <row r="6039" spans="42:58" x14ac:dyDescent="0.35">
      <c r="AP6039" s="93"/>
      <c r="AQ6039" s="31"/>
      <c r="AR6039" s="31"/>
      <c r="AS6039" s="94"/>
      <c r="AT6039" s="31"/>
      <c r="AU6039" s="31"/>
      <c r="AV6039" s="94"/>
      <c r="AW6039" s="32"/>
      <c r="AX6039" s="32"/>
      <c r="AY6039" s="32"/>
      <c r="AZ6039" s="32"/>
      <c r="BA6039" s="32"/>
      <c r="BB6039" s="31"/>
      <c r="BC6039" s="31"/>
      <c r="BD6039" s="31"/>
      <c r="BE6039" s="31"/>
      <c r="BF6039" s="96"/>
    </row>
    <row r="6040" spans="42:58" x14ac:dyDescent="0.35">
      <c r="AP6040" s="92"/>
      <c r="AQ6040" s="67"/>
      <c r="AR6040" s="67"/>
      <c r="AS6040" s="73"/>
      <c r="AT6040" s="67"/>
      <c r="AU6040" s="67"/>
      <c r="AV6040" s="73"/>
      <c r="AW6040" s="68"/>
      <c r="AX6040" s="68"/>
      <c r="AY6040" s="68"/>
      <c r="AZ6040" s="68"/>
      <c r="BA6040" s="68"/>
      <c r="BB6040" s="67"/>
      <c r="BC6040" s="67"/>
      <c r="BD6040" s="67"/>
      <c r="BE6040" s="67"/>
      <c r="BF6040" s="95"/>
    </row>
    <row r="6041" spans="42:58" x14ac:dyDescent="0.35">
      <c r="AP6041" s="93"/>
      <c r="AQ6041" s="31"/>
      <c r="AR6041" s="31"/>
      <c r="AS6041" s="94"/>
      <c r="AT6041" s="31"/>
      <c r="AU6041" s="31"/>
      <c r="AV6041" s="94"/>
      <c r="AW6041" s="32"/>
      <c r="AX6041" s="32"/>
      <c r="AY6041" s="32"/>
      <c r="AZ6041" s="32"/>
      <c r="BA6041" s="32"/>
      <c r="BB6041" s="31"/>
      <c r="BC6041" s="31"/>
      <c r="BD6041" s="31"/>
      <c r="BE6041" s="31"/>
      <c r="BF6041" s="96"/>
    </row>
    <row r="6042" spans="42:58" x14ac:dyDescent="0.35">
      <c r="AP6042" s="92"/>
      <c r="AQ6042" s="67"/>
      <c r="AR6042" s="67"/>
      <c r="AS6042" s="73"/>
      <c r="AT6042" s="67"/>
      <c r="AU6042" s="67"/>
      <c r="AV6042" s="73"/>
      <c r="AW6042" s="68"/>
      <c r="AX6042" s="68"/>
      <c r="AY6042" s="68"/>
      <c r="AZ6042" s="68"/>
      <c r="BA6042" s="68"/>
      <c r="BB6042" s="67"/>
      <c r="BC6042" s="67"/>
      <c r="BD6042" s="67"/>
      <c r="BE6042" s="67"/>
      <c r="BF6042" s="95"/>
    </row>
    <row r="6043" spans="42:58" x14ac:dyDescent="0.35">
      <c r="AP6043" s="93"/>
      <c r="AQ6043" s="31"/>
      <c r="AR6043" s="31"/>
      <c r="AS6043" s="94"/>
      <c r="AT6043" s="31"/>
      <c r="AU6043" s="31"/>
      <c r="AV6043" s="94"/>
      <c r="AW6043" s="32"/>
      <c r="AX6043" s="32"/>
      <c r="AY6043" s="32"/>
      <c r="AZ6043" s="32"/>
      <c r="BA6043" s="32"/>
      <c r="BB6043" s="31"/>
      <c r="BC6043" s="31"/>
      <c r="BD6043" s="31"/>
      <c r="BE6043" s="31"/>
      <c r="BF6043" s="96"/>
    </row>
    <row r="6044" spans="42:58" x14ac:dyDescent="0.35">
      <c r="AP6044" s="92"/>
      <c r="AQ6044" s="67"/>
      <c r="AR6044" s="67"/>
      <c r="AS6044" s="73"/>
      <c r="AT6044" s="67"/>
      <c r="AU6044" s="67"/>
      <c r="AV6044" s="73"/>
      <c r="AW6044" s="68"/>
      <c r="AX6044" s="68"/>
      <c r="AY6044" s="68"/>
      <c r="AZ6044" s="68"/>
      <c r="BA6044" s="68"/>
      <c r="BB6044" s="67"/>
      <c r="BC6044" s="67"/>
      <c r="BD6044" s="67"/>
      <c r="BE6044" s="67"/>
      <c r="BF6044" s="95"/>
    </row>
    <row r="6045" spans="42:58" x14ac:dyDescent="0.35">
      <c r="AP6045" s="93"/>
      <c r="AQ6045" s="31"/>
      <c r="AR6045" s="31"/>
      <c r="AS6045" s="94"/>
      <c r="AT6045" s="31"/>
      <c r="AU6045" s="31"/>
      <c r="AV6045" s="94"/>
      <c r="AW6045" s="32"/>
      <c r="AX6045" s="32"/>
      <c r="AY6045" s="32"/>
      <c r="AZ6045" s="32"/>
      <c r="BA6045" s="32"/>
      <c r="BB6045" s="31"/>
      <c r="BC6045" s="31"/>
      <c r="BD6045" s="31"/>
      <c r="BE6045" s="31"/>
      <c r="BF6045" s="96"/>
    </row>
    <row r="6046" spans="42:58" x14ac:dyDescent="0.35">
      <c r="AP6046" s="92"/>
      <c r="AQ6046" s="67"/>
      <c r="AR6046" s="67"/>
      <c r="AS6046" s="73"/>
      <c r="AT6046" s="67"/>
      <c r="AU6046" s="67"/>
      <c r="AV6046" s="73"/>
      <c r="AW6046" s="68"/>
      <c r="AX6046" s="68"/>
      <c r="AY6046" s="68"/>
      <c r="AZ6046" s="68"/>
      <c r="BA6046" s="68"/>
      <c r="BB6046" s="67"/>
      <c r="BC6046" s="67"/>
      <c r="BD6046" s="67"/>
      <c r="BE6046" s="67"/>
      <c r="BF6046" s="95"/>
    </row>
    <row r="6047" spans="42:58" x14ac:dyDescent="0.35">
      <c r="AP6047" s="93"/>
      <c r="AQ6047" s="31"/>
      <c r="AR6047" s="31"/>
      <c r="AS6047" s="94"/>
      <c r="AT6047" s="31"/>
      <c r="AU6047" s="31"/>
      <c r="AV6047" s="94"/>
      <c r="AW6047" s="32"/>
      <c r="AX6047" s="32"/>
      <c r="AY6047" s="32"/>
      <c r="AZ6047" s="32"/>
      <c r="BA6047" s="32"/>
      <c r="BB6047" s="31"/>
      <c r="BC6047" s="31"/>
      <c r="BD6047" s="31"/>
      <c r="BE6047" s="31"/>
      <c r="BF6047" s="96"/>
    </row>
    <row r="6048" spans="42:58" x14ac:dyDescent="0.35">
      <c r="AP6048" s="92"/>
      <c r="AQ6048" s="67"/>
      <c r="AR6048" s="67"/>
      <c r="AS6048" s="73"/>
      <c r="AT6048" s="67"/>
      <c r="AU6048" s="67"/>
      <c r="AV6048" s="73"/>
      <c r="AW6048" s="68"/>
      <c r="AX6048" s="68"/>
      <c r="AY6048" s="68"/>
      <c r="AZ6048" s="68"/>
      <c r="BA6048" s="68"/>
      <c r="BB6048" s="67"/>
      <c r="BC6048" s="67"/>
      <c r="BD6048" s="67"/>
      <c r="BE6048" s="67"/>
      <c r="BF6048" s="95"/>
    </row>
    <row r="6049" spans="42:58" x14ac:dyDescent="0.35">
      <c r="AP6049" s="93"/>
      <c r="AQ6049" s="31"/>
      <c r="AR6049" s="31"/>
      <c r="AS6049" s="94"/>
      <c r="AT6049" s="31"/>
      <c r="AU6049" s="31"/>
      <c r="AV6049" s="94"/>
      <c r="AW6049" s="32"/>
      <c r="AX6049" s="32"/>
      <c r="AY6049" s="32"/>
      <c r="AZ6049" s="32"/>
      <c r="BA6049" s="32"/>
      <c r="BB6049" s="31"/>
      <c r="BC6049" s="31"/>
      <c r="BD6049" s="31"/>
      <c r="BE6049" s="31"/>
      <c r="BF6049" s="96"/>
    </row>
    <row r="6050" spans="42:58" x14ac:dyDescent="0.35">
      <c r="AP6050" s="92"/>
      <c r="AQ6050" s="67"/>
      <c r="AR6050" s="67"/>
      <c r="AS6050" s="73"/>
      <c r="AT6050" s="67"/>
      <c r="AU6050" s="67"/>
      <c r="AV6050" s="73"/>
      <c r="AW6050" s="68"/>
      <c r="AX6050" s="68"/>
      <c r="AY6050" s="68"/>
      <c r="AZ6050" s="68"/>
      <c r="BA6050" s="68"/>
      <c r="BB6050" s="67"/>
      <c r="BC6050" s="67"/>
      <c r="BD6050" s="67"/>
      <c r="BE6050" s="67"/>
      <c r="BF6050" s="95"/>
    </row>
    <row r="6051" spans="42:58" x14ac:dyDescent="0.35">
      <c r="AP6051" s="93"/>
      <c r="AQ6051" s="31"/>
      <c r="AR6051" s="31"/>
      <c r="AS6051" s="94"/>
      <c r="AT6051" s="31"/>
      <c r="AU6051" s="31"/>
      <c r="AV6051" s="94"/>
      <c r="AW6051" s="32"/>
      <c r="AX6051" s="32"/>
      <c r="AY6051" s="32"/>
      <c r="AZ6051" s="32"/>
      <c r="BA6051" s="32"/>
      <c r="BB6051" s="31"/>
      <c r="BC6051" s="31"/>
      <c r="BD6051" s="31"/>
      <c r="BE6051" s="31"/>
      <c r="BF6051" s="96"/>
    </row>
    <row r="6052" spans="42:58" x14ac:dyDescent="0.35">
      <c r="AP6052" s="92"/>
      <c r="AQ6052" s="67"/>
      <c r="AR6052" s="67"/>
      <c r="AS6052" s="73"/>
      <c r="AT6052" s="67"/>
      <c r="AU6052" s="67"/>
      <c r="AV6052" s="73"/>
      <c r="AW6052" s="68"/>
      <c r="AX6052" s="68"/>
      <c r="AY6052" s="68"/>
      <c r="AZ6052" s="68"/>
      <c r="BA6052" s="68"/>
      <c r="BB6052" s="67"/>
      <c r="BC6052" s="67"/>
      <c r="BD6052" s="67"/>
      <c r="BE6052" s="67"/>
      <c r="BF6052" s="95"/>
    </row>
    <row r="6053" spans="42:58" x14ac:dyDescent="0.35">
      <c r="AP6053" s="93"/>
      <c r="AQ6053" s="31"/>
      <c r="AR6053" s="31"/>
      <c r="AS6053" s="94"/>
      <c r="AT6053" s="31"/>
      <c r="AU6053" s="31"/>
      <c r="AV6053" s="94"/>
      <c r="AW6053" s="32"/>
      <c r="AX6053" s="32"/>
      <c r="AY6053" s="32"/>
      <c r="AZ6053" s="32"/>
      <c r="BA6053" s="32"/>
      <c r="BB6053" s="31"/>
      <c r="BC6053" s="31"/>
      <c r="BD6053" s="31"/>
      <c r="BE6053" s="31"/>
      <c r="BF6053" s="96"/>
    </row>
    <row r="6054" spans="42:58" x14ac:dyDescent="0.35">
      <c r="AP6054" s="92"/>
      <c r="AQ6054" s="67"/>
      <c r="AR6054" s="67"/>
      <c r="AS6054" s="73"/>
      <c r="AT6054" s="67"/>
      <c r="AU6054" s="67"/>
      <c r="AV6054" s="73"/>
      <c r="AW6054" s="68"/>
      <c r="AX6054" s="68"/>
      <c r="AY6054" s="68"/>
      <c r="AZ6054" s="68"/>
      <c r="BA6054" s="68"/>
      <c r="BB6054" s="67"/>
      <c r="BC6054" s="67"/>
      <c r="BD6054" s="67"/>
      <c r="BE6054" s="67"/>
      <c r="BF6054" s="95"/>
    </row>
    <row r="6055" spans="42:58" x14ac:dyDescent="0.35">
      <c r="AP6055" s="93"/>
      <c r="AQ6055" s="31"/>
      <c r="AR6055" s="31"/>
      <c r="AS6055" s="94"/>
      <c r="AT6055" s="31"/>
      <c r="AU6055" s="31"/>
      <c r="AV6055" s="94"/>
      <c r="AW6055" s="32"/>
      <c r="AX6055" s="32"/>
      <c r="AY6055" s="32"/>
      <c r="AZ6055" s="32"/>
      <c r="BA6055" s="32"/>
      <c r="BB6055" s="31"/>
      <c r="BC6055" s="31"/>
      <c r="BD6055" s="31"/>
      <c r="BE6055" s="31"/>
      <c r="BF6055" s="96"/>
    </row>
    <row r="6056" spans="42:58" x14ac:dyDescent="0.35">
      <c r="AP6056" s="92"/>
      <c r="AQ6056" s="67"/>
      <c r="AR6056" s="67"/>
      <c r="AS6056" s="73"/>
      <c r="AT6056" s="67"/>
      <c r="AU6056" s="67"/>
      <c r="AV6056" s="73"/>
      <c r="AW6056" s="68"/>
      <c r="AX6056" s="68"/>
      <c r="AY6056" s="68"/>
      <c r="AZ6056" s="68"/>
      <c r="BA6056" s="68"/>
      <c r="BB6056" s="67"/>
      <c r="BC6056" s="67"/>
      <c r="BD6056" s="67"/>
      <c r="BE6056" s="67"/>
      <c r="BF6056" s="95"/>
    </row>
    <row r="6057" spans="42:58" x14ac:dyDescent="0.35">
      <c r="AP6057" s="93"/>
      <c r="AQ6057" s="31"/>
      <c r="AR6057" s="31"/>
      <c r="AS6057" s="94"/>
      <c r="AT6057" s="31"/>
      <c r="AU6057" s="31"/>
      <c r="AV6057" s="94"/>
      <c r="AW6057" s="32"/>
      <c r="AX6057" s="32"/>
      <c r="AY6057" s="32"/>
      <c r="AZ6057" s="32"/>
      <c r="BA6057" s="32"/>
      <c r="BB6057" s="31"/>
      <c r="BC6057" s="31"/>
      <c r="BD6057" s="31"/>
      <c r="BE6057" s="31"/>
      <c r="BF6057" s="96"/>
    </row>
    <row r="6058" spans="42:58" x14ac:dyDescent="0.35">
      <c r="AP6058" s="92"/>
      <c r="AQ6058" s="67"/>
      <c r="AR6058" s="67"/>
      <c r="AS6058" s="73"/>
      <c r="AT6058" s="67"/>
      <c r="AU6058" s="67"/>
      <c r="AV6058" s="73"/>
      <c r="AW6058" s="68"/>
      <c r="AX6058" s="68"/>
      <c r="AY6058" s="68"/>
      <c r="AZ6058" s="68"/>
      <c r="BA6058" s="68"/>
      <c r="BB6058" s="67"/>
      <c r="BC6058" s="67"/>
      <c r="BD6058" s="67"/>
      <c r="BE6058" s="67"/>
      <c r="BF6058" s="95"/>
    </row>
    <row r="6059" spans="42:58" x14ac:dyDescent="0.35">
      <c r="AP6059" s="93"/>
      <c r="AQ6059" s="31"/>
      <c r="AR6059" s="31"/>
      <c r="AS6059" s="94"/>
      <c r="AT6059" s="31"/>
      <c r="AU6059" s="31"/>
      <c r="AV6059" s="94"/>
      <c r="AW6059" s="32"/>
      <c r="AX6059" s="32"/>
      <c r="AY6059" s="32"/>
      <c r="AZ6059" s="32"/>
      <c r="BA6059" s="32"/>
      <c r="BB6059" s="31"/>
      <c r="BC6059" s="31"/>
      <c r="BD6059" s="31"/>
      <c r="BE6059" s="31"/>
      <c r="BF6059" s="96"/>
    </row>
    <row r="6060" spans="42:58" x14ac:dyDescent="0.35">
      <c r="AP6060" s="92"/>
      <c r="AQ6060" s="67"/>
      <c r="AR6060" s="67"/>
      <c r="AS6060" s="73"/>
      <c r="AT6060" s="67"/>
      <c r="AU6060" s="67"/>
      <c r="AV6060" s="73"/>
      <c r="AW6060" s="68"/>
      <c r="AX6060" s="68"/>
      <c r="AY6060" s="68"/>
      <c r="AZ6060" s="68"/>
      <c r="BA6060" s="68"/>
      <c r="BB6060" s="67"/>
      <c r="BC6060" s="67"/>
      <c r="BD6060" s="67"/>
      <c r="BE6060" s="67"/>
      <c r="BF6060" s="95"/>
    </row>
    <row r="6061" spans="42:58" x14ac:dyDescent="0.35">
      <c r="AP6061" s="93"/>
      <c r="AQ6061" s="31"/>
      <c r="AR6061" s="31"/>
      <c r="AS6061" s="94"/>
      <c r="AT6061" s="31"/>
      <c r="AU6061" s="31"/>
      <c r="AV6061" s="94"/>
      <c r="AW6061" s="32"/>
      <c r="AX6061" s="32"/>
      <c r="AY6061" s="32"/>
      <c r="AZ6061" s="32"/>
      <c r="BA6061" s="32"/>
      <c r="BB6061" s="31"/>
      <c r="BC6061" s="31"/>
      <c r="BD6061" s="31"/>
      <c r="BE6061" s="31"/>
      <c r="BF6061" s="96"/>
    </row>
    <row r="6062" spans="42:58" x14ac:dyDescent="0.35">
      <c r="AP6062" s="92"/>
      <c r="AQ6062" s="67"/>
      <c r="AR6062" s="67"/>
      <c r="AS6062" s="73"/>
      <c r="AT6062" s="67"/>
      <c r="AU6062" s="67"/>
      <c r="AV6062" s="73"/>
      <c r="AW6062" s="68"/>
      <c r="AX6062" s="68"/>
      <c r="AY6062" s="68"/>
      <c r="AZ6062" s="68"/>
      <c r="BA6062" s="68"/>
      <c r="BB6062" s="67"/>
      <c r="BC6062" s="67"/>
      <c r="BD6062" s="67"/>
      <c r="BE6062" s="67"/>
      <c r="BF6062" s="95"/>
    </row>
    <row r="6063" spans="42:58" x14ac:dyDescent="0.35">
      <c r="AP6063" s="93"/>
      <c r="AQ6063" s="31"/>
      <c r="AR6063" s="31"/>
      <c r="AS6063" s="94"/>
      <c r="AT6063" s="31"/>
      <c r="AU6063" s="31"/>
      <c r="AV6063" s="94"/>
      <c r="AW6063" s="32"/>
      <c r="AX6063" s="32"/>
      <c r="AY6063" s="32"/>
      <c r="AZ6063" s="32"/>
      <c r="BA6063" s="32"/>
      <c r="BB6063" s="31"/>
      <c r="BC6063" s="31"/>
      <c r="BD6063" s="31"/>
      <c r="BE6063" s="31"/>
      <c r="BF6063" s="96"/>
    </row>
    <row r="6064" spans="42:58" x14ac:dyDescent="0.35">
      <c r="AP6064" s="92"/>
      <c r="AQ6064" s="67"/>
      <c r="AR6064" s="67"/>
      <c r="AS6064" s="73"/>
      <c r="AT6064" s="67"/>
      <c r="AU6064" s="67"/>
      <c r="AV6064" s="73"/>
      <c r="AW6064" s="68"/>
      <c r="AX6064" s="68"/>
      <c r="AY6064" s="68"/>
      <c r="AZ6064" s="68"/>
      <c r="BA6064" s="68"/>
      <c r="BB6064" s="67"/>
      <c r="BC6064" s="67"/>
      <c r="BD6064" s="67"/>
      <c r="BE6064" s="67"/>
      <c r="BF6064" s="95"/>
    </row>
    <row r="6065" spans="42:58" x14ac:dyDescent="0.35">
      <c r="AP6065" s="93"/>
      <c r="AQ6065" s="31"/>
      <c r="AR6065" s="31"/>
      <c r="AS6065" s="94"/>
      <c r="AT6065" s="31"/>
      <c r="AU6065" s="31"/>
      <c r="AV6065" s="94"/>
      <c r="AW6065" s="32"/>
      <c r="AX6065" s="32"/>
      <c r="AY6065" s="32"/>
      <c r="AZ6065" s="32"/>
      <c r="BA6065" s="32"/>
      <c r="BB6065" s="31"/>
      <c r="BC6065" s="31"/>
      <c r="BD6065" s="31"/>
      <c r="BE6065" s="31"/>
      <c r="BF6065" s="96"/>
    </row>
    <row r="6066" spans="42:58" x14ac:dyDescent="0.35">
      <c r="AP6066" s="92"/>
      <c r="AQ6066" s="67"/>
      <c r="AR6066" s="67"/>
      <c r="AS6066" s="73"/>
      <c r="AT6066" s="67"/>
      <c r="AU6066" s="67"/>
      <c r="AV6066" s="73"/>
      <c r="AW6066" s="68"/>
      <c r="AX6066" s="68"/>
      <c r="AY6066" s="68"/>
      <c r="AZ6066" s="68"/>
      <c r="BA6066" s="68"/>
      <c r="BB6066" s="67"/>
      <c r="BC6066" s="67"/>
      <c r="BD6066" s="67"/>
      <c r="BE6066" s="67"/>
      <c r="BF6066" s="95"/>
    </row>
    <row r="6067" spans="42:58" x14ac:dyDescent="0.35">
      <c r="AP6067" s="93"/>
      <c r="AQ6067" s="31"/>
      <c r="AR6067" s="31"/>
      <c r="AS6067" s="94"/>
      <c r="AT6067" s="31"/>
      <c r="AU6067" s="31"/>
      <c r="AV6067" s="94"/>
      <c r="AW6067" s="32"/>
      <c r="AX6067" s="32"/>
      <c r="AY6067" s="32"/>
      <c r="AZ6067" s="32"/>
      <c r="BA6067" s="32"/>
      <c r="BB6067" s="31"/>
      <c r="BC6067" s="31"/>
      <c r="BD6067" s="31"/>
      <c r="BE6067" s="31"/>
      <c r="BF6067" s="96"/>
    </row>
    <row r="6068" spans="42:58" x14ac:dyDescent="0.35">
      <c r="AP6068" s="92"/>
      <c r="AQ6068" s="67"/>
      <c r="AR6068" s="67"/>
      <c r="AS6068" s="73"/>
      <c r="AT6068" s="67"/>
      <c r="AU6068" s="67"/>
      <c r="AV6068" s="73"/>
      <c r="AW6068" s="68"/>
      <c r="AX6068" s="68"/>
      <c r="AY6068" s="68"/>
      <c r="AZ6068" s="68"/>
      <c r="BA6068" s="68"/>
      <c r="BB6068" s="67"/>
      <c r="BC6068" s="67"/>
      <c r="BD6068" s="67"/>
      <c r="BE6068" s="67"/>
      <c r="BF6068" s="95"/>
    </row>
    <row r="6069" spans="42:58" x14ac:dyDescent="0.35">
      <c r="AP6069" s="93"/>
      <c r="AQ6069" s="31"/>
      <c r="AR6069" s="31"/>
      <c r="AS6069" s="94"/>
      <c r="AT6069" s="31"/>
      <c r="AU6069" s="31"/>
      <c r="AV6069" s="94"/>
      <c r="AW6069" s="32"/>
      <c r="AX6069" s="32"/>
      <c r="AY6069" s="32"/>
      <c r="AZ6069" s="32"/>
      <c r="BA6069" s="32"/>
      <c r="BB6069" s="31"/>
      <c r="BC6069" s="31"/>
      <c r="BD6069" s="31"/>
      <c r="BE6069" s="31"/>
      <c r="BF6069" s="96"/>
    </row>
    <row r="6070" spans="42:58" x14ac:dyDescent="0.35">
      <c r="AP6070" s="92"/>
      <c r="AQ6070" s="67"/>
      <c r="AR6070" s="67"/>
      <c r="AS6070" s="73"/>
      <c r="AT6070" s="67"/>
      <c r="AU6070" s="67"/>
      <c r="AV6070" s="73"/>
      <c r="AW6070" s="68"/>
      <c r="AX6070" s="68"/>
      <c r="AY6070" s="68"/>
      <c r="AZ6070" s="68"/>
      <c r="BA6070" s="68"/>
      <c r="BB6070" s="67"/>
      <c r="BC6070" s="67"/>
      <c r="BD6070" s="67"/>
      <c r="BE6070" s="67"/>
      <c r="BF6070" s="95"/>
    </row>
    <row r="6071" spans="42:58" x14ac:dyDescent="0.35">
      <c r="AP6071" s="93"/>
      <c r="AQ6071" s="31"/>
      <c r="AR6071" s="31"/>
      <c r="AS6071" s="94"/>
      <c r="AT6071" s="31"/>
      <c r="AU6071" s="31"/>
      <c r="AV6071" s="94"/>
      <c r="AW6071" s="32"/>
      <c r="AX6071" s="32"/>
      <c r="AY6071" s="32"/>
      <c r="AZ6071" s="32"/>
      <c r="BA6071" s="32"/>
      <c r="BB6071" s="31"/>
      <c r="BC6071" s="31"/>
      <c r="BD6071" s="31"/>
      <c r="BE6071" s="31"/>
      <c r="BF6071" s="96"/>
    </row>
    <row r="6072" spans="42:58" x14ac:dyDescent="0.35">
      <c r="AP6072" s="92"/>
      <c r="AQ6072" s="67"/>
      <c r="AR6072" s="67"/>
      <c r="AS6072" s="73"/>
      <c r="AT6072" s="67"/>
      <c r="AU6072" s="67"/>
      <c r="AV6072" s="73"/>
      <c r="AW6072" s="68"/>
      <c r="AX6072" s="68"/>
      <c r="AY6072" s="68"/>
      <c r="AZ6072" s="68"/>
      <c r="BA6072" s="68"/>
      <c r="BB6072" s="67"/>
      <c r="BC6072" s="67"/>
      <c r="BD6072" s="67"/>
      <c r="BE6072" s="67"/>
      <c r="BF6072" s="95"/>
    </row>
    <row r="6073" spans="42:58" x14ac:dyDescent="0.35">
      <c r="AP6073" s="93"/>
      <c r="AQ6073" s="31"/>
      <c r="AR6073" s="31"/>
      <c r="AS6073" s="94"/>
      <c r="AT6073" s="31"/>
      <c r="AU6073" s="31"/>
      <c r="AV6073" s="94"/>
      <c r="AW6073" s="32"/>
      <c r="AX6073" s="32"/>
      <c r="AY6073" s="32"/>
      <c r="AZ6073" s="32"/>
      <c r="BA6073" s="32"/>
      <c r="BB6073" s="31"/>
      <c r="BC6073" s="31"/>
      <c r="BD6073" s="31"/>
      <c r="BE6073" s="31"/>
      <c r="BF6073" s="96"/>
    </row>
    <row r="6074" spans="42:58" x14ac:dyDescent="0.35">
      <c r="AP6074" s="92"/>
      <c r="AQ6074" s="67"/>
      <c r="AR6074" s="67"/>
      <c r="AS6074" s="73"/>
      <c r="AT6074" s="67"/>
      <c r="AU6074" s="67"/>
      <c r="AV6074" s="73"/>
      <c r="AW6074" s="68"/>
      <c r="AX6074" s="68"/>
      <c r="AY6074" s="68"/>
      <c r="AZ6074" s="68"/>
      <c r="BA6074" s="68"/>
      <c r="BB6074" s="67"/>
      <c r="BC6074" s="67"/>
      <c r="BD6074" s="67"/>
      <c r="BE6074" s="67"/>
      <c r="BF6074" s="95"/>
    </row>
    <row r="6075" spans="42:58" x14ac:dyDescent="0.35">
      <c r="AP6075" s="93"/>
      <c r="AQ6075" s="31"/>
      <c r="AR6075" s="31"/>
      <c r="AS6075" s="94"/>
      <c r="AT6075" s="31"/>
      <c r="AU6075" s="31"/>
      <c r="AV6075" s="94"/>
      <c r="AW6075" s="32"/>
      <c r="AX6075" s="32"/>
      <c r="AY6075" s="32"/>
      <c r="AZ6075" s="32"/>
      <c r="BA6075" s="32"/>
      <c r="BB6075" s="31"/>
      <c r="BC6075" s="31"/>
      <c r="BD6075" s="31"/>
      <c r="BE6075" s="31"/>
      <c r="BF6075" s="96"/>
    </row>
    <row r="6076" spans="42:58" x14ac:dyDescent="0.35">
      <c r="AP6076" s="92"/>
      <c r="AQ6076" s="67"/>
      <c r="AR6076" s="67"/>
      <c r="AS6076" s="73"/>
      <c r="AT6076" s="67"/>
      <c r="AU6076" s="67"/>
      <c r="AV6076" s="73"/>
      <c r="AW6076" s="68"/>
      <c r="AX6076" s="68"/>
      <c r="AY6076" s="68"/>
      <c r="AZ6076" s="68"/>
      <c r="BA6076" s="68"/>
      <c r="BB6076" s="67"/>
      <c r="BC6076" s="67"/>
      <c r="BD6076" s="67"/>
      <c r="BE6076" s="67"/>
      <c r="BF6076" s="95"/>
    </row>
    <row r="6077" spans="42:58" x14ac:dyDescent="0.35">
      <c r="AP6077" s="93"/>
      <c r="AQ6077" s="31"/>
      <c r="AR6077" s="31"/>
      <c r="AS6077" s="94"/>
      <c r="AT6077" s="31"/>
      <c r="AU6077" s="31"/>
      <c r="AV6077" s="94"/>
      <c r="AW6077" s="32"/>
      <c r="AX6077" s="32"/>
      <c r="AY6077" s="32"/>
      <c r="AZ6077" s="32"/>
      <c r="BA6077" s="32"/>
      <c r="BB6077" s="31"/>
      <c r="BC6077" s="31"/>
      <c r="BD6077" s="31"/>
      <c r="BE6077" s="31"/>
      <c r="BF6077" s="96"/>
    </row>
    <row r="6078" spans="42:58" x14ac:dyDescent="0.35">
      <c r="AP6078" s="92"/>
      <c r="AQ6078" s="67"/>
      <c r="AR6078" s="67"/>
      <c r="AS6078" s="73"/>
      <c r="AT6078" s="67"/>
      <c r="AU6078" s="67"/>
      <c r="AV6078" s="73"/>
      <c r="AW6078" s="68"/>
      <c r="AX6078" s="68"/>
      <c r="AY6078" s="68"/>
      <c r="AZ6078" s="68"/>
      <c r="BA6078" s="68"/>
      <c r="BB6078" s="67"/>
      <c r="BC6078" s="67"/>
      <c r="BD6078" s="67"/>
      <c r="BE6078" s="67"/>
      <c r="BF6078" s="95"/>
    </row>
    <row r="6079" spans="42:58" x14ac:dyDescent="0.35">
      <c r="AP6079" s="93"/>
      <c r="AQ6079" s="31"/>
      <c r="AR6079" s="31"/>
      <c r="AS6079" s="94"/>
      <c r="AT6079" s="31"/>
      <c r="AU6079" s="31"/>
      <c r="AV6079" s="94"/>
      <c r="AW6079" s="32"/>
      <c r="AX6079" s="32"/>
      <c r="AY6079" s="32"/>
      <c r="AZ6079" s="32"/>
      <c r="BA6079" s="32"/>
      <c r="BB6079" s="31"/>
      <c r="BC6079" s="31"/>
      <c r="BD6079" s="31"/>
      <c r="BE6079" s="31"/>
      <c r="BF6079" s="96"/>
    </row>
    <row r="6080" spans="42:58" x14ac:dyDescent="0.35">
      <c r="AP6080" s="92"/>
      <c r="AQ6080" s="67"/>
      <c r="AR6080" s="67"/>
      <c r="AS6080" s="73"/>
      <c r="AT6080" s="67"/>
      <c r="AU6080" s="67"/>
      <c r="AV6080" s="73"/>
      <c r="AW6080" s="68"/>
      <c r="AX6080" s="68"/>
      <c r="AY6080" s="68"/>
      <c r="AZ6080" s="68"/>
      <c r="BA6080" s="68"/>
      <c r="BB6080" s="67"/>
      <c r="BC6080" s="67"/>
      <c r="BD6080" s="67"/>
      <c r="BE6080" s="67"/>
      <c r="BF6080" s="95"/>
    </row>
    <row r="6081" spans="42:58" x14ac:dyDescent="0.35">
      <c r="AP6081" s="93"/>
      <c r="AQ6081" s="31"/>
      <c r="AR6081" s="31"/>
      <c r="AS6081" s="94"/>
      <c r="AT6081" s="31"/>
      <c r="AU6081" s="31"/>
      <c r="AV6081" s="94"/>
      <c r="AW6081" s="32"/>
      <c r="AX6081" s="32"/>
      <c r="AY6081" s="32"/>
      <c r="AZ6081" s="32"/>
      <c r="BA6081" s="32"/>
      <c r="BB6081" s="31"/>
      <c r="BC6081" s="31"/>
      <c r="BD6081" s="31"/>
      <c r="BE6081" s="31"/>
      <c r="BF6081" s="96"/>
    </row>
    <row r="6082" spans="42:58" x14ac:dyDescent="0.35">
      <c r="AP6082" s="92"/>
      <c r="AQ6082" s="67"/>
      <c r="AR6082" s="67"/>
      <c r="AS6082" s="73"/>
      <c r="AT6082" s="67"/>
      <c r="AU6082" s="67"/>
      <c r="AV6082" s="73"/>
      <c r="AW6082" s="68"/>
      <c r="AX6082" s="68"/>
      <c r="AY6082" s="68"/>
      <c r="AZ6082" s="68"/>
      <c r="BA6082" s="68"/>
      <c r="BB6082" s="67"/>
      <c r="BC6082" s="67"/>
      <c r="BD6082" s="67"/>
      <c r="BE6082" s="67"/>
      <c r="BF6082" s="95"/>
    </row>
    <row r="6083" spans="42:58" x14ac:dyDescent="0.35">
      <c r="AP6083" s="93"/>
      <c r="AQ6083" s="31"/>
      <c r="AR6083" s="31"/>
      <c r="AS6083" s="94"/>
      <c r="AT6083" s="31"/>
      <c r="AU6083" s="31"/>
      <c r="AV6083" s="94"/>
      <c r="AW6083" s="32"/>
      <c r="AX6083" s="32"/>
      <c r="AY6083" s="32"/>
      <c r="AZ6083" s="32"/>
      <c r="BA6083" s="32"/>
      <c r="BB6083" s="31"/>
      <c r="BC6083" s="31"/>
      <c r="BD6083" s="31"/>
      <c r="BE6083" s="31"/>
      <c r="BF6083" s="96"/>
    </row>
    <row r="6084" spans="42:58" x14ac:dyDescent="0.35">
      <c r="AP6084" s="92"/>
      <c r="AQ6084" s="67"/>
      <c r="AR6084" s="67"/>
      <c r="AS6084" s="73"/>
      <c r="AT6084" s="67"/>
      <c r="AU6084" s="67"/>
      <c r="AV6084" s="73"/>
      <c r="AW6084" s="68"/>
      <c r="AX6084" s="68"/>
      <c r="AY6084" s="68"/>
      <c r="AZ6084" s="68"/>
      <c r="BA6084" s="68"/>
      <c r="BB6084" s="67"/>
      <c r="BC6084" s="67"/>
      <c r="BD6084" s="67"/>
      <c r="BE6084" s="67"/>
      <c r="BF6084" s="95"/>
    </row>
    <row r="6085" spans="42:58" x14ac:dyDescent="0.35">
      <c r="AP6085" s="93"/>
      <c r="AQ6085" s="31"/>
      <c r="AR6085" s="31"/>
      <c r="AS6085" s="94"/>
      <c r="AT6085" s="31"/>
      <c r="AU6085" s="31"/>
      <c r="AV6085" s="94"/>
      <c r="AW6085" s="32"/>
      <c r="AX6085" s="32"/>
      <c r="AY6085" s="32"/>
      <c r="AZ6085" s="32"/>
      <c r="BA6085" s="32"/>
      <c r="BB6085" s="31"/>
      <c r="BC6085" s="31"/>
      <c r="BD6085" s="31"/>
      <c r="BE6085" s="31"/>
      <c r="BF6085" s="96"/>
    </row>
    <row r="6086" spans="42:58" x14ac:dyDescent="0.35">
      <c r="AP6086" s="92"/>
      <c r="AQ6086" s="67"/>
      <c r="AR6086" s="67"/>
      <c r="AS6086" s="73"/>
      <c r="AT6086" s="67"/>
      <c r="AU6086" s="67"/>
      <c r="AV6086" s="73"/>
      <c r="AW6086" s="68"/>
      <c r="AX6086" s="68"/>
      <c r="AY6086" s="68"/>
      <c r="AZ6086" s="68"/>
      <c r="BA6086" s="68"/>
      <c r="BB6086" s="67"/>
      <c r="BC6086" s="67"/>
      <c r="BD6086" s="67"/>
      <c r="BE6086" s="67"/>
      <c r="BF6086" s="95"/>
    </row>
    <row r="6087" spans="42:58" x14ac:dyDescent="0.35">
      <c r="AP6087" s="93"/>
      <c r="AQ6087" s="31"/>
      <c r="AR6087" s="31"/>
      <c r="AS6087" s="94"/>
      <c r="AT6087" s="31"/>
      <c r="AU6087" s="31"/>
      <c r="AV6087" s="94"/>
      <c r="AW6087" s="32"/>
      <c r="AX6087" s="32"/>
      <c r="AY6087" s="32"/>
      <c r="AZ6087" s="32"/>
      <c r="BA6087" s="32"/>
      <c r="BB6087" s="31"/>
      <c r="BC6087" s="31"/>
      <c r="BD6087" s="31"/>
      <c r="BE6087" s="31"/>
      <c r="BF6087" s="96"/>
    </row>
    <row r="6088" spans="42:58" x14ac:dyDescent="0.35">
      <c r="AP6088" s="92"/>
      <c r="AQ6088" s="67"/>
      <c r="AR6088" s="67"/>
      <c r="AS6088" s="73"/>
      <c r="AT6088" s="67"/>
      <c r="AU6088" s="67"/>
      <c r="AV6088" s="73"/>
      <c r="AW6088" s="68"/>
      <c r="AX6088" s="68"/>
      <c r="AY6088" s="68"/>
      <c r="AZ6088" s="68"/>
      <c r="BA6088" s="68"/>
      <c r="BB6088" s="67"/>
      <c r="BC6088" s="67"/>
      <c r="BD6088" s="67"/>
      <c r="BE6088" s="67"/>
      <c r="BF6088" s="95"/>
    </row>
    <row r="6089" spans="42:58" x14ac:dyDescent="0.35">
      <c r="AP6089" s="93"/>
      <c r="AQ6089" s="31"/>
      <c r="AR6089" s="31"/>
      <c r="AS6089" s="94"/>
      <c r="AT6089" s="31"/>
      <c r="AU6089" s="31"/>
      <c r="AV6089" s="94"/>
      <c r="AW6089" s="32"/>
      <c r="AX6089" s="32"/>
      <c r="AY6089" s="32"/>
      <c r="AZ6089" s="32"/>
      <c r="BA6089" s="32"/>
      <c r="BB6089" s="31"/>
      <c r="BC6089" s="31"/>
      <c r="BD6089" s="31"/>
      <c r="BE6089" s="31"/>
      <c r="BF6089" s="96"/>
    </row>
    <row r="6090" spans="42:58" x14ac:dyDescent="0.35">
      <c r="AP6090" s="92"/>
      <c r="AQ6090" s="67"/>
      <c r="AR6090" s="67"/>
      <c r="AS6090" s="73"/>
      <c r="AT6090" s="67"/>
      <c r="AU6090" s="67"/>
      <c r="AV6090" s="73"/>
      <c r="AW6090" s="68"/>
      <c r="AX6090" s="68"/>
      <c r="AY6090" s="68"/>
      <c r="AZ6090" s="68"/>
      <c r="BA6090" s="68"/>
      <c r="BB6090" s="67"/>
      <c r="BC6090" s="67"/>
      <c r="BD6090" s="67"/>
      <c r="BE6090" s="67"/>
      <c r="BF6090" s="95"/>
    </row>
    <row r="6091" spans="42:58" x14ac:dyDescent="0.35">
      <c r="AP6091" s="93"/>
      <c r="AQ6091" s="31"/>
      <c r="AR6091" s="31"/>
      <c r="AS6091" s="94"/>
      <c r="AT6091" s="31"/>
      <c r="AU6091" s="31"/>
      <c r="AV6091" s="94"/>
      <c r="AW6091" s="32"/>
      <c r="AX6091" s="32"/>
      <c r="AY6091" s="32"/>
      <c r="AZ6091" s="32"/>
      <c r="BA6091" s="32"/>
      <c r="BB6091" s="31"/>
      <c r="BC6091" s="31"/>
      <c r="BD6091" s="31"/>
      <c r="BE6091" s="31"/>
      <c r="BF6091" s="96"/>
    </row>
    <row r="6092" spans="42:58" x14ac:dyDescent="0.35">
      <c r="AP6092" s="92"/>
      <c r="AQ6092" s="67"/>
      <c r="AR6092" s="67"/>
      <c r="AS6092" s="73"/>
      <c r="AT6092" s="67"/>
      <c r="AU6092" s="67"/>
      <c r="AV6092" s="73"/>
      <c r="AW6092" s="68"/>
      <c r="AX6092" s="68"/>
      <c r="AY6092" s="68"/>
      <c r="AZ6092" s="68"/>
      <c r="BA6092" s="68"/>
      <c r="BB6092" s="67"/>
      <c r="BC6092" s="67"/>
      <c r="BD6092" s="67"/>
      <c r="BE6092" s="67"/>
      <c r="BF6092" s="95"/>
    </row>
    <row r="6093" spans="42:58" x14ac:dyDescent="0.35">
      <c r="AP6093" s="93"/>
      <c r="AQ6093" s="31"/>
      <c r="AR6093" s="31"/>
      <c r="AS6093" s="94"/>
      <c r="AT6093" s="31"/>
      <c r="AU6093" s="31"/>
      <c r="AV6093" s="94"/>
      <c r="AW6093" s="32"/>
      <c r="AX6093" s="32"/>
      <c r="AY6093" s="32"/>
      <c r="AZ6093" s="32"/>
      <c r="BA6093" s="32"/>
      <c r="BB6093" s="31"/>
      <c r="BC6093" s="31"/>
      <c r="BD6093" s="31"/>
      <c r="BE6093" s="31"/>
      <c r="BF6093" s="96"/>
    </row>
    <row r="6094" spans="42:58" x14ac:dyDescent="0.35">
      <c r="AP6094" s="92"/>
      <c r="AQ6094" s="67"/>
      <c r="AR6094" s="67"/>
      <c r="AS6094" s="73"/>
      <c r="AT6094" s="67"/>
      <c r="AU6094" s="67"/>
      <c r="AV6094" s="73"/>
      <c r="AW6094" s="68"/>
      <c r="AX6094" s="68"/>
      <c r="AY6094" s="68"/>
      <c r="AZ6094" s="68"/>
      <c r="BA6094" s="68"/>
      <c r="BB6094" s="67"/>
      <c r="BC6094" s="67"/>
      <c r="BD6094" s="67"/>
      <c r="BE6094" s="67"/>
      <c r="BF6094" s="95"/>
    </row>
    <row r="6095" spans="42:58" x14ac:dyDescent="0.35">
      <c r="AP6095" s="93"/>
      <c r="AQ6095" s="31"/>
      <c r="AR6095" s="31"/>
      <c r="AS6095" s="94"/>
      <c r="AT6095" s="31"/>
      <c r="AU6095" s="31"/>
      <c r="AV6095" s="94"/>
      <c r="AW6095" s="32"/>
      <c r="AX6095" s="32"/>
      <c r="AY6095" s="32"/>
      <c r="AZ6095" s="32"/>
      <c r="BA6095" s="32"/>
      <c r="BB6095" s="31"/>
      <c r="BC6095" s="31"/>
      <c r="BD6095" s="31"/>
      <c r="BE6095" s="31"/>
      <c r="BF6095" s="96"/>
    </row>
    <row r="6096" spans="42:58" x14ac:dyDescent="0.35">
      <c r="AP6096" s="92"/>
      <c r="AQ6096" s="67"/>
      <c r="AR6096" s="67"/>
      <c r="AS6096" s="73"/>
      <c r="AT6096" s="67"/>
      <c r="AU6096" s="67"/>
      <c r="AV6096" s="73"/>
      <c r="AW6096" s="68"/>
      <c r="AX6096" s="68"/>
      <c r="AY6096" s="68"/>
      <c r="AZ6096" s="68"/>
      <c r="BA6096" s="68"/>
      <c r="BB6096" s="67"/>
      <c r="BC6096" s="67"/>
      <c r="BD6096" s="67"/>
      <c r="BE6096" s="67"/>
      <c r="BF6096" s="95"/>
    </row>
    <row r="6097" spans="42:58" x14ac:dyDescent="0.35">
      <c r="AP6097" s="93"/>
      <c r="AQ6097" s="31"/>
      <c r="AR6097" s="31"/>
      <c r="AS6097" s="94"/>
      <c r="AT6097" s="31"/>
      <c r="AU6097" s="31"/>
      <c r="AV6097" s="94"/>
      <c r="AW6097" s="32"/>
      <c r="AX6097" s="32"/>
      <c r="AY6097" s="32"/>
      <c r="AZ6097" s="32"/>
      <c r="BA6097" s="32"/>
      <c r="BB6097" s="31"/>
      <c r="BC6097" s="31"/>
      <c r="BD6097" s="31"/>
      <c r="BE6097" s="31"/>
      <c r="BF6097" s="96"/>
    </row>
    <row r="6098" spans="42:58" x14ac:dyDescent="0.35">
      <c r="AP6098" s="92"/>
      <c r="AQ6098" s="67"/>
      <c r="AR6098" s="67"/>
      <c r="AS6098" s="73"/>
      <c r="AT6098" s="67"/>
      <c r="AU6098" s="67"/>
      <c r="AV6098" s="73"/>
      <c r="AW6098" s="68"/>
      <c r="AX6098" s="68"/>
      <c r="AY6098" s="68"/>
      <c r="AZ6098" s="68"/>
      <c r="BA6098" s="68"/>
      <c r="BB6098" s="67"/>
      <c r="BC6098" s="67"/>
      <c r="BD6098" s="67"/>
      <c r="BE6098" s="67"/>
      <c r="BF6098" s="95"/>
    </row>
    <row r="6099" spans="42:58" x14ac:dyDescent="0.35">
      <c r="AP6099" s="93"/>
      <c r="AQ6099" s="31"/>
      <c r="AR6099" s="31"/>
      <c r="AS6099" s="94"/>
      <c r="AT6099" s="31"/>
      <c r="AU6099" s="31"/>
      <c r="AV6099" s="94"/>
      <c r="AW6099" s="32"/>
      <c r="AX6099" s="32"/>
      <c r="AY6099" s="32"/>
      <c r="AZ6099" s="32"/>
      <c r="BA6099" s="32"/>
      <c r="BB6099" s="31"/>
      <c r="BC6099" s="31"/>
      <c r="BD6099" s="31"/>
      <c r="BE6099" s="31"/>
      <c r="BF6099" s="96"/>
    </row>
    <row r="6100" spans="42:58" x14ac:dyDescent="0.35">
      <c r="AP6100" s="92"/>
      <c r="AQ6100" s="67"/>
      <c r="AR6100" s="67"/>
      <c r="AS6100" s="73"/>
      <c r="AT6100" s="67"/>
      <c r="AU6100" s="67"/>
      <c r="AV6100" s="73"/>
      <c r="AW6100" s="68"/>
      <c r="AX6100" s="68"/>
      <c r="AY6100" s="68"/>
      <c r="AZ6100" s="68"/>
      <c r="BA6100" s="68"/>
      <c r="BB6100" s="67"/>
      <c r="BC6100" s="67"/>
      <c r="BD6100" s="67"/>
      <c r="BE6100" s="67"/>
      <c r="BF6100" s="95"/>
    </row>
    <row r="6101" spans="42:58" x14ac:dyDescent="0.35">
      <c r="AP6101" s="93"/>
      <c r="AQ6101" s="31"/>
      <c r="AR6101" s="31"/>
      <c r="AS6101" s="94"/>
      <c r="AT6101" s="31"/>
      <c r="AU6101" s="31"/>
      <c r="AV6101" s="94"/>
      <c r="AW6101" s="32"/>
      <c r="AX6101" s="32"/>
      <c r="AY6101" s="32"/>
      <c r="AZ6101" s="32"/>
      <c r="BA6101" s="32"/>
      <c r="BB6101" s="31"/>
      <c r="BC6101" s="31"/>
      <c r="BD6101" s="31"/>
      <c r="BE6101" s="31"/>
      <c r="BF6101" s="96"/>
    </row>
    <row r="6102" spans="42:58" x14ac:dyDescent="0.35">
      <c r="AP6102" s="92"/>
      <c r="AQ6102" s="67"/>
      <c r="AR6102" s="67"/>
      <c r="AS6102" s="73"/>
      <c r="AT6102" s="67"/>
      <c r="AU6102" s="67"/>
      <c r="AV6102" s="73"/>
      <c r="AW6102" s="68"/>
      <c r="AX6102" s="68"/>
      <c r="AY6102" s="68"/>
      <c r="AZ6102" s="68"/>
      <c r="BA6102" s="68"/>
      <c r="BB6102" s="67"/>
      <c r="BC6102" s="67"/>
      <c r="BD6102" s="67"/>
      <c r="BE6102" s="67"/>
      <c r="BF6102" s="95"/>
    </row>
    <row r="6103" spans="42:58" x14ac:dyDescent="0.35">
      <c r="AP6103" s="93"/>
      <c r="AQ6103" s="31"/>
      <c r="AR6103" s="31"/>
      <c r="AS6103" s="94"/>
      <c r="AT6103" s="31"/>
      <c r="AU6103" s="31"/>
      <c r="AV6103" s="94"/>
      <c r="AW6103" s="32"/>
      <c r="AX6103" s="32"/>
      <c r="AY6103" s="32"/>
      <c r="AZ6103" s="32"/>
      <c r="BA6103" s="32"/>
      <c r="BB6103" s="31"/>
      <c r="BC6103" s="31"/>
      <c r="BD6103" s="31"/>
      <c r="BE6103" s="31"/>
      <c r="BF6103" s="96"/>
    </row>
    <row r="6104" spans="42:58" x14ac:dyDescent="0.35">
      <c r="AP6104" s="92"/>
      <c r="AQ6104" s="67"/>
      <c r="AR6104" s="67"/>
      <c r="AS6104" s="73"/>
      <c r="AT6104" s="67"/>
      <c r="AU6104" s="67"/>
      <c r="AV6104" s="73"/>
      <c r="AW6104" s="68"/>
      <c r="AX6104" s="68"/>
      <c r="AY6104" s="68"/>
      <c r="AZ6104" s="68"/>
      <c r="BA6104" s="68"/>
      <c r="BB6104" s="67"/>
      <c r="BC6104" s="67"/>
      <c r="BD6104" s="67"/>
      <c r="BE6104" s="67"/>
      <c r="BF6104" s="95"/>
    </row>
    <row r="6105" spans="42:58" x14ac:dyDescent="0.35">
      <c r="AP6105" s="93"/>
      <c r="AQ6105" s="31"/>
      <c r="AR6105" s="31"/>
      <c r="AS6105" s="94"/>
      <c r="AT6105" s="31"/>
      <c r="AU6105" s="31"/>
      <c r="AV6105" s="94"/>
      <c r="AW6105" s="32"/>
      <c r="AX6105" s="32"/>
      <c r="AY6105" s="32"/>
      <c r="AZ6105" s="32"/>
      <c r="BA6105" s="32"/>
      <c r="BB6105" s="31"/>
      <c r="BC6105" s="31"/>
      <c r="BD6105" s="31"/>
      <c r="BE6105" s="31"/>
      <c r="BF6105" s="96"/>
    </row>
    <row r="6106" spans="42:58" x14ac:dyDescent="0.35">
      <c r="AP6106" s="92"/>
      <c r="AQ6106" s="67"/>
      <c r="AR6106" s="67"/>
      <c r="AS6106" s="73"/>
      <c r="AT6106" s="67"/>
      <c r="AU6106" s="67"/>
      <c r="AV6106" s="73"/>
      <c r="AW6106" s="68"/>
      <c r="AX6106" s="68"/>
      <c r="AY6106" s="68"/>
      <c r="AZ6106" s="68"/>
      <c r="BA6106" s="68"/>
      <c r="BB6106" s="67"/>
      <c r="BC6106" s="67"/>
      <c r="BD6106" s="67"/>
      <c r="BE6106" s="67"/>
      <c r="BF6106" s="95"/>
    </row>
    <row r="6107" spans="42:58" x14ac:dyDescent="0.35">
      <c r="AP6107" s="93"/>
      <c r="AQ6107" s="31"/>
      <c r="AR6107" s="31"/>
      <c r="AS6107" s="94"/>
      <c r="AT6107" s="31"/>
      <c r="AU6107" s="31"/>
      <c r="AV6107" s="94"/>
      <c r="AW6107" s="32"/>
      <c r="AX6107" s="32"/>
      <c r="AY6107" s="32"/>
      <c r="AZ6107" s="32"/>
      <c r="BA6107" s="32"/>
      <c r="BB6107" s="31"/>
      <c r="BC6107" s="31"/>
      <c r="BD6107" s="31"/>
      <c r="BE6107" s="31"/>
      <c r="BF6107" s="96"/>
    </row>
    <row r="6108" spans="42:58" x14ac:dyDescent="0.35">
      <c r="AP6108" s="92"/>
      <c r="AQ6108" s="67"/>
      <c r="AR6108" s="67"/>
      <c r="AS6108" s="73"/>
      <c r="AT6108" s="67"/>
      <c r="AU6108" s="67"/>
      <c r="AV6108" s="73"/>
      <c r="AW6108" s="68"/>
      <c r="AX6108" s="68"/>
      <c r="AY6108" s="68"/>
      <c r="AZ6108" s="68"/>
      <c r="BA6108" s="68"/>
      <c r="BB6108" s="67"/>
      <c r="BC6108" s="67"/>
      <c r="BD6108" s="67"/>
      <c r="BE6108" s="67"/>
      <c r="BF6108" s="95"/>
    </row>
    <row r="6109" spans="42:58" x14ac:dyDescent="0.35">
      <c r="AP6109" s="93"/>
      <c r="AQ6109" s="31"/>
      <c r="AR6109" s="31"/>
      <c r="AS6109" s="94"/>
      <c r="AT6109" s="31"/>
      <c r="AU6109" s="31"/>
      <c r="AV6109" s="94"/>
      <c r="AW6109" s="32"/>
      <c r="AX6109" s="32"/>
      <c r="AY6109" s="32"/>
      <c r="AZ6109" s="32"/>
      <c r="BA6109" s="32"/>
      <c r="BB6109" s="31"/>
      <c r="BC6109" s="31"/>
      <c r="BD6109" s="31"/>
      <c r="BE6109" s="31"/>
      <c r="BF6109" s="96"/>
    </row>
    <row r="6110" spans="42:58" x14ac:dyDescent="0.35">
      <c r="AP6110" s="92"/>
      <c r="AQ6110" s="67"/>
      <c r="AR6110" s="67"/>
      <c r="AS6110" s="73"/>
      <c r="AT6110" s="67"/>
      <c r="AU6110" s="67"/>
      <c r="AV6110" s="73"/>
      <c r="AW6110" s="68"/>
      <c r="AX6110" s="68"/>
      <c r="AY6110" s="68"/>
      <c r="AZ6110" s="68"/>
      <c r="BA6110" s="68"/>
      <c r="BB6110" s="67"/>
      <c r="BC6110" s="67"/>
      <c r="BD6110" s="67"/>
      <c r="BE6110" s="67"/>
      <c r="BF6110" s="95"/>
    </row>
    <row r="6111" spans="42:58" x14ac:dyDescent="0.35">
      <c r="AP6111" s="93"/>
      <c r="AQ6111" s="31"/>
      <c r="AR6111" s="31"/>
      <c r="AS6111" s="94"/>
      <c r="AT6111" s="31"/>
      <c r="AU6111" s="31"/>
      <c r="AV6111" s="94"/>
      <c r="AW6111" s="32"/>
      <c r="AX6111" s="32"/>
      <c r="AY6111" s="32"/>
      <c r="AZ6111" s="32"/>
      <c r="BA6111" s="32"/>
      <c r="BB6111" s="31"/>
      <c r="BC6111" s="31"/>
      <c r="BD6111" s="31"/>
      <c r="BE6111" s="31"/>
      <c r="BF6111" s="96"/>
    </row>
    <row r="6112" spans="42:58" x14ac:dyDescent="0.35">
      <c r="AP6112" s="92"/>
      <c r="AQ6112" s="67"/>
      <c r="AR6112" s="67"/>
      <c r="AS6112" s="73"/>
      <c r="AT6112" s="67"/>
      <c r="AU6112" s="67"/>
      <c r="AV6112" s="73"/>
      <c r="AW6112" s="68"/>
      <c r="AX6112" s="68"/>
      <c r="AY6112" s="68"/>
      <c r="AZ6112" s="68"/>
      <c r="BA6112" s="68"/>
      <c r="BB6112" s="67"/>
      <c r="BC6112" s="67"/>
      <c r="BD6112" s="67"/>
      <c r="BE6112" s="67"/>
      <c r="BF6112" s="95"/>
    </row>
    <row r="6113" spans="42:58" x14ac:dyDescent="0.35">
      <c r="AP6113" s="93"/>
      <c r="AQ6113" s="31"/>
      <c r="AR6113" s="31"/>
      <c r="AS6113" s="94"/>
      <c r="AT6113" s="31"/>
      <c r="AU6113" s="31"/>
      <c r="AV6113" s="94"/>
      <c r="AW6113" s="32"/>
      <c r="AX6113" s="32"/>
      <c r="AY6113" s="32"/>
      <c r="AZ6113" s="32"/>
      <c r="BA6113" s="32"/>
      <c r="BB6113" s="31"/>
      <c r="BC6113" s="31"/>
      <c r="BD6113" s="31"/>
      <c r="BE6113" s="31"/>
      <c r="BF6113" s="96"/>
    </row>
    <row r="6114" spans="42:58" x14ac:dyDescent="0.35">
      <c r="AP6114" s="92"/>
      <c r="AQ6114" s="67"/>
      <c r="AR6114" s="67"/>
      <c r="AS6114" s="73"/>
      <c r="AT6114" s="67"/>
      <c r="AU6114" s="67"/>
      <c r="AV6114" s="73"/>
      <c r="AW6114" s="68"/>
      <c r="AX6114" s="68"/>
      <c r="AY6114" s="68"/>
      <c r="AZ6114" s="68"/>
      <c r="BA6114" s="68"/>
      <c r="BB6114" s="67"/>
      <c r="BC6114" s="67"/>
      <c r="BD6114" s="67"/>
      <c r="BE6114" s="67"/>
      <c r="BF6114" s="95"/>
    </row>
    <row r="6115" spans="42:58" x14ac:dyDescent="0.35">
      <c r="AP6115" s="93"/>
      <c r="AQ6115" s="31"/>
      <c r="AR6115" s="31"/>
      <c r="AS6115" s="94"/>
      <c r="AT6115" s="31"/>
      <c r="AU6115" s="31"/>
      <c r="AV6115" s="94"/>
      <c r="AW6115" s="32"/>
      <c r="AX6115" s="32"/>
      <c r="AY6115" s="32"/>
      <c r="AZ6115" s="32"/>
      <c r="BA6115" s="32"/>
      <c r="BB6115" s="31"/>
      <c r="BC6115" s="31"/>
      <c r="BD6115" s="31"/>
      <c r="BE6115" s="31"/>
      <c r="BF6115" s="96"/>
    </row>
    <row r="6116" spans="42:58" x14ac:dyDescent="0.35">
      <c r="AP6116" s="92"/>
      <c r="AQ6116" s="67"/>
      <c r="AR6116" s="67"/>
      <c r="AS6116" s="73"/>
      <c r="AT6116" s="67"/>
      <c r="AU6116" s="67"/>
      <c r="AV6116" s="73"/>
      <c r="AW6116" s="68"/>
      <c r="AX6116" s="68"/>
      <c r="AY6116" s="68"/>
      <c r="AZ6116" s="68"/>
      <c r="BA6116" s="68"/>
      <c r="BB6116" s="67"/>
      <c r="BC6116" s="67"/>
      <c r="BD6116" s="67"/>
      <c r="BE6116" s="67"/>
      <c r="BF6116" s="95"/>
    </row>
    <row r="6117" spans="42:58" x14ac:dyDescent="0.35">
      <c r="AP6117" s="93"/>
      <c r="AQ6117" s="31"/>
      <c r="AR6117" s="31"/>
      <c r="AS6117" s="94"/>
      <c r="AT6117" s="31"/>
      <c r="AU6117" s="31"/>
      <c r="AV6117" s="94"/>
      <c r="AW6117" s="32"/>
      <c r="AX6117" s="32"/>
      <c r="AY6117" s="32"/>
      <c r="AZ6117" s="32"/>
      <c r="BA6117" s="32"/>
      <c r="BB6117" s="31"/>
      <c r="BC6117" s="31"/>
      <c r="BD6117" s="31"/>
      <c r="BE6117" s="31"/>
      <c r="BF6117" s="96"/>
    </row>
    <row r="6118" spans="42:58" x14ac:dyDescent="0.35">
      <c r="AP6118" s="92"/>
      <c r="AQ6118" s="67"/>
      <c r="AR6118" s="67"/>
      <c r="AS6118" s="73"/>
      <c r="AT6118" s="67"/>
      <c r="AU6118" s="67"/>
      <c r="AV6118" s="73"/>
      <c r="AW6118" s="68"/>
      <c r="AX6118" s="68"/>
      <c r="AY6118" s="68"/>
      <c r="AZ6118" s="68"/>
      <c r="BA6118" s="68"/>
      <c r="BB6118" s="67"/>
      <c r="BC6118" s="67"/>
      <c r="BD6118" s="67"/>
      <c r="BE6118" s="67"/>
      <c r="BF6118" s="95"/>
    </row>
    <row r="6119" spans="42:58" x14ac:dyDescent="0.35">
      <c r="AP6119" s="93"/>
      <c r="AQ6119" s="31"/>
      <c r="AR6119" s="31"/>
      <c r="AS6119" s="94"/>
      <c r="AT6119" s="31"/>
      <c r="AU6119" s="31"/>
      <c r="AV6119" s="94"/>
      <c r="AW6119" s="32"/>
      <c r="AX6119" s="32"/>
      <c r="AY6119" s="32"/>
      <c r="AZ6119" s="32"/>
      <c r="BA6119" s="32"/>
      <c r="BB6119" s="31"/>
      <c r="BC6119" s="31"/>
      <c r="BD6119" s="31"/>
      <c r="BE6119" s="31"/>
      <c r="BF6119" s="96"/>
    </row>
    <row r="6120" spans="42:58" x14ac:dyDescent="0.35">
      <c r="AP6120" s="92"/>
      <c r="AQ6120" s="67"/>
      <c r="AR6120" s="67"/>
      <c r="AS6120" s="73"/>
      <c r="AT6120" s="67"/>
      <c r="AU6120" s="67"/>
      <c r="AV6120" s="73"/>
      <c r="AW6120" s="68"/>
      <c r="AX6120" s="68"/>
      <c r="AY6120" s="68"/>
      <c r="AZ6120" s="68"/>
      <c r="BA6120" s="68"/>
      <c r="BB6120" s="67"/>
      <c r="BC6120" s="67"/>
      <c r="BD6120" s="67"/>
      <c r="BE6120" s="67"/>
      <c r="BF6120" s="95"/>
    </row>
    <row r="6121" spans="42:58" x14ac:dyDescent="0.35">
      <c r="AP6121" s="93"/>
      <c r="AQ6121" s="31"/>
      <c r="AR6121" s="31"/>
      <c r="AS6121" s="94"/>
      <c r="AT6121" s="31"/>
      <c r="AU6121" s="31"/>
      <c r="AV6121" s="94"/>
      <c r="AW6121" s="32"/>
      <c r="AX6121" s="32"/>
      <c r="AY6121" s="32"/>
      <c r="AZ6121" s="32"/>
      <c r="BA6121" s="32"/>
      <c r="BB6121" s="31"/>
      <c r="BC6121" s="31"/>
      <c r="BD6121" s="31"/>
      <c r="BE6121" s="31"/>
      <c r="BF6121" s="96"/>
    </row>
    <row r="6122" spans="42:58" x14ac:dyDescent="0.35">
      <c r="AP6122" s="92"/>
      <c r="AQ6122" s="67"/>
      <c r="AR6122" s="67"/>
      <c r="AS6122" s="73"/>
      <c r="AT6122" s="67"/>
      <c r="AU6122" s="67"/>
      <c r="AV6122" s="73"/>
      <c r="AW6122" s="68"/>
      <c r="AX6122" s="68"/>
      <c r="AY6122" s="68"/>
      <c r="AZ6122" s="68"/>
      <c r="BA6122" s="68"/>
      <c r="BB6122" s="67"/>
      <c r="BC6122" s="67"/>
      <c r="BD6122" s="67"/>
      <c r="BE6122" s="67"/>
      <c r="BF6122" s="95"/>
    </row>
    <row r="6123" spans="42:58" x14ac:dyDescent="0.35">
      <c r="AP6123" s="93"/>
      <c r="AQ6123" s="31"/>
      <c r="AR6123" s="31"/>
      <c r="AS6123" s="94"/>
      <c r="AT6123" s="31"/>
      <c r="AU6123" s="31"/>
      <c r="AV6123" s="94"/>
      <c r="AW6123" s="32"/>
      <c r="AX6123" s="32"/>
      <c r="AY6123" s="32"/>
      <c r="AZ6123" s="32"/>
      <c r="BA6123" s="32"/>
      <c r="BB6123" s="31"/>
      <c r="BC6123" s="31"/>
      <c r="BD6123" s="31"/>
      <c r="BE6123" s="31"/>
      <c r="BF6123" s="96"/>
    </row>
    <row r="6124" spans="42:58" x14ac:dyDescent="0.35">
      <c r="AP6124" s="92"/>
      <c r="AQ6124" s="67"/>
      <c r="AR6124" s="67"/>
      <c r="AS6124" s="73"/>
      <c r="AT6124" s="67"/>
      <c r="AU6124" s="67"/>
      <c r="AV6124" s="73"/>
      <c r="AW6124" s="68"/>
      <c r="AX6124" s="68"/>
      <c r="AY6124" s="68"/>
      <c r="AZ6124" s="68"/>
      <c r="BA6124" s="68"/>
      <c r="BB6124" s="67"/>
      <c r="BC6124" s="67"/>
      <c r="BD6124" s="67"/>
      <c r="BE6124" s="67"/>
      <c r="BF6124" s="95"/>
    </row>
    <row r="6125" spans="42:58" x14ac:dyDescent="0.35">
      <c r="AP6125" s="93"/>
      <c r="AQ6125" s="31"/>
      <c r="AR6125" s="31"/>
      <c r="AS6125" s="94"/>
      <c r="AT6125" s="31"/>
      <c r="AU6125" s="31"/>
      <c r="AV6125" s="94"/>
      <c r="AW6125" s="32"/>
      <c r="AX6125" s="32"/>
      <c r="AY6125" s="32"/>
      <c r="AZ6125" s="32"/>
      <c r="BA6125" s="32"/>
      <c r="BB6125" s="31"/>
      <c r="BC6125" s="31"/>
      <c r="BD6125" s="31"/>
      <c r="BE6125" s="31"/>
      <c r="BF6125" s="96"/>
    </row>
    <row r="6126" spans="42:58" x14ac:dyDescent="0.35">
      <c r="AP6126" s="92"/>
      <c r="AQ6126" s="67"/>
      <c r="AR6126" s="67"/>
      <c r="AS6126" s="73"/>
      <c r="AT6126" s="67"/>
      <c r="AU6126" s="67"/>
      <c r="AV6126" s="73"/>
      <c r="AW6126" s="68"/>
      <c r="AX6126" s="68"/>
      <c r="AY6126" s="68"/>
      <c r="AZ6126" s="68"/>
      <c r="BA6126" s="68"/>
      <c r="BB6126" s="67"/>
      <c r="BC6126" s="67"/>
      <c r="BD6126" s="67"/>
      <c r="BE6126" s="67"/>
      <c r="BF6126" s="95"/>
    </row>
    <row r="6127" spans="42:58" x14ac:dyDescent="0.35">
      <c r="AP6127" s="93"/>
      <c r="AQ6127" s="31"/>
      <c r="AR6127" s="31"/>
      <c r="AS6127" s="94"/>
      <c r="AT6127" s="31"/>
      <c r="AU6127" s="31"/>
      <c r="AV6127" s="94"/>
      <c r="AW6127" s="32"/>
      <c r="AX6127" s="32"/>
      <c r="AY6127" s="32"/>
      <c r="AZ6127" s="32"/>
      <c r="BA6127" s="32"/>
      <c r="BB6127" s="31"/>
      <c r="BC6127" s="31"/>
      <c r="BD6127" s="31"/>
      <c r="BE6127" s="31"/>
      <c r="BF6127" s="96"/>
    </row>
    <row r="6128" spans="42:58" x14ac:dyDescent="0.35">
      <c r="AP6128" s="92"/>
      <c r="AQ6128" s="67"/>
      <c r="AR6128" s="67"/>
      <c r="AS6128" s="73"/>
      <c r="AT6128" s="67"/>
      <c r="AU6128" s="67"/>
      <c r="AV6128" s="73"/>
      <c r="AW6128" s="68"/>
      <c r="AX6128" s="68"/>
      <c r="AY6128" s="68"/>
      <c r="AZ6128" s="68"/>
      <c r="BA6128" s="68"/>
      <c r="BB6128" s="67"/>
      <c r="BC6128" s="67"/>
      <c r="BD6128" s="67"/>
      <c r="BE6128" s="67"/>
      <c r="BF6128" s="95"/>
    </row>
    <row r="6129" spans="42:58" x14ac:dyDescent="0.35">
      <c r="AP6129" s="93"/>
      <c r="AQ6129" s="31"/>
      <c r="AR6129" s="31"/>
      <c r="AS6129" s="94"/>
      <c r="AT6129" s="31"/>
      <c r="AU6129" s="31"/>
      <c r="AV6129" s="94"/>
      <c r="AW6129" s="32"/>
      <c r="AX6129" s="32"/>
      <c r="AY6129" s="32"/>
      <c r="AZ6129" s="32"/>
      <c r="BA6129" s="32"/>
      <c r="BB6129" s="31"/>
      <c r="BC6129" s="31"/>
      <c r="BD6129" s="31"/>
      <c r="BE6129" s="31"/>
      <c r="BF6129" s="96"/>
    </row>
    <row r="6130" spans="42:58" x14ac:dyDescent="0.35">
      <c r="AP6130" s="92"/>
      <c r="AQ6130" s="67"/>
      <c r="AR6130" s="67"/>
      <c r="AS6130" s="73"/>
      <c r="AT6130" s="67"/>
      <c r="AU6130" s="67"/>
      <c r="AV6130" s="73"/>
      <c r="AW6130" s="68"/>
      <c r="AX6130" s="68"/>
      <c r="AY6130" s="68"/>
      <c r="AZ6130" s="68"/>
      <c r="BA6130" s="68"/>
      <c r="BB6130" s="67"/>
      <c r="BC6130" s="67"/>
      <c r="BD6130" s="67"/>
      <c r="BE6130" s="67"/>
      <c r="BF6130" s="95"/>
    </row>
    <row r="6131" spans="42:58" x14ac:dyDescent="0.35">
      <c r="AP6131" s="93"/>
      <c r="AQ6131" s="31"/>
      <c r="AR6131" s="31"/>
      <c r="AS6131" s="94"/>
      <c r="AT6131" s="31"/>
      <c r="AU6131" s="31"/>
      <c r="AV6131" s="94"/>
      <c r="AW6131" s="32"/>
      <c r="AX6131" s="32"/>
      <c r="AY6131" s="32"/>
      <c r="AZ6131" s="32"/>
      <c r="BA6131" s="32"/>
      <c r="BB6131" s="31"/>
      <c r="BC6131" s="31"/>
      <c r="BD6131" s="31"/>
      <c r="BE6131" s="31"/>
      <c r="BF6131" s="96"/>
    </row>
    <row r="6132" spans="42:58" x14ac:dyDescent="0.35">
      <c r="AP6132" s="92"/>
      <c r="AQ6132" s="67"/>
      <c r="AR6132" s="67"/>
      <c r="AS6132" s="73"/>
      <c r="AT6132" s="67"/>
      <c r="AU6132" s="67"/>
      <c r="AV6132" s="73"/>
      <c r="AW6132" s="68"/>
      <c r="AX6132" s="68"/>
      <c r="AY6132" s="68"/>
      <c r="AZ6132" s="68"/>
      <c r="BA6132" s="68"/>
      <c r="BB6132" s="67"/>
      <c r="BC6132" s="67"/>
      <c r="BD6132" s="67"/>
      <c r="BE6132" s="67"/>
      <c r="BF6132" s="95"/>
    </row>
    <row r="6133" spans="42:58" x14ac:dyDescent="0.35">
      <c r="AP6133" s="93"/>
      <c r="AQ6133" s="31"/>
      <c r="AR6133" s="31"/>
      <c r="AS6133" s="94"/>
      <c r="AT6133" s="31"/>
      <c r="AU6133" s="31"/>
      <c r="AV6133" s="94"/>
      <c r="AW6133" s="32"/>
      <c r="AX6133" s="32"/>
      <c r="AY6133" s="32"/>
      <c r="AZ6133" s="32"/>
      <c r="BA6133" s="32"/>
      <c r="BB6133" s="31"/>
      <c r="BC6133" s="31"/>
      <c r="BD6133" s="31"/>
      <c r="BE6133" s="31"/>
      <c r="BF6133" s="96"/>
    </row>
    <row r="6134" spans="42:58" x14ac:dyDescent="0.35">
      <c r="AP6134" s="92"/>
      <c r="AQ6134" s="67"/>
      <c r="AR6134" s="67"/>
      <c r="AS6134" s="73"/>
      <c r="AT6134" s="67"/>
      <c r="AU6134" s="67"/>
      <c r="AV6134" s="73"/>
      <c r="AW6134" s="68"/>
      <c r="AX6134" s="68"/>
      <c r="AY6134" s="68"/>
      <c r="AZ6134" s="68"/>
      <c r="BA6134" s="68"/>
      <c r="BB6134" s="67"/>
      <c r="BC6134" s="67"/>
      <c r="BD6134" s="67"/>
      <c r="BE6134" s="67"/>
      <c r="BF6134" s="95"/>
    </row>
    <row r="6135" spans="42:58" x14ac:dyDescent="0.35">
      <c r="AP6135" s="93"/>
      <c r="AQ6135" s="31"/>
      <c r="AR6135" s="31"/>
      <c r="AS6135" s="94"/>
      <c r="AT6135" s="31"/>
      <c r="AU6135" s="31"/>
      <c r="AV6135" s="94"/>
      <c r="AW6135" s="32"/>
      <c r="AX6135" s="32"/>
      <c r="AY6135" s="32"/>
      <c r="AZ6135" s="32"/>
      <c r="BA6135" s="32"/>
      <c r="BB6135" s="31"/>
      <c r="BC6135" s="31"/>
      <c r="BD6135" s="31"/>
      <c r="BE6135" s="31"/>
      <c r="BF6135" s="96"/>
    </row>
    <row r="6136" spans="42:58" x14ac:dyDescent="0.35">
      <c r="AP6136" s="92"/>
      <c r="AQ6136" s="67"/>
      <c r="AR6136" s="67"/>
      <c r="AS6136" s="73"/>
      <c r="AT6136" s="67"/>
      <c r="AU6136" s="67"/>
      <c r="AV6136" s="73"/>
      <c r="AW6136" s="68"/>
      <c r="AX6136" s="68"/>
      <c r="AY6136" s="68"/>
      <c r="AZ6136" s="68"/>
      <c r="BA6136" s="68"/>
      <c r="BB6136" s="67"/>
      <c r="BC6136" s="67"/>
      <c r="BD6136" s="67"/>
      <c r="BE6136" s="67"/>
      <c r="BF6136" s="95"/>
    </row>
    <row r="6137" spans="42:58" x14ac:dyDescent="0.35">
      <c r="AP6137" s="93"/>
      <c r="AQ6137" s="31"/>
      <c r="AR6137" s="31"/>
      <c r="AS6137" s="94"/>
      <c r="AT6137" s="31"/>
      <c r="AU6137" s="31"/>
      <c r="AV6137" s="94"/>
      <c r="AW6137" s="32"/>
      <c r="AX6137" s="32"/>
      <c r="AY6137" s="32"/>
      <c r="AZ6137" s="32"/>
      <c r="BA6137" s="32"/>
      <c r="BB6137" s="31"/>
      <c r="BC6137" s="31"/>
      <c r="BD6137" s="31"/>
      <c r="BE6137" s="31"/>
      <c r="BF6137" s="96"/>
    </row>
    <row r="6138" spans="42:58" x14ac:dyDescent="0.35">
      <c r="AP6138" s="92"/>
      <c r="AQ6138" s="67"/>
      <c r="AR6138" s="67"/>
      <c r="AS6138" s="73"/>
      <c r="AT6138" s="67"/>
      <c r="AU6138" s="67"/>
      <c r="AV6138" s="73"/>
      <c r="AW6138" s="68"/>
      <c r="AX6138" s="68"/>
      <c r="AY6138" s="68"/>
      <c r="AZ6138" s="68"/>
      <c r="BA6138" s="68"/>
      <c r="BB6138" s="67"/>
      <c r="BC6138" s="67"/>
      <c r="BD6138" s="67"/>
      <c r="BE6138" s="67"/>
      <c r="BF6138" s="95"/>
    </row>
    <row r="6139" spans="42:58" x14ac:dyDescent="0.35">
      <c r="AP6139" s="93"/>
      <c r="AQ6139" s="31"/>
      <c r="AR6139" s="31"/>
      <c r="AS6139" s="94"/>
      <c r="AT6139" s="31"/>
      <c r="AU6139" s="31"/>
      <c r="AV6139" s="94"/>
      <c r="AW6139" s="32"/>
      <c r="AX6139" s="32"/>
      <c r="AY6139" s="32"/>
      <c r="AZ6139" s="32"/>
      <c r="BA6139" s="32"/>
      <c r="BB6139" s="31"/>
      <c r="BC6139" s="31"/>
      <c r="BD6139" s="31"/>
      <c r="BE6139" s="31"/>
      <c r="BF6139" s="96"/>
    </row>
    <row r="6140" spans="42:58" x14ac:dyDescent="0.35">
      <c r="AP6140" s="92"/>
      <c r="AQ6140" s="67"/>
      <c r="AR6140" s="67"/>
      <c r="AS6140" s="73"/>
      <c r="AT6140" s="67"/>
      <c r="AU6140" s="67"/>
      <c r="AV6140" s="73"/>
      <c r="AW6140" s="68"/>
      <c r="AX6140" s="68"/>
      <c r="AY6140" s="68"/>
      <c r="AZ6140" s="68"/>
      <c r="BA6140" s="68"/>
      <c r="BB6140" s="67"/>
      <c r="BC6140" s="67"/>
      <c r="BD6140" s="67"/>
      <c r="BE6140" s="67"/>
      <c r="BF6140" s="95"/>
    </row>
    <row r="6141" spans="42:58" x14ac:dyDescent="0.35">
      <c r="AP6141" s="93"/>
      <c r="AQ6141" s="31"/>
      <c r="AR6141" s="31"/>
      <c r="AS6141" s="94"/>
      <c r="AT6141" s="31"/>
      <c r="AU6141" s="31"/>
      <c r="AV6141" s="94"/>
      <c r="AW6141" s="32"/>
      <c r="AX6141" s="32"/>
      <c r="AY6141" s="32"/>
      <c r="AZ6141" s="32"/>
      <c r="BA6141" s="32"/>
      <c r="BB6141" s="31"/>
      <c r="BC6141" s="31"/>
      <c r="BD6141" s="31"/>
      <c r="BE6141" s="31"/>
      <c r="BF6141" s="96"/>
    </row>
    <row r="6142" spans="42:58" x14ac:dyDescent="0.35">
      <c r="AP6142" s="92"/>
      <c r="AQ6142" s="67"/>
      <c r="AR6142" s="67"/>
      <c r="AS6142" s="73"/>
      <c r="AT6142" s="67"/>
      <c r="AU6142" s="67"/>
      <c r="AV6142" s="73"/>
      <c r="AW6142" s="68"/>
      <c r="AX6142" s="68"/>
      <c r="AY6142" s="68"/>
      <c r="AZ6142" s="68"/>
      <c r="BA6142" s="68"/>
      <c r="BB6142" s="67"/>
      <c r="BC6142" s="67"/>
      <c r="BD6142" s="67"/>
      <c r="BE6142" s="67"/>
      <c r="BF6142" s="95"/>
    </row>
    <row r="6143" spans="42:58" x14ac:dyDescent="0.35">
      <c r="AP6143" s="93"/>
      <c r="AQ6143" s="31"/>
      <c r="AR6143" s="31"/>
      <c r="AS6143" s="94"/>
      <c r="AT6143" s="31"/>
      <c r="AU6143" s="31"/>
      <c r="AV6143" s="94"/>
      <c r="AW6143" s="32"/>
      <c r="AX6143" s="32"/>
      <c r="AY6143" s="32"/>
      <c r="AZ6143" s="32"/>
      <c r="BA6143" s="32"/>
      <c r="BB6143" s="31"/>
      <c r="BC6143" s="31"/>
      <c r="BD6143" s="31"/>
      <c r="BE6143" s="31"/>
      <c r="BF6143" s="96"/>
    </row>
    <row r="6144" spans="42:58" x14ac:dyDescent="0.35">
      <c r="AP6144" s="92"/>
      <c r="AQ6144" s="67"/>
      <c r="AR6144" s="67"/>
      <c r="AS6144" s="73"/>
      <c r="AT6144" s="67"/>
      <c r="AU6144" s="67"/>
      <c r="AV6144" s="73"/>
      <c r="AW6144" s="68"/>
      <c r="AX6144" s="68"/>
      <c r="AY6144" s="68"/>
      <c r="AZ6144" s="68"/>
      <c r="BA6144" s="68"/>
      <c r="BB6144" s="67"/>
      <c r="BC6144" s="67"/>
      <c r="BD6144" s="67"/>
      <c r="BE6144" s="67"/>
      <c r="BF6144" s="95"/>
    </row>
    <row r="6145" spans="42:58" x14ac:dyDescent="0.35">
      <c r="AP6145" s="93"/>
      <c r="AQ6145" s="31"/>
      <c r="AR6145" s="31"/>
      <c r="AS6145" s="94"/>
      <c r="AT6145" s="31"/>
      <c r="AU6145" s="31"/>
      <c r="AV6145" s="94"/>
      <c r="AW6145" s="32"/>
      <c r="AX6145" s="32"/>
      <c r="AY6145" s="32"/>
      <c r="AZ6145" s="32"/>
      <c r="BA6145" s="32"/>
      <c r="BB6145" s="31"/>
      <c r="BC6145" s="31"/>
      <c r="BD6145" s="31"/>
      <c r="BE6145" s="31"/>
      <c r="BF6145" s="96"/>
    </row>
    <row r="6146" spans="42:58" x14ac:dyDescent="0.35">
      <c r="AP6146" s="92"/>
      <c r="AQ6146" s="67"/>
      <c r="AR6146" s="67"/>
      <c r="AS6146" s="73"/>
      <c r="AT6146" s="67"/>
      <c r="AU6146" s="67"/>
      <c r="AV6146" s="73"/>
      <c r="AW6146" s="68"/>
      <c r="AX6146" s="68"/>
      <c r="AY6146" s="68"/>
      <c r="AZ6146" s="68"/>
      <c r="BA6146" s="68"/>
      <c r="BB6146" s="67"/>
      <c r="BC6146" s="67"/>
      <c r="BD6146" s="67"/>
      <c r="BE6146" s="67"/>
      <c r="BF6146" s="95"/>
    </row>
    <row r="6147" spans="42:58" x14ac:dyDescent="0.35">
      <c r="AP6147" s="93"/>
      <c r="AQ6147" s="31"/>
      <c r="AR6147" s="31"/>
      <c r="AS6147" s="94"/>
      <c r="AT6147" s="31"/>
      <c r="AU6147" s="31"/>
      <c r="AV6147" s="94"/>
      <c r="AW6147" s="32"/>
      <c r="AX6147" s="32"/>
      <c r="AY6147" s="32"/>
      <c r="AZ6147" s="32"/>
      <c r="BA6147" s="32"/>
      <c r="BB6147" s="31"/>
      <c r="BC6147" s="31"/>
      <c r="BD6147" s="31"/>
      <c r="BE6147" s="31"/>
      <c r="BF6147" s="96"/>
    </row>
    <row r="6148" spans="42:58" x14ac:dyDescent="0.35">
      <c r="AP6148" s="92"/>
      <c r="AQ6148" s="67"/>
      <c r="AR6148" s="67"/>
      <c r="AS6148" s="73"/>
      <c r="AT6148" s="67"/>
      <c r="AU6148" s="67"/>
      <c r="AV6148" s="73"/>
      <c r="AW6148" s="68"/>
      <c r="AX6148" s="68"/>
      <c r="AY6148" s="68"/>
      <c r="AZ6148" s="68"/>
      <c r="BA6148" s="68"/>
      <c r="BB6148" s="67"/>
      <c r="BC6148" s="67"/>
      <c r="BD6148" s="67"/>
      <c r="BE6148" s="67"/>
      <c r="BF6148" s="95"/>
    </row>
    <row r="6149" spans="42:58" x14ac:dyDescent="0.35">
      <c r="AP6149" s="93"/>
      <c r="AQ6149" s="31"/>
      <c r="AR6149" s="31"/>
      <c r="AS6149" s="94"/>
      <c r="AT6149" s="31"/>
      <c r="AU6149" s="31"/>
      <c r="AV6149" s="94"/>
      <c r="AW6149" s="32"/>
      <c r="AX6149" s="32"/>
      <c r="AY6149" s="32"/>
      <c r="AZ6149" s="32"/>
      <c r="BA6149" s="32"/>
      <c r="BB6149" s="31"/>
      <c r="BC6149" s="31"/>
      <c r="BD6149" s="31"/>
      <c r="BE6149" s="31"/>
      <c r="BF6149" s="96"/>
    </row>
    <row r="6150" spans="42:58" x14ac:dyDescent="0.35">
      <c r="AP6150" s="92"/>
      <c r="AQ6150" s="67"/>
      <c r="AR6150" s="67"/>
      <c r="AS6150" s="73"/>
      <c r="AT6150" s="67"/>
      <c r="AU6150" s="67"/>
      <c r="AV6150" s="73"/>
      <c r="AW6150" s="68"/>
      <c r="AX6150" s="68"/>
      <c r="AY6150" s="68"/>
      <c r="AZ6150" s="68"/>
      <c r="BA6150" s="68"/>
      <c r="BB6150" s="67"/>
      <c r="BC6150" s="67"/>
      <c r="BD6150" s="67"/>
      <c r="BE6150" s="67"/>
      <c r="BF6150" s="95"/>
    </row>
    <row r="6151" spans="42:58" x14ac:dyDescent="0.35">
      <c r="AP6151" s="93"/>
      <c r="AQ6151" s="31"/>
      <c r="AR6151" s="31"/>
      <c r="AS6151" s="94"/>
      <c r="AT6151" s="31"/>
      <c r="AU6151" s="31"/>
      <c r="AV6151" s="94"/>
      <c r="AW6151" s="32"/>
      <c r="AX6151" s="32"/>
      <c r="AY6151" s="32"/>
      <c r="AZ6151" s="32"/>
      <c r="BA6151" s="32"/>
      <c r="BB6151" s="31"/>
      <c r="BC6151" s="31"/>
      <c r="BD6151" s="31"/>
      <c r="BE6151" s="31"/>
      <c r="BF6151" s="96"/>
    </row>
    <row r="6152" spans="42:58" x14ac:dyDescent="0.35">
      <c r="AP6152" s="92"/>
      <c r="AQ6152" s="67"/>
      <c r="AR6152" s="67"/>
      <c r="AS6152" s="73"/>
      <c r="AT6152" s="67"/>
      <c r="AU6152" s="67"/>
      <c r="AV6152" s="73"/>
      <c r="AW6152" s="68"/>
      <c r="AX6152" s="68"/>
      <c r="AY6152" s="68"/>
      <c r="AZ6152" s="68"/>
      <c r="BA6152" s="68"/>
      <c r="BB6152" s="67"/>
      <c r="BC6152" s="67"/>
      <c r="BD6152" s="67"/>
      <c r="BE6152" s="67"/>
      <c r="BF6152" s="95"/>
    </row>
    <row r="6153" spans="42:58" x14ac:dyDescent="0.35">
      <c r="AP6153" s="93"/>
      <c r="AQ6153" s="31"/>
      <c r="AR6153" s="31"/>
      <c r="AS6153" s="94"/>
      <c r="AT6153" s="31"/>
      <c r="AU6153" s="31"/>
      <c r="AV6153" s="94"/>
      <c r="AW6153" s="32"/>
      <c r="AX6153" s="32"/>
      <c r="AY6153" s="32"/>
      <c r="AZ6153" s="32"/>
      <c r="BA6153" s="32"/>
      <c r="BB6153" s="31"/>
      <c r="BC6153" s="31"/>
      <c r="BD6153" s="31"/>
      <c r="BE6153" s="31"/>
      <c r="BF6153" s="96"/>
    </row>
    <row r="6154" spans="42:58" x14ac:dyDescent="0.35">
      <c r="AP6154" s="92"/>
      <c r="AQ6154" s="67"/>
      <c r="AR6154" s="67"/>
      <c r="AS6154" s="73"/>
      <c r="AT6154" s="67"/>
      <c r="AU6154" s="67"/>
      <c r="AV6154" s="73"/>
      <c r="AW6154" s="68"/>
      <c r="AX6154" s="68"/>
      <c r="AY6154" s="68"/>
      <c r="AZ6154" s="68"/>
      <c r="BA6154" s="68"/>
      <c r="BB6154" s="67"/>
      <c r="BC6154" s="67"/>
      <c r="BD6154" s="67"/>
      <c r="BE6154" s="67"/>
      <c r="BF6154" s="95"/>
    </row>
    <row r="6155" spans="42:58" x14ac:dyDescent="0.35">
      <c r="AP6155" s="93"/>
      <c r="AQ6155" s="31"/>
      <c r="AR6155" s="31"/>
      <c r="AS6155" s="94"/>
      <c r="AT6155" s="31"/>
      <c r="AU6155" s="31"/>
      <c r="AV6155" s="94"/>
      <c r="AW6155" s="32"/>
      <c r="AX6155" s="32"/>
      <c r="AY6155" s="32"/>
      <c r="AZ6155" s="32"/>
      <c r="BA6155" s="32"/>
      <c r="BB6155" s="31"/>
      <c r="BC6155" s="31"/>
      <c r="BD6155" s="31"/>
      <c r="BE6155" s="31"/>
      <c r="BF6155" s="96"/>
    </row>
    <row r="6156" spans="42:58" x14ac:dyDescent="0.35">
      <c r="AP6156" s="92"/>
      <c r="AQ6156" s="67"/>
      <c r="AR6156" s="67"/>
      <c r="AS6156" s="73"/>
      <c r="AT6156" s="67"/>
      <c r="AU6156" s="67"/>
      <c r="AV6156" s="73"/>
      <c r="AW6156" s="68"/>
      <c r="AX6156" s="68"/>
      <c r="AY6156" s="68"/>
      <c r="AZ6156" s="68"/>
      <c r="BA6156" s="68"/>
      <c r="BB6156" s="67"/>
      <c r="BC6156" s="67"/>
      <c r="BD6156" s="67"/>
      <c r="BE6156" s="67"/>
      <c r="BF6156" s="95"/>
    </row>
    <row r="6157" spans="42:58" x14ac:dyDescent="0.35">
      <c r="AP6157" s="93"/>
      <c r="AQ6157" s="31"/>
      <c r="AR6157" s="31"/>
      <c r="AS6157" s="94"/>
      <c r="AT6157" s="31"/>
      <c r="AU6157" s="31"/>
      <c r="AV6157" s="94"/>
      <c r="AW6157" s="32"/>
      <c r="AX6157" s="32"/>
      <c r="AY6157" s="32"/>
      <c r="AZ6157" s="32"/>
      <c r="BA6157" s="32"/>
      <c r="BB6157" s="31"/>
      <c r="BC6157" s="31"/>
      <c r="BD6157" s="31"/>
      <c r="BE6157" s="31"/>
      <c r="BF6157" s="96"/>
    </row>
    <row r="6158" spans="42:58" x14ac:dyDescent="0.35">
      <c r="AP6158" s="92"/>
      <c r="AQ6158" s="67"/>
      <c r="AR6158" s="67"/>
      <c r="AS6158" s="73"/>
      <c r="AT6158" s="67"/>
      <c r="AU6158" s="67"/>
      <c r="AV6158" s="73"/>
      <c r="AW6158" s="68"/>
      <c r="AX6158" s="68"/>
      <c r="AY6158" s="68"/>
      <c r="AZ6158" s="68"/>
      <c r="BA6158" s="68"/>
      <c r="BB6158" s="67"/>
      <c r="BC6158" s="67"/>
      <c r="BD6158" s="67"/>
      <c r="BE6158" s="67"/>
      <c r="BF6158" s="95"/>
    </row>
    <row r="6159" spans="42:58" x14ac:dyDescent="0.35">
      <c r="AP6159" s="93"/>
      <c r="AQ6159" s="31"/>
      <c r="AR6159" s="31"/>
      <c r="AS6159" s="94"/>
      <c r="AT6159" s="31"/>
      <c r="AU6159" s="31"/>
      <c r="AV6159" s="94"/>
      <c r="AW6159" s="32"/>
      <c r="AX6159" s="32"/>
      <c r="AY6159" s="32"/>
      <c r="AZ6159" s="32"/>
      <c r="BA6159" s="32"/>
      <c r="BB6159" s="31"/>
      <c r="BC6159" s="31"/>
      <c r="BD6159" s="31"/>
      <c r="BE6159" s="31"/>
      <c r="BF6159" s="96"/>
    </row>
    <row r="6160" spans="42:58" x14ac:dyDescent="0.35">
      <c r="AP6160" s="92"/>
      <c r="AQ6160" s="67"/>
      <c r="AR6160" s="67"/>
      <c r="AS6160" s="73"/>
      <c r="AT6160" s="67"/>
      <c r="AU6160" s="67"/>
      <c r="AV6160" s="73"/>
      <c r="AW6160" s="68"/>
      <c r="AX6160" s="68"/>
      <c r="AY6160" s="68"/>
      <c r="AZ6160" s="68"/>
      <c r="BA6160" s="68"/>
      <c r="BB6160" s="67"/>
      <c r="BC6160" s="67"/>
      <c r="BD6160" s="67"/>
      <c r="BE6160" s="67"/>
      <c r="BF6160" s="95"/>
    </row>
    <row r="6161" spans="42:58" x14ac:dyDescent="0.35">
      <c r="AP6161" s="93"/>
      <c r="AQ6161" s="31"/>
      <c r="AR6161" s="31"/>
      <c r="AS6161" s="94"/>
      <c r="AT6161" s="31"/>
      <c r="AU6161" s="31"/>
      <c r="AV6161" s="94"/>
      <c r="AW6161" s="32"/>
      <c r="AX6161" s="32"/>
      <c r="AY6161" s="32"/>
      <c r="AZ6161" s="32"/>
      <c r="BA6161" s="32"/>
      <c r="BB6161" s="31"/>
      <c r="BC6161" s="31"/>
      <c r="BD6161" s="31"/>
      <c r="BE6161" s="31"/>
      <c r="BF6161" s="96"/>
    </row>
    <row r="6162" spans="42:58" x14ac:dyDescent="0.35">
      <c r="AP6162" s="92"/>
      <c r="AQ6162" s="67"/>
      <c r="AR6162" s="67"/>
      <c r="AS6162" s="73"/>
      <c r="AT6162" s="67"/>
      <c r="AU6162" s="67"/>
      <c r="AV6162" s="73"/>
      <c r="AW6162" s="68"/>
      <c r="AX6162" s="68"/>
      <c r="AY6162" s="68"/>
      <c r="AZ6162" s="68"/>
      <c r="BA6162" s="68"/>
      <c r="BB6162" s="67"/>
      <c r="BC6162" s="67"/>
      <c r="BD6162" s="67"/>
      <c r="BE6162" s="67"/>
      <c r="BF6162" s="95"/>
    </row>
    <row r="6163" spans="42:58" x14ac:dyDescent="0.35">
      <c r="AP6163" s="93"/>
      <c r="AQ6163" s="31"/>
      <c r="AR6163" s="31"/>
      <c r="AS6163" s="94"/>
      <c r="AT6163" s="31"/>
      <c r="AU6163" s="31"/>
      <c r="AV6163" s="94"/>
      <c r="AW6163" s="32"/>
      <c r="AX6163" s="32"/>
      <c r="AY6163" s="32"/>
      <c r="AZ6163" s="32"/>
      <c r="BA6163" s="32"/>
      <c r="BB6163" s="31"/>
      <c r="BC6163" s="31"/>
      <c r="BD6163" s="31"/>
      <c r="BE6163" s="31"/>
      <c r="BF6163" s="96"/>
    </row>
    <row r="6164" spans="42:58" x14ac:dyDescent="0.35">
      <c r="AP6164" s="92"/>
      <c r="AQ6164" s="67"/>
      <c r="AR6164" s="67"/>
      <c r="AS6164" s="73"/>
      <c r="AT6164" s="67"/>
      <c r="AU6164" s="67"/>
      <c r="AV6164" s="73"/>
      <c r="AW6164" s="68"/>
      <c r="AX6164" s="68"/>
      <c r="AY6164" s="68"/>
      <c r="AZ6164" s="68"/>
      <c r="BA6164" s="68"/>
      <c r="BB6164" s="67"/>
      <c r="BC6164" s="67"/>
      <c r="BD6164" s="67"/>
      <c r="BE6164" s="67"/>
      <c r="BF6164" s="95"/>
    </row>
    <row r="6165" spans="42:58" x14ac:dyDescent="0.35">
      <c r="AP6165" s="93"/>
      <c r="AQ6165" s="31"/>
      <c r="AR6165" s="31"/>
      <c r="AS6165" s="94"/>
      <c r="AT6165" s="31"/>
      <c r="AU6165" s="31"/>
      <c r="AV6165" s="94"/>
      <c r="AW6165" s="32"/>
      <c r="AX6165" s="32"/>
      <c r="AY6165" s="32"/>
      <c r="AZ6165" s="32"/>
      <c r="BA6165" s="32"/>
      <c r="BB6165" s="31"/>
      <c r="BC6165" s="31"/>
      <c r="BD6165" s="31"/>
      <c r="BE6165" s="31"/>
      <c r="BF6165" s="96"/>
    </row>
    <row r="6166" spans="42:58" x14ac:dyDescent="0.35">
      <c r="AP6166" s="92"/>
      <c r="AQ6166" s="67"/>
      <c r="AR6166" s="67"/>
      <c r="AS6166" s="73"/>
      <c r="AT6166" s="67"/>
      <c r="AU6166" s="67"/>
      <c r="AV6166" s="73"/>
      <c r="AW6166" s="68"/>
      <c r="AX6166" s="68"/>
      <c r="AY6166" s="68"/>
      <c r="AZ6166" s="68"/>
      <c r="BA6166" s="68"/>
      <c r="BB6166" s="67"/>
      <c r="BC6166" s="67"/>
      <c r="BD6166" s="67"/>
      <c r="BE6166" s="67"/>
      <c r="BF6166" s="95"/>
    </row>
    <row r="6167" spans="42:58" x14ac:dyDescent="0.35">
      <c r="AP6167" s="93"/>
      <c r="AQ6167" s="31"/>
      <c r="AR6167" s="31"/>
      <c r="AS6167" s="94"/>
      <c r="AT6167" s="31"/>
      <c r="AU6167" s="31"/>
      <c r="AV6167" s="94"/>
      <c r="AW6167" s="32"/>
      <c r="AX6167" s="32"/>
      <c r="AY6167" s="32"/>
      <c r="AZ6167" s="32"/>
      <c r="BA6167" s="32"/>
      <c r="BB6167" s="31"/>
      <c r="BC6167" s="31"/>
      <c r="BD6167" s="31"/>
      <c r="BE6167" s="31"/>
      <c r="BF6167" s="96"/>
    </row>
    <row r="6168" spans="42:58" x14ac:dyDescent="0.35">
      <c r="AP6168" s="92"/>
      <c r="AQ6168" s="67"/>
      <c r="AR6168" s="67"/>
      <c r="AS6168" s="73"/>
      <c r="AT6168" s="67"/>
      <c r="AU6168" s="67"/>
      <c r="AV6168" s="73"/>
      <c r="AW6168" s="68"/>
      <c r="AX6168" s="68"/>
      <c r="AY6168" s="68"/>
      <c r="AZ6168" s="68"/>
      <c r="BA6168" s="68"/>
      <c r="BB6168" s="67"/>
      <c r="BC6168" s="67"/>
      <c r="BD6168" s="67"/>
      <c r="BE6168" s="67"/>
      <c r="BF6168" s="95"/>
    </row>
    <row r="6169" spans="42:58" x14ac:dyDescent="0.35">
      <c r="AP6169" s="93"/>
      <c r="AQ6169" s="31"/>
      <c r="AR6169" s="31"/>
      <c r="AS6169" s="94"/>
      <c r="AT6169" s="31"/>
      <c r="AU6169" s="31"/>
      <c r="AV6169" s="94"/>
      <c r="AW6169" s="32"/>
      <c r="AX6169" s="32"/>
      <c r="AY6169" s="32"/>
      <c r="AZ6169" s="32"/>
      <c r="BA6169" s="32"/>
      <c r="BB6169" s="31"/>
      <c r="BC6169" s="31"/>
      <c r="BD6169" s="31"/>
      <c r="BE6169" s="31"/>
      <c r="BF6169" s="96"/>
    </row>
    <row r="6170" spans="42:58" x14ac:dyDescent="0.35">
      <c r="AP6170" s="92"/>
      <c r="AQ6170" s="67"/>
      <c r="AR6170" s="67"/>
      <c r="AS6170" s="73"/>
      <c r="AT6170" s="67"/>
      <c r="AU6170" s="67"/>
      <c r="AV6170" s="73"/>
      <c r="AW6170" s="68"/>
      <c r="AX6170" s="68"/>
      <c r="AY6170" s="68"/>
      <c r="AZ6170" s="68"/>
      <c r="BA6170" s="68"/>
      <c r="BB6170" s="67"/>
      <c r="BC6170" s="67"/>
      <c r="BD6170" s="67"/>
      <c r="BE6170" s="67"/>
      <c r="BF6170" s="95"/>
    </row>
    <row r="6171" spans="42:58" x14ac:dyDescent="0.35">
      <c r="AP6171" s="93"/>
      <c r="AQ6171" s="31"/>
      <c r="AR6171" s="31"/>
      <c r="AS6171" s="94"/>
      <c r="AT6171" s="31"/>
      <c r="AU6171" s="31"/>
      <c r="AV6171" s="94"/>
      <c r="AW6171" s="32"/>
      <c r="AX6171" s="32"/>
      <c r="AY6171" s="32"/>
      <c r="AZ6171" s="32"/>
      <c r="BA6171" s="32"/>
      <c r="BB6171" s="31"/>
      <c r="BC6171" s="31"/>
      <c r="BD6171" s="31"/>
      <c r="BE6171" s="31"/>
      <c r="BF6171" s="96"/>
    </row>
    <row r="6172" spans="42:58" x14ac:dyDescent="0.35">
      <c r="AP6172" s="92"/>
      <c r="AQ6172" s="67"/>
      <c r="AR6172" s="67"/>
      <c r="AS6172" s="73"/>
      <c r="AT6172" s="67"/>
      <c r="AU6172" s="67"/>
      <c r="AV6172" s="73"/>
      <c r="AW6172" s="68"/>
      <c r="AX6172" s="68"/>
      <c r="AY6172" s="68"/>
      <c r="AZ6172" s="68"/>
      <c r="BA6172" s="68"/>
      <c r="BB6172" s="67"/>
      <c r="BC6172" s="67"/>
      <c r="BD6172" s="67"/>
      <c r="BE6172" s="67"/>
      <c r="BF6172" s="95"/>
    </row>
    <row r="6173" spans="42:58" x14ac:dyDescent="0.35">
      <c r="AP6173" s="93"/>
      <c r="AQ6173" s="31"/>
      <c r="AR6173" s="31"/>
      <c r="AS6173" s="94"/>
      <c r="AT6173" s="31"/>
      <c r="AU6173" s="31"/>
      <c r="AV6173" s="94"/>
      <c r="AW6173" s="32"/>
      <c r="AX6173" s="32"/>
      <c r="AY6173" s="32"/>
      <c r="AZ6173" s="32"/>
      <c r="BA6173" s="32"/>
      <c r="BB6173" s="31"/>
      <c r="BC6173" s="31"/>
      <c r="BD6173" s="31"/>
      <c r="BE6173" s="31"/>
      <c r="BF6173" s="96"/>
    </row>
    <row r="6174" spans="42:58" x14ac:dyDescent="0.35">
      <c r="AP6174" s="92"/>
      <c r="AQ6174" s="67"/>
      <c r="AR6174" s="67"/>
      <c r="AS6174" s="73"/>
      <c r="AT6174" s="67"/>
      <c r="AU6174" s="67"/>
      <c r="AV6174" s="73"/>
      <c r="AW6174" s="68"/>
      <c r="AX6174" s="68"/>
      <c r="AY6174" s="68"/>
      <c r="AZ6174" s="68"/>
      <c r="BA6174" s="68"/>
      <c r="BB6174" s="67"/>
      <c r="BC6174" s="67"/>
      <c r="BD6174" s="67"/>
      <c r="BE6174" s="67"/>
      <c r="BF6174" s="95"/>
    </row>
    <row r="6175" spans="42:58" x14ac:dyDescent="0.35">
      <c r="AP6175" s="93"/>
      <c r="AQ6175" s="31"/>
      <c r="AR6175" s="31"/>
      <c r="AS6175" s="94"/>
      <c r="AT6175" s="31"/>
      <c r="AU6175" s="31"/>
      <c r="AV6175" s="94"/>
      <c r="AW6175" s="32"/>
      <c r="AX6175" s="32"/>
      <c r="AY6175" s="32"/>
      <c r="AZ6175" s="32"/>
      <c r="BA6175" s="32"/>
      <c r="BB6175" s="31"/>
      <c r="BC6175" s="31"/>
      <c r="BD6175" s="31"/>
      <c r="BE6175" s="31"/>
      <c r="BF6175" s="96"/>
    </row>
    <row r="6176" spans="42:58" x14ac:dyDescent="0.35">
      <c r="AP6176" s="92"/>
      <c r="AQ6176" s="67"/>
      <c r="AR6176" s="67"/>
      <c r="AS6176" s="73"/>
      <c r="AT6176" s="67"/>
      <c r="AU6176" s="67"/>
      <c r="AV6176" s="73"/>
      <c r="AW6176" s="68"/>
      <c r="AX6176" s="68"/>
      <c r="AY6176" s="68"/>
      <c r="AZ6176" s="68"/>
      <c r="BA6176" s="68"/>
      <c r="BB6176" s="67"/>
      <c r="BC6176" s="67"/>
      <c r="BD6176" s="67"/>
      <c r="BE6176" s="67"/>
      <c r="BF6176" s="95"/>
    </row>
    <row r="6177" spans="42:58" x14ac:dyDescent="0.35">
      <c r="AP6177" s="93"/>
      <c r="AQ6177" s="31"/>
      <c r="AR6177" s="31"/>
      <c r="AS6177" s="94"/>
      <c r="AT6177" s="31"/>
      <c r="AU6177" s="31"/>
      <c r="AV6177" s="94"/>
      <c r="AW6177" s="32"/>
      <c r="AX6177" s="32"/>
      <c r="AY6177" s="32"/>
      <c r="AZ6177" s="32"/>
      <c r="BA6177" s="32"/>
      <c r="BB6177" s="31"/>
      <c r="BC6177" s="31"/>
      <c r="BD6177" s="31"/>
      <c r="BE6177" s="31"/>
      <c r="BF6177" s="96"/>
    </row>
    <row r="6178" spans="42:58" x14ac:dyDescent="0.35">
      <c r="AP6178" s="92"/>
      <c r="AQ6178" s="67"/>
      <c r="AR6178" s="67"/>
      <c r="AS6178" s="73"/>
      <c r="AT6178" s="67"/>
      <c r="AU6178" s="67"/>
      <c r="AV6178" s="73"/>
      <c r="AW6178" s="68"/>
      <c r="AX6178" s="68"/>
      <c r="AY6178" s="68"/>
      <c r="AZ6178" s="68"/>
      <c r="BA6178" s="68"/>
      <c r="BB6178" s="67"/>
      <c r="BC6178" s="67"/>
      <c r="BD6178" s="67"/>
      <c r="BE6178" s="67"/>
      <c r="BF6178" s="95"/>
    </row>
    <row r="6179" spans="42:58" x14ac:dyDescent="0.35">
      <c r="AP6179" s="93"/>
      <c r="AQ6179" s="31"/>
      <c r="AR6179" s="31"/>
      <c r="AS6179" s="94"/>
      <c r="AT6179" s="31"/>
      <c r="AU6179" s="31"/>
      <c r="AV6179" s="94"/>
      <c r="AW6179" s="32"/>
      <c r="AX6179" s="32"/>
      <c r="AY6179" s="32"/>
      <c r="AZ6179" s="32"/>
      <c r="BA6179" s="32"/>
      <c r="BB6179" s="31"/>
      <c r="BC6179" s="31"/>
      <c r="BD6179" s="31"/>
      <c r="BE6179" s="31"/>
      <c r="BF6179" s="96"/>
    </row>
    <row r="6180" spans="42:58" x14ac:dyDescent="0.35">
      <c r="AP6180" s="92"/>
      <c r="AQ6180" s="67"/>
      <c r="AR6180" s="67"/>
      <c r="AS6180" s="73"/>
      <c r="AT6180" s="67"/>
      <c r="AU6180" s="67"/>
      <c r="AV6180" s="73"/>
      <c r="AW6180" s="68"/>
      <c r="AX6180" s="68"/>
      <c r="AY6180" s="68"/>
      <c r="AZ6180" s="68"/>
      <c r="BA6180" s="68"/>
      <c r="BB6180" s="67"/>
      <c r="BC6180" s="67"/>
      <c r="BD6180" s="67"/>
      <c r="BE6180" s="67"/>
      <c r="BF6180" s="95"/>
    </row>
    <row r="6181" spans="42:58" x14ac:dyDescent="0.35">
      <c r="AP6181" s="93"/>
      <c r="AQ6181" s="31"/>
      <c r="AR6181" s="31"/>
      <c r="AS6181" s="94"/>
      <c r="AT6181" s="31"/>
      <c r="AU6181" s="31"/>
      <c r="AV6181" s="94"/>
      <c r="AW6181" s="32"/>
      <c r="AX6181" s="32"/>
      <c r="AY6181" s="32"/>
      <c r="AZ6181" s="32"/>
      <c r="BA6181" s="32"/>
      <c r="BB6181" s="31"/>
      <c r="BC6181" s="31"/>
      <c r="BD6181" s="31"/>
      <c r="BE6181" s="31"/>
      <c r="BF6181" s="96"/>
    </row>
    <row r="6182" spans="42:58" x14ac:dyDescent="0.35">
      <c r="AP6182" s="92"/>
      <c r="AQ6182" s="67"/>
      <c r="AR6182" s="67"/>
      <c r="AS6182" s="73"/>
      <c r="AT6182" s="67"/>
      <c r="AU6182" s="67"/>
      <c r="AV6182" s="73"/>
      <c r="AW6182" s="68"/>
      <c r="AX6182" s="68"/>
      <c r="AY6182" s="68"/>
      <c r="AZ6182" s="68"/>
      <c r="BA6182" s="68"/>
      <c r="BB6182" s="67"/>
      <c r="BC6182" s="67"/>
      <c r="BD6182" s="67"/>
      <c r="BE6182" s="67"/>
      <c r="BF6182" s="95"/>
    </row>
    <row r="6183" spans="42:58" x14ac:dyDescent="0.35">
      <c r="AP6183" s="93"/>
      <c r="AQ6183" s="31"/>
      <c r="AR6183" s="31"/>
      <c r="AS6183" s="94"/>
      <c r="AT6183" s="31"/>
      <c r="AU6183" s="31"/>
      <c r="AV6183" s="94"/>
      <c r="AW6183" s="32"/>
      <c r="AX6183" s="32"/>
      <c r="AY6183" s="32"/>
      <c r="AZ6183" s="32"/>
      <c r="BA6183" s="32"/>
      <c r="BB6183" s="31"/>
      <c r="BC6183" s="31"/>
      <c r="BD6183" s="31"/>
      <c r="BE6183" s="31"/>
      <c r="BF6183" s="96"/>
    </row>
    <row r="6184" spans="42:58" x14ac:dyDescent="0.35">
      <c r="AP6184" s="92"/>
      <c r="AQ6184" s="67"/>
      <c r="AR6184" s="67"/>
      <c r="AS6184" s="73"/>
      <c r="AT6184" s="67"/>
      <c r="AU6184" s="67"/>
      <c r="AV6184" s="73"/>
      <c r="AW6184" s="68"/>
      <c r="AX6184" s="68"/>
      <c r="AY6184" s="68"/>
      <c r="AZ6184" s="68"/>
      <c r="BA6184" s="68"/>
      <c r="BB6184" s="67"/>
      <c r="BC6184" s="67"/>
      <c r="BD6184" s="67"/>
      <c r="BE6184" s="67"/>
      <c r="BF6184" s="95"/>
    </row>
    <row r="6185" spans="42:58" x14ac:dyDescent="0.35">
      <c r="AP6185" s="93"/>
      <c r="AQ6185" s="31"/>
      <c r="AR6185" s="31"/>
      <c r="AS6185" s="94"/>
      <c r="AT6185" s="31"/>
      <c r="AU6185" s="31"/>
      <c r="AV6185" s="94"/>
      <c r="AW6185" s="32"/>
      <c r="AX6185" s="32"/>
      <c r="AY6185" s="32"/>
      <c r="AZ6185" s="32"/>
      <c r="BA6185" s="32"/>
      <c r="BB6185" s="31"/>
      <c r="BC6185" s="31"/>
      <c r="BD6185" s="31"/>
      <c r="BE6185" s="31"/>
      <c r="BF6185" s="96"/>
    </row>
    <row r="6186" spans="42:58" x14ac:dyDescent="0.35">
      <c r="AP6186" s="92"/>
      <c r="AQ6186" s="67"/>
      <c r="AR6186" s="67"/>
      <c r="AS6186" s="73"/>
      <c r="AT6186" s="67"/>
      <c r="AU6186" s="67"/>
      <c r="AV6186" s="73"/>
      <c r="AW6186" s="68"/>
      <c r="AX6186" s="68"/>
      <c r="AY6186" s="68"/>
      <c r="AZ6186" s="68"/>
      <c r="BA6186" s="68"/>
      <c r="BB6186" s="67"/>
      <c r="BC6186" s="67"/>
      <c r="BD6186" s="67"/>
      <c r="BE6186" s="67"/>
      <c r="BF6186" s="95"/>
    </row>
    <row r="6187" spans="42:58" x14ac:dyDescent="0.35">
      <c r="AP6187" s="93"/>
      <c r="AQ6187" s="31"/>
      <c r="AR6187" s="31"/>
      <c r="AS6187" s="94"/>
      <c r="AT6187" s="31"/>
      <c r="AU6187" s="31"/>
      <c r="AV6187" s="94"/>
      <c r="AW6187" s="32"/>
      <c r="AX6187" s="32"/>
      <c r="AY6187" s="32"/>
      <c r="AZ6187" s="32"/>
      <c r="BA6187" s="32"/>
      <c r="BB6187" s="31"/>
      <c r="BC6187" s="31"/>
      <c r="BD6187" s="31"/>
      <c r="BE6187" s="31"/>
      <c r="BF6187" s="96"/>
    </row>
    <row r="6188" spans="42:58" x14ac:dyDescent="0.35">
      <c r="AP6188" s="92"/>
      <c r="AQ6188" s="67"/>
      <c r="AR6188" s="67"/>
      <c r="AS6188" s="73"/>
      <c r="AT6188" s="67"/>
      <c r="AU6188" s="67"/>
      <c r="AV6188" s="73"/>
      <c r="AW6188" s="68"/>
      <c r="AX6188" s="68"/>
      <c r="AY6188" s="68"/>
      <c r="AZ6188" s="68"/>
      <c r="BA6188" s="68"/>
      <c r="BB6188" s="67"/>
      <c r="BC6188" s="67"/>
      <c r="BD6188" s="67"/>
      <c r="BE6188" s="67"/>
      <c r="BF6188" s="95"/>
    </row>
    <row r="6189" spans="42:58" x14ac:dyDescent="0.35">
      <c r="AP6189" s="93"/>
      <c r="AQ6189" s="31"/>
      <c r="AR6189" s="31"/>
      <c r="AS6189" s="94"/>
      <c r="AT6189" s="31"/>
      <c r="AU6189" s="31"/>
      <c r="AV6189" s="94"/>
      <c r="AW6189" s="32"/>
      <c r="AX6189" s="32"/>
      <c r="AY6189" s="32"/>
      <c r="AZ6189" s="32"/>
      <c r="BA6189" s="32"/>
      <c r="BB6189" s="31"/>
      <c r="BC6189" s="31"/>
      <c r="BD6189" s="31"/>
      <c r="BE6189" s="31"/>
      <c r="BF6189" s="96"/>
    </row>
    <row r="6190" spans="42:58" x14ac:dyDescent="0.35">
      <c r="AP6190" s="92"/>
      <c r="AQ6190" s="67"/>
      <c r="AR6190" s="67"/>
      <c r="AS6190" s="73"/>
      <c r="AT6190" s="67"/>
      <c r="AU6190" s="67"/>
      <c r="AV6190" s="73"/>
      <c r="AW6190" s="68"/>
      <c r="AX6190" s="68"/>
      <c r="AY6190" s="68"/>
      <c r="AZ6190" s="68"/>
      <c r="BA6190" s="68"/>
      <c r="BB6190" s="67"/>
      <c r="BC6190" s="67"/>
      <c r="BD6190" s="67"/>
      <c r="BE6190" s="67"/>
      <c r="BF6190" s="95"/>
    </row>
    <row r="6191" spans="42:58" x14ac:dyDescent="0.35">
      <c r="AP6191" s="93"/>
      <c r="AQ6191" s="31"/>
      <c r="AR6191" s="31"/>
      <c r="AS6191" s="94"/>
      <c r="AT6191" s="31"/>
      <c r="AU6191" s="31"/>
      <c r="AV6191" s="94"/>
      <c r="AW6191" s="32"/>
      <c r="AX6191" s="32"/>
      <c r="AY6191" s="32"/>
      <c r="AZ6191" s="32"/>
      <c r="BA6191" s="32"/>
      <c r="BB6191" s="31"/>
      <c r="BC6191" s="31"/>
      <c r="BD6191" s="31"/>
      <c r="BE6191" s="31"/>
      <c r="BF6191" s="96"/>
    </row>
    <row r="6192" spans="42:58" x14ac:dyDescent="0.35">
      <c r="AP6192" s="92"/>
      <c r="AQ6192" s="67"/>
      <c r="AR6192" s="67"/>
      <c r="AS6192" s="73"/>
      <c r="AT6192" s="67"/>
      <c r="AU6192" s="67"/>
      <c r="AV6192" s="73"/>
      <c r="AW6192" s="68"/>
      <c r="AX6192" s="68"/>
      <c r="AY6192" s="68"/>
      <c r="AZ6192" s="68"/>
      <c r="BA6192" s="68"/>
      <c r="BB6192" s="67"/>
      <c r="BC6192" s="67"/>
      <c r="BD6192" s="67"/>
      <c r="BE6192" s="67"/>
      <c r="BF6192" s="95"/>
    </row>
    <row r="6193" spans="42:58" x14ac:dyDescent="0.35">
      <c r="AP6193" s="93"/>
      <c r="AQ6193" s="31"/>
      <c r="AR6193" s="31"/>
      <c r="AS6193" s="94"/>
      <c r="AT6193" s="31"/>
      <c r="AU6193" s="31"/>
      <c r="AV6193" s="94"/>
      <c r="AW6193" s="32"/>
      <c r="AX6193" s="32"/>
      <c r="AY6193" s="32"/>
      <c r="AZ6193" s="32"/>
      <c r="BA6193" s="32"/>
      <c r="BB6193" s="31"/>
      <c r="BC6193" s="31"/>
      <c r="BD6193" s="31"/>
      <c r="BE6193" s="31"/>
      <c r="BF6193" s="96"/>
    </row>
    <row r="6194" spans="42:58" x14ac:dyDescent="0.35">
      <c r="AP6194" s="92"/>
      <c r="AQ6194" s="67"/>
      <c r="AR6194" s="67"/>
      <c r="AS6194" s="73"/>
      <c r="AT6194" s="67"/>
      <c r="AU6194" s="67"/>
      <c r="AV6194" s="73"/>
      <c r="AW6194" s="68"/>
      <c r="AX6194" s="68"/>
      <c r="AY6194" s="68"/>
      <c r="AZ6194" s="68"/>
      <c r="BA6194" s="68"/>
      <c r="BB6194" s="67"/>
      <c r="BC6194" s="67"/>
      <c r="BD6194" s="67"/>
      <c r="BE6194" s="67"/>
      <c r="BF6194" s="95"/>
    </row>
    <row r="6195" spans="42:58" x14ac:dyDescent="0.35">
      <c r="AP6195" s="93"/>
      <c r="AQ6195" s="31"/>
      <c r="AR6195" s="31"/>
      <c r="AS6195" s="94"/>
      <c r="AT6195" s="31"/>
      <c r="AU6195" s="31"/>
      <c r="AV6195" s="94"/>
      <c r="AW6195" s="32"/>
      <c r="AX6195" s="32"/>
      <c r="AY6195" s="32"/>
      <c r="AZ6195" s="32"/>
      <c r="BA6195" s="32"/>
      <c r="BB6195" s="31"/>
      <c r="BC6195" s="31"/>
      <c r="BD6195" s="31"/>
      <c r="BE6195" s="31"/>
      <c r="BF6195" s="96"/>
    </row>
    <row r="6196" spans="42:58" x14ac:dyDescent="0.35">
      <c r="AP6196" s="92"/>
      <c r="AQ6196" s="67"/>
      <c r="AR6196" s="67"/>
      <c r="AS6196" s="73"/>
      <c r="AT6196" s="67"/>
      <c r="AU6196" s="67"/>
      <c r="AV6196" s="73"/>
      <c r="AW6196" s="68"/>
      <c r="AX6196" s="68"/>
      <c r="AY6196" s="68"/>
      <c r="AZ6196" s="68"/>
      <c r="BA6196" s="68"/>
      <c r="BB6196" s="67"/>
      <c r="BC6196" s="67"/>
      <c r="BD6196" s="67"/>
      <c r="BE6196" s="67"/>
      <c r="BF6196" s="95"/>
    </row>
    <row r="6197" spans="42:58" x14ac:dyDescent="0.35">
      <c r="AP6197" s="93"/>
      <c r="AQ6197" s="31"/>
      <c r="AR6197" s="31"/>
      <c r="AS6197" s="94"/>
      <c r="AT6197" s="31"/>
      <c r="AU6197" s="31"/>
      <c r="AV6197" s="94"/>
      <c r="AW6197" s="32"/>
      <c r="AX6197" s="32"/>
      <c r="AY6197" s="32"/>
      <c r="AZ6197" s="32"/>
      <c r="BA6197" s="32"/>
      <c r="BB6197" s="31"/>
      <c r="BC6197" s="31"/>
      <c r="BD6197" s="31"/>
      <c r="BE6197" s="31"/>
      <c r="BF6197" s="96"/>
    </row>
    <row r="6198" spans="42:58" x14ac:dyDescent="0.35">
      <c r="AP6198" s="92"/>
      <c r="AQ6198" s="67"/>
      <c r="AR6198" s="67"/>
      <c r="AS6198" s="73"/>
      <c r="AT6198" s="67"/>
      <c r="AU6198" s="67"/>
      <c r="AV6198" s="73"/>
      <c r="AW6198" s="68"/>
      <c r="AX6198" s="68"/>
      <c r="AY6198" s="68"/>
      <c r="AZ6198" s="68"/>
      <c r="BA6198" s="68"/>
      <c r="BB6198" s="67"/>
      <c r="BC6198" s="67"/>
      <c r="BD6198" s="67"/>
      <c r="BE6198" s="67"/>
      <c r="BF6198" s="95"/>
    </row>
    <row r="6199" spans="42:58" x14ac:dyDescent="0.35">
      <c r="AP6199" s="93"/>
      <c r="AQ6199" s="31"/>
      <c r="AR6199" s="31"/>
      <c r="AS6199" s="94"/>
      <c r="AT6199" s="31"/>
      <c r="AU6199" s="31"/>
      <c r="AV6199" s="94"/>
      <c r="AW6199" s="32"/>
      <c r="AX6199" s="32"/>
      <c r="AY6199" s="32"/>
      <c r="AZ6199" s="32"/>
      <c r="BA6199" s="32"/>
      <c r="BB6199" s="31"/>
      <c r="BC6199" s="31"/>
      <c r="BD6199" s="31"/>
      <c r="BE6199" s="31"/>
      <c r="BF6199" s="96"/>
    </row>
    <row r="6200" spans="42:58" x14ac:dyDescent="0.35">
      <c r="AP6200" s="92"/>
      <c r="AQ6200" s="67"/>
      <c r="AR6200" s="67"/>
      <c r="AS6200" s="73"/>
      <c r="AT6200" s="67"/>
      <c r="AU6200" s="67"/>
      <c r="AV6200" s="73"/>
      <c r="AW6200" s="68"/>
      <c r="AX6200" s="68"/>
      <c r="AY6200" s="68"/>
      <c r="AZ6200" s="68"/>
      <c r="BA6200" s="68"/>
      <c r="BB6200" s="67"/>
      <c r="BC6200" s="67"/>
      <c r="BD6200" s="67"/>
      <c r="BE6200" s="67"/>
      <c r="BF6200" s="95"/>
    </row>
    <row r="6201" spans="42:58" x14ac:dyDescent="0.35">
      <c r="AP6201" s="93"/>
      <c r="AQ6201" s="31"/>
      <c r="AR6201" s="31"/>
      <c r="AS6201" s="94"/>
      <c r="AT6201" s="31"/>
      <c r="AU6201" s="31"/>
      <c r="AV6201" s="94"/>
      <c r="AW6201" s="32"/>
      <c r="AX6201" s="32"/>
      <c r="AY6201" s="32"/>
      <c r="AZ6201" s="32"/>
      <c r="BA6201" s="32"/>
      <c r="BB6201" s="31"/>
      <c r="BC6201" s="31"/>
      <c r="BD6201" s="31"/>
      <c r="BE6201" s="31"/>
      <c r="BF6201" s="96"/>
    </row>
    <row r="6202" spans="42:58" x14ac:dyDescent="0.35">
      <c r="AP6202" s="92"/>
      <c r="AQ6202" s="67"/>
      <c r="AR6202" s="67"/>
      <c r="AS6202" s="73"/>
      <c r="AT6202" s="67"/>
      <c r="AU6202" s="67"/>
      <c r="AV6202" s="73"/>
      <c r="AW6202" s="68"/>
      <c r="AX6202" s="68"/>
      <c r="AY6202" s="68"/>
      <c r="AZ6202" s="68"/>
      <c r="BA6202" s="68"/>
      <c r="BB6202" s="67"/>
      <c r="BC6202" s="67"/>
      <c r="BD6202" s="67"/>
      <c r="BE6202" s="67"/>
      <c r="BF6202" s="95"/>
    </row>
    <row r="6203" spans="42:58" x14ac:dyDescent="0.35">
      <c r="AP6203" s="93"/>
      <c r="AQ6203" s="31"/>
      <c r="AR6203" s="31"/>
      <c r="AS6203" s="94"/>
      <c r="AT6203" s="31"/>
      <c r="AU6203" s="31"/>
      <c r="AV6203" s="94"/>
      <c r="AW6203" s="32"/>
      <c r="AX6203" s="32"/>
      <c r="AY6203" s="32"/>
      <c r="AZ6203" s="32"/>
      <c r="BA6203" s="32"/>
      <c r="BB6203" s="31"/>
      <c r="BC6203" s="31"/>
      <c r="BD6203" s="31"/>
      <c r="BE6203" s="31"/>
      <c r="BF6203" s="96"/>
    </row>
    <row r="6204" spans="42:58" x14ac:dyDescent="0.35">
      <c r="AP6204" s="92"/>
      <c r="AQ6204" s="67"/>
      <c r="AR6204" s="67"/>
      <c r="AS6204" s="73"/>
      <c r="AT6204" s="67"/>
      <c r="AU6204" s="67"/>
      <c r="AV6204" s="73"/>
      <c r="AW6204" s="68"/>
      <c r="AX6204" s="68"/>
      <c r="AY6204" s="68"/>
      <c r="AZ6204" s="68"/>
      <c r="BA6204" s="68"/>
      <c r="BB6204" s="67"/>
      <c r="BC6204" s="67"/>
      <c r="BD6204" s="67"/>
      <c r="BE6204" s="67"/>
      <c r="BF6204" s="95"/>
    </row>
    <row r="6205" spans="42:58" x14ac:dyDescent="0.35">
      <c r="AP6205" s="93"/>
      <c r="AQ6205" s="31"/>
      <c r="AR6205" s="31"/>
      <c r="AS6205" s="94"/>
      <c r="AT6205" s="31"/>
      <c r="AU6205" s="31"/>
      <c r="AV6205" s="94"/>
      <c r="AW6205" s="32"/>
      <c r="AX6205" s="32"/>
      <c r="AY6205" s="32"/>
      <c r="AZ6205" s="32"/>
      <c r="BA6205" s="32"/>
      <c r="BB6205" s="31"/>
      <c r="BC6205" s="31"/>
      <c r="BD6205" s="31"/>
      <c r="BE6205" s="31"/>
      <c r="BF6205" s="96"/>
    </row>
    <row r="6206" spans="42:58" x14ac:dyDescent="0.35">
      <c r="AP6206" s="92"/>
      <c r="AQ6206" s="67"/>
      <c r="AR6206" s="67"/>
      <c r="AS6206" s="73"/>
      <c r="AT6206" s="67"/>
      <c r="AU6206" s="67"/>
      <c r="AV6206" s="73"/>
      <c r="AW6206" s="68"/>
      <c r="AX6206" s="68"/>
      <c r="AY6206" s="68"/>
      <c r="AZ6206" s="68"/>
      <c r="BA6206" s="68"/>
      <c r="BB6206" s="67"/>
      <c r="BC6206" s="67"/>
      <c r="BD6206" s="67"/>
      <c r="BE6206" s="67"/>
      <c r="BF6206" s="95"/>
    </row>
    <row r="6207" spans="42:58" x14ac:dyDescent="0.35">
      <c r="AP6207" s="93"/>
      <c r="AQ6207" s="31"/>
      <c r="AR6207" s="31"/>
      <c r="AS6207" s="94"/>
      <c r="AT6207" s="31"/>
      <c r="AU6207" s="31"/>
      <c r="AV6207" s="94"/>
      <c r="AW6207" s="32"/>
      <c r="AX6207" s="32"/>
      <c r="AY6207" s="32"/>
      <c r="AZ6207" s="32"/>
      <c r="BA6207" s="32"/>
      <c r="BB6207" s="31"/>
      <c r="BC6207" s="31"/>
      <c r="BD6207" s="31"/>
      <c r="BE6207" s="31"/>
      <c r="BF6207" s="96"/>
    </row>
    <row r="6208" spans="42:58" x14ac:dyDescent="0.35">
      <c r="AP6208" s="92"/>
      <c r="AQ6208" s="67"/>
      <c r="AR6208" s="67"/>
      <c r="AS6208" s="73"/>
      <c r="AT6208" s="67"/>
      <c r="AU6208" s="67"/>
      <c r="AV6208" s="73"/>
      <c r="AW6208" s="68"/>
      <c r="AX6208" s="68"/>
      <c r="AY6208" s="68"/>
      <c r="AZ6208" s="68"/>
      <c r="BA6208" s="68"/>
      <c r="BB6208" s="67"/>
      <c r="BC6208" s="67"/>
      <c r="BD6208" s="67"/>
      <c r="BE6208" s="67"/>
      <c r="BF6208" s="95"/>
    </row>
    <row r="6209" spans="42:58" x14ac:dyDescent="0.35">
      <c r="AP6209" s="93"/>
      <c r="AQ6209" s="31"/>
      <c r="AR6209" s="31"/>
      <c r="AS6209" s="94"/>
      <c r="AT6209" s="31"/>
      <c r="AU6209" s="31"/>
      <c r="AV6209" s="94"/>
      <c r="AW6209" s="32"/>
      <c r="AX6209" s="32"/>
      <c r="AY6209" s="32"/>
      <c r="AZ6209" s="32"/>
      <c r="BA6209" s="32"/>
      <c r="BB6209" s="31"/>
      <c r="BC6209" s="31"/>
      <c r="BD6209" s="31"/>
      <c r="BE6209" s="31"/>
      <c r="BF6209" s="96"/>
    </row>
    <row r="6210" spans="42:58" x14ac:dyDescent="0.35">
      <c r="AP6210" s="92"/>
      <c r="AQ6210" s="67"/>
      <c r="AR6210" s="67"/>
      <c r="AS6210" s="73"/>
      <c r="AT6210" s="67"/>
      <c r="AU6210" s="67"/>
      <c r="AV6210" s="73"/>
      <c r="AW6210" s="68"/>
      <c r="AX6210" s="68"/>
      <c r="AY6210" s="68"/>
      <c r="AZ6210" s="68"/>
      <c r="BA6210" s="68"/>
      <c r="BB6210" s="67"/>
      <c r="BC6210" s="67"/>
      <c r="BD6210" s="67"/>
      <c r="BE6210" s="67"/>
      <c r="BF6210" s="95"/>
    </row>
    <row r="6211" spans="42:58" x14ac:dyDescent="0.35">
      <c r="AP6211" s="93"/>
      <c r="AQ6211" s="31"/>
      <c r="AR6211" s="31"/>
      <c r="AS6211" s="94"/>
      <c r="AT6211" s="31"/>
      <c r="AU6211" s="31"/>
      <c r="AV6211" s="94"/>
      <c r="AW6211" s="32"/>
      <c r="AX6211" s="32"/>
      <c r="AY6211" s="32"/>
      <c r="AZ6211" s="32"/>
      <c r="BA6211" s="32"/>
      <c r="BB6211" s="31"/>
      <c r="BC6211" s="31"/>
      <c r="BD6211" s="31"/>
      <c r="BE6211" s="31"/>
      <c r="BF6211" s="96"/>
    </row>
    <row r="6212" spans="42:58" x14ac:dyDescent="0.35">
      <c r="AP6212" s="92"/>
      <c r="AQ6212" s="67"/>
      <c r="AR6212" s="67"/>
      <c r="AS6212" s="73"/>
      <c r="AT6212" s="67"/>
      <c r="AU6212" s="67"/>
      <c r="AV6212" s="73"/>
      <c r="AW6212" s="68"/>
      <c r="AX6212" s="68"/>
      <c r="AY6212" s="68"/>
      <c r="AZ6212" s="68"/>
      <c r="BA6212" s="68"/>
      <c r="BB6212" s="67"/>
      <c r="BC6212" s="67"/>
      <c r="BD6212" s="67"/>
      <c r="BE6212" s="67"/>
      <c r="BF6212" s="95"/>
    </row>
    <row r="6213" spans="42:58" x14ac:dyDescent="0.35">
      <c r="AP6213" s="93"/>
      <c r="AQ6213" s="31"/>
      <c r="AR6213" s="31"/>
      <c r="AS6213" s="94"/>
      <c r="AT6213" s="31"/>
      <c r="AU6213" s="31"/>
      <c r="AV6213" s="94"/>
      <c r="AW6213" s="32"/>
      <c r="AX6213" s="32"/>
      <c r="AY6213" s="32"/>
      <c r="AZ6213" s="32"/>
      <c r="BA6213" s="32"/>
      <c r="BB6213" s="31"/>
      <c r="BC6213" s="31"/>
      <c r="BD6213" s="31"/>
      <c r="BE6213" s="31"/>
      <c r="BF6213" s="96"/>
    </row>
    <row r="6214" spans="42:58" x14ac:dyDescent="0.35">
      <c r="AP6214" s="92"/>
      <c r="AQ6214" s="67"/>
      <c r="AR6214" s="67"/>
      <c r="AS6214" s="73"/>
      <c r="AT6214" s="67"/>
      <c r="AU6214" s="67"/>
      <c r="AV6214" s="73"/>
      <c r="AW6214" s="68"/>
      <c r="AX6214" s="68"/>
      <c r="AY6214" s="68"/>
      <c r="AZ6214" s="68"/>
      <c r="BA6214" s="68"/>
      <c r="BB6214" s="67"/>
      <c r="BC6214" s="67"/>
      <c r="BD6214" s="67"/>
      <c r="BE6214" s="67"/>
      <c r="BF6214" s="95"/>
    </row>
    <row r="6215" spans="42:58" x14ac:dyDescent="0.35">
      <c r="AP6215" s="93"/>
      <c r="AQ6215" s="31"/>
      <c r="AR6215" s="31"/>
      <c r="AS6215" s="94"/>
      <c r="AT6215" s="31"/>
      <c r="AU6215" s="31"/>
      <c r="AV6215" s="94"/>
      <c r="AW6215" s="32"/>
      <c r="AX6215" s="32"/>
      <c r="AY6215" s="32"/>
      <c r="AZ6215" s="32"/>
      <c r="BA6215" s="32"/>
      <c r="BB6215" s="31"/>
      <c r="BC6215" s="31"/>
      <c r="BD6215" s="31"/>
      <c r="BE6215" s="31"/>
      <c r="BF6215" s="96"/>
    </row>
    <row r="6216" spans="42:58" x14ac:dyDescent="0.35">
      <c r="AP6216" s="92"/>
      <c r="AQ6216" s="67"/>
      <c r="AR6216" s="67"/>
      <c r="AS6216" s="73"/>
      <c r="AT6216" s="67"/>
      <c r="AU6216" s="67"/>
      <c r="AV6216" s="73"/>
      <c r="AW6216" s="68"/>
      <c r="AX6216" s="68"/>
      <c r="AY6216" s="68"/>
      <c r="AZ6216" s="68"/>
      <c r="BA6216" s="68"/>
      <c r="BB6216" s="67"/>
      <c r="BC6216" s="67"/>
      <c r="BD6216" s="67"/>
      <c r="BE6216" s="67"/>
      <c r="BF6216" s="95"/>
    </row>
    <row r="6217" spans="42:58" x14ac:dyDescent="0.35">
      <c r="AP6217" s="93"/>
      <c r="AQ6217" s="31"/>
      <c r="AR6217" s="31"/>
      <c r="AS6217" s="94"/>
      <c r="AT6217" s="31"/>
      <c r="AU6217" s="31"/>
      <c r="AV6217" s="94"/>
      <c r="AW6217" s="32"/>
      <c r="AX6217" s="32"/>
      <c r="AY6217" s="32"/>
      <c r="AZ6217" s="32"/>
      <c r="BA6217" s="32"/>
      <c r="BB6217" s="31"/>
      <c r="BC6217" s="31"/>
      <c r="BD6217" s="31"/>
      <c r="BE6217" s="31"/>
      <c r="BF6217" s="96"/>
    </row>
    <row r="6218" spans="42:58" x14ac:dyDescent="0.35">
      <c r="AP6218" s="92"/>
      <c r="AQ6218" s="67"/>
      <c r="AR6218" s="67"/>
      <c r="AS6218" s="73"/>
      <c r="AT6218" s="67"/>
      <c r="AU6218" s="67"/>
      <c r="AV6218" s="73"/>
      <c r="AW6218" s="68"/>
      <c r="AX6218" s="68"/>
      <c r="AY6218" s="68"/>
      <c r="AZ6218" s="68"/>
      <c r="BA6218" s="68"/>
      <c r="BB6218" s="67"/>
      <c r="BC6218" s="67"/>
      <c r="BD6218" s="67"/>
      <c r="BE6218" s="67"/>
      <c r="BF6218" s="95"/>
    </row>
    <row r="6219" spans="42:58" x14ac:dyDescent="0.35">
      <c r="AP6219" s="93"/>
      <c r="AQ6219" s="31"/>
      <c r="AR6219" s="31"/>
      <c r="AS6219" s="94"/>
      <c r="AT6219" s="31"/>
      <c r="AU6219" s="31"/>
      <c r="AV6219" s="94"/>
      <c r="AW6219" s="32"/>
      <c r="AX6219" s="32"/>
      <c r="AY6219" s="32"/>
      <c r="AZ6219" s="32"/>
      <c r="BA6219" s="32"/>
      <c r="BB6219" s="31"/>
      <c r="BC6219" s="31"/>
      <c r="BD6219" s="31"/>
      <c r="BE6219" s="31"/>
      <c r="BF6219" s="96"/>
    </row>
    <row r="6220" spans="42:58" x14ac:dyDescent="0.35">
      <c r="AP6220" s="92"/>
      <c r="AQ6220" s="67"/>
      <c r="AR6220" s="67"/>
      <c r="AS6220" s="73"/>
      <c r="AT6220" s="67"/>
      <c r="AU6220" s="67"/>
      <c r="AV6220" s="73"/>
      <c r="AW6220" s="68"/>
      <c r="AX6220" s="68"/>
      <c r="AY6220" s="68"/>
      <c r="AZ6220" s="68"/>
      <c r="BA6220" s="68"/>
      <c r="BB6220" s="67"/>
      <c r="BC6220" s="67"/>
      <c r="BD6220" s="67"/>
      <c r="BE6220" s="67"/>
      <c r="BF6220" s="95"/>
    </row>
    <row r="6221" spans="42:58" x14ac:dyDescent="0.35">
      <c r="AP6221" s="93"/>
      <c r="AQ6221" s="31"/>
      <c r="AR6221" s="31"/>
      <c r="AS6221" s="94"/>
      <c r="AT6221" s="31"/>
      <c r="AU6221" s="31"/>
      <c r="AV6221" s="94"/>
      <c r="AW6221" s="32"/>
      <c r="AX6221" s="32"/>
      <c r="AY6221" s="32"/>
      <c r="AZ6221" s="32"/>
      <c r="BA6221" s="32"/>
      <c r="BB6221" s="31"/>
      <c r="BC6221" s="31"/>
      <c r="BD6221" s="31"/>
      <c r="BE6221" s="31"/>
      <c r="BF6221" s="96"/>
    </row>
    <row r="6222" spans="42:58" x14ac:dyDescent="0.35">
      <c r="AP6222" s="92"/>
      <c r="AQ6222" s="67"/>
      <c r="AR6222" s="67"/>
      <c r="AS6222" s="73"/>
      <c r="AT6222" s="67"/>
      <c r="AU6222" s="67"/>
      <c r="AV6222" s="73"/>
      <c r="AW6222" s="68"/>
      <c r="AX6222" s="68"/>
      <c r="AY6222" s="68"/>
      <c r="AZ6222" s="68"/>
      <c r="BA6222" s="68"/>
      <c r="BB6222" s="67"/>
      <c r="BC6222" s="67"/>
      <c r="BD6222" s="67"/>
      <c r="BE6222" s="67"/>
      <c r="BF6222" s="95"/>
    </row>
    <row r="6223" spans="42:58" x14ac:dyDescent="0.35">
      <c r="AP6223" s="93"/>
      <c r="AQ6223" s="31"/>
      <c r="AR6223" s="31"/>
      <c r="AS6223" s="94"/>
      <c r="AT6223" s="31"/>
      <c r="AU6223" s="31"/>
      <c r="AV6223" s="94"/>
      <c r="AW6223" s="32"/>
      <c r="AX6223" s="32"/>
      <c r="AY6223" s="32"/>
      <c r="AZ6223" s="32"/>
      <c r="BA6223" s="32"/>
      <c r="BB6223" s="31"/>
      <c r="BC6223" s="31"/>
      <c r="BD6223" s="31"/>
      <c r="BE6223" s="31"/>
      <c r="BF6223" s="96"/>
    </row>
    <row r="6224" spans="42:58" x14ac:dyDescent="0.35">
      <c r="AP6224" s="92"/>
      <c r="AQ6224" s="67"/>
      <c r="AR6224" s="67"/>
      <c r="AS6224" s="73"/>
      <c r="AT6224" s="67"/>
      <c r="AU6224" s="67"/>
      <c r="AV6224" s="73"/>
      <c r="AW6224" s="68"/>
      <c r="AX6224" s="68"/>
      <c r="AY6224" s="68"/>
      <c r="AZ6224" s="68"/>
      <c r="BA6224" s="68"/>
      <c r="BB6224" s="67"/>
      <c r="BC6224" s="67"/>
      <c r="BD6224" s="67"/>
      <c r="BE6224" s="67"/>
      <c r="BF6224" s="95"/>
    </row>
    <row r="6225" spans="42:58" x14ac:dyDescent="0.35">
      <c r="AP6225" s="93"/>
      <c r="AQ6225" s="31"/>
      <c r="AR6225" s="31"/>
      <c r="AS6225" s="94"/>
      <c r="AT6225" s="31"/>
      <c r="AU6225" s="31"/>
      <c r="AV6225" s="94"/>
      <c r="AW6225" s="32"/>
      <c r="AX6225" s="32"/>
      <c r="AY6225" s="32"/>
      <c r="AZ6225" s="32"/>
      <c r="BA6225" s="32"/>
      <c r="BB6225" s="31"/>
      <c r="BC6225" s="31"/>
      <c r="BD6225" s="31"/>
      <c r="BE6225" s="31"/>
      <c r="BF6225" s="96"/>
    </row>
    <row r="6226" spans="42:58" x14ac:dyDescent="0.35">
      <c r="AP6226" s="92"/>
      <c r="AQ6226" s="67"/>
      <c r="AR6226" s="67"/>
      <c r="AS6226" s="73"/>
      <c r="AT6226" s="67"/>
      <c r="AU6226" s="67"/>
      <c r="AV6226" s="73"/>
      <c r="AW6226" s="68"/>
      <c r="AX6226" s="68"/>
      <c r="AY6226" s="68"/>
      <c r="AZ6226" s="68"/>
      <c r="BA6226" s="68"/>
      <c r="BB6226" s="67"/>
      <c r="BC6226" s="67"/>
      <c r="BD6226" s="67"/>
      <c r="BE6226" s="67"/>
      <c r="BF6226" s="95"/>
    </row>
    <row r="6227" spans="42:58" x14ac:dyDescent="0.35">
      <c r="AP6227" s="93"/>
      <c r="AQ6227" s="31"/>
      <c r="AR6227" s="31"/>
      <c r="AS6227" s="94"/>
      <c r="AT6227" s="31"/>
      <c r="AU6227" s="31"/>
      <c r="AV6227" s="94"/>
      <c r="AW6227" s="32"/>
      <c r="AX6227" s="32"/>
      <c r="AY6227" s="32"/>
      <c r="AZ6227" s="32"/>
      <c r="BA6227" s="32"/>
      <c r="BB6227" s="31"/>
      <c r="BC6227" s="31"/>
      <c r="BD6227" s="31"/>
      <c r="BE6227" s="31"/>
      <c r="BF6227" s="96"/>
    </row>
    <row r="6228" spans="42:58" x14ac:dyDescent="0.35">
      <c r="AP6228" s="92"/>
      <c r="AQ6228" s="67"/>
      <c r="AR6228" s="67"/>
      <c r="AS6228" s="73"/>
      <c r="AT6228" s="67"/>
      <c r="AU6228" s="67"/>
      <c r="AV6228" s="73"/>
      <c r="AW6228" s="68"/>
      <c r="AX6228" s="68"/>
      <c r="AY6228" s="68"/>
      <c r="AZ6228" s="68"/>
      <c r="BA6228" s="68"/>
      <c r="BB6228" s="67"/>
      <c r="BC6228" s="67"/>
      <c r="BD6228" s="67"/>
      <c r="BE6228" s="67"/>
      <c r="BF6228" s="95"/>
    </row>
    <row r="6229" spans="42:58" x14ac:dyDescent="0.35">
      <c r="AP6229" s="93"/>
      <c r="AQ6229" s="31"/>
      <c r="AR6229" s="31"/>
      <c r="AS6229" s="94"/>
      <c r="AT6229" s="31"/>
      <c r="AU6229" s="31"/>
      <c r="AV6229" s="94"/>
      <c r="AW6229" s="32"/>
      <c r="AX6229" s="32"/>
      <c r="AY6229" s="32"/>
      <c r="AZ6229" s="32"/>
      <c r="BA6229" s="32"/>
      <c r="BB6229" s="31"/>
      <c r="BC6229" s="31"/>
      <c r="BD6229" s="31"/>
      <c r="BE6229" s="31"/>
      <c r="BF6229" s="96"/>
    </row>
    <row r="6230" spans="42:58" x14ac:dyDescent="0.35">
      <c r="AP6230" s="92"/>
      <c r="AQ6230" s="67"/>
      <c r="AR6230" s="67"/>
      <c r="AS6230" s="73"/>
      <c r="AT6230" s="67"/>
      <c r="AU6230" s="67"/>
      <c r="AV6230" s="73"/>
      <c r="AW6230" s="68"/>
      <c r="AX6230" s="68"/>
      <c r="AY6230" s="68"/>
      <c r="AZ6230" s="68"/>
      <c r="BA6230" s="68"/>
      <c r="BB6230" s="67"/>
      <c r="BC6230" s="67"/>
      <c r="BD6230" s="67"/>
      <c r="BE6230" s="67"/>
      <c r="BF6230" s="95"/>
    </row>
    <row r="6231" spans="42:58" x14ac:dyDescent="0.35">
      <c r="AP6231" s="93"/>
      <c r="AQ6231" s="31"/>
      <c r="AR6231" s="31"/>
      <c r="AS6231" s="94"/>
      <c r="AT6231" s="31"/>
      <c r="AU6231" s="31"/>
      <c r="AV6231" s="94"/>
      <c r="AW6231" s="32"/>
      <c r="AX6231" s="32"/>
      <c r="AY6231" s="32"/>
      <c r="AZ6231" s="32"/>
      <c r="BA6231" s="32"/>
      <c r="BB6231" s="31"/>
      <c r="BC6231" s="31"/>
      <c r="BD6231" s="31"/>
      <c r="BE6231" s="31"/>
      <c r="BF6231" s="96"/>
    </row>
    <row r="6232" spans="42:58" x14ac:dyDescent="0.35">
      <c r="AP6232" s="92"/>
      <c r="AQ6232" s="67"/>
      <c r="AR6232" s="67"/>
      <c r="AS6232" s="73"/>
      <c r="AT6232" s="67"/>
      <c r="AU6232" s="67"/>
      <c r="AV6232" s="73"/>
      <c r="AW6232" s="68"/>
      <c r="AX6232" s="68"/>
      <c r="AY6232" s="68"/>
      <c r="AZ6232" s="68"/>
      <c r="BA6232" s="68"/>
      <c r="BB6232" s="67"/>
      <c r="BC6232" s="67"/>
      <c r="BD6232" s="67"/>
      <c r="BE6232" s="67"/>
      <c r="BF6232" s="95"/>
    </row>
    <row r="6233" spans="42:58" x14ac:dyDescent="0.35">
      <c r="AP6233" s="93"/>
      <c r="AQ6233" s="31"/>
      <c r="AR6233" s="31"/>
      <c r="AS6233" s="94"/>
      <c r="AT6233" s="31"/>
      <c r="AU6233" s="31"/>
      <c r="AV6233" s="94"/>
      <c r="AW6233" s="32"/>
      <c r="AX6233" s="32"/>
      <c r="AY6233" s="32"/>
      <c r="AZ6233" s="32"/>
      <c r="BA6233" s="32"/>
      <c r="BB6233" s="31"/>
      <c r="BC6233" s="31"/>
      <c r="BD6233" s="31"/>
      <c r="BE6233" s="31"/>
      <c r="BF6233" s="96"/>
    </row>
    <row r="6234" spans="42:58" x14ac:dyDescent="0.35">
      <c r="AP6234" s="92"/>
      <c r="AQ6234" s="67"/>
      <c r="AR6234" s="67"/>
      <c r="AS6234" s="73"/>
      <c r="AT6234" s="67"/>
      <c r="AU6234" s="67"/>
      <c r="AV6234" s="73"/>
      <c r="AW6234" s="68"/>
      <c r="AX6234" s="68"/>
      <c r="AY6234" s="68"/>
      <c r="AZ6234" s="68"/>
      <c r="BA6234" s="68"/>
      <c r="BB6234" s="67"/>
      <c r="BC6234" s="67"/>
      <c r="BD6234" s="67"/>
      <c r="BE6234" s="67"/>
      <c r="BF6234" s="95"/>
    </row>
    <row r="6235" spans="42:58" x14ac:dyDescent="0.35">
      <c r="AP6235" s="93"/>
      <c r="AQ6235" s="31"/>
      <c r="AR6235" s="31"/>
      <c r="AS6235" s="94"/>
      <c r="AT6235" s="31"/>
      <c r="AU6235" s="31"/>
      <c r="AV6235" s="94"/>
      <c r="AW6235" s="32"/>
      <c r="AX6235" s="32"/>
      <c r="AY6235" s="32"/>
      <c r="AZ6235" s="32"/>
      <c r="BA6235" s="32"/>
      <c r="BB6235" s="31"/>
      <c r="BC6235" s="31"/>
      <c r="BD6235" s="31"/>
      <c r="BE6235" s="31"/>
      <c r="BF6235" s="96"/>
    </row>
    <row r="6236" spans="42:58" x14ac:dyDescent="0.35">
      <c r="AP6236" s="92"/>
      <c r="AQ6236" s="67"/>
      <c r="AR6236" s="67"/>
      <c r="AS6236" s="73"/>
      <c r="AT6236" s="67"/>
      <c r="AU6236" s="67"/>
      <c r="AV6236" s="73"/>
      <c r="AW6236" s="68"/>
      <c r="AX6236" s="68"/>
      <c r="AY6236" s="68"/>
      <c r="AZ6236" s="68"/>
      <c r="BA6236" s="68"/>
      <c r="BB6236" s="67"/>
      <c r="BC6236" s="67"/>
      <c r="BD6236" s="67"/>
      <c r="BE6236" s="67"/>
      <c r="BF6236" s="95"/>
    </row>
    <row r="6237" spans="42:58" x14ac:dyDescent="0.35">
      <c r="AP6237" s="93"/>
      <c r="AQ6237" s="31"/>
      <c r="AR6237" s="31"/>
      <c r="AS6237" s="94"/>
      <c r="AT6237" s="31"/>
      <c r="AU6237" s="31"/>
      <c r="AV6237" s="94"/>
      <c r="AW6237" s="32"/>
      <c r="AX6237" s="32"/>
      <c r="AY6237" s="32"/>
      <c r="AZ6237" s="32"/>
      <c r="BA6237" s="32"/>
      <c r="BB6237" s="31"/>
      <c r="BC6237" s="31"/>
      <c r="BD6237" s="31"/>
      <c r="BE6237" s="31"/>
      <c r="BF6237" s="96"/>
    </row>
    <row r="6238" spans="42:58" x14ac:dyDescent="0.35">
      <c r="AP6238" s="92"/>
      <c r="AQ6238" s="67"/>
      <c r="AR6238" s="67"/>
      <c r="AS6238" s="73"/>
      <c r="AT6238" s="67"/>
      <c r="AU6238" s="67"/>
      <c r="AV6238" s="73"/>
      <c r="AW6238" s="68"/>
      <c r="AX6238" s="68"/>
      <c r="AY6238" s="68"/>
      <c r="AZ6238" s="68"/>
      <c r="BA6238" s="68"/>
      <c r="BB6238" s="67"/>
      <c r="BC6238" s="67"/>
      <c r="BD6238" s="67"/>
      <c r="BE6238" s="67"/>
      <c r="BF6238" s="95"/>
    </row>
    <row r="6239" spans="42:58" x14ac:dyDescent="0.35">
      <c r="AP6239" s="93"/>
      <c r="AQ6239" s="31"/>
      <c r="AR6239" s="31"/>
      <c r="AS6239" s="94"/>
      <c r="AT6239" s="31"/>
      <c r="AU6239" s="31"/>
      <c r="AV6239" s="94"/>
      <c r="AW6239" s="32"/>
      <c r="AX6239" s="32"/>
      <c r="AY6239" s="32"/>
      <c r="AZ6239" s="32"/>
      <c r="BA6239" s="32"/>
      <c r="BB6239" s="31"/>
      <c r="BC6239" s="31"/>
      <c r="BD6239" s="31"/>
      <c r="BE6239" s="31"/>
      <c r="BF6239" s="96"/>
    </row>
    <row r="6240" spans="42:58" x14ac:dyDescent="0.35">
      <c r="AP6240" s="92"/>
      <c r="AQ6240" s="67"/>
      <c r="AR6240" s="67"/>
      <c r="AS6240" s="73"/>
      <c r="AT6240" s="67"/>
      <c r="AU6240" s="67"/>
      <c r="AV6240" s="73"/>
      <c r="AW6240" s="68"/>
      <c r="AX6240" s="68"/>
      <c r="AY6240" s="68"/>
      <c r="AZ6240" s="68"/>
      <c r="BA6240" s="68"/>
      <c r="BB6240" s="67"/>
      <c r="BC6240" s="67"/>
      <c r="BD6240" s="67"/>
      <c r="BE6240" s="67"/>
      <c r="BF6240" s="95"/>
    </row>
    <row r="6241" spans="42:58" x14ac:dyDescent="0.35">
      <c r="AP6241" s="93"/>
      <c r="AQ6241" s="31"/>
      <c r="AR6241" s="31"/>
      <c r="AS6241" s="94"/>
      <c r="AT6241" s="31"/>
      <c r="AU6241" s="31"/>
      <c r="AV6241" s="94"/>
      <c r="AW6241" s="32"/>
      <c r="AX6241" s="32"/>
      <c r="AY6241" s="32"/>
      <c r="AZ6241" s="32"/>
      <c r="BA6241" s="32"/>
      <c r="BB6241" s="31"/>
      <c r="BC6241" s="31"/>
      <c r="BD6241" s="31"/>
      <c r="BE6241" s="31"/>
      <c r="BF6241" s="96"/>
    </row>
    <row r="6242" spans="42:58" x14ac:dyDescent="0.35">
      <c r="AP6242" s="92"/>
      <c r="AQ6242" s="67"/>
      <c r="AR6242" s="67"/>
      <c r="AS6242" s="73"/>
      <c r="AT6242" s="67"/>
      <c r="AU6242" s="67"/>
      <c r="AV6242" s="73"/>
      <c r="AW6242" s="68"/>
      <c r="AX6242" s="68"/>
      <c r="AY6242" s="68"/>
      <c r="AZ6242" s="68"/>
      <c r="BA6242" s="68"/>
      <c r="BB6242" s="67"/>
      <c r="BC6242" s="67"/>
      <c r="BD6242" s="67"/>
      <c r="BE6242" s="67"/>
      <c r="BF6242" s="95"/>
    </row>
    <row r="6243" spans="42:58" x14ac:dyDescent="0.35">
      <c r="AP6243" s="93"/>
      <c r="AQ6243" s="31"/>
      <c r="AR6243" s="31"/>
      <c r="AS6243" s="94"/>
      <c r="AT6243" s="31"/>
      <c r="AU6243" s="31"/>
      <c r="AV6243" s="94"/>
      <c r="AW6243" s="32"/>
      <c r="AX6243" s="32"/>
      <c r="AY6243" s="32"/>
      <c r="AZ6243" s="32"/>
      <c r="BA6243" s="32"/>
      <c r="BB6243" s="31"/>
      <c r="BC6243" s="31"/>
      <c r="BD6243" s="31"/>
      <c r="BE6243" s="31"/>
      <c r="BF6243" s="96"/>
    </row>
    <row r="6244" spans="42:58" x14ac:dyDescent="0.35">
      <c r="AP6244" s="92"/>
      <c r="AQ6244" s="67"/>
      <c r="AR6244" s="67"/>
      <c r="AS6244" s="73"/>
      <c r="AT6244" s="67"/>
      <c r="AU6244" s="67"/>
      <c r="AV6244" s="73"/>
      <c r="AW6244" s="68"/>
      <c r="AX6244" s="68"/>
      <c r="AY6244" s="68"/>
      <c r="AZ6244" s="68"/>
      <c r="BA6244" s="68"/>
      <c r="BB6244" s="67"/>
      <c r="BC6244" s="67"/>
      <c r="BD6244" s="67"/>
      <c r="BE6244" s="67"/>
      <c r="BF6244" s="95"/>
    </row>
    <row r="6245" spans="42:58" x14ac:dyDescent="0.35">
      <c r="AP6245" s="93"/>
      <c r="AQ6245" s="31"/>
      <c r="AR6245" s="31"/>
      <c r="AS6245" s="94"/>
      <c r="AT6245" s="31"/>
      <c r="AU6245" s="31"/>
      <c r="AV6245" s="94"/>
      <c r="AW6245" s="32"/>
      <c r="AX6245" s="32"/>
      <c r="AY6245" s="32"/>
      <c r="AZ6245" s="32"/>
      <c r="BA6245" s="32"/>
      <c r="BB6245" s="31"/>
      <c r="BC6245" s="31"/>
      <c r="BD6245" s="31"/>
      <c r="BE6245" s="31"/>
      <c r="BF6245" s="96"/>
    </row>
    <row r="6246" spans="42:58" x14ac:dyDescent="0.35">
      <c r="AP6246" s="92"/>
      <c r="AQ6246" s="67"/>
      <c r="AR6246" s="67"/>
      <c r="AS6246" s="73"/>
      <c r="AT6246" s="67"/>
      <c r="AU6246" s="67"/>
      <c r="AV6246" s="73"/>
      <c r="AW6246" s="68"/>
      <c r="AX6246" s="68"/>
      <c r="AY6246" s="68"/>
      <c r="AZ6246" s="68"/>
      <c r="BA6246" s="68"/>
      <c r="BB6246" s="67"/>
      <c r="BC6246" s="67"/>
      <c r="BD6246" s="67"/>
      <c r="BE6246" s="67"/>
      <c r="BF6246" s="95"/>
    </row>
    <row r="6247" spans="42:58" x14ac:dyDescent="0.35">
      <c r="AP6247" s="93"/>
      <c r="AQ6247" s="31"/>
      <c r="AR6247" s="31"/>
      <c r="AS6247" s="94"/>
      <c r="AT6247" s="31"/>
      <c r="AU6247" s="31"/>
      <c r="AV6247" s="94"/>
      <c r="AW6247" s="32"/>
      <c r="AX6247" s="32"/>
      <c r="AY6247" s="32"/>
      <c r="AZ6247" s="32"/>
      <c r="BA6247" s="32"/>
      <c r="BB6247" s="31"/>
      <c r="BC6247" s="31"/>
      <c r="BD6247" s="31"/>
      <c r="BE6247" s="31"/>
      <c r="BF6247" s="96"/>
    </row>
    <row r="6248" spans="42:58" x14ac:dyDescent="0.35">
      <c r="AP6248" s="92"/>
      <c r="AQ6248" s="67"/>
      <c r="AR6248" s="67"/>
      <c r="AS6248" s="73"/>
      <c r="AT6248" s="67"/>
      <c r="AU6248" s="67"/>
      <c r="AV6248" s="73"/>
      <c r="AW6248" s="68"/>
      <c r="AX6248" s="68"/>
      <c r="AY6248" s="68"/>
      <c r="AZ6248" s="68"/>
      <c r="BA6248" s="68"/>
      <c r="BB6248" s="67"/>
      <c r="BC6248" s="67"/>
      <c r="BD6248" s="67"/>
      <c r="BE6248" s="67"/>
      <c r="BF6248" s="95"/>
    </row>
    <row r="6249" spans="42:58" x14ac:dyDescent="0.35">
      <c r="AP6249" s="93"/>
      <c r="AQ6249" s="31"/>
      <c r="AR6249" s="31"/>
      <c r="AS6249" s="94"/>
      <c r="AT6249" s="31"/>
      <c r="AU6249" s="31"/>
      <c r="AV6249" s="94"/>
      <c r="AW6249" s="32"/>
      <c r="AX6249" s="32"/>
      <c r="AY6249" s="32"/>
      <c r="AZ6249" s="32"/>
      <c r="BA6249" s="32"/>
      <c r="BB6249" s="31"/>
      <c r="BC6249" s="31"/>
      <c r="BD6249" s="31"/>
      <c r="BE6249" s="31"/>
      <c r="BF6249" s="96"/>
    </row>
    <row r="6250" spans="42:58" x14ac:dyDescent="0.35">
      <c r="AP6250" s="92"/>
      <c r="AQ6250" s="67"/>
      <c r="AR6250" s="67"/>
      <c r="AS6250" s="73"/>
      <c r="AT6250" s="67"/>
      <c r="AU6250" s="67"/>
      <c r="AV6250" s="73"/>
      <c r="AW6250" s="68"/>
      <c r="AX6250" s="68"/>
      <c r="AY6250" s="68"/>
      <c r="AZ6250" s="68"/>
      <c r="BA6250" s="68"/>
      <c r="BB6250" s="67"/>
      <c r="BC6250" s="67"/>
      <c r="BD6250" s="67"/>
      <c r="BE6250" s="67"/>
      <c r="BF6250" s="95"/>
    </row>
    <row r="6251" spans="42:58" x14ac:dyDescent="0.35">
      <c r="AP6251" s="93"/>
      <c r="AQ6251" s="31"/>
      <c r="AR6251" s="31"/>
      <c r="AS6251" s="94"/>
      <c r="AT6251" s="31"/>
      <c r="AU6251" s="31"/>
      <c r="AV6251" s="94"/>
      <c r="AW6251" s="32"/>
      <c r="AX6251" s="32"/>
      <c r="AY6251" s="32"/>
      <c r="AZ6251" s="32"/>
      <c r="BA6251" s="32"/>
      <c r="BB6251" s="31"/>
      <c r="BC6251" s="31"/>
      <c r="BD6251" s="31"/>
      <c r="BE6251" s="31"/>
      <c r="BF6251" s="96"/>
    </row>
    <row r="6252" spans="42:58" x14ac:dyDescent="0.35">
      <c r="AP6252" s="92"/>
      <c r="AQ6252" s="67"/>
      <c r="AR6252" s="67"/>
      <c r="AS6252" s="73"/>
      <c r="AT6252" s="67"/>
      <c r="AU6252" s="67"/>
      <c r="AV6252" s="73"/>
      <c r="AW6252" s="68"/>
      <c r="AX6252" s="68"/>
      <c r="AY6252" s="68"/>
      <c r="AZ6252" s="68"/>
      <c r="BA6252" s="68"/>
      <c r="BB6252" s="67"/>
      <c r="BC6252" s="67"/>
      <c r="BD6252" s="67"/>
      <c r="BE6252" s="67"/>
      <c r="BF6252" s="95"/>
    </row>
    <row r="6253" spans="42:58" x14ac:dyDescent="0.35">
      <c r="AP6253" s="93"/>
      <c r="AQ6253" s="31"/>
      <c r="AR6253" s="31"/>
      <c r="AS6253" s="94"/>
      <c r="AT6253" s="31"/>
      <c r="AU6253" s="31"/>
      <c r="AV6253" s="94"/>
      <c r="AW6253" s="32"/>
      <c r="AX6253" s="32"/>
      <c r="AY6253" s="32"/>
      <c r="AZ6253" s="32"/>
      <c r="BA6253" s="32"/>
      <c r="BB6253" s="31"/>
      <c r="BC6253" s="31"/>
      <c r="BD6253" s="31"/>
      <c r="BE6253" s="31"/>
      <c r="BF6253" s="96"/>
    </row>
    <row r="6254" spans="42:58" x14ac:dyDescent="0.35">
      <c r="AP6254" s="92"/>
      <c r="AQ6254" s="67"/>
      <c r="AR6254" s="67"/>
      <c r="AS6254" s="73"/>
      <c r="AT6254" s="67"/>
      <c r="AU6254" s="67"/>
      <c r="AV6254" s="73"/>
      <c r="AW6254" s="68"/>
      <c r="AX6254" s="68"/>
      <c r="AY6254" s="68"/>
      <c r="AZ6254" s="68"/>
      <c r="BA6254" s="68"/>
      <c r="BB6254" s="67"/>
      <c r="BC6254" s="67"/>
      <c r="BD6254" s="67"/>
      <c r="BE6254" s="67"/>
      <c r="BF6254" s="95"/>
    </row>
    <row r="6255" spans="42:58" x14ac:dyDescent="0.35">
      <c r="AP6255" s="93"/>
      <c r="AQ6255" s="31"/>
      <c r="AR6255" s="31"/>
      <c r="AS6255" s="94"/>
      <c r="AT6255" s="31"/>
      <c r="AU6255" s="31"/>
      <c r="AV6255" s="94"/>
      <c r="AW6255" s="32"/>
      <c r="AX6255" s="32"/>
      <c r="AY6255" s="32"/>
      <c r="AZ6255" s="32"/>
      <c r="BA6255" s="32"/>
      <c r="BB6255" s="31"/>
      <c r="BC6255" s="31"/>
      <c r="BD6255" s="31"/>
      <c r="BE6255" s="31"/>
      <c r="BF6255" s="96"/>
    </row>
    <row r="6256" spans="42:58" x14ac:dyDescent="0.35">
      <c r="AP6256" s="92"/>
      <c r="AQ6256" s="67"/>
      <c r="AR6256" s="67"/>
      <c r="AS6256" s="73"/>
      <c r="AT6256" s="67"/>
      <c r="AU6256" s="67"/>
      <c r="AV6256" s="73"/>
      <c r="AW6256" s="68"/>
      <c r="AX6256" s="68"/>
      <c r="AY6256" s="68"/>
      <c r="AZ6256" s="68"/>
      <c r="BA6256" s="68"/>
      <c r="BB6256" s="67"/>
      <c r="BC6256" s="67"/>
      <c r="BD6256" s="67"/>
      <c r="BE6256" s="67"/>
      <c r="BF6256" s="95"/>
    </row>
    <row r="6257" spans="42:58" x14ac:dyDescent="0.35">
      <c r="AP6257" s="93"/>
      <c r="AQ6257" s="31"/>
      <c r="AR6257" s="31"/>
      <c r="AS6257" s="94"/>
      <c r="AT6257" s="31"/>
      <c r="AU6257" s="31"/>
      <c r="AV6257" s="94"/>
      <c r="AW6257" s="32"/>
      <c r="AX6257" s="32"/>
      <c r="AY6257" s="32"/>
      <c r="AZ6257" s="32"/>
      <c r="BA6257" s="32"/>
      <c r="BB6257" s="31"/>
      <c r="BC6257" s="31"/>
      <c r="BD6257" s="31"/>
      <c r="BE6257" s="31"/>
      <c r="BF6257" s="96"/>
    </row>
    <row r="6258" spans="42:58" x14ac:dyDescent="0.35">
      <c r="AP6258" s="92"/>
      <c r="AQ6258" s="67"/>
      <c r="AR6258" s="67"/>
      <c r="AS6258" s="73"/>
      <c r="AT6258" s="67"/>
      <c r="AU6258" s="67"/>
      <c r="AV6258" s="73"/>
      <c r="AW6258" s="68"/>
      <c r="AX6258" s="68"/>
      <c r="AY6258" s="68"/>
      <c r="AZ6258" s="68"/>
      <c r="BA6258" s="68"/>
      <c r="BB6258" s="67"/>
      <c r="BC6258" s="67"/>
      <c r="BD6258" s="67"/>
      <c r="BE6258" s="67"/>
      <c r="BF6258" s="95"/>
    </row>
    <row r="6259" spans="42:58" x14ac:dyDescent="0.35">
      <c r="AP6259" s="93"/>
      <c r="AQ6259" s="31"/>
      <c r="AR6259" s="31"/>
      <c r="AS6259" s="94"/>
      <c r="AT6259" s="31"/>
      <c r="AU6259" s="31"/>
      <c r="AV6259" s="94"/>
      <c r="AW6259" s="32"/>
      <c r="AX6259" s="32"/>
      <c r="AY6259" s="32"/>
      <c r="AZ6259" s="32"/>
      <c r="BA6259" s="32"/>
      <c r="BB6259" s="31"/>
      <c r="BC6259" s="31"/>
      <c r="BD6259" s="31"/>
      <c r="BE6259" s="31"/>
      <c r="BF6259" s="96"/>
    </row>
    <row r="6260" spans="42:58" x14ac:dyDescent="0.35">
      <c r="AP6260" s="92"/>
      <c r="AQ6260" s="67"/>
      <c r="AR6260" s="67"/>
      <c r="AS6260" s="73"/>
      <c r="AT6260" s="67"/>
      <c r="AU6260" s="67"/>
      <c r="AV6260" s="73"/>
      <c r="AW6260" s="68"/>
      <c r="AX6260" s="68"/>
      <c r="AY6260" s="68"/>
      <c r="AZ6260" s="68"/>
      <c r="BA6260" s="68"/>
      <c r="BB6260" s="67"/>
      <c r="BC6260" s="67"/>
      <c r="BD6260" s="67"/>
      <c r="BE6260" s="67"/>
      <c r="BF6260" s="95"/>
    </row>
    <row r="6261" spans="42:58" x14ac:dyDescent="0.35">
      <c r="AP6261" s="93"/>
      <c r="AQ6261" s="31"/>
      <c r="AR6261" s="31"/>
      <c r="AS6261" s="94"/>
      <c r="AT6261" s="31"/>
      <c r="AU6261" s="31"/>
      <c r="AV6261" s="94"/>
      <c r="AW6261" s="32"/>
      <c r="AX6261" s="32"/>
      <c r="AY6261" s="32"/>
      <c r="AZ6261" s="32"/>
      <c r="BA6261" s="32"/>
      <c r="BB6261" s="31"/>
      <c r="BC6261" s="31"/>
      <c r="BD6261" s="31"/>
      <c r="BE6261" s="31"/>
      <c r="BF6261" s="96"/>
    </row>
    <row r="6262" spans="42:58" x14ac:dyDescent="0.35">
      <c r="AP6262" s="92"/>
      <c r="AQ6262" s="67"/>
      <c r="AR6262" s="67"/>
      <c r="AS6262" s="73"/>
      <c r="AT6262" s="67"/>
      <c r="AU6262" s="67"/>
      <c r="AV6262" s="73"/>
      <c r="AW6262" s="68"/>
      <c r="AX6262" s="68"/>
      <c r="AY6262" s="68"/>
      <c r="AZ6262" s="68"/>
      <c r="BA6262" s="68"/>
      <c r="BB6262" s="67"/>
      <c r="BC6262" s="67"/>
      <c r="BD6262" s="67"/>
      <c r="BE6262" s="67"/>
      <c r="BF6262" s="95"/>
    </row>
    <row r="6263" spans="42:58" x14ac:dyDescent="0.35">
      <c r="AP6263" s="93"/>
      <c r="AQ6263" s="31"/>
      <c r="AR6263" s="31"/>
      <c r="AS6263" s="94"/>
      <c r="AT6263" s="31"/>
      <c r="AU6263" s="31"/>
      <c r="AV6263" s="94"/>
      <c r="AW6263" s="32"/>
      <c r="AX6263" s="32"/>
      <c r="AY6263" s="32"/>
      <c r="AZ6263" s="32"/>
      <c r="BA6263" s="32"/>
      <c r="BB6263" s="31"/>
      <c r="BC6263" s="31"/>
      <c r="BD6263" s="31"/>
      <c r="BE6263" s="31"/>
      <c r="BF6263" s="96"/>
    </row>
    <row r="6264" spans="42:58" x14ac:dyDescent="0.35">
      <c r="AP6264" s="92"/>
      <c r="AQ6264" s="67"/>
      <c r="AR6264" s="67"/>
      <c r="AS6264" s="73"/>
      <c r="AT6264" s="67"/>
      <c r="AU6264" s="67"/>
      <c r="AV6264" s="73"/>
      <c r="AW6264" s="68"/>
      <c r="AX6264" s="68"/>
      <c r="AY6264" s="68"/>
      <c r="AZ6264" s="68"/>
      <c r="BA6264" s="68"/>
      <c r="BB6264" s="67"/>
      <c r="BC6264" s="67"/>
      <c r="BD6264" s="67"/>
      <c r="BE6264" s="67"/>
      <c r="BF6264" s="95"/>
    </row>
    <row r="6265" spans="42:58" x14ac:dyDescent="0.35">
      <c r="AP6265" s="93"/>
      <c r="AQ6265" s="31"/>
      <c r="AR6265" s="31"/>
      <c r="AS6265" s="94"/>
      <c r="AT6265" s="31"/>
      <c r="AU6265" s="31"/>
      <c r="AV6265" s="94"/>
      <c r="AW6265" s="32"/>
      <c r="AX6265" s="32"/>
      <c r="AY6265" s="32"/>
      <c r="AZ6265" s="32"/>
      <c r="BA6265" s="32"/>
      <c r="BB6265" s="31"/>
      <c r="BC6265" s="31"/>
      <c r="BD6265" s="31"/>
      <c r="BE6265" s="31"/>
      <c r="BF6265" s="96"/>
    </row>
    <row r="6266" spans="42:58" x14ac:dyDescent="0.35">
      <c r="AP6266" s="92"/>
      <c r="AQ6266" s="67"/>
      <c r="AR6266" s="67"/>
      <c r="AS6266" s="73"/>
      <c r="AT6266" s="67"/>
      <c r="AU6266" s="67"/>
      <c r="AV6266" s="73"/>
      <c r="AW6266" s="68"/>
      <c r="AX6266" s="68"/>
      <c r="AY6266" s="68"/>
      <c r="AZ6266" s="68"/>
      <c r="BA6266" s="68"/>
      <c r="BB6266" s="67"/>
      <c r="BC6266" s="67"/>
      <c r="BD6266" s="67"/>
      <c r="BE6266" s="67"/>
      <c r="BF6266" s="95"/>
    </row>
    <row r="6267" spans="42:58" x14ac:dyDescent="0.35">
      <c r="AP6267" s="93"/>
      <c r="AQ6267" s="31"/>
      <c r="AR6267" s="31"/>
      <c r="AS6267" s="94"/>
      <c r="AT6267" s="31"/>
      <c r="AU6267" s="31"/>
      <c r="AV6267" s="94"/>
      <c r="AW6267" s="32"/>
      <c r="AX6267" s="32"/>
      <c r="AY6267" s="32"/>
      <c r="AZ6267" s="32"/>
      <c r="BA6267" s="32"/>
      <c r="BB6267" s="31"/>
      <c r="BC6267" s="31"/>
      <c r="BD6267" s="31"/>
      <c r="BE6267" s="31"/>
      <c r="BF6267" s="96"/>
    </row>
    <row r="6268" spans="42:58" x14ac:dyDescent="0.35">
      <c r="AP6268" s="92"/>
      <c r="AQ6268" s="67"/>
      <c r="AR6268" s="67"/>
      <c r="AS6268" s="73"/>
      <c r="AT6268" s="67"/>
      <c r="AU6268" s="67"/>
      <c r="AV6268" s="73"/>
      <c r="AW6268" s="68"/>
      <c r="AX6268" s="68"/>
      <c r="AY6268" s="68"/>
      <c r="AZ6268" s="68"/>
      <c r="BA6268" s="68"/>
      <c r="BB6268" s="67"/>
      <c r="BC6268" s="67"/>
      <c r="BD6268" s="67"/>
      <c r="BE6268" s="67"/>
      <c r="BF6268" s="95"/>
    </row>
    <row r="6269" spans="42:58" x14ac:dyDescent="0.35">
      <c r="AP6269" s="93"/>
      <c r="AQ6269" s="31"/>
      <c r="AR6269" s="31"/>
      <c r="AS6269" s="94"/>
      <c r="AT6269" s="31"/>
      <c r="AU6269" s="31"/>
      <c r="AV6269" s="94"/>
      <c r="AW6269" s="32"/>
      <c r="AX6269" s="32"/>
      <c r="AY6269" s="32"/>
      <c r="AZ6269" s="32"/>
      <c r="BA6269" s="32"/>
      <c r="BB6269" s="31"/>
      <c r="BC6269" s="31"/>
      <c r="BD6269" s="31"/>
      <c r="BE6269" s="31"/>
      <c r="BF6269" s="96"/>
    </row>
    <row r="6270" spans="42:58" x14ac:dyDescent="0.35">
      <c r="AP6270" s="92"/>
      <c r="AQ6270" s="67"/>
      <c r="AR6270" s="67"/>
      <c r="AS6270" s="73"/>
      <c r="AT6270" s="67"/>
      <c r="AU6270" s="67"/>
      <c r="AV6270" s="73"/>
      <c r="AW6270" s="68"/>
      <c r="AX6270" s="68"/>
      <c r="AY6270" s="68"/>
      <c r="AZ6270" s="68"/>
      <c r="BA6270" s="68"/>
      <c r="BB6270" s="67"/>
      <c r="BC6270" s="67"/>
      <c r="BD6270" s="67"/>
      <c r="BE6270" s="67"/>
      <c r="BF6270" s="95"/>
    </row>
    <row r="6271" spans="42:58" x14ac:dyDescent="0.35">
      <c r="AP6271" s="93"/>
      <c r="AQ6271" s="31"/>
      <c r="AR6271" s="31"/>
      <c r="AS6271" s="94"/>
      <c r="AT6271" s="31"/>
      <c r="AU6271" s="31"/>
      <c r="AV6271" s="94"/>
      <c r="AW6271" s="32"/>
      <c r="AX6271" s="32"/>
      <c r="AY6271" s="32"/>
      <c r="AZ6271" s="32"/>
      <c r="BA6271" s="32"/>
      <c r="BB6271" s="31"/>
      <c r="BC6271" s="31"/>
      <c r="BD6271" s="31"/>
      <c r="BE6271" s="31"/>
      <c r="BF6271" s="96"/>
    </row>
    <row r="6272" spans="42:58" x14ac:dyDescent="0.35">
      <c r="AP6272" s="92"/>
      <c r="AQ6272" s="67"/>
      <c r="AR6272" s="67"/>
      <c r="AS6272" s="73"/>
      <c r="AT6272" s="67"/>
      <c r="AU6272" s="67"/>
      <c r="AV6272" s="73"/>
      <c r="AW6272" s="68"/>
      <c r="AX6272" s="68"/>
      <c r="AY6272" s="68"/>
      <c r="AZ6272" s="68"/>
      <c r="BA6272" s="68"/>
      <c r="BB6272" s="67"/>
      <c r="BC6272" s="67"/>
      <c r="BD6272" s="67"/>
      <c r="BE6272" s="67"/>
      <c r="BF6272" s="95"/>
    </row>
    <row r="6273" spans="42:58" x14ac:dyDescent="0.35">
      <c r="AP6273" s="93"/>
      <c r="AQ6273" s="31"/>
      <c r="AR6273" s="31"/>
      <c r="AS6273" s="94"/>
      <c r="AT6273" s="31"/>
      <c r="AU6273" s="31"/>
      <c r="AV6273" s="94"/>
      <c r="AW6273" s="32"/>
      <c r="AX6273" s="32"/>
      <c r="AY6273" s="32"/>
      <c r="AZ6273" s="32"/>
      <c r="BA6273" s="32"/>
      <c r="BB6273" s="31"/>
      <c r="BC6273" s="31"/>
      <c r="BD6273" s="31"/>
      <c r="BE6273" s="31"/>
      <c r="BF6273" s="96"/>
    </row>
    <row r="6274" spans="42:58" x14ac:dyDescent="0.35">
      <c r="AP6274" s="92"/>
      <c r="AQ6274" s="67"/>
      <c r="AR6274" s="67"/>
      <c r="AS6274" s="73"/>
      <c r="AT6274" s="67"/>
      <c r="AU6274" s="67"/>
      <c r="AV6274" s="73"/>
      <c r="AW6274" s="68"/>
      <c r="AX6274" s="68"/>
      <c r="AY6274" s="68"/>
      <c r="AZ6274" s="68"/>
      <c r="BA6274" s="68"/>
      <c r="BB6274" s="67"/>
      <c r="BC6274" s="67"/>
      <c r="BD6274" s="67"/>
      <c r="BE6274" s="67"/>
      <c r="BF6274" s="95"/>
    </row>
    <row r="6275" spans="42:58" x14ac:dyDescent="0.35">
      <c r="AP6275" s="93"/>
      <c r="AQ6275" s="31"/>
      <c r="AR6275" s="31"/>
      <c r="AS6275" s="94"/>
      <c r="AT6275" s="31"/>
      <c r="AU6275" s="31"/>
      <c r="AV6275" s="94"/>
      <c r="AW6275" s="32"/>
      <c r="AX6275" s="32"/>
      <c r="AY6275" s="32"/>
      <c r="AZ6275" s="32"/>
      <c r="BA6275" s="32"/>
      <c r="BB6275" s="31"/>
      <c r="BC6275" s="31"/>
      <c r="BD6275" s="31"/>
      <c r="BE6275" s="31"/>
      <c r="BF6275" s="96"/>
    </row>
    <row r="6276" spans="42:58" x14ac:dyDescent="0.35">
      <c r="AP6276" s="92"/>
      <c r="AQ6276" s="67"/>
      <c r="AR6276" s="67"/>
      <c r="AS6276" s="73"/>
      <c r="AT6276" s="67"/>
      <c r="AU6276" s="67"/>
      <c r="AV6276" s="73"/>
      <c r="AW6276" s="68"/>
      <c r="AX6276" s="68"/>
      <c r="AY6276" s="68"/>
      <c r="AZ6276" s="68"/>
      <c r="BA6276" s="68"/>
      <c r="BB6276" s="67"/>
      <c r="BC6276" s="67"/>
      <c r="BD6276" s="67"/>
      <c r="BE6276" s="67"/>
      <c r="BF6276" s="95"/>
    </row>
    <row r="6277" spans="42:58" x14ac:dyDescent="0.35">
      <c r="AP6277" s="93"/>
      <c r="AQ6277" s="31"/>
      <c r="AR6277" s="31"/>
      <c r="AS6277" s="94"/>
      <c r="AT6277" s="31"/>
      <c r="AU6277" s="31"/>
      <c r="AV6277" s="94"/>
      <c r="AW6277" s="32"/>
      <c r="AX6277" s="32"/>
      <c r="AY6277" s="32"/>
      <c r="AZ6277" s="32"/>
      <c r="BA6277" s="32"/>
      <c r="BB6277" s="31"/>
      <c r="BC6277" s="31"/>
      <c r="BD6277" s="31"/>
      <c r="BE6277" s="31"/>
      <c r="BF6277" s="96"/>
    </row>
    <row r="6278" spans="42:58" x14ac:dyDescent="0.35">
      <c r="AP6278" s="92"/>
      <c r="AQ6278" s="67"/>
      <c r="AR6278" s="67"/>
      <c r="AS6278" s="73"/>
      <c r="AT6278" s="67"/>
      <c r="AU6278" s="67"/>
      <c r="AV6278" s="73"/>
      <c r="AW6278" s="68"/>
      <c r="AX6278" s="68"/>
      <c r="AY6278" s="68"/>
      <c r="AZ6278" s="68"/>
      <c r="BA6278" s="68"/>
      <c r="BB6278" s="67"/>
      <c r="BC6278" s="67"/>
      <c r="BD6278" s="67"/>
      <c r="BE6278" s="67"/>
      <c r="BF6278" s="95"/>
    </row>
    <row r="6279" spans="42:58" x14ac:dyDescent="0.35">
      <c r="AP6279" s="93"/>
      <c r="AQ6279" s="31"/>
      <c r="AR6279" s="31"/>
      <c r="AS6279" s="94"/>
      <c r="AT6279" s="31"/>
      <c r="AU6279" s="31"/>
      <c r="AV6279" s="94"/>
      <c r="AW6279" s="32"/>
      <c r="AX6279" s="32"/>
      <c r="AY6279" s="32"/>
      <c r="AZ6279" s="32"/>
      <c r="BA6279" s="32"/>
      <c r="BB6279" s="31"/>
      <c r="BC6279" s="31"/>
      <c r="BD6279" s="31"/>
      <c r="BE6279" s="31"/>
      <c r="BF6279" s="96"/>
    </row>
    <row r="6280" spans="42:58" x14ac:dyDescent="0.35">
      <c r="AP6280" s="92"/>
      <c r="AQ6280" s="67"/>
      <c r="AR6280" s="67"/>
      <c r="AS6280" s="73"/>
      <c r="AT6280" s="67"/>
      <c r="AU6280" s="67"/>
      <c r="AV6280" s="73"/>
      <c r="AW6280" s="68"/>
      <c r="AX6280" s="68"/>
      <c r="AY6280" s="68"/>
      <c r="AZ6280" s="68"/>
      <c r="BA6280" s="68"/>
      <c r="BB6280" s="67"/>
      <c r="BC6280" s="67"/>
      <c r="BD6280" s="67"/>
      <c r="BE6280" s="67"/>
      <c r="BF6280" s="95"/>
    </row>
    <row r="6281" spans="42:58" x14ac:dyDescent="0.35">
      <c r="AP6281" s="93"/>
      <c r="AQ6281" s="31"/>
      <c r="AR6281" s="31"/>
      <c r="AS6281" s="94"/>
      <c r="AT6281" s="31"/>
      <c r="AU6281" s="31"/>
      <c r="AV6281" s="94"/>
      <c r="AW6281" s="32"/>
      <c r="AX6281" s="32"/>
      <c r="AY6281" s="32"/>
      <c r="AZ6281" s="32"/>
      <c r="BA6281" s="32"/>
      <c r="BB6281" s="31"/>
      <c r="BC6281" s="31"/>
      <c r="BD6281" s="31"/>
      <c r="BE6281" s="31"/>
      <c r="BF6281" s="96"/>
    </row>
    <row r="6282" spans="42:58" x14ac:dyDescent="0.35">
      <c r="AP6282" s="92"/>
      <c r="AQ6282" s="67"/>
      <c r="AR6282" s="67"/>
      <c r="AS6282" s="73"/>
      <c r="AT6282" s="67"/>
      <c r="AU6282" s="67"/>
      <c r="AV6282" s="73"/>
      <c r="AW6282" s="68"/>
      <c r="AX6282" s="68"/>
      <c r="AY6282" s="68"/>
      <c r="AZ6282" s="68"/>
      <c r="BA6282" s="68"/>
      <c r="BB6282" s="67"/>
      <c r="BC6282" s="67"/>
      <c r="BD6282" s="67"/>
      <c r="BE6282" s="67"/>
      <c r="BF6282" s="95"/>
    </row>
    <row r="6283" spans="42:58" x14ac:dyDescent="0.35">
      <c r="AP6283" s="93"/>
      <c r="AQ6283" s="31"/>
      <c r="AR6283" s="31"/>
      <c r="AS6283" s="94"/>
      <c r="AT6283" s="31"/>
      <c r="AU6283" s="31"/>
      <c r="AV6283" s="94"/>
      <c r="AW6283" s="32"/>
      <c r="AX6283" s="32"/>
      <c r="AY6283" s="32"/>
      <c r="AZ6283" s="32"/>
      <c r="BA6283" s="32"/>
      <c r="BB6283" s="31"/>
      <c r="BC6283" s="31"/>
      <c r="BD6283" s="31"/>
      <c r="BE6283" s="31"/>
      <c r="BF6283" s="96"/>
    </row>
    <row r="6284" spans="42:58" x14ac:dyDescent="0.35">
      <c r="AP6284" s="92"/>
      <c r="AQ6284" s="67"/>
      <c r="AR6284" s="67"/>
      <c r="AS6284" s="73"/>
      <c r="AT6284" s="67"/>
      <c r="AU6284" s="67"/>
      <c r="AV6284" s="73"/>
      <c r="AW6284" s="68"/>
      <c r="AX6284" s="68"/>
      <c r="AY6284" s="68"/>
      <c r="AZ6284" s="68"/>
      <c r="BA6284" s="68"/>
      <c r="BB6284" s="67"/>
      <c r="BC6284" s="67"/>
      <c r="BD6284" s="67"/>
      <c r="BE6284" s="67"/>
      <c r="BF6284" s="95"/>
    </row>
    <row r="6285" spans="42:58" x14ac:dyDescent="0.35">
      <c r="AP6285" s="93"/>
      <c r="AQ6285" s="31"/>
      <c r="AR6285" s="31"/>
      <c r="AS6285" s="94"/>
      <c r="AT6285" s="31"/>
      <c r="AU6285" s="31"/>
      <c r="AV6285" s="94"/>
      <c r="AW6285" s="32"/>
      <c r="AX6285" s="32"/>
      <c r="AY6285" s="32"/>
      <c r="AZ6285" s="32"/>
      <c r="BA6285" s="32"/>
      <c r="BB6285" s="31"/>
      <c r="BC6285" s="31"/>
      <c r="BD6285" s="31"/>
      <c r="BE6285" s="31"/>
      <c r="BF6285" s="96"/>
    </row>
    <row r="6286" spans="42:58" x14ac:dyDescent="0.35">
      <c r="AP6286" s="92"/>
      <c r="AQ6286" s="67"/>
      <c r="AR6286" s="67"/>
      <c r="AS6286" s="73"/>
      <c r="AT6286" s="67"/>
      <c r="AU6286" s="67"/>
      <c r="AV6286" s="73"/>
      <c r="AW6286" s="68"/>
      <c r="AX6286" s="68"/>
      <c r="AY6286" s="68"/>
      <c r="AZ6286" s="68"/>
      <c r="BA6286" s="68"/>
      <c r="BB6286" s="67"/>
      <c r="BC6286" s="67"/>
      <c r="BD6286" s="67"/>
      <c r="BE6286" s="67"/>
      <c r="BF6286" s="95"/>
    </row>
    <row r="6287" spans="42:58" x14ac:dyDescent="0.35">
      <c r="AP6287" s="93"/>
      <c r="AQ6287" s="31"/>
      <c r="AR6287" s="31"/>
      <c r="AS6287" s="94"/>
      <c r="AT6287" s="31"/>
      <c r="AU6287" s="31"/>
      <c r="AV6287" s="94"/>
      <c r="AW6287" s="32"/>
      <c r="AX6287" s="32"/>
      <c r="AY6287" s="32"/>
      <c r="AZ6287" s="32"/>
      <c r="BA6287" s="32"/>
      <c r="BB6287" s="31"/>
      <c r="BC6287" s="31"/>
      <c r="BD6287" s="31"/>
      <c r="BE6287" s="31"/>
      <c r="BF6287" s="96"/>
    </row>
    <row r="6288" spans="42:58" x14ac:dyDescent="0.35">
      <c r="AP6288" s="92"/>
      <c r="AQ6288" s="67"/>
      <c r="AR6288" s="67"/>
      <c r="AS6288" s="73"/>
      <c r="AT6288" s="67"/>
      <c r="AU6288" s="67"/>
      <c r="AV6288" s="73"/>
      <c r="AW6288" s="68"/>
      <c r="AX6288" s="68"/>
      <c r="AY6288" s="68"/>
      <c r="AZ6288" s="68"/>
      <c r="BA6288" s="68"/>
      <c r="BB6288" s="67"/>
      <c r="BC6288" s="67"/>
      <c r="BD6288" s="67"/>
      <c r="BE6288" s="67"/>
      <c r="BF6288" s="95"/>
    </row>
    <row r="6289" spans="42:58" x14ac:dyDescent="0.35">
      <c r="AP6289" s="93"/>
      <c r="AQ6289" s="31"/>
      <c r="AR6289" s="31"/>
      <c r="AS6289" s="94"/>
      <c r="AT6289" s="31"/>
      <c r="AU6289" s="31"/>
      <c r="AV6289" s="94"/>
      <c r="AW6289" s="32"/>
      <c r="AX6289" s="32"/>
      <c r="AY6289" s="32"/>
      <c r="AZ6289" s="32"/>
      <c r="BA6289" s="32"/>
      <c r="BB6289" s="31"/>
      <c r="BC6289" s="31"/>
      <c r="BD6289" s="31"/>
      <c r="BE6289" s="31"/>
      <c r="BF6289" s="96"/>
    </row>
    <row r="6290" spans="42:58" x14ac:dyDescent="0.35">
      <c r="AP6290" s="92"/>
      <c r="AQ6290" s="67"/>
      <c r="AR6290" s="67"/>
      <c r="AS6290" s="73"/>
      <c r="AT6290" s="67"/>
      <c r="AU6290" s="67"/>
      <c r="AV6290" s="73"/>
      <c r="AW6290" s="68"/>
      <c r="AX6290" s="68"/>
      <c r="AY6290" s="68"/>
      <c r="AZ6290" s="68"/>
      <c r="BA6290" s="68"/>
      <c r="BB6290" s="67"/>
      <c r="BC6290" s="67"/>
      <c r="BD6290" s="67"/>
      <c r="BE6290" s="67"/>
      <c r="BF6290" s="95"/>
    </row>
    <row r="6291" spans="42:58" x14ac:dyDescent="0.35">
      <c r="AP6291" s="93"/>
      <c r="AQ6291" s="31"/>
      <c r="AR6291" s="31"/>
      <c r="AS6291" s="94"/>
      <c r="AT6291" s="31"/>
      <c r="AU6291" s="31"/>
      <c r="AV6291" s="94"/>
      <c r="AW6291" s="32"/>
      <c r="AX6291" s="32"/>
      <c r="AY6291" s="32"/>
      <c r="AZ6291" s="32"/>
      <c r="BA6291" s="32"/>
      <c r="BB6291" s="31"/>
      <c r="BC6291" s="31"/>
      <c r="BD6291" s="31"/>
      <c r="BE6291" s="31"/>
      <c r="BF6291" s="96"/>
    </row>
    <row r="6292" spans="42:58" x14ac:dyDescent="0.35">
      <c r="AP6292" s="92"/>
      <c r="AQ6292" s="67"/>
      <c r="AR6292" s="67"/>
      <c r="AS6292" s="73"/>
      <c r="AT6292" s="67"/>
      <c r="AU6292" s="67"/>
      <c r="AV6292" s="73"/>
      <c r="AW6292" s="68"/>
      <c r="AX6292" s="68"/>
      <c r="AY6292" s="68"/>
      <c r="AZ6292" s="68"/>
      <c r="BA6292" s="68"/>
      <c r="BB6292" s="67"/>
      <c r="BC6292" s="67"/>
      <c r="BD6292" s="67"/>
      <c r="BE6292" s="67"/>
      <c r="BF6292" s="95"/>
    </row>
    <row r="6293" spans="42:58" x14ac:dyDescent="0.35">
      <c r="AP6293" s="93"/>
      <c r="AQ6293" s="31"/>
      <c r="AR6293" s="31"/>
      <c r="AS6293" s="94"/>
      <c r="AT6293" s="31"/>
      <c r="AU6293" s="31"/>
      <c r="AV6293" s="94"/>
      <c r="AW6293" s="32"/>
      <c r="AX6293" s="32"/>
      <c r="AY6293" s="32"/>
      <c r="AZ6293" s="32"/>
      <c r="BA6293" s="32"/>
      <c r="BB6293" s="31"/>
      <c r="BC6293" s="31"/>
      <c r="BD6293" s="31"/>
      <c r="BE6293" s="31"/>
      <c r="BF6293" s="96"/>
    </row>
    <row r="6294" spans="42:58" x14ac:dyDescent="0.35">
      <c r="AP6294" s="92"/>
      <c r="AQ6294" s="67"/>
      <c r="AR6294" s="67"/>
      <c r="AS6294" s="73"/>
      <c r="AT6294" s="67"/>
      <c r="AU6294" s="67"/>
      <c r="AV6294" s="73"/>
      <c r="AW6294" s="68"/>
      <c r="AX6294" s="68"/>
      <c r="AY6294" s="68"/>
      <c r="AZ6294" s="68"/>
      <c r="BA6294" s="68"/>
      <c r="BB6294" s="67"/>
      <c r="BC6294" s="67"/>
      <c r="BD6294" s="67"/>
      <c r="BE6294" s="67"/>
      <c r="BF6294" s="95"/>
    </row>
    <row r="6295" spans="42:58" x14ac:dyDescent="0.35">
      <c r="AP6295" s="93"/>
      <c r="AQ6295" s="31"/>
      <c r="AR6295" s="31"/>
      <c r="AS6295" s="94"/>
      <c r="AT6295" s="31"/>
      <c r="AU6295" s="31"/>
      <c r="AV6295" s="94"/>
      <c r="AW6295" s="32"/>
      <c r="AX6295" s="32"/>
      <c r="AY6295" s="32"/>
      <c r="AZ6295" s="32"/>
      <c r="BA6295" s="32"/>
      <c r="BB6295" s="31"/>
      <c r="BC6295" s="31"/>
      <c r="BD6295" s="31"/>
      <c r="BE6295" s="31"/>
      <c r="BF6295" s="96"/>
    </row>
    <row r="6296" spans="42:58" x14ac:dyDescent="0.35">
      <c r="AP6296" s="92"/>
      <c r="AQ6296" s="67"/>
      <c r="AR6296" s="67"/>
      <c r="AS6296" s="73"/>
      <c r="AT6296" s="67"/>
      <c r="AU6296" s="67"/>
      <c r="AV6296" s="73"/>
      <c r="AW6296" s="68"/>
      <c r="AX6296" s="68"/>
      <c r="AY6296" s="68"/>
      <c r="AZ6296" s="68"/>
      <c r="BA6296" s="68"/>
      <c r="BB6296" s="67"/>
      <c r="BC6296" s="67"/>
      <c r="BD6296" s="67"/>
      <c r="BE6296" s="67"/>
      <c r="BF6296" s="95"/>
    </row>
    <row r="6297" spans="42:58" x14ac:dyDescent="0.35">
      <c r="AP6297" s="93"/>
      <c r="AQ6297" s="31"/>
      <c r="AR6297" s="31"/>
      <c r="AS6297" s="94"/>
      <c r="AT6297" s="31"/>
      <c r="AU6297" s="31"/>
      <c r="AV6297" s="94"/>
      <c r="AW6297" s="32"/>
      <c r="AX6297" s="32"/>
      <c r="AY6297" s="32"/>
      <c r="AZ6297" s="32"/>
      <c r="BA6297" s="32"/>
      <c r="BB6297" s="31"/>
      <c r="BC6297" s="31"/>
      <c r="BD6297" s="31"/>
      <c r="BE6297" s="31"/>
      <c r="BF6297" s="96"/>
    </row>
    <row r="6298" spans="42:58" x14ac:dyDescent="0.35">
      <c r="AP6298" s="92"/>
      <c r="AQ6298" s="67"/>
      <c r="AR6298" s="67"/>
      <c r="AS6298" s="73"/>
      <c r="AT6298" s="67"/>
      <c r="AU6298" s="67"/>
      <c r="AV6298" s="73"/>
      <c r="AW6298" s="68"/>
      <c r="AX6298" s="68"/>
      <c r="AY6298" s="68"/>
      <c r="AZ6298" s="68"/>
      <c r="BA6298" s="68"/>
      <c r="BB6298" s="67"/>
      <c r="BC6298" s="67"/>
      <c r="BD6298" s="67"/>
      <c r="BE6298" s="67"/>
      <c r="BF6298" s="95"/>
    </row>
    <row r="6299" spans="42:58" x14ac:dyDescent="0.35">
      <c r="AP6299" s="93"/>
      <c r="AQ6299" s="31"/>
      <c r="AR6299" s="31"/>
      <c r="AS6299" s="94"/>
      <c r="AT6299" s="31"/>
      <c r="AU6299" s="31"/>
      <c r="AV6299" s="94"/>
      <c r="AW6299" s="32"/>
      <c r="AX6299" s="32"/>
      <c r="AY6299" s="32"/>
      <c r="AZ6299" s="32"/>
      <c r="BA6299" s="32"/>
      <c r="BB6299" s="31"/>
      <c r="BC6299" s="31"/>
      <c r="BD6299" s="31"/>
      <c r="BE6299" s="31"/>
      <c r="BF6299" s="96"/>
    </row>
    <row r="6300" spans="42:58" x14ac:dyDescent="0.35">
      <c r="AP6300" s="92"/>
      <c r="AQ6300" s="67"/>
      <c r="AR6300" s="67"/>
      <c r="AS6300" s="73"/>
      <c r="AT6300" s="67"/>
      <c r="AU6300" s="67"/>
      <c r="AV6300" s="73"/>
      <c r="AW6300" s="68"/>
      <c r="AX6300" s="68"/>
      <c r="AY6300" s="68"/>
      <c r="AZ6300" s="68"/>
      <c r="BA6300" s="68"/>
      <c r="BB6300" s="67"/>
      <c r="BC6300" s="67"/>
      <c r="BD6300" s="67"/>
      <c r="BE6300" s="67"/>
      <c r="BF6300" s="95"/>
    </row>
    <row r="6301" spans="42:58" x14ac:dyDescent="0.35">
      <c r="AP6301" s="93"/>
      <c r="AQ6301" s="31"/>
      <c r="AR6301" s="31"/>
      <c r="AS6301" s="94"/>
      <c r="AT6301" s="31"/>
      <c r="AU6301" s="31"/>
      <c r="AV6301" s="94"/>
      <c r="AW6301" s="32"/>
      <c r="AX6301" s="32"/>
      <c r="AY6301" s="32"/>
      <c r="AZ6301" s="32"/>
      <c r="BA6301" s="32"/>
      <c r="BB6301" s="31"/>
      <c r="BC6301" s="31"/>
      <c r="BD6301" s="31"/>
      <c r="BE6301" s="31"/>
      <c r="BF6301" s="96"/>
    </row>
    <row r="6302" spans="42:58" x14ac:dyDescent="0.35">
      <c r="AP6302" s="92"/>
      <c r="AQ6302" s="67"/>
      <c r="AR6302" s="67"/>
      <c r="AS6302" s="73"/>
      <c r="AT6302" s="67"/>
      <c r="AU6302" s="67"/>
      <c r="AV6302" s="73"/>
      <c r="AW6302" s="68"/>
      <c r="AX6302" s="68"/>
      <c r="AY6302" s="68"/>
      <c r="AZ6302" s="68"/>
      <c r="BA6302" s="68"/>
      <c r="BB6302" s="67"/>
      <c r="BC6302" s="67"/>
      <c r="BD6302" s="67"/>
      <c r="BE6302" s="67"/>
      <c r="BF6302" s="95"/>
    </row>
    <row r="6303" spans="42:58" x14ac:dyDescent="0.35">
      <c r="AP6303" s="93"/>
      <c r="AQ6303" s="31"/>
      <c r="AR6303" s="31"/>
      <c r="AS6303" s="94"/>
      <c r="AT6303" s="31"/>
      <c r="AU6303" s="31"/>
      <c r="AV6303" s="94"/>
      <c r="AW6303" s="32"/>
      <c r="AX6303" s="32"/>
      <c r="AY6303" s="32"/>
      <c r="AZ6303" s="32"/>
      <c r="BA6303" s="32"/>
      <c r="BB6303" s="31"/>
      <c r="BC6303" s="31"/>
      <c r="BD6303" s="31"/>
      <c r="BE6303" s="31"/>
      <c r="BF6303" s="96"/>
    </row>
  </sheetData>
  <autoFilter ref="BW5:BX41" xr:uid="{00000000-0001-0000-0900-000000000000}"/>
  <mergeCells count="11">
    <mergeCell ref="AF44:AF46"/>
    <mergeCell ref="AG44:AG46"/>
    <mergeCell ref="AH44:AH46"/>
    <mergeCell ref="AI44:AI46"/>
    <mergeCell ref="AJ44:AJ46"/>
    <mergeCell ref="AF49:AF50"/>
    <mergeCell ref="AG49:AG50"/>
    <mergeCell ref="AH49:AH50"/>
    <mergeCell ref="AI49:AI50"/>
    <mergeCell ref="AJ49:AJ50"/>
    <mergeCell ref="AD2:AE3"/>
  </mergeCells>
  <pageMargins left="0.7" right="0.7" top="0.75" bottom="0.75" header="0.3" footer="0.3"/>
  <pageSetup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6" name="Button 3">
              <controlPr defaultSize="0" print="0" autoFill="0" autoPict="0" macro="[0]!Button3_Click">
                <anchor moveWithCells="1" sizeWithCells="1">
                  <from>
                    <xdr:col>31</xdr:col>
                    <xdr:colOff>0</xdr:colOff>
                    <xdr:row>0</xdr:row>
                    <xdr:rowOff>0</xdr:rowOff>
                  </from>
                  <to>
                    <xdr:col>33</xdr:col>
                    <xdr:colOff>12700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BA537"/>
  <sheetViews>
    <sheetView topLeftCell="K1" workbookViewId="0">
      <selection activeCell="A3" sqref="A3"/>
    </sheetView>
  </sheetViews>
  <sheetFormatPr defaultColWidth="8.7265625" defaultRowHeight="14.5" x14ac:dyDescent="0.35"/>
  <cols>
    <col min="1" max="1" width="12.81640625" style="19" customWidth="1"/>
    <col min="2" max="2" width="9.7265625" style="19" bestFit="1" customWidth="1"/>
    <col min="3" max="3" width="14.81640625" style="19" bestFit="1" customWidth="1"/>
    <col min="4" max="4" width="14" style="19" bestFit="1" customWidth="1"/>
    <col min="5" max="5" width="10.453125" style="19" bestFit="1" customWidth="1"/>
    <col min="6" max="6" width="7.1796875" style="19" bestFit="1" customWidth="1"/>
    <col min="7" max="7" width="11.81640625" style="19" bestFit="1" customWidth="1"/>
    <col min="8" max="8" width="18.26953125" style="19" bestFit="1" customWidth="1"/>
    <col min="9" max="9" width="15.81640625" style="19" customWidth="1"/>
    <col min="10" max="10" width="24.453125" style="19" bestFit="1" customWidth="1"/>
    <col min="11" max="11" width="21.7265625" style="19" bestFit="1" customWidth="1"/>
    <col min="12" max="12" width="16.453125" style="19" bestFit="1" customWidth="1"/>
    <col min="13" max="13" width="22.453125" style="19" bestFit="1" customWidth="1"/>
    <col min="14" max="14" width="11.1796875" style="19" bestFit="1" customWidth="1"/>
    <col min="15" max="15" width="12.1796875" style="19" bestFit="1" customWidth="1"/>
    <col min="16" max="16" width="14.1796875" style="19" bestFit="1" customWidth="1"/>
    <col min="17" max="17" width="11.54296875" style="19" bestFit="1" customWidth="1"/>
    <col min="18" max="19" width="14.26953125" style="19" bestFit="1" customWidth="1"/>
    <col min="20" max="20" width="16.1796875" style="19" bestFit="1" customWidth="1"/>
    <col min="21" max="21" width="17.26953125" style="19" bestFit="1" customWidth="1"/>
    <col min="22" max="22" width="23.453125" style="19" bestFit="1" customWidth="1"/>
    <col min="23" max="23" width="15.453125" style="19" bestFit="1" customWidth="1"/>
    <col min="24" max="24" width="16" style="19" bestFit="1" customWidth="1"/>
    <col min="25" max="25" width="19" style="19" bestFit="1" customWidth="1"/>
    <col min="26" max="26" width="16.54296875" style="19" bestFit="1" customWidth="1"/>
    <col min="27" max="27" width="27.1796875" style="19" bestFit="1" customWidth="1"/>
    <col min="28" max="28" width="16.54296875" style="19" bestFit="1" customWidth="1"/>
    <col min="29" max="29" width="11.54296875" style="19" bestFit="1" customWidth="1"/>
    <col min="30" max="30" width="12.1796875" style="19" bestFit="1" customWidth="1"/>
    <col min="31" max="31" width="12" style="19" bestFit="1" customWidth="1"/>
    <col min="32" max="32" width="17.1796875" style="19" bestFit="1" customWidth="1"/>
    <col min="33" max="33" width="15" style="19" bestFit="1" customWidth="1"/>
    <col min="34" max="34" width="19.7265625" style="19" bestFit="1" customWidth="1"/>
    <col min="35" max="35" width="10.26953125" style="19" bestFit="1" customWidth="1"/>
    <col min="36" max="36" width="10.54296875" style="19" bestFit="1" customWidth="1"/>
    <col min="37" max="46" width="8.54296875" style="19" bestFit="1" customWidth="1"/>
    <col min="47" max="47" width="15.54296875" style="19" bestFit="1" customWidth="1"/>
    <col min="48" max="48" width="11.453125" style="19" customWidth="1"/>
    <col min="49" max="49" width="10.453125" style="19" bestFit="1" customWidth="1"/>
    <col min="50" max="50" width="17.453125" style="19" bestFit="1" customWidth="1"/>
    <col min="51" max="51" width="9.453125" style="19" customWidth="1"/>
    <col min="52" max="52" width="7.54296875" style="19" bestFit="1" customWidth="1"/>
    <col min="53" max="54" width="8.7265625" style="19"/>
    <col min="55" max="55" width="13.453125" style="19" bestFit="1" customWidth="1"/>
    <col min="56" max="56" width="9.54296875" style="19" bestFit="1" customWidth="1"/>
    <col min="57" max="58" width="8.453125" style="19" bestFit="1" customWidth="1"/>
    <col min="59" max="59" width="6.7265625" style="19" customWidth="1"/>
    <col min="60" max="60" width="14.26953125" style="19" bestFit="1" customWidth="1"/>
    <col min="61" max="63" width="7.54296875" style="19" bestFit="1" customWidth="1"/>
    <col min="64" max="64" width="8.26953125" style="19" bestFit="1" customWidth="1"/>
    <col min="65" max="65" width="9" style="19" bestFit="1" customWidth="1"/>
    <col min="66" max="66" width="7.453125" style="19" bestFit="1" customWidth="1"/>
    <col min="67" max="16384" width="8.7265625" style="19"/>
  </cols>
  <sheetData>
    <row r="1" spans="1:53" x14ac:dyDescent="0.35">
      <c r="A1" s="19" t="s">
        <v>77</v>
      </c>
      <c r="B1" s="19" t="s">
        <v>78</v>
      </c>
      <c r="C1" s="19" t="s">
        <v>79</v>
      </c>
      <c r="D1" s="19" t="s">
        <v>80</v>
      </c>
      <c r="E1" s="19" t="s">
        <v>81</v>
      </c>
      <c r="F1" s="19" t="s">
        <v>82</v>
      </c>
      <c r="G1" s="19" t="s">
        <v>83</v>
      </c>
      <c r="H1" s="19" t="s">
        <v>84</v>
      </c>
      <c r="I1" s="19" t="s">
        <v>85</v>
      </c>
      <c r="J1" s="19" t="s">
        <v>86</v>
      </c>
      <c r="K1" s="19" t="s">
        <v>87</v>
      </c>
      <c r="L1" s="19" t="s">
        <v>88</v>
      </c>
      <c r="M1" s="19" t="s">
        <v>89</v>
      </c>
      <c r="N1" s="19" t="s">
        <v>90</v>
      </c>
      <c r="O1" s="19" t="s">
        <v>91</v>
      </c>
      <c r="P1" s="19" t="s">
        <v>92</v>
      </c>
      <c r="Q1" s="19" t="s">
        <v>93</v>
      </c>
      <c r="R1" s="19" t="s">
        <v>94</v>
      </c>
      <c r="S1" s="19" t="s">
        <v>95</v>
      </c>
      <c r="T1" s="19" t="s">
        <v>96</v>
      </c>
      <c r="U1" s="19" t="s">
        <v>97</v>
      </c>
      <c r="V1" s="19" t="s">
        <v>98</v>
      </c>
      <c r="W1" s="19" t="s">
        <v>99</v>
      </c>
      <c r="X1" s="19" t="s">
        <v>100</v>
      </c>
      <c r="Y1" s="19" t="s">
        <v>101</v>
      </c>
      <c r="Z1" s="19" t="s">
        <v>102</v>
      </c>
      <c r="AA1" s="19" t="s">
        <v>103</v>
      </c>
      <c r="AB1" s="19" t="s">
        <v>104</v>
      </c>
      <c r="AC1" s="19" t="s">
        <v>105</v>
      </c>
      <c r="AD1" s="19" t="s">
        <v>106</v>
      </c>
      <c r="AE1" s="19" t="s">
        <v>107</v>
      </c>
      <c r="AF1" s="19" t="s">
        <v>108</v>
      </c>
      <c r="AG1" s="19" t="s">
        <v>109</v>
      </c>
      <c r="AH1" s="19" t="s">
        <v>110</v>
      </c>
      <c r="AI1" s="19" t="s">
        <v>111</v>
      </c>
      <c r="AJ1" s="19" t="s">
        <v>112</v>
      </c>
      <c r="AK1" s="19" t="s">
        <v>113</v>
      </c>
      <c r="AL1" s="19" t="s">
        <v>114</v>
      </c>
      <c r="AM1" s="19" t="s">
        <v>115</v>
      </c>
      <c r="AN1" s="19" t="s">
        <v>116</v>
      </c>
      <c r="AO1" s="19" t="s">
        <v>117</v>
      </c>
      <c r="AP1" s="19" t="s">
        <v>118</v>
      </c>
      <c r="AQ1" s="19" t="s">
        <v>119</v>
      </c>
      <c r="AR1" s="19" t="s">
        <v>120</v>
      </c>
      <c r="AS1" s="19" t="s">
        <v>121</v>
      </c>
      <c r="AT1" s="19" t="s">
        <v>122</v>
      </c>
      <c r="AU1" s="19" t="s">
        <v>123</v>
      </c>
      <c r="AV1" s="19" t="s">
        <v>124</v>
      </c>
      <c r="AW1" s="19" t="s">
        <v>125</v>
      </c>
      <c r="AX1" s="19" t="s">
        <v>126</v>
      </c>
      <c r="AY1" s="19" t="s">
        <v>127</v>
      </c>
      <c r="AZ1" s="19" t="s">
        <v>128</v>
      </c>
    </row>
    <row r="2" spans="1:53" x14ac:dyDescent="0.35">
      <c r="A2" s="21">
        <v>45292</v>
      </c>
      <c r="B2"/>
      <c r="C2" s="21">
        <v>45292</v>
      </c>
      <c r="D2" s="21"/>
      <c r="E2" s="21"/>
      <c r="F2"/>
      <c r="G2"/>
      <c r="H2"/>
      <c r="I2">
        <v>152</v>
      </c>
      <c r="J2"/>
      <c r="K2">
        <v>0</v>
      </c>
      <c r="L2">
        <v>150</v>
      </c>
      <c r="M2">
        <v>150</v>
      </c>
      <c r="BA2" s="19" t="s">
        <v>226</v>
      </c>
    </row>
    <row r="3" spans="1:53" x14ac:dyDescent="0.35">
      <c r="A3" s="21">
        <v>45323</v>
      </c>
      <c r="B3"/>
      <c r="C3" s="21">
        <v>45323</v>
      </c>
      <c r="D3" s="21"/>
      <c r="E3" s="21"/>
      <c r="F3"/>
      <c r="G3"/>
      <c r="H3"/>
      <c r="I3">
        <v>124</v>
      </c>
      <c r="J3"/>
      <c r="K3">
        <v>0</v>
      </c>
      <c r="L3">
        <v>123</v>
      </c>
      <c r="M3">
        <v>123</v>
      </c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U3" s="20"/>
      <c r="AV3"/>
      <c r="AW3"/>
      <c r="AX3" s="20"/>
      <c r="AY3" s="20"/>
      <c r="AZ3"/>
      <c r="BA3" s="19" t="s">
        <v>228</v>
      </c>
    </row>
    <row r="4" spans="1:53" x14ac:dyDescent="0.35">
      <c r="A4" s="21"/>
      <c r="B4"/>
      <c r="C4" s="21"/>
      <c r="D4" s="21"/>
      <c r="E4" s="21"/>
      <c r="F4"/>
      <c r="G4"/>
      <c r="H4"/>
      <c r="I4"/>
      <c r="J4"/>
      <c r="K4"/>
      <c r="L4"/>
      <c r="M4"/>
      <c r="BA4" s="19" t="s">
        <v>229</v>
      </c>
    </row>
    <row r="5" spans="1:53" x14ac:dyDescent="0.35">
      <c r="A5" s="21"/>
      <c r="B5"/>
      <c r="C5" s="21"/>
      <c r="D5" s="21"/>
      <c r="E5" s="21"/>
      <c r="F5"/>
      <c r="G5"/>
      <c r="H5"/>
      <c r="I5"/>
      <c r="J5"/>
      <c r="K5"/>
      <c r="L5"/>
      <c r="M5"/>
      <c r="BA5" s="19" t="s">
        <v>230</v>
      </c>
    </row>
    <row r="6" spans="1:53" x14ac:dyDescent="0.35">
      <c r="A6" s="21"/>
      <c r="B6"/>
      <c r="C6" s="21"/>
      <c r="D6" s="21"/>
      <c r="E6" s="21"/>
      <c r="F6"/>
      <c r="G6"/>
      <c r="H6"/>
      <c r="I6"/>
      <c r="J6"/>
      <c r="K6"/>
      <c r="L6"/>
      <c r="M6"/>
      <c r="BA6" s="19" t="s">
        <v>231</v>
      </c>
    </row>
    <row r="7" spans="1:53" x14ac:dyDescent="0.35">
      <c r="A7" s="21"/>
      <c r="B7"/>
      <c r="C7" s="21"/>
      <c r="D7" s="21"/>
      <c r="E7" s="21"/>
      <c r="F7"/>
      <c r="G7"/>
      <c r="H7"/>
      <c r="I7"/>
      <c r="J7"/>
      <c r="K7"/>
      <c r="L7"/>
      <c r="M7"/>
      <c r="BA7" s="19" t="s">
        <v>232</v>
      </c>
    </row>
    <row r="8" spans="1:53" x14ac:dyDescent="0.35">
      <c r="A8" s="21"/>
      <c r="B8"/>
      <c r="C8" s="21"/>
      <c r="D8" s="21"/>
      <c r="E8" s="21"/>
      <c r="F8"/>
      <c r="G8"/>
      <c r="H8"/>
      <c r="I8"/>
      <c r="J8"/>
      <c r="K8"/>
      <c r="L8"/>
      <c r="M8"/>
    </row>
    <row r="9" spans="1:53" x14ac:dyDescent="0.35">
      <c r="A9" s="21"/>
      <c r="B9"/>
      <c r="C9" s="21"/>
      <c r="D9" s="21"/>
      <c r="E9" s="21"/>
      <c r="F9"/>
      <c r="G9"/>
      <c r="H9"/>
      <c r="I9"/>
      <c r="J9"/>
      <c r="K9"/>
      <c r="L9"/>
      <c r="M9"/>
    </row>
    <row r="10" spans="1:53" x14ac:dyDescent="0.35">
      <c r="A10" s="21"/>
      <c r="B10"/>
      <c r="C10" s="21"/>
      <c r="D10" s="21"/>
      <c r="E10" s="21"/>
      <c r="F10"/>
      <c r="G10"/>
      <c r="H10"/>
      <c r="I10"/>
      <c r="J10"/>
      <c r="K10"/>
      <c r="L10"/>
      <c r="M10"/>
    </row>
    <row r="11" spans="1:53" x14ac:dyDescent="0.35">
      <c r="A11" s="21"/>
      <c r="B11"/>
      <c r="C11" s="21"/>
      <c r="D11" s="21"/>
      <c r="E11" s="21"/>
      <c r="F11"/>
      <c r="G11"/>
      <c r="H11"/>
      <c r="I11"/>
      <c r="J11"/>
      <c r="K11"/>
      <c r="L11"/>
      <c r="M11"/>
    </row>
    <row r="12" spans="1:53" x14ac:dyDescent="0.35">
      <c r="A12" s="21"/>
      <c r="B12"/>
      <c r="C12" s="21"/>
      <c r="D12" s="21"/>
      <c r="E12" s="21"/>
      <c r="F12"/>
      <c r="G12"/>
      <c r="H12"/>
      <c r="I12"/>
      <c r="J12"/>
      <c r="K12"/>
      <c r="L12"/>
      <c r="M12"/>
    </row>
    <row r="13" spans="1:53" x14ac:dyDescent="0.35">
      <c r="A13" s="21"/>
      <c r="B13"/>
      <c r="C13" s="21"/>
      <c r="D13" s="21"/>
      <c r="E13" s="21"/>
      <c r="F13"/>
      <c r="G13"/>
      <c r="H13"/>
      <c r="I13"/>
      <c r="J13"/>
      <c r="K13"/>
      <c r="L13"/>
      <c r="M13"/>
    </row>
    <row r="14" spans="1:53" x14ac:dyDescent="0.35">
      <c r="A14" s="20"/>
      <c r="C14" s="20"/>
      <c r="D14" s="20"/>
      <c r="E14" s="20"/>
    </row>
    <row r="15" spans="1:53" x14ac:dyDescent="0.35">
      <c r="A15" s="20"/>
      <c r="C15" s="20"/>
      <c r="D15" s="20"/>
      <c r="E15" s="20"/>
    </row>
    <row r="16" spans="1:53" x14ac:dyDescent="0.35">
      <c r="A16" s="20"/>
      <c r="C16" s="20"/>
      <c r="D16" s="20"/>
      <c r="E16" s="20"/>
    </row>
    <row r="17" spans="1:5" x14ac:dyDescent="0.35">
      <c r="A17" s="20"/>
      <c r="C17" s="20"/>
      <c r="D17" s="20"/>
      <c r="E17" s="20"/>
    </row>
    <row r="18" spans="1:5" x14ac:dyDescent="0.35">
      <c r="A18" s="20"/>
      <c r="C18" s="20"/>
      <c r="D18" s="20"/>
      <c r="E18" s="20"/>
    </row>
    <row r="19" spans="1:5" x14ac:dyDescent="0.35">
      <c r="A19" s="20"/>
      <c r="C19" s="20"/>
      <c r="D19" s="20"/>
      <c r="E19" s="20"/>
    </row>
    <row r="20" spans="1:5" x14ac:dyDescent="0.35">
      <c r="A20" s="20"/>
      <c r="C20" s="20"/>
      <c r="D20" s="20"/>
      <c r="E20" s="20"/>
    </row>
    <row r="21" spans="1:5" x14ac:dyDescent="0.35">
      <c r="A21" s="20"/>
      <c r="C21" s="20"/>
      <c r="D21" s="20"/>
      <c r="E21" s="20"/>
    </row>
    <row r="22" spans="1:5" x14ac:dyDescent="0.35">
      <c r="A22" s="20"/>
      <c r="C22" s="20"/>
      <c r="D22" s="20"/>
      <c r="E22" s="20"/>
    </row>
    <row r="23" spans="1:5" x14ac:dyDescent="0.35">
      <c r="A23" s="20"/>
      <c r="C23" s="20"/>
      <c r="D23" s="20"/>
      <c r="E23" s="20"/>
    </row>
    <row r="24" spans="1:5" x14ac:dyDescent="0.35">
      <c r="A24" s="20"/>
      <c r="C24" s="20"/>
      <c r="D24" s="20"/>
      <c r="E24" s="20"/>
    </row>
    <row r="25" spans="1:5" x14ac:dyDescent="0.35">
      <c r="A25" s="20"/>
      <c r="C25" s="20"/>
      <c r="D25" s="20"/>
      <c r="E25" s="20"/>
    </row>
    <row r="26" spans="1:5" x14ac:dyDescent="0.35">
      <c r="A26" s="20"/>
      <c r="C26" s="20"/>
      <c r="D26" s="20"/>
      <c r="E26" s="20"/>
    </row>
    <row r="27" spans="1:5" x14ac:dyDescent="0.35">
      <c r="A27" s="20"/>
      <c r="C27" s="20"/>
      <c r="D27" s="20"/>
      <c r="E27" s="20"/>
    </row>
    <row r="28" spans="1:5" x14ac:dyDescent="0.35">
      <c r="A28" s="20"/>
      <c r="C28" s="20"/>
      <c r="D28" s="20"/>
      <c r="E28" s="20"/>
    </row>
    <row r="29" spans="1:5" x14ac:dyDescent="0.35">
      <c r="A29" s="20"/>
      <c r="C29" s="20"/>
      <c r="D29" s="20"/>
      <c r="E29" s="20"/>
    </row>
    <row r="30" spans="1:5" x14ac:dyDescent="0.35">
      <c r="A30" s="20"/>
      <c r="C30" s="20"/>
      <c r="D30" s="20"/>
      <c r="E30" s="20"/>
    </row>
    <row r="31" spans="1:5" x14ac:dyDescent="0.35">
      <c r="A31" s="20"/>
      <c r="C31" s="20"/>
      <c r="D31" s="20"/>
      <c r="E31" s="20"/>
    </row>
    <row r="32" spans="1:5" x14ac:dyDescent="0.35">
      <c r="A32" s="20"/>
      <c r="C32" s="20"/>
      <c r="D32" s="20"/>
      <c r="E32" s="20"/>
    </row>
    <row r="33" spans="1:5" x14ac:dyDescent="0.35">
      <c r="A33" s="20"/>
      <c r="C33" s="20"/>
      <c r="D33" s="20"/>
      <c r="E33" s="20"/>
    </row>
    <row r="34" spans="1:5" x14ac:dyDescent="0.35">
      <c r="A34" s="20"/>
      <c r="C34" s="20"/>
      <c r="D34" s="20"/>
      <c r="E34" s="20"/>
    </row>
    <row r="35" spans="1:5" x14ac:dyDescent="0.35">
      <c r="A35" s="20"/>
      <c r="C35" s="20"/>
      <c r="D35" s="20"/>
      <c r="E35" s="20"/>
    </row>
    <row r="36" spans="1:5" x14ac:dyDescent="0.35">
      <c r="A36" s="20"/>
      <c r="C36" s="20"/>
      <c r="D36" s="20"/>
      <c r="E36" s="20"/>
    </row>
    <row r="37" spans="1:5" x14ac:dyDescent="0.35">
      <c r="A37" s="20"/>
      <c r="C37" s="20"/>
      <c r="D37" s="20"/>
      <c r="E37" s="20"/>
    </row>
    <row r="38" spans="1:5" x14ac:dyDescent="0.35">
      <c r="A38" s="20"/>
      <c r="C38" s="20"/>
      <c r="D38" s="20"/>
      <c r="E38" s="20"/>
    </row>
    <row r="39" spans="1:5" x14ac:dyDescent="0.35">
      <c r="A39" s="20"/>
      <c r="C39" s="20"/>
      <c r="D39" s="20"/>
      <c r="E39" s="20"/>
    </row>
    <row r="40" spans="1:5" x14ac:dyDescent="0.35">
      <c r="A40" s="20"/>
      <c r="C40" s="20"/>
      <c r="D40" s="20"/>
      <c r="E40" s="20"/>
    </row>
    <row r="41" spans="1:5" x14ac:dyDescent="0.35">
      <c r="A41" s="20"/>
      <c r="C41" s="20"/>
      <c r="D41" s="20"/>
      <c r="E41" s="20"/>
    </row>
    <row r="42" spans="1:5" x14ac:dyDescent="0.35">
      <c r="A42" s="20"/>
      <c r="C42" s="20"/>
      <c r="D42" s="20"/>
      <c r="E42" s="20"/>
    </row>
    <row r="43" spans="1:5" x14ac:dyDescent="0.35">
      <c r="A43" s="20"/>
      <c r="C43" s="20"/>
      <c r="D43" s="20"/>
      <c r="E43" s="20"/>
    </row>
    <row r="44" spans="1:5" x14ac:dyDescent="0.35">
      <c r="A44" s="20"/>
      <c r="C44" s="20"/>
      <c r="D44" s="20"/>
      <c r="E44" s="20"/>
    </row>
    <row r="45" spans="1:5" x14ac:dyDescent="0.35">
      <c r="A45" s="20"/>
      <c r="C45" s="20"/>
      <c r="D45" s="20"/>
      <c r="E45" s="20"/>
    </row>
    <row r="46" spans="1:5" x14ac:dyDescent="0.35">
      <c r="A46" s="20"/>
      <c r="C46" s="20"/>
      <c r="D46" s="20"/>
      <c r="E46" s="20"/>
    </row>
    <row r="47" spans="1:5" x14ac:dyDescent="0.35">
      <c r="A47" s="20"/>
      <c r="C47" s="20"/>
      <c r="D47" s="20"/>
      <c r="E47" s="20"/>
    </row>
    <row r="48" spans="1:5" x14ac:dyDescent="0.35">
      <c r="A48" s="20"/>
      <c r="C48" s="20"/>
      <c r="D48" s="20"/>
      <c r="E48" s="20"/>
    </row>
    <row r="49" spans="1:5" x14ac:dyDescent="0.35">
      <c r="A49" s="20"/>
      <c r="C49" s="20"/>
      <c r="D49" s="20"/>
      <c r="E49" s="20"/>
    </row>
    <row r="50" spans="1:5" x14ac:dyDescent="0.35">
      <c r="A50" s="20"/>
      <c r="C50" s="20"/>
      <c r="D50" s="20"/>
      <c r="E50" s="20"/>
    </row>
    <row r="51" spans="1:5" x14ac:dyDescent="0.35">
      <c r="A51" s="20"/>
      <c r="C51" s="20"/>
      <c r="D51" s="20"/>
      <c r="E51" s="20"/>
    </row>
    <row r="52" spans="1:5" x14ac:dyDescent="0.35">
      <c r="A52" s="20"/>
      <c r="C52" s="20"/>
      <c r="D52" s="20"/>
      <c r="E52" s="20"/>
    </row>
    <row r="53" spans="1:5" x14ac:dyDescent="0.35">
      <c r="A53" s="20"/>
      <c r="C53" s="20"/>
      <c r="D53" s="20"/>
      <c r="E53" s="20"/>
    </row>
    <row r="54" spans="1:5" x14ac:dyDescent="0.35">
      <c r="A54" s="20"/>
      <c r="C54" s="20"/>
      <c r="D54" s="20"/>
      <c r="E54" s="20"/>
    </row>
    <row r="55" spans="1:5" x14ac:dyDescent="0.35">
      <c r="A55" s="20"/>
      <c r="C55" s="20"/>
      <c r="D55" s="20"/>
      <c r="E55" s="20"/>
    </row>
    <row r="56" spans="1:5" x14ac:dyDescent="0.35">
      <c r="A56" s="20"/>
      <c r="C56" s="20"/>
      <c r="D56" s="20"/>
      <c r="E56" s="20"/>
    </row>
    <row r="57" spans="1:5" x14ac:dyDescent="0.35">
      <c r="A57" s="20"/>
      <c r="C57" s="20"/>
      <c r="D57" s="20"/>
      <c r="E57" s="20"/>
    </row>
    <row r="58" spans="1:5" x14ac:dyDescent="0.35">
      <c r="A58" s="20"/>
      <c r="C58" s="20"/>
      <c r="D58" s="20"/>
      <c r="E58" s="20"/>
    </row>
    <row r="59" spans="1:5" x14ac:dyDescent="0.35">
      <c r="A59" s="20"/>
      <c r="C59" s="20"/>
      <c r="D59" s="20"/>
      <c r="E59" s="20"/>
    </row>
    <row r="60" spans="1:5" x14ac:dyDescent="0.35">
      <c r="A60" s="20"/>
      <c r="C60" s="20"/>
      <c r="D60" s="20"/>
      <c r="E60" s="20"/>
    </row>
    <row r="61" spans="1:5" x14ac:dyDescent="0.35">
      <c r="A61" s="20"/>
      <c r="C61" s="20"/>
      <c r="D61" s="20"/>
      <c r="E61" s="20"/>
    </row>
    <row r="62" spans="1:5" x14ac:dyDescent="0.35">
      <c r="A62" s="20"/>
      <c r="C62" s="20"/>
      <c r="D62" s="20"/>
      <c r="E62" s="20"/>
    </row>
    <row r="63" spans="1:5" x14ac:dyDescent="0.35">
      <c r="A63" s="20"/>
      <c r="C63" s="20"/>
      <c r="D63" s="20"/>
      <c r="E63" s="20"/>
    </row>
    <row r="64" spans="1:5" x14ac:dyDescent="0.35">
      <c r="A64" s="20"/>
      <c r="C64" s="20"/>
      <c r="D64" s="20"/>
      <c r="E64" s="20"/>
    </row>
    <row r="65" spans="1:5" x14ac:dyDescent="0.35">
      <c r="A65" s="20"/>
      <c r="C65" s="20"/>
      <c r="D65" s="20"/>
      <c r="E65" s="20"/>
    </row>
    <row r="66" spans="1:5" x14ac:dyDescent="0.35">
      <c r="A66" s="20"/>
      <c r="C66" s="20"/>
      <c r="D66" s="20"/>
      <c r="E66" s="20"/>
    </row>
    <row r="67" spans="1:5" x14ac:dyDescent="0.35">
      <c r="A67" s="20"/>
      <c r="C67" s="20"/>
      <c r="D67" s="20"/>
      <c r="E67" s="20"/>
    </row>
    <row r="68" spans="1:5" x14ac:dyDescent="0.35">
      <c r="A68" s="20"/>
      <c r="C68" s="20"/>
      <c r="D68" s="20"/>
      <c r="E68" s="20"/>
    </row>
    <row r="69" spans="1:5" x14ac:dyDescent="0.35">
      <c r="A69" s="20"/>
      <c r="C69" s="20"/>
      <c r="D69" s="20"/>
      <c r="E69" s="20"/>
    </row>
    <row r="70" spans="1:5" x14ac:dyDescent="0.35">
      <c r="A70" s="20"/>
      <c r="C70" s="20"/>
      <c r="D70" s="20"/>
      <c r="E70" s="20"/>
    </row>
    <row r="71" spans="1:5" x14ac:dyDescent="0.35">
      <c r="A71" s="20"/>
      <c r="C71" s="20"/>
      <c r="D71" s="20"/>
      <c r="E71" s="20"/>
    </row>
    <row r="72" spans="1:5" x14ac:dyDescent="0.35">
      <c r="A72" s="20"/>
      <c r="C72" s="20"/>
      <c r="D72" s="20"/>
      <c r="E72" s="20"/>
    </row>
    <row r="73" spans="1:5" x14ac:dyDescent="0.35">
      <c r="A73" s="20"/>
      <c r="C73" s="20"/>
      <c r="D73" s="20"/>
      <c r="E73" s="20"/>
    </row>
    <row r="74" spans="1:5" x14ac:dyDescent="0.35">
      <c r="A74" s="20"/>
      <c r="C74" s="20"/>
      <c r="D74" s="20"/>
      <c r="E74" s="20"/>
    </row>
    <row r="75" spans="1:5" x14ac:dyDescent="0.35">
      <c r="A75" s="20"/>
      <c r="C75" s="20"/>
      <c r="D75" s="20"/>
      <c r="E75" s="20"/>
    </row>
    <row r="76" spans="1:5" x14ac:dyDescent="0.35">
      <c r="A76" s="20"/>
      <c r="C76" s="20"/>
      <c r="D76" s="20"/>
      <c r="E76" s="20"/>
    </row>
    <row r="77" spans="1:5" x14ac:dyDescent="0.35">
      <c r="A77" s="20"/>
      <c r="C77" s="20"/>
      <c r="D77" s="20"/>
      <c r="E77" s="20"/>
    </row>
    <row r="78" spans="1:5" x14ac:dyDescent="0.35">
      <c r="A78" s="20"/>
      <c r="C78" s="20"/>
      <c r="D78" s="20"/>
      <c r="E78" s="20"/>
    </row>
    <row r="79" spans="1:5" x14ac:dyDescent="0.35">
      <c r="A79" s="20"/>
      <c r="C79" s="20"/>
      <c r="D79" s="20"/>
      <c r="E79" s="20"/>
    </row>
    <row r="80" spans="1:5" x14ac:dyDescent="0.35">
      <c r="A80" s="20"/>
      <c r="C80" s="20"/>
      <c r="D80" s="20"/>
      <c r="E80" s="20"/>
    </row>
    <row r="81" spans="1:5" x14ac:dyDescent="0.35">
      <c r="A81" s="20"/>
      <c r="C81" s="20"/>
      <c r="D81" s="20"/>
      <c r="E81" s="20"/>
    </row>
    <row r="82" spans="1:5" x14ac:dyDescent="0.35">
      <c r="A82" s="20"/>
      <c r="C82" s="20"/>
      <c r="D82" s="20"/>
      <c r="E82" s="20"/>
    </row>
    <row r="83" spans="1:5" x14ac:dyDescent="0.35">
      <c r="A83" s="20"/>
      <c r="C83" s="20"/>
      <c r="D83" s="20"/>
      <c r="E83" s="20"/>
    </row>
    <row r="84" spans="1:5" x14ac:dyDescent="0.35">
      <c r="A84" s="20"/>
      <c r="C84" s="20"/>
      <c r="D84" s="20"/>
      <c r="E84" s="20"/>
    </row>
    <row r="85" spans="1:5" x14ac:dyDescent="0.35">
      <c r="A85" s="20"/>
      <c r="C85" s="20"/>
      <c r="D85" s="20"/>
      <c r="E85" s="20"/>
    </row>
    <row r="86" spans="1:5" x14ac:dyDescent="0.35">
      <c r="A86" s="20"/>
      <c r="C86" s="20"/>
      <c r="D86" s="20"/>
      <c r="E86" s="20"/>
    </row>
    <row r="87" spans="1:5" x14ac:dyDescent="0.35">
      <c r="A87" s="20"/>
      <c r="C87" s="20"/>
      <c r="D87" s="20"/>
      <c r="E87" s="20"/>
    </row>
    <row r="88" spans="1:5" x14ac:dyDescent="0.35">
      <c r="A88" s="20"/>
      <c r="C88" s="20"/>
      <c r="D88" s="20"/>
      <c r="E88" s="20"/>
    </row>
    <row r="89" spans="1:5" x14ac:dyDescent="0.35">
      <c r="A89" s="20"/>
      <c r="C89" s="20"/>
      <c r="D89" s="20"/>
      <c r="E89" s="20"/>
    </row>
    <row r="90" spans="1:5" x14ac:dyDescent="0.35">
      <c r="A90" s="20"/>
      <c r="C90" s="20"/>
      <c r="D90" s="20"/>
      <c r="E90" s="20"/>
    </row>
    <row r="91" spans="1:5" x14ac:dyDescent="0.35">
      <c r="A91" s="20"/>
      <c r="C91" s="20"/>
      <c r="D91" s="20"/>
      <c r="E91" s="20"/>
    </row>
    <row r="92" spans="1:5" x14ac:dyDescent="0.35">
      <c r="A92" s="20"/>
      <c r="C92" s="20"/>
      <c r="D92" s="20"/>
      <c r="E92" s="20"/>
    </row>
    <row r="93" spans="1:5" x14ac:dyDescent="0.35">
      <c r="A93" s="20"/>
      <c r="C93" s="20"/>
      <c r="D93" s="20"/>
      <c r="E93" s="20"/>
    </row>
    <row r="94" spans="1:5" x14ac:dyDescent="0.35">
      <c r="A94" s="20"/>
      <c r="C94" s="20"/>
      <c r="D94" s="20"/>
      <c r="E94" s="20"/>
    </row>
    <row r="95" spans="1:5" x14ac:dyDescent="0.35">
      <c r="A95" s="20"/>
      <c r="C95" s="20"/>
      <c r="D95" s="20"/>
      <c r="E95" s="20"/>
    </row>
    <row r="96" spans="1:5" x14ac:dyDescent="0.35">
      <c r="A96" s="20"/>
      <c r="C96" s="20"/>
      <c r="D96" s="20"/>
      <c r="E96" s="20"/>
    </row>
    <row r="97" spans="1:5" x14ac:dyDescent="0.35">
      <c r="A97" s="20"/>
      <c r="C97" s="20"/>
      <c r="D97" s="20"/>
      <c r="E97" s="20"/>
    </row>
    <row r="98" spans="1:5" x14ac:dyDescent="0.35">
      <c r="A98" s="20"/>
      <c r="C98" s="20"/>
      <c r="D98" s="20"/>
      <c r="E98" s="20"/>
    </row>
    <row r="99" spans="1:5" x14ac:dyDescent="0.35">
      <c r="A99" s="20"/>
      <c r="C99" s="20"/>
      <c r="D99" s="20"/>
      <c r="E99" s="20"/>
    </row>
    <row r="100" spans="1:5" x14ac:dyDescent="0.35">
      <c r="A100" s="20"/>
      <c r="C100" s="20"/>
      <c r="D100" s="20"/>
      <c r="E100" s="20"/>
    </row>
    <row r="101" spans="1:5" x14ac:dyDescent="0.35">
      <c r="A101" s="20"/>
      <c r="C101" s="20"/>
      <c r="D101" s="20"/>
      <c r="E101" s="20"/>
    </row>
    <row r="102" spans="1:5" x14ac:dyDescent="0.35">
      <c r="A102" s="20"/>
      <c r="C102" s="20"/>
      <c r="D102" s="20"/>
      <c r="E102" s="20"/>
    </row>
    <row r="103" spans="1:5" x14ac:dyDescent="0.35">
      <c r="A103" s="20"/>
      <c r="C103" s="20"/>
      <c r="D103" s="20"/>
      <c r="E103" s="20"/>
    </row>
    <row r="104" spans="1:5" x14ac:dyDescent="0.35">
      <c r="A104" s="20"/>
      <c r="C104" s="20"/>
      <c r="D104" s="20"/>
      <c r="E104" s="20"/>
    </row>
    <row r="105" spans="1:5" x14ac:dyDescent="0.35">
      <c r="A105" s="20"/>
      <c r="C105" s="20"/>
      <c r="D105" s="20"/>
      <c r="E105" s="20"/>
    </row>
    <row r="106" spans="1:5" x14ac:dyDescent="0.35">
      <c r="A106" s="20"/>
      <c r="C106" s="20"/>
      <c r="D106" s="20"/>
      <c r="E106" s="20"/>
    </row>
    <row r="107" spans="1:5" x14ac:dyDescent="0.35">
      <c r="A107" s="20"/>
      <c r="C107" s="20"/>
      <c r="D107" s="20"/>
      <c r="E107" s="20"/>
    </row>
    <row r="108" spans="1:5" x14ac:dyDescent="0.35">
      <c r="A108" s="20"/>
      <c r="C108" s="20"/>
      <c r="D108" s="20"/>
      <c r="E108" s="20"/>
    </row>
    <row r="109" spans="1:5" x14ac:dyDescent="0.35">
      <c r="A109" s="20"/>
      <c r="C109" s="20"/>
      <c r="D109" s="20"/>
      <c r="E109" s="20"/>
    </row>
    <row r="110" spans="1:5" x14ac:dyDescent="0.35">
      <c r="A110" s="20"/>
      <c r="C110" s="20"/>
      <c r="D110" s="20"/>
      <c r="E110" s="20"/>
    </row>
    <row r="111" spans="1:5" x14ac:dyDescent="0.35">
      <c r="A111" s="20"/>
      <c r="C111" s="20"/>
      <c r="D111" s="20"/>
      <c r="E111" s="20"/>
    </row>
    <row r="112" spans="1:5" x14ac:dyDescent="0.35">
      <c r="A112" s="20"/>
      <c r="C112" s="20"/>
      <c r="D112" s="20"/>
      <c r="E112" s="20"/>
    </row>
    <row r="113" spans="1:5" x14ac:dyDescent="0.35">
      <c r="A113" s="20"/>
      <c r="C113" s="20"/>
      <c r="D113" s="20"/>
      <c r="E113" s="20"/>
    </row>
    <row r="114" spans="1:5" x14ac:dyDescent="0.35">
      <c r="A114" s="20"/>
      <c r="C114" s="20"/>
      <c r="D114" s="20"/>
      <c r="E114" s="20"/>
    </row>
    <row r="115" spans="1:5" x14ac:dyDescent="0.35">
      <c r="A115" s="20"/>
      <c r="C115" s="20"/>
      <c r="D115" s="20"/>
      <c r="E115" s="20"/>
    </row>
    <row r="116" spans="1:5" x14ac:dyDescent="0.35">
      <c r="A116" s="20"/>
      <c r="C116" s="20"/>
      <c r="D116" s="20"/>
      <c r="E116" s="20"/>
    </row>
    <row r="117" spans="1:5" x14ac:dyDescent="0.35">
      <c r="A117" s="20"/>
      <c r="C117" s="20"/>
      <c r="D117" s="20"/>
      <c r="E117" s="20"/>
    </row>
    <row r="118" spans="1:5" x14ac:dyDescent="0.35">
      <c r="A118" s="20"/>
      <c r="C118" s="20"/>
      <c r="D118" s="20"/>
      <c r="E118" s="20"/>
    </row>
    <row r="119" spans="1:5" x14ac:dyDescent="0.35">
      <c r="A119" s="20"/>
      <c r="C119" s="20"/>
      <c r="D119" s="20"/>
      <c r="E119" s="20"/>
    </row>
    <row r="120" spans="1:5" x14ac:dyDescent="0.35">
      <c r="A120" s="20"/>
      <c r="C120" s="20"/>
      <c r="D120" s="20"/>
      <c r="E120" s="20"/>
    </row>
    <row r="121" spans="1:5" x14ac:dyDescent="0.35">
      <c r="A121" s="20"/>
      <c r="C121" s="20"/>
      <c r="D121" s="20"/>
      <c r="E121" s="20"/>
    </row>
    <row r="122" spans="1:5" x14ac:dyDescent="0.35">
      <c r="A122" s="20"/>
      <c r="C122" s="20"/>
      <c r="D122" s="20"/>
      <c r="E122" s="20"/>
    </row>
    <row r="123" spans="1:5" x14ac:dyDescent="0.35">
      <c r="A123" s="20"/>
      <c r="C123" s="20"/>
      <c r="D123" s="20"/>
      <c r="E123" s="20"/>
    </row>
    <row r="124" spans="1:5" x14ac:dyDescent="0.35">
      <c r="A124" s="20"/>
      <c r="C124" s="20"/>
      <c r="D124" s="20"/>
      <c r="E124" s="20"/>
    </row>
    <row r="125" spans="1:5" x14ac:dyDescent="0.35">
      <c r="A125" s="20"/>
      <c r="C125" s="20"/>
      <c r="D125" s="20"/>
      <c r="E125" s="20"/>
    </row>
    <row r="126" spans="1:5" x14ac:dyDescent="0.35">
      <c r="A126" s="20"/>
      <c r="C126" s="20"/>
      <c r="D126" s="20"/>
      <c r="E126" s="20"/>
    </row>
    <row r="127" spans="1:5" x14ac:dyDescent="0.35">
      <c r="A127" s="20"/>
      <c r="C127" s="20"/>
      <c r="D127" s="20"/>
      <c r="E127" s="20"/>
    </row>
    <row r="128" spans="1:5" x14ac:dyDescent="0.35">
      <c r="A128" s="20"/>
      <c r="C128" s="20"/>
      <c r="D128" s="20"/>
      <c r="E128" s="20"/>
    </row>
    <row r="129" spans="1:5" x14ac:dyDescent="0.35">
      <c r="A129" s="20"/>
      <c r="C129" s="20"/>
      <c r="D129" s="20"/>
      <c r="E129" s="20"/>
    </row>
    <row r="130" spans="1:5" x14ac:dyDescent="0.35">
      <c r="A130" s="20"/>
      <c r="C130" s="20"/>
      <c r="D130" s="20"/>
      <c r="E130" s="20"/>
    </row>
    <row r="131" spans="1:5" x14ac:dyDescent="0.35">
      <c r="A131" s="20"/>
      <c r="C131" s="20"/>
      <c r="D131" s="20"/>
      <c r="E131" s="20"/>
    </row>
    <row r="132" spans="1:5" x14ac:dyDescent="0.35">
      <c r="A132" s="20"/>
      <c r="C132" s="20"/>
      <c r="D132" s="20"/>
      <c r="E132" s="20"/>
    </row>
    <row r="133" spans="1:5" x14ac:dyDescent="0.35">
      <c r="A133" s="20"/>
      <c r="C133" s="20"/>
      <c r="D133" s="20"/>
      <c r="E133" s="20"/>
    </row>
    <row r="134" spans="1:5" x14ac:dyDescent="0.35">
      <c r="A134" s="20"/>
      <c r="C134" s="20"/>
      <c r="D134" s="20"/>
      <c r="E134" s="20"/>
    </row>
    <row r="135" spans="1:5" x14ac:dyDescent="0.35">
      <c r="A135" s="20"/>
      <c r="C135" s="20"/>
      <c r="D135" s="20"/>
      <c r="E135" s="20"/>
    </row>
    <row r="136" spans="1:5" x14ac:dyDescent="0.35">
      <c r="A136" s="20"/>
      <c r="C136" s="20"/>
      <c r="D136" s="20"/>
      <c r="E136" s="20"/>
    </row>
    <row r="137" spans="1:5" x14ac:dyDescent="0.35">
      <c r="A137" s="20"/>
      <c r="C137" s="20"/>
      <c r="D137" s="20"/>
      <c r="E137" s="20"/>
    </row>
    <row r="138" spans="1:5" x14ac:dyDescent="0.35">
      <c r="A138" s="20"/>
      <c r="C138" s="20"/>
      <c r="D138" s="20"/>
      <c r="E138" s="20"/>
    </row>
    <row r="139" spans="1:5" x14ac:dyDescent="0.35">
      <c r="A139" s="20"/>
      <c r="C139" s="20"/>
      <c r="D139" s="20"/>
      <c r="E139" s="20"/>
    </row>
    <row r="140" spans="1:5" x14ac:dyDescent="0.35">
      <c r="A140" s="20"/>
      <c r="C140" s="20"/>
      <c r="D140" s="20"/>
      <c r="E140" s="20"/>
    </row>
    <row r="141" spans="1:5" x14ac:dyDescent="0.35">
      <c r="A141" s="20"/>
      <c r="C141" s="20"/>
      <c r="D141" s="20"/>
      <c r="E141" s="20"/>
    </row>
    <row r="142" spans="1:5" x14ac:dyDescent="0.35">
      <c r="A142" s="20"/>
      <c r="C142" s="20"/>
      <c r="D142" s="20"/>
      <c r="E142" s="20"/>
    </row>
    <row r="143" spans="1:5" x14ac:dyDescent="0.35">
      <c r="A143" s="20"/>
      <c r="C143" s="20"/>
      <c r="D143" s="20"/>
      <c r="E143" s="20"/>
    </row>
    <row r="144" spans="1:5" x14ac:dyDescent="0.35">
      <c r="A144" s="20"/>
      <c r="C144" s="20"/>
      <c r="D144" s="20"/>
      <c r="E144" s="20"/>
    </row>
    <row r="145" spans="1:5" x14ac:dyDescent="0.35">
      <c r="A145" s="20"/>
      <c r="C145" s="20"/>
      <c r="D145" s="20"/>
      <c r="E145" s="20"/>
    </row>
    <row r="146" spans="1:5" x14ac:dyDescent="0.35">
      <c r="A146" s="20"/>
      <c r="C146" s="20"/>
      <c r="D146" s="20"/>
      <c r="E146" s="20"/>
    </row>
    <row r="147" spans="1:5" x14ac:dyDescent="0.35">
      <c r="A147" s="20"/>
      <c r="C147" s="20"/>
      <c r="D147" s="20"/>
      <c r="E147" s="20"/>
    </row>
    <row r="148" spans="1:5" x14ac:dyDescent="0.35">
      <c r="A148" s="20"/>
      <c r="C148" s="20"/>
      <c r="D148" s="20"/>
      <c r="E148" s="20"/>
    </row>
    <row r="149" spans="1:5" x14ac:dyDescent="0.35">
      <c r="A149" s="20"/>
      <c r="C149" s="20"/>
      <c r="D149" s="20"/>
      <c r="E149" s="20"/>
    </row>
    <row r="150" spans="1:5" x14ac:dyDescent="0.35">
      <c r="A150" s="20"/>
      <c r="C150" s="20"/>
      <c r="D150" s="20"/>
      <c r="E150" s="20"/>
    </row>
    <row r="151" spans="1:5" x14ac:dyDescent="0.35">
      <c r="A151" s="20"/>
      <c r="C151" s="20"/>
      <c r="D151" s="20"/>
      <c r="E151" s="20"/>
    </row>
    <row r="152" spans="1:5" x14ac:dyDescent="0.35">
      <c r="A152" s="20"/>
      <c r="C152" s="20"/>
      <c r="D152" s="20"/>
      <c r="E152" s="20"/>
    </row>
    <row r="153" spans="1:5" x14ac:dyDescent="0.35">
      <c r="A153" s="20"/>
      <c r="C153" s="20"/>
      <c r="D153" s="20"/>
      <c r="E153" s="20"/>
    </row>
    <row r="154" spans="1:5" x14ac:dyDescent="0.35">
      <c r="A154" s="20"/>
      <c r="C154" s="20"/>
      <c r="D154" s="20"/>
      <c r="E154" s="20"/>
    </row>
    <row r="155" spans="1:5" x14ac:dyDescent="0.35">
      <c r="A155" s="20"/>
      <c r="C155" s="20"/>
      <c r="D155" s="20"/>
      <c r="E155" s="20"/>
    </row>
    <row r="156" spans="1:5" x14ac:dyDescent="0.35">
      <c r="A156" s="20"/>
      <c r="C156" s="20"/>
      <c r="D156" s="20"/>
      <c r="E156" s="20"/>
    </row>
    <row r="157" spans="1:5" x14ac:dyDescent="0.35">
      <c r="A157" s="20"/>
      <c r="C157" s="20"/>
      <c r="D157" s="20"/>
      <c r="E157" s="20"/>
    </row>
    <row r="158" spans="1:5" x14ac:dyDescent="0.35">
      <c r="A158" s="20"/>
      <c r="C158" s="20"/>
      <c r="D158" s="20"/>
      <c r="E158" s="20"/>
    </row>
    <row r="159" spans="1:5" x14ac:dyDescent="0.35">
      <c r="A159" s="20"/>
      <c r="C159" s="20"/>
      <c r="D159" s="20"/>
      <c r="E159" s="20"/>
    </row>
    <row r="160" spans="1:5" x14ac:dyDescent="0.35">
      <c r="A160" s="20"/>
      <c r="C160" s="20"/>
      <c r="D160" s="20"/>
      <c r="E160" s="20"/>
    </row>
    <row r="161" spans="1:5" x14ac:dyDescent="0.35">
      <c r="A161" s="20"/>
      <c r="C161" s="20"/>
      <c r="D161" s="20"/>
      <c r="E161" s="20"/>
    </row>
    <row r="162" spans="1:5" x14ac:dyDescent="0.35">
      <c r="A162" s="20"/>
      <c r="C162" s="20"/>
      <c r="D162" s="20"/>
      <c r="E162" s="20"/>
    </row>
    <row r="163" spans="1:5" x14ac:dyDescent="0.35">
      <c r="A163" s="20"/>
      <c r="C163" s="20"/>
      <c r="D163" s="20"/>
      <c r="E163" s="20"/>
    </row>
    <row r="164" spans="1:5" x14ac:dyDescent="0.35">
      <c r="A164" s="20"/>
      <c r="C164" s="20"/>
      <c r="D164" s="20"/>
      <c r="E164" s="20"/>
    </row>
    <row r="165" spans="1:5" x14ac:dyDescent="0.35">
      <c r="A165" s="20"/>
      <c r="C165" s="20"/>
      <c r="D165" s="20"/>
      <c r="E165" s="20"/>
    </row>
    <row r="166" spans="1:5" x14ac:dyDescent="0.35">
      <c r="A166" s="20"/>
      <c r="C166" s="20"/>
      <c r="D166" s="20"/>
      <c r="E166" s="20"/>
    </row>
    <row r="167" spans="1:5" x14ac:dyDescent="0.35">
      <c r="A167" s="20"/>
      <c r="C167" s="20"/>
      <c r="D167" s="20"/>
      <c r="E167" s="20"/>
    </row>
    <row r="168" spans="1:5" x14ac:dyDescent="0.35">
      <c r="A168" s="20"/>
      <c r="C168" s="20"/>
      <c r="D168" s="20"/>
      <c r="E168" s="20"/>
    </row>
    <row r="169" spans="1:5" x14ac:dyDescent="0.35">
      <c r="A169" s="20"/>
      <c r="C169" s="20"/>
      <c r="D169" s="20"/>
      <c r="E169" s="20"/>
    </row>
    <row r="170" spans="1:5" x14ac:dyDescent="0.35">
      <c r="A170" s="20"/>
      <c r="C170" s="20"/>
      <c r="D170" s="20"/>
      <c r="E170" s="20"/>
    </row>
    <row r="171" spans="1:5" x14ac:dyDescent="0.35">
      <c r="A171" s="20"/>
      <c r="C171" s="20"/>
      <c r="D171" s="20"/>
      <c r="E171" s="20"/>
    </row>
    <row r="172" spans="1:5" x14ac:dyDescent="0.35">
      <c r="A172" s="20"/>
      <c r="C172" s="20"/>
      <c r="D172" s="20"/>
      <c r="E172" s="20"/>
    </row>
    <row r="173" spans="1:5" x14ac:dyDescent="0.35">
      <c r="A173" s="20"/>
      <c r="C173" s="20"/>
      <c r="D173" s="20"/>
      <c r="E173" s="20"/>
    </row>
    <row r="174" spans="1:5" x14ac:dyDescent="0.35">
      <c r="A174" s="20"/>
      <c r="C174" s="20"/>
      <c r="D174" s="20"/>
      <c r="E174" s="20"/>
    </row>
    <row r="175" spans="1:5" x14ac:dyDescent="0.35">
      <c r="A175" s="20"/>
      <c r="C175" s="20"/>
      <c r="D175" s="20"/>
      <c r="E175" s="20"/>
    </row>
    <row r="176" spans="1:5" x14ac:dyDescent="0.35">
      <c r="A176" s="20"/>
      <c r="C176" s="20"/>
      <c r="D176" s="20"/>
      <c r="E176" s="20"/>
    </row>
    <row r="177" spans="1:5" x14ac:dyDescent="0.35">
      <c r="A177" s="20"/>
      <c r="C177" s="20"/>
      <c r="D177" s="20"/>
      <c r="E177" s="20"/>
    </row>
    <row r="178" spans="1:5" x14ac:dyDescent="0.35">
      <c r="A178" s="20"/>
      <c r="C178" s="20"/>
      <c r="D178" s="20"/>
      <c r="E178" s="20"/>
    </row>
    <row r="179" spans="1:5" x14ac:dyDescent="0.35">
      <c r="A179" s="20"/>
      <c r="C179" s="20"/>
      <c r="D179" s="20"/>
      <c r="E179" s="20"/>
    </row>
    <row r="180" spans="1:5" x14ac:dyDescent="0.35">
      <c r="A180" s="20"/>
      <c r="C180" s="20"/>
      <c r="D180" s="20"/>
      <c r="E180" s="20"/>
    </row>
    <row r="181" spans="1:5" x14ac:dyDescent="0.35">
      <c r="A181" s="20"/>
      <c r="C181" s="20"/>
      <c r="D181" s="20"/>
      <c r="E181" s="20"/>
    </row>
    <row r="182" spans="1:5" x14ac:dyDescent="0.35">
      <c r="A182" s="20"/>
      <c r="C182" s="20"/>
      <c r="D182" s="20"/>
      <c r="E182" s="20"/>
    </row>
    <row r="183" spans="1:5" x14ac:dyDescent="0.35">
      <c r="A183" s="20"/>
      <c r="C183" s="20"/>
      <c r="D183" s="20"/>
      <c r="E183" s="20"/>
    </row>
    <row r="184" spans="1:5" x14ac:dyDescent="0.35">
      <c r="A184" s="20"/>
      <c r="C184" s="20"/>
      <c r="D184" s="20"/>
      <c r="E184" s="20"/>
    </row>
    <row r="185" spans="1:5" x14ac:dyDescent="0.35">
      <c r="A185" s="20"/>
      <c r="C185" s="20"/>
      <c r="D185" s="20"/>
      <c r="E185" s="20"/>
    </row>
    <row r="186" spans="1:5" x14ac:dyDescent="0.35">
      <c r="A186" s="20"/>
      <c r="C186" s="20"/>
      <c r="D186" s="20"/>
      <c r="E186" s="20"/>
    </row>
    <row r="187" spans="1:5" x14ac:dyDescent="0.35">
      <c r="A187" s="20"/>
      <c r="C187" s="20"/>
      <c r="D187" s="20"/>
      <c r="E187" s="20"/>
    </row>
    <row r="188" spans="1:5" x14ac:dyDescent="0.35">
      <c r="A188" s="20"/>
      <c r="C188" s="20"/>
      <c r="D188" s="20"/>
      <c r="E188" s="20"/>
    </row>
    <row r="189" spans="1:5" x14ac:dyDescent="0.35">
      <c r="A189" s="20"/>
      <c r="C189" s="20"/>
      <c r="D189" s="20"/>
      <c r="E189" s="20"/>
    </row>
    <row r="190" spans="1:5" x14ac:dyDescent="0.35">
      <c r="A190" s="20"/>
      <c r="C190" s="20"/>
      <c r="D190" s="20"/>
      <c r="E190" s="20"/>
    </row>
    <row r="191" spans="1:5" x14ac:dyDescent="0.35">
      <c r="A191" s="20"/>
      <c r="C191" s="20"/>
      <c r="D191" s="20"/>
      <c r="E191" s="20"/>
    </row>
    <row r="192" spans="1:5" x14ac:dyDescent="0.35">
      <c r="A192" s="20"/>
      <c r="C192" s="20"/>
      <c r="D192" s="20"/>
      <c r="E192" s="20"/>
    </row>
    <row r="193" spans="1:5" x14ac:dyDescent="0.35">
      <c r="A193" s="20"/>
      <c r="C193" s="20"/>
      <c r="D193" s="20"/>
      <c r="E193" s="20"/>
    </row>
    <row r="194" spans="1:5" x14ac:dyDescent="0.35">
      <c r="A194" s="20"/>
      <c r="C194" s="20"/>
      <c r="D194" s="20"/>
      <c r="E194" s="20"/>
    </row>
    <row r="195" spans="1:5" x14ac:dyDescent="0.35">
      <c r="A195" s="20"/>
      <c r="C195" s="20"/>
      <c r="D195" s="20"/>
      <c r="E195" s="20"/>
    </row>
    <row r="196" spans="1:5" x14ac:dyDescent="0.35">
      <c r="A196" s="20"/>
      <c r="C196" s="20"/>
      <c r="D196" s="20"/>
      <c r="E196" s="20"/>
    </row>
    <row r="197" spans="1:5" x14ac:dyDescent="0.35">
      <c r="A197" s="20"/>
      <c r="C197" s="20"/>
      <c r="D197" s="20"/>
      <c r="E197" s="20"/>
    </row>
    <row r="198" spans="1:5" x14ac:dyDescent="0.35">
      <c r="A198" s="20"/>
      <c r="C198" s="20"/>
      <c r="D198" s="20"/>
      <c r="E198" s="20"/>
    </row>
    <row r="199" spans="1:5" x14ac:dyDescent="0.35">
      <c r="A199" s="20"/>
      <c r="C199" s="20"/>
      <c r="D199" s="20"/>
      <c r="E199" s="20"/>
    </row>
    <row r="200" spans="1:5" x14ac:dyDescent="0.35">
      <c r="A200" s="20"/>
      <c r="C200" s="20"/>
      <c r="D200" s="20"/>
      <c r="E200" s="20"/>
    </row>
    <row r="201" spans="1:5" x14ac:dyDescent="0.35">
      <c r="A201" s="20"/>
      <c r="C201" s="20"/>
      <c r="D201" s="20"/>
      <c r="E201" s="20"/>
    </row>
    <row r="202" spans="1:5" x14ac:dyDescent="0.35">
      <c r="A202" s="20"/>
      <c r="C202" s="20"/>
      <c r="D202" s="20"/>
      <c r="E202" s="20"/>
    </row>
    <row r="203" spans="1:5" x14ac:dyDescent="0.35">
      <c r="A203" s="20"/>
      <c r="C203" s="20"/>
      <c r="D203" s="20"/>
      <c r="E203" s="20"/>
    </row>
    <row r="204" spans="1:5" x14ac:dyDescent="0.35">
      <c r="A204" s="20"/>
      <c r="C204" s="20"/>
      <c r="D204" s="20"/>
      <c r="E204" s="20"/>
    </row>
    <row r="205" spans="1:5" x14ac:dyDescent="0.35">
      <c r="A205" s="20"/>
      <c r="C205" s="20"/>
      <c r="D205" s="20"/>
      <c r="E205" s="20"/>
    </row>
    <row r="206" spans="1:5" x14ac:dyDescent="0.35">
      <c r="A206" s="20"/>
      <c r="C206" s="20"/>
      <c r="D206" s="20"/>
      <c r="E206" s="20"/>
    </row>
    <row r="207" spans="1:5" x14ac:dyDescent="0.35">
      <c r="A207" s="20"/>
      <c r="C207" s="20"/>
      <c r="D207" s="20"/>
      <c r="E207" s="20"/>
    </row>
    <row r="208" spans="1:5" x14ac:dyDescent="0.35">
      <c r="A208" s="20"/>
      <c r="C208" s="20"/>
      <c r="D208" s="20"/>
      <c r="E208" s="20"/>
    </row>
    <row r="209" spans="1:5" x14ac:dyDescent="0.35">
      <c r="A209" s="20"/>
      <c r="C209" s="20"/>
      <c r="D209" s="20"/>
      <c r="E209" s="20"/>
    </row>
    <row r="210" spans="1:5" x14ac:dyDescent="0.35">
      <c r="A210" s="20"/>
      <c r="C210" s="20"/>
      <c r="D210" s="20"/>
      <c r="E210" s="20"/>
    </row>
    <row r="211" spans="1:5" x14ac:dyDescent="0.35">
      <c r="A211" s="20"/>
      <c r="C211" s="20"/>
      <c r="D211" s="20"/>
      <c r="E211" s="20"/>
    </row>
    <row r="212" spans="1:5" x14ac:dyDescent="0.35">
      <c r="A212" s="20"/>
      <c r="C212" s="20"/>
      <c r="D212" s="20"/>
      <c r="E212" s="20"/>
    </row>
    <row r="213" spans="1:5" x14ac:dyDescent="0.35">
      <c r="A213" s="20"/>
      <c r="C213" s="20"/>
      <c r="D213" s="20"/>
      <c r="E213" s="20"/>
    </row>
    <row r="214" spans="1:5" x14ac:dyDescent="0.35">
      <c r="A214" s="20"/>
      <c r="C214" s="20"/>
      <c r="D214" s="20"/>
      <c r="E214" s="20"/>
    </row>
    <row r="215" spans="1:5" x14ac:dyDescent="0.35">
      <c r="A215" s="20"/>
      <c r="C215" s="20"/>
      <c r="D215" s="20"/>
      <c r="E215" s="20"/>
    </row>
    <row r="216" spans="1:5" x14ac:dyDescent="0.35">
      <c r="A216" s="20"/>
      <c r="C216" s="20"/>
      <c r="D216" s="20"/>
      <c r="E216" s="20"/>
    </row>
    <row r="217" spans="1:5" x14ac:dyDescent="0.35">
      <c r="A217" s="20"/>
      <c r="C217" s="20"/>
      <c r="D217" s="20"/>
      <c r="E217" s="20"/>
    </row>
    <row r="218" spans="1:5" x14ac:dyDescent="0.35">
      <c r="A218" s="20"/>
      <c r="C218" s="20"/>
      <c r="D218" s="20"/>
      <c r="E218" s="20"/>
    </row>
    <row r="219" spans="1:5" x14ac:dyDescent="0.35">
      <c r="A219" s="20"/>
      <c r="C219" s="20"/>
      <c r="D219" s="20"/>
      <c r="E219" s="20"/>
    </row>
    <row r="220" spans="1:5" x14ac:dyDescent="0.35">
      <c r="A220" s="20"/>
      <c r="C220" s="20"/>
      <c r="D220" s="20"/>
      <c r="E220" s="20"/>
    </row>
    <row r="221" spans="1:5" x14ac:dyDescent="0.35">
      <c r="A221" s="20"/>
      <c r="C221" s="20"/>
      <c r="D221" s="20"/>
      <c r="E221" s="20"/>
    </row>
    <row r="222" spans="1:5" x14ac:dyDescent="0.35">
      <c r="A222" s="20"/>
      <c r="C222" s="20"/>
      <c r="D222" s="20"/>
      <c r="E222" s="20"/>
    </row>
    <row r="223" spans="1:5" x14ac:dyDescent="0.35">
      <c r="A223" s="20"/>
      <c r="C223" s="20"/>
      <c r="D223" s="20"/>
      <c r="E223" s="20"/>
    </row>
    <row r="224" spans="1:5" x14ac:dyDescent="0.35">
      <c r="A224" s="20"/>
      <c r="C224" s="20"/>
      <c r="D224" s="20"/>
      <c r="E224" s="20"/>
    </row>
    <row r="225" spans="1:5" x14ac:dyDescent="0.35">
      <c r="A225" s="20"/>
      <c r="C225" s="20"/>
      <c r="D225" s="20"/>
      <c r="E225" s="20"/>
    </row>
    <row r="226" spans="1:5" x14ac:dyDescent="0.35">
      <c r="A226" s="20"/>
      <c r="C226" s="20"/>
      <c r="D226" s="20"/>
      <c r="E226" s="20"/>
    </row>
    <row r="227" spans="1:5" x14ac:dyDescent="0.35">
      <c r="A227" s="20"/>
      <c r="C227" s="20"/>
      <c r="D227" s="20"/>
      <c r="E227" s="20"/>
    </row>
    <row r="228" spans="1:5" x14ac:dyDescent="0.35">
      <c r="A228" s="20"/>
      <c r="C228" s="20"/>
      <c r="D228" s="20"/>
      <c r="E228" s="20"/>
    </row>
    <row r="229" spans="1:5" x14ac:dyDescent="0.35">
      <c r="A229" s="20"/>
      <c r="C229" s="20"/>
      <c r="D229" s="20"/>
      <c r="E229" s="20"/>
    </row>
    <row r="230" spans="1:5" x14ac:dyDescent="0.35">
      <c r="A230" s="20"/>
      <c r="C230" s="20"/>
      <c r="D230" s="20"/>
      <c r="E230" s="20"/>
    </row>
    <row r="231" spans="1:5" x14ac:dyDescent="0.35">
      <c r="A231" s="20"/>
      <c r="C231" s="20"/>
      <c r="D231" s="20"/>
      <c r="E231" s="20"/>
    </row>
    <row r="232" spans="1:5" x14ac:dyDescent="0.35">
      <c r="A232" s="20"/>
      <c r="C232" s="20"/>
      <c r="D232" s="20"/>
      <c r="E232" s="20"/>
    </row>
    <row r="233" spans="1:5" x14ac:dyDescent="0.35">
      <c r="A233" s="20"/>
      <c r="C233" s="20"/>
      <c r="D233" s="20"/>
      <c r="E233" s="20"/>
    </row>
    <row r="234" spans="1:5" x14ac:dyDescent="0.35">
      <c r="A234" s="20"/>
      <c r="C234" s="20"/>
      <c r="D234" s="20"/>
      <c r="E234" s="20"/>
    </row>
    <row r="235" spans="1:5" x14ac:dyDescent="0.35">
      <c r="A235" s="20"/>
      <c r="C235" s="20"/>
      <c r="D235" s="20"/>
      <c r="E235" s="20"/>
    </row>
    <row r="236" spans="1:5" x14ac:dyDescent="0.35">
      <c r="A236" s="20"/>
      <c r="C236" s="20"/>
      <c r="D236" s="20"/>
      <c r="E236" s="20"/>
    </row>
    <row r="237" spans="1:5" x14ac:dyDescent="0.35">
      <c r="A237" s="20"/>
      <c r="C237" s="20"/>
      <c r="D237" s="20"/>
      <c r="E237" s="20"/>
    </row>
    <row r="238" spans="1:5" x14ac:dyDescent="0.35">
      <c r="A238" s="20"/>
      <c r="C238" s="20"/>
      <c r="D238" s="20"/>
      <c r="E238" s="20"/>
    </row>
    <row r="239" spans="1:5" x14ac:dyDescent="0.35">
      <c r="A239" s="20"/>
      <c r="C239" s="20"/>
      <c r="D239" s="20"/>
      <c r="E239" s="20"/>
    </row>
    <row r="240" spans="1:5" x14ac:dyDescent="0.35">
      <c r="A240" s="20"/>
      <c r="C240" s="20"/>
      <c r="D240" s="20"/>
      <c r="E240" s="20"/>
    </row>
    <row r="241" spans="1:51" x14ac:dyDescent="0.35">
      <c r="A241" s="20"/>
      <c r="C241" s="20"/>
      <c r="D241" s="20"/>
      <c r="E241" s="20"/>
    </row>
    <row r="242" spans="1:51" x14ac:dyDescent="0.35">
      <c r="A242" s="20"/>
      <c r="C242" s="20"/>
      <c r="D242" s="20"/>
      <c r="E242" s="20"/>
    </row>
    <row r="243" spans="1:51" x14ac:dyDescent="0.35">
      <c r="A243" s="20"/>
      <c r="C243" s="20"/>
      <c r="D243" s="20"/>
      <c r="E243" s="20"/>
    </row>
    <row r="244" spans="1:51" x14ac:dyDescent="0.35">
      <c r="A244" s="20"/>
      <c r="C244" s="20"/>
      <c r="D244" s="20"/>
      <c r="E244" s="20"/>
    </row>
    <row r="245" spans="1:51" x14ac:dyDescent="0.35">
      <c r="A245" s="20"/>
      <c r="C245" s="20"/>
      <c r="D245" s="20"/>
      <c r="E245" s="20"/>
    </row>
    <row r="246" spans="1:51" x14ac:dyDescent="0.35">
      <c r="A246" s="20"/>
      <c r="C246" s="20"/>
      <c r="D246" s="20"/>
      <c r="E246" s="20"/>
    </row>
    <row r="247" spans="1:51" x14ac:dyDescent="0.35">
      <c r="A247" s="20"/>
      <c r="C247" s="20"/>
      <c r="D247" s="20"/>
      <c r="E247" s="20"/>
    </row>
    <row r="248" spans="1:51" x14ac:dyDescent="0.35">
      <c r="A248" s="20"/>
      <c r="C248" s="20"/>
      <c r="D248" s="20"/>
      <c r="E248" s="20"/>
    </row>
    <row r="249" spans="1:51" x14ac:dyDescent="0.35">
      <c r="A249" s="20"/>
      <c r="C249" s="20"/>
      <c r="D249" s="20"/>
      <c r="E249" s="20"/>
    </row>
    <row r="250" spans="1:51" x14ac:dyDescent="0.35">
      <c r="A250" s="20"/>
      <c r="C250" s="20"/>
      <c r="D250" s="20"/>
      <c r="E250" s="20"/>
    </row>
    <row r="251" spans="1:51" x14ac:dyDescent="0.35">
      <c r="A251" s="20"/>
      <c r="C251" s="20"/>
      <c r="D251" s="20"/>
      <c r="E251" s="20"/>
    </row>
    <row r="252" spans="1:51" x14ac:dyDescent="0.35">
      <c r="A252" s="20"/>
      <c r="C252" s="20"/>
      <c r="D252" s="20"/>
      <c r="E252" s="20"/>
    </row>
    <row r="253" spans="1:51" x14ac:dyDescent="0.35">
      <c r="A253" s="20"/>
      <c r="C253" s="20"/>
      <c r="D253" s="20"/>
      <c r="E253" s="20"/>
      <c r="AU253" s="20"/>
      <c r="AV253" s="20"/>
      <c r="AW253" s="20"/>
      <c r="AX253" s="20"/>
      <c r="AY253" s="20"/>
    </row>
    <row r="254" spans="1:51" x14ac:dyDescent="0.35">
      <c r="A254" s="20"/>
      <c r="C254" s="20"/>
      <c r="D254" s="20"/>
      <c r="E254" s="20"/>
    </row>
    <row r="255" spans="1:51" x14ac:dyDescent="0.35">
      <c r="A255" s="20"/>
      <c r="C255" s="20"/>
      <c r="D255" s="20"/>
      <c r="E255" s="20"/>
    </row>
    <row r="256" spans="1:51" x14ac:dyDescent="0.35">
      <c r="A256" s="20"/>
      <c r="C256" s="20"/>
      <c r="D256" s="20"/>
      <c r="E256" s="20"/>
    </row>
    <row r="257" spans="1:5" x14ac:dyDescent="0.35">
      <c r="A257" s="20"/>
      <c r="C257" s="20"/>
      <c r="D257" s="20"/>
      <c r="E257" s="20"/>
    </row>
    <row r="258" spans="1:5" x14ac:dyDescent="0.35">
      <c r="A258" s="20"/>
      <c r="C258" s="20"/>
      <c r="D258" s="20"/>
      <c r="E258" s="20"/>
    </row>
    <row r="259" spans="1:5" x14ac:dyDescent="0.35">
      <c r="A259" s="20"/>
      <c r="C259" s="20"/>
      <c r="D259" s="20"/>
      <c r="E259" s="20"/>
    </row>
    <row r="260" spans="1:5" x14ac:dyDescent="0.35">
      <c r="A260" s="20"/>
      <c r="C260" s="20"/>
      <c r="D260" s="20"/>
      <c r="E260" s="20"/>
    </row>
    <row r="261" spans="1:5" x14ac:dyDescent="0.35">
      <c r="A261" s="20"/>
      <c r="C261" s="20"/>
      <c r="D261" s="20"/>
      <c r="E261" s="20"/>
    </row>
    <row r="262" spans="1:5" x14ac:dyDescent="0.35">
      <c r="A262" s="20"/>
      <c r="C262" s="20"/>
      <c r="D262" s="20"/>
      <c r="E262" s="20"/>
    </row>
    <row r="263" spans="1:5" x14ac:dyDescent="0.35">
      <c r="A263" s="20"/>
      <c r="C263" s="20"/>
      <c r="D263" s="20"/>
      <c r="E263" s="20"/>
    </row>
    <row r="264" spans="1:5" x14ac:dyDescent="0.35">
      <c r="A264" s="20"/>
      <c r="C264" s="20"/>
      <c r="D264" s="20"/>
      <c r="E264" s="20"/>
    </row>
    <row r="265" spans="1:5" x14ac:dyDescent="0.35">
      <c r="A265" s="20"/>
      <c r="C265" s="20"/>
      <c r="D265" s="20"/>
      <c r="E265" s="20"/>
    </row>
    <row r="266" spans="1:5" x14ac:dyDescent="0.35">
      <c r="A266" s="20"/>
      <c r="C266" s="20"/>
      <c r="D266" s="20"/>
      <c r="E266" s="20"/>
    </row>
    <row r="267" spans="1:5" x14ac:dyDescent="0.35">
      <c r="A267" s="20"/>
      <c r="C267" s="20"/>
      <c r="D267" s="20"/>
      <c r="E267" s="20"/>
    </row>
    <row r="268" spans="1:5" x14ac:dyDescent="0.35">
      <c r="A268" s="20"/>
      <c r="C268" s="20"/>
      <c r="D268" s="20"/>
      <c r="E268" s="20"/>
    </row>
    <row r="269" spans="1:5" x14ac:dyDescent="0.35">
      <c r="A269" s="20"/>
      <c r="C269" s="20"/>
      <c r="D269" s="20"/>
      <c r="E269" s="20"/>
    </row>
    <row r="270" spans="1:5" x14ac:dyDescent="0.35">
      <c r="A270" s="20"/>
      <c r="C270" s="20"/>
      <c r="D270" s="20"/>
      <c r="E270" s="20"/>
    </row>
    <row r="271" spans="1:5" x14ac:dyDescent="0.35">
      <c r="A271" s="20"/>
      <c r="C271" s="20"/>
      <c r="D271" s="20"/>
      <c r="E271" s="20"/>
    </row>
    <row r="272" spans="1:5" x14ac:dyDescent="0.35">
      <c r="A272" s="20"/>
      <c r="C272" s="20"/>
      <c r="D272" s="20"/>
      <c r="E272" s="20"/>
    </row>
    <row r="273" spans="1:53" x14ac:dyDescent="0.35">
      <c r="A273" s="21"/>
      <c r="B273"/>
      <c r="C273" s="21"/>
      <c r="D273" s="21"/>
      <c r="E273" s="21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U273" s="20"/>
      <c r="AV273"/>
      <c r="AW273"/>
      <c r="AX273" s="20"/>
      <c r="AY273" s="20"/>
      <c r="AZ273"/>
      <c r="BA273" s="28" t="s">
        <v>61</v>
      </c>
    </row>
    <row r="274" spans="1:53" x14ac:dyDescent="0.35">
      <c r="A274" s="21"/>
      <c r="B274"/>
      <c r="C274" s="21"/>
      <c r="D274" s="21"/>
      <c r="E274" s="21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V274"/>
      <c r="AW274"/>
      <c r="AZ274"/>
    </row>
    <row r="275" spans="1:53" x14ac:dyDescent="0.35">
      <c r="A275" s="21"/>
      <c r="B275"/>
      <c r="C275" s="21"/>
      <c r="D275" s="21"/>
      <c r="E275" s="21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V275"/>
      <c r="AW275"/>
      <c r="AZ275"/>
    </row>
    <row r="276" spans="1:53" x14ac:dyDescent="0.35">
      <c r="A276" s="21"/>
      <c r="B276"/>
      <c r="C276" s="21"/>
      <c r="D276" s="21"/>
      <c r="E276" s="21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V276"/>
      <c r="AW276"/>
      <c r="AZ276"/>
    </row>
    <row r="277" spans="1:53" x14ac:dyDescent="0.35">
      <c r="A277" s="21"/>
      <c r="B277"/>
      <c r="C277" s="21"/>
      <c r="D277" s="21"/>
      <c r="E277" s="21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V277"/>
      <c r="AW277"/>
      <c r="AZ277"/>
    </row>
    <row r="278" spans="1:53" x14ac:dyDescent="0.35">
      <c r="A278" s="21"/>
      <c r="B278"/>
      <c r="C278" s="21"/>
      <c r="D278" s="21"/>
      <c r="E278" s="21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V278"/>
      <c r="AW278"/>
      <c r="AZ278"/>
    </row>
    <row r="279" spans="1:53" x14ac:dyDescent="0.35">
      <c r="A279" s="21"/>
      <c r="B279"/>
      <c r="C279" s="21"/>
      <c r="D279" s="21"/>
      <c r="E279" s="21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V279"/>
      <c r="AW279"/>
      <c r="AZ279"/>
    </row>
    <row r="280" spans="1:53" x14ac:dyDescent="0.35">
      <c r="A280" s="21"/>
      <c r="B280"/>
      <c r="C280" s="21"/>
      <c r="D280" s="21"/>
      <c r="E280" s="21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V280"/>
      <c r="AW280"/>
      <c r="AZ280"/>
    </row>
    <row r="281" spans="1:53" x14ac:dyDescent="0.35">
      <c r="A281" s="21"/>
      <c r="B281"/>
      <c r="C281" s="21"/>
      <c r="D281" s="21"/>
      <c r="E281" s="2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V281"/>
      <c r="AW281"/>
      <c r="AZ281"/>
    </row>
    <row r="282" spans="1:53" x14ac:dyDescent="0.35">
      <c r="A282" s="21"/>
      <c r="B282"/>
      <c r="C282" s="21"/>
      <c r="D282" s="21"/>
      <c r="E282" s="21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V282"/>
      <c r="AW282"/>
      <c r="AZ282"/>
    </row>
    <row r="283" spans="1:53" x14ac:dyDescent="0.35">
      <c r="A283" s="21"/>
      <c r="B283"/>
      <c r="C283" s="21"/>
      <c r="D283" s="21"/>
      <c r="E283" s="21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V283"/>
      <c r="AW283"/>
      <c r="AZ283"/>
    </row>
    <row r="284" spans="1:53" x14ac:dyDescent="0.35">
      <c r="A284" s="21"/>
      <c r="B284"/>
      <c r="C284" s="21"/>
      <c r="D284" s="21"/>
      <c r="E284" s="21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V284"/>
      <c r="AW284"/>
      <c r="AZ284"/>
    </row>
    <row r="285" spans="1:53" x14ac:dyDescent="0.35">
      <c r="A285" s="21"/>
      <c r="B285"/>
      <c r="C285" s="21"/>
      <c r="D285" s="21"/>
      <c r="E285" s="21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V285"/>
      <c r="AW285"/>
      <c r="AZ285"/>
    </row>
    <row r="286" spans="1:53" x14ac:dyDescent="0.35">
      <c r="A286" s="21"/>
      <c r="B286"/>
      <c r="C286" s="21"/>
      <c r="D286" s="21"/>
      <c r="E286" s="21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V286"/>
      <c r="AW286"/>
      <c r="AZ286"/>
    </row>
    <row r="287" spans="1:53" x14ac:dyDescent="0.35">
      <c r="A287" s="21"/>
      <c r="B287"/>
      <c r="C287" s="21"/>
      <c r="D287" s="21"/>
      <c r="E287" s="21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V287"/>
      <c r="AW287"/>
      <c r="AZ287"/>
    </row>
    <row r="288" spans="1:53" x14ac:dyDescent="0.35">
      <c r="A288" s="21"/>
      <c r="B288"/>
      <c r="C288" s="21"/>
      <c r="D288" s="21"/>
      <c r="E288" s="21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V288"/>
      <c r="AW288"/>
      <c r="AZ288"/>
    </row>
    <row r="289" spans="1:52" x14ac:dyDescent="0.35">
      <c r="A289" s="21"/>
      <c r="B289"/>
      <c r="C289" s="21"/>
      <c r="D289" s="21"/>
      <c r="E289" s="21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V289"/>
      <c r="AW289"/>
      <c r="AZ289"/>
    </row>
    <row r="290" spans="1:52" x14ac:dyDescent="0.35">
      <c r="A290" s="21"/>
      <c r="B290"/>
      <c r="C290" s="21"/>
      <c r="D290" s="21"/>
      <c r="E290" s="21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V290"/>
      <c r="AW290"/>
      <c r="AZ290"/>
    </row>
    <row r="291" spans="1:52" x14ac:dyDescent="0.35">
      <c r="A291" s="21"/>
      <c r="B291"/>
      <c r="C291" s="21"/>
      <c r="D291" s="21"/>
      <c r="E291" s="2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V291"/>
      <c r="AW291"/>
      <c r="AZ291"/>
    </row>
    <row r="292" spans="1:52" x14ac:dyDescent="0.35">
      <c r="A292" s="21"/>
      <c r="B292"/>
      <c r="C292" s="21"/>
      <c r="D292" s="21"/>
      <c r="E292" s="21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V292"/>
      <c r="AW292"/>
      <c r="AZ292"/>
    </row>
    <row r="293" spans="1:52" x14ac:dyDescent="0.35">
      <c r="A293" s="21"/>
      <c r="B293"/>
      <c r="C293" s="21"/>
      <c r="D293" s="21"/>
      <c r="E293" s="21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V293"/>
      <c r="AW293"/>
      <c r="AZ293"/>
    </row>
    <row r="294" spans="1:52" x14ac:dyDescent="0.35">
      <c r="A294" s="21"/>
      <c r="B294"/>
      <c r="C294" s="21"/>
      <c r="D294" s="21"/>
      <c r="E294" s="21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V294"/>
      <c r="AW294"/>
      <c r="AZ294"/>
    </row>
    <row r="295" spans="1:52" x14ac:dyDescent="0.35">
      <c r="A295" s="21"/>
      <c r="B295"/>
      <c r="C295" s="21"/>
      <c r="D295" s="21"/>
      <c r="E295" s="21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V295"/>
      <c r="AW295"/>
      <c r="AZ295"/>
    </row>
    <row r="296" spans="1:52" x14ac:dyDescent="0.35">
      <c r="A296" s="21"/>
      <c r="B296"/>
      <c r="C296" s="21"/>
      <c r="D296" s="21"/>
      <c r="E296" s="21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V296"/>
      <c r="AW296"/>
      <c r="AZ296"/>
    </row>
    <row r="297" spans="1:52" x14ac:dyDescent="0.35">
      <c r="A297" s="21"/>
      <c r="B297"/>
      <c r="C297" s="21"/>
      <c r="D297" s="21"/>
      <c r="E297" s="21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V297"/>
      <c r="AW297"/>
      <c r="AZ297"/>
    </row>
    <row r="298" spans="1:52" x14ac:dyDescent="0.35">
      <c r="A298" s="21"/>
      <c r="B298"/>
      <c r="C298" s="21"/>
      <c r="D298" s="21"/>
      <c r="E298" s="21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V298"/>
      <c r="AW298"/>
      <c r="AZ298"/>
    </row>
    <row r="299" spans="1:52" x14ac:dyDescent="0.35">
      <c r="A299" s="21"/>
      <c r="B299"/>
      <c r="C299" s="21"/>
      <c r="D299" s="21"/>
      <c r="E299" s="21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V299"/>
      <c r="AW299"/>
      <c r="AZ299"/>
    </row>
    <row r="300" spans="1:52" x14ac:dyDescent="0.35">
      <c r="A300" s="21"/>
      <c r="B300"/>
      <c r="C300" s="21"/>
      <c r="D300" s="21"/>
      <c r="E300" s="21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V300"/>
      <c r="AW300"/>
      <c r="AZ300"/>
    </row>
    <row r="301" spans="1:52" x14ac:dyDescent="0.35">
      <c r="A301" s="21"/>
      <c r="B301"/>
      <c r="C301" s="21"/>
      <c r="D301" s="21"/>
      <c r="E301" s="2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V301"/>
      <c r="AW301"/>
      <c r="AZ301"/>
    </row>
    <row r="302" spans="1:52" x14ac:dyDescent="0.35">
      <c r="A302" s="21"/>
      <c r="B302"/>
      <c r="C302" s="21"/>
      <c r="D302" s="21"/>
      <c r="E302" s="21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V302"/>
      <c r="AW302"/>
      <c r="AZ302"/>
    </row>
    <row r="303" spans="1:52" x14ac:dyDescent="0.35">
      <c r="A303" s="21"/>
      <c r="B303"/>
      <c r="C303" s="21"/>
      <c r="D303" s="21"/>
      <c r="E303" s="21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V303"/>
      <c r="AW303"/>
      <c r="AZ303"/>
    </row>
    <row r="304" spans="1:52" x14ac:dyDescent="0.35">
      <c r="A304" s="21"/>
      <c r="B304"/>
      <c r="C304" s="21"/>
      <c r="D304" s="21"/>
      <c r="E304" s="21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V304"/>
      <c r="AW304"/>
      <c r="AZ304"/>
    </row>
    <row r="305" spans="1:52" x14ac:dyDescent="0.35">
      <c r="A305" s="21"/>
      <c r="B305"/>
      <c r="C305" s="21"/>
      <c r="D305" s="21"/>
      <c r="E305" s="21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V305"/>
      <c r="AW305"/>
      <c r="AZ305"/>
    </row>
    <row r="306" spans="1:52" x14ac:dyDescent="0.35">
      <c r="A306" s="21"/>
      <c r="B306"/>
      <c r="C306" s="21"/>
      <c r="D306" s="21"/>
      <c r="E306" s="21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V306"/>
      <c r="AW306"/>
      <c r="AZ306"/>
    </row>
    <row r="307" spans="1:52" x14ac:dyDescent="0.35">
      <c r="A307" s="21"/>
      <c r="B307"/>
      <c r="C307" s="21"/>
      <c r="D307" s="21"/>
      <c r="E307" s="21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V307"/>
      <c r="AW307"/>
      <c r="AZ307"/>
    </row>
    <row r="308" spans="1:52" x14ac:dyDescent="0.35">
      <c r="A308" s="21"/>
      <c r="B308"/>
      <c r="C308" s="21"/>
      <c r="D308" s="21"/>
      <c r="E308" s="21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V308"/>
      <c r="AW308"/>
      <c r="AZ308"/>
    </row>
    <row r="309" spans="1:52" x14ac:dyDescent="0.35">
      <c r="A309" s="21"/>
      <c r="B309"/>
      <c r="C309" s="21"/>
      <c r="D309" s="21"/>
      <c r="E309" s="21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V309"/>
      <c r="AW309"/>
      <c r="AZ309"/>
    </row>
    <row r="310" spans="1:52" x14ac:dyDescent="0.35">
      <c r="A310" s="21"/>
      <c r="B310"/>
      <c r="C310" s="21"/>
      <c r="D310" s="21"/>
      <c r="E310" s="21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V310"/>
      <c r="AW310"/>
      <c r="AZ310"/>
    </row>
    <row r="311" spans="1:52" x14ac:dyDescent="0.35">
      <c r="A311" s="21"/>
      <c r="B311"/>
      <c r="C311" s="21"/>
      <c r="D311" s="21"/>
      <c r="E311" s="2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V311"/>
      <c r="AW311"/>
      <c r="AZ311"/>
    </row>
    <row r="312" spans="1:52" x14ac:dyDescent="0.35">
      <c r="A312" s="21"/>
      <c r="B312"/>
      <c r="C312" s="21"/>
      <c r="D312" s="21"/>
      <c r="E312" s="21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V312"/>
      <c r="AW312"/>
      <c r="AZ312"/>
    </row>
    <row r="313" spans="1:52" x14ac:dyDescent="0.35">
      <c r="A313" s="21"/>
      <c r="B313"/>
      <c r="C313" s="21"/>
      <c r="D313" s="21"/>
      <c r="E313" s="21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V313"/>
      <c r="AW313"/>
      <c r="AZ313"/>
    </row>
    <row r="314" spans="1:52" x14ac:dyDescent="0.35">
      <c r="A314" s="21"/>
      <c r="B314"/>
      <c r="C314" s="21"/>
      <c r="D314" s="21"/>
      <c r="E314" s="21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V314"/>
      <c r="AW314"/>
      <c r="AZ314"/>
    </row>
    <row r="315" spans="1:52" x14ac:dyDescent="0.35">
      <c r="A315" s="21"/>
      <c r="B315"/>
      <c r="C315" s="21"/>
      <c r="D315" s="21"/>
      <c r="E315" s="21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V315"/>
      <c r="AW315"/>
      <c r="AZ315"/>
    </row>
    <row r="316" spans="1:52" x14ac:dyDescent="0.35">
      <c r="A316" s="21"/>
      <c r="B316"/>
      <c r="C316" s="21"/>
      <c r="D316" s="21"/>
      <c r="E316" s="21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V316"/>
      <c r="AW316"/>
      <c r="AZ316"/>
    </row>
    <row r="317" spans="1:52" x14ac:dyDescent="0.35">
      <c r="A317" s="21"/>
      <c r="B317"/>
      <c r="C317" s="21"/>
      <c r="D317" s="21"/>
      <c r="E317" s="21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V317"/>
      <c r="AW317"/>
      <c r="AZ317"/>
    </row>
    <row r="318" spans="1:52" x14ac:dyDescent="0.35">
      <c r="A318" s="21"/>
      <c r="B318"/>
      <c r="C318" s="21"/>
      <c r="D318" s="21"/>
      <c r="E318" s="21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V318"/>
      <c r="AW318"/>
      <c r="AZ318"/>
    </row>
    <row r="319" spans="1:52" x14ac:dyDescent="0.35">
      <c r="A319" s="21"/>
      <c r="B319"/>
      <c r="C319" s="21"/>
      <c r="D319" s="21"/>
      <c r="E319" s="21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V319"/>
      <c r="AW319"/>
      <c r="AZ319"/>
    </row>
    <row r="320" spans="1:52" x14ac:dyDescent="0.35">
      <c r="A320" s="21"/>
      <c r="B320"/>
      <c r="C320" s="21"/>
      <c r="D320" s="21"/>
      <c r="E320" s="21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V320"/>
      <c r="AW320"/>
      <c r="AZ320"/>
    </row>
    <row r="321" spans="1:53" x14ac:dyDescent="0.35">
      <c r="A321" s="21"/>
      <c r="B321"/>
      <c r="C321" s="21"/>
      <c r="D321" s="21"/>
      <c r="E321" s="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V321"/>
      <c r="AW321"/>
      <c r="AZ321"/>
    </row>
    <row r="322" spans="1:53" x14ac:dyDescent="0.35">
      <c r="A322" s="21"/>
      <c r="B322"/>
      <c r="C322" s="21"/>
      <c r="D322" s="21"/>
      <c r="E322" s="21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V322"/>
      <c r="AW322"/>
      <c r="AZ322"/>
    </row>
    <row r="323" spans="1:53" x14ac:dyDescent="0.35">
      <c r="A323" s="21"/>
      <c r="B323"/>
      <c r="C323" s="21"/>
      <c r="D323" s="21"/>
      <c r="E323" s="21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V323"/>
      <c r="AW323"/>
      <c r="AZ323"/>
    </row>
    <row r="324" spans="1:53" x14ac:dyDescent="0.35">
      <c r="A324" s="21"/>
      <c r="B324"/>
      <c r="C324" s="21"/>
      <c r="D324" s="21"/>
      <c r="E324" s="21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V324"/>
      <c r="AW324"/>
      <c r="AZ324"/>
    </row>
    <row r="325" spans="1:53" x14ac:dyDescent="0.35">
      <c r="A325" s="21"/>
      <c r="B325"/>
      <c r="C325" s="21"/>
      <c r="D325" s="21"/>
      <c r="E325" s="21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V325"/>
      <c r="AW325"/>
      <c r="AZ325"/>
    </row>
    <row r="326" spans="1:53" x14ac:dyDescent="0.35">
      <c r="A326" s="21"/>
      <c r="B326"/>
      <c r="C326" s="21"/>
      <c r="D326" s="21"/>
      <c r="E326" s="21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V326"/>
      <c r="AW326"/>
      <c r="AZ326"/>
    </row>
    <row r="327" spans="1:53" x14ac:dyDescent="0.35">
      <c r="A327" s="21"/>
      <c r="B327"/>
      <c r="C327" s="21"/>
      <c r="D327" s="21"/>
      <c r="E327" s="21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V327"/>
      <c r="AW327"/>
      <c r="AZ327"/>
    </row>
    <row r="328" spans="1:53" x14ac:dyDescent="0.35">
      <c r="A328" s="21"/>
      <c r="B328"/>
      <c r="C328" s="21"/>
      <c r="D328" s="21"/>
      <c r="E328" s="21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V328"/>
      <c r="AW328"/>
      <c r="AZ328"/>
    </row>
    <row r="329" spans="1:53" x14ac:dyDescent="0.35">
      <c r="A329" s="21"/>
      <c r="B329"/>
      <c r="C329" s="21"/>
      <c r="D329" s="21"/>
      <c r="E329" s="21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V329"/>
      <c r="AW329"/>
      <c r="AZ329"/>
    </row>
    <row r="330" spans="1:53" x14ac:dyDescent="0.35">
      <c r="A330" s="21"/>
      <c r="B330"/>
      <c r="C330" s="21"/>
      <c r="D330" s="21"/>
      <c r="E330" s="21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V330"/>
      <c r="AW330"/>
      <c r="AZ330"/>
    </row>
    <row r="331" spans="1:53" x14ac:dyDescent="0.35">
      <c r="A331" s="21"/>
      <c r="B331"/>
      <c r="C331" s="21"/>
      <c r="D331" s="21"/>
      <c r="E331" s="2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V331"/>
      <c r="AW331"/>
      <c r="AZ331"/>
    </row>
    <row r="332" spans="1:53" ht="16" x14ac:dyDescent="0.35">
      <c r="A332" s="21"/>
      <c r="B332" s="52"/>
      <c r="C332" s="21"/>
      <c r="D332" s="53"/>
      <c r="E332" s="53"/>
      <c r="F332" s="52"/>
      <c r="G332" s="52"/>
      <c r="H332" s="52"/>
      <c r="I332" s="73"/>
      <c r="J332" s="73"/>
      <c r="K332" s="73"/>
      <c r="L332" s="73"/>
      <c r="M332" s="73"/>
      <c r="N332" s="52"/>
      <c r="O332" s="52"/>
      <c r="P332" s="52"/>
      <c r="Q332" s="52"/>
      <c r="R332" s="52"/>
      <c r="S332" s="52"/>
      <c r="T332" s="52"/>
      <c r="U332" s="52"/>
      <c r="V332" s="52"/>
      <c r="W332" s="52"/>
      <c r="X332" s="52"/>
      <c r="Y332" s="52"/>
      <c r="Z332" s="52"/>
      <c r="AA332" s="52"/>
      <c r="AB332" s="52"/>
      <c r="AC332" s="52"/>
      <c r="AD332" s="52"/>
      <c r="AE332" s="52"/>
      <c r="AF332" s="52"/>
      <c r="AG332" s="52"/>
      <c r="AH332" s="52"/>
      <c r="AI332" s="52"/>
      <c r="AJ332" s="52"/>
      <c r="AK332" s="52"/>
      <c r="AL332" s="52"/>
      <c r="AM332" s="52"/>
      <c r="AN332" s="52"/>
      <c r="AO332" s="52"/>
      <c r="AP332" s="52"/>
      <c r="AQ332" s="52"/>
      <c r="AR332" s="52"/>
      <c r="AS332" s="52"/>
      <c r="AT332" s="52"/>
      <c r="AU332" s="52"/>
      <c r="AV332" s="52"/>
      <c r="AW332" s="52"/>
      <c r="AX332" s="52"/>
      <c r="AY332" s="52"/>
      <c r="AZ332"/>
      <c r="BA332" s="28" t="s">
        <v>62</v>
      </c>
    </row>
    <row r="333" spans="1:53" ht="16" x14ac:dyDescent="0.35">
      <c r="A333" s="79"/>
      <c r="B333" s="73"/>
      <c r="C333" s="80"/>
      <c r="D333" s="80"/>
      <c r="E333" s="80"/>
      <c r="F333" s="73"/>
      <c r="G333" s="73"/>
      <c r="H333" s="73"/>
      <c r="I333" s="73"/>
      <c r="J333" s="73"/>
      <c r="K333" s="73"/>
      <c r="L333" s="73"/>
      <c r="M333" s="73"/>
      <c r="N333" s="48"/>
      <c r="O333" s="48"/>
      <c r="P333" s="48"/>
      <c r="Q333" s="48"/>
      <c r="R333" s="48"/>
      <c r="S333" s="48"/>
      <c r="T333" s="48"/>
      <c r="U333" s="48"/>
      <c r="V333" s="48"/>
      <c r="W333" s="48"/>
      <c r="X333" s="48"/>
      <c r="Y333" s="48"/>
      <c r="Z333" s="48"/>
      <c r="AA333" s="48"/>
      <c r="AB333" s="48"/>
      <c r="AC333" s="48"/>
      <c r="AD333" s="48"/>
      <c r="AE333" s="48"/>
      <c r="AF333" s="48"/>
      <c r="AG333" s="48"/>
      <c r="AH333" s="48"/>
      <c r="AI333" s="48"/>
      <c r="AJ333" s="48"/>
      <c r="AK333" s="48"/>
      <c r="AL333" s="48"/>
      <c r="AM333" s="48"/>
      <c r="AN333" s="48"/>
      <c r="AO333" s="48"/>
      <c r="AP333" s="48"/>
      <c r="AQ333" s="48"/>
      <c r="AR333" s="48"/>
      <c r="AS333" s="48"/>
      <c r="AT333" s="48"/>
      <c r="AU333" s="48"/>
      <c r="AV333" s="48"/>
      <c r="AW333" s="48"/>
      <c r="AX333" s="48"/>
      <c r="AY333" s="48"/>
      <c r="AZ333"/>
      <c r="BA333" s="28" t="s">
        <v>63</v>
      </c>
    </row>
    <row r="334" spans="1:53" ht="16" x14ac:dyDescent="0.35">
      <c r="A334" s="79"/>
      <c r="B334" s="73"/>
      <c r="C334" s="80"/>
      <c r="D334" s="80"/>
      <c r="E334" s="80"/>
      <c r="F334" s="73"/>
      <c r="G334" s="73"/>
      <c r="H334" s="73"/>
      <c r="I334" s="73"/>
      <c r="J334" s="73"/>
      <c r="K334" s="73"/>
      <c r="L334" s="73"/>
      <c r="M334" s="73"/>
      <c r="N334" s="52"/>
      <c r="O334" s="52"/>
      <c r="P334" s="52"/>
      <c r="Q334" s="52"/>
      <c r="R334" s="52"/>
      <c r="S334" s="52"/>
      <c r="T334" s="52"/>
      <c r="U334" s="52"/>
      <c r="V334" s="52"/>
      <c r="W334" s="52"/>
      <c r="X334" s="52"/>
      <c r="Y334" s="52"/>
      <c r="Z334" s="52"/>
      <c r="AA334" s="52"/>
      <c r="AB334" s="52"/>
      <c r="AC334" s="52"/>
      <c r="AD334" s="52"/>
      <c r="AE334" s="52"/>
      <c r="AF334" s="52"/>
      <c r="AG334" s="52"/>
      <c r="AH334" s="52"/>
      <c r="AI334" s="52"/>
      <c r="AJ334" s="52"/>
      <c r="AK334" s="52"/>
      <c r="AL334" s="52"/>
      <c r="AM334" s="52"/>
      <c r="AN334" s="52"/>
      <c r="AO334" s="52"/>
      <c r="AP334" s="52"/>
      <c r="AQ334" s="52"/>
      <c r="AR334" s="52"/>
      <c r="AS334" s="52"/>
      <c r="AT334" s="52"/>
      <c r="AU334" s="52"/>
      <c r="AV334" s="52"/>
      <c r="AW334" s="52"/>
      <c r="AX334" s="52"/>
      <c r="AY334" s="52"/>
      <c r="AZ334"/>
      <c r="BA334" s="19" t="s">
        <v>64</v>
      </c>
    </row>
    <row r="335" spans="1:53" ht="16" x14ac:dyDescent="0.35">
      <c r="A335" s="79"/>
      <c r="B335" s="73"/>
      <c r="C335" s="80"/>
      <c r="D335" s="80"/>
      <c r="E335" s="80"/>
      <c r="F335" s="73"/>
      <c r="G335" s="73"/>
      <c r="H335" s="73"/>
      <c r="I335" s="73"/>
      <c r="J335" s="73"/>
      <c r="K335" s="73"/>
      <c r="L335" s="73"/>
      <c r="M335" s="73"/>
      <c r="N335" s="48"/>
      <c r="O335" s="48"/>
      <c r="P335" s="48"/>
      <c r="Q335" s="48"/>
      <c r="R335" s="48"/>
      <c r="S335" s="48"/>
      <c r="T335" s="48"/>
      <c r="U335" s="48"/>
      <c r="V335" s="48"/>
      <c r="W335" s="48"/>
      <c r="X335" s="48"/>
      <c r="Y335" s="48"/>
      <c r="Z335" s="48"/>
      <c r="AA335" s="48"/>
      <c r="AB335" s="48"/>
      <c r="AC335" s="48"/>
      <c r="AD335" s="48"/>
      <c r="AE335" s="48"/>
      <c r="AF335" s="48"/>
      <c r="AG335" s="48"/>
      <c r="AH335" s="48"/>
      <c r="AI335" s="48"/>
      <c r="AJ335" s="48"/>
      <c r="AK335" s="48"/>
      <c r="AL335" s="48"/>
      <c r="AM335" s="48"/>
      <c r="AN335" s="48"/>
      <c r="AO335" s="48"/>
      <c r="AP335" s="48"/>
      <c r="AQ335" s="48"/>
      <c r="AR335" s="48"/>
      <c r="AS335" s="48"/>
      <c r="AT335" s="48"/>
      <c r="AU335" s="48"/>
      <c r="AV335" s="48"/>
      <c r="AW335" s="48"/>
      <c r="AX335" s="48"/>
      <c r="AY335" s="48"/>
      <c r="AZ335" s="50"/>
      <c r="BA335" s="19" t="s">
        <v>65</v>
      </c>
    </row>
    <row r="336" spans="1:53" ht="16" x14ac:dyDescent="0.35">
      <c r="A336" s="61"/>
      <c r="B336" s="52"/>
      <c r="C336" s="53"/>
      <c r="D336" s="53"/>
      <c r="E336" s="53"/>
      <c r="F336" s="52"/>
      <c r="G336" s="52"/>
      <c r="H336" s="52"/>
      <c r="I336" s="52"/>
      <c r="J336" s="52"/>
      <c r="K336" s="52"/>
      <c r="L336" s="52"/>
      <c r="M336" s="52"/>
      <c r="N336" s="52"/>
      <c r="O336" s="52"/>
      <c r="P336" s="52"/>
      <c r="Q336" s="52"/>
      <c r="R336" s="52"/>
      <c r="S336" s="52"/>
      <c r="T336" s="52"/>
      <c r="U336" s="52"/>
      <c r="V336" s="52"/>
      <c r="W336" s="52"/>
      <c r="X336" s="52"/>
      <c r="Y336" s="52"/>
      <c r="Z336" s="52"/>
      <c r="AA336" s="52"/>
      <c r="AB336" s="52"/>
      <c r="AC336" s="52"/>
      <c r="AD336" s="52"/>
      <c r="AE336" s="52"/>
      <c r="AF336" s="52"/>
      <c r="AG336" s="52"/>
      <c r="AH336" s="52"/>
      <c r="AI336" s="52"/>
      <c r="AJ336" s="52"/>
      <c r="AK336" s="52"/>
      <c r="AL336" s="52"/>
      <c r="AM336" s="52"/>
      <c r="AN336" s="52"/>
      <c r="AO336" s="52"/>
      <c r="AP336" s="52"/>
      <c r="AQ336" s="52"/>
      <c r="AR336" s="52"/>
      <c r="AS336" s="52"/>
      <c r="AT336" s="52"/>
      <c r="AU336" s="52"/>
      <c r="AV336" s="52"/>
      <c r="AW336" s="52"/>
      <c r="AX336" s="52"/>
      <c r="AY336" s="52"/>
      <c r="AZ336" s="54"/>
    </row>
    <row r="337" spans="1:52" ht="16" x14ac:dyDescent="0.35">
      <c r="A337" s="60"/>
      <c r="B337" s="48"/>
      <c r="C337" s="49"/>
      <c r="D337" s="49"/>
      <c r="E337" s="49"/>
      <c r="F337" s="48"/>
      <c r="G337" s="48"/>
      <c r="H337" s="48"/>
      <c r="I337" s="48"/>
      <c r="J337" s="48"/>
      <c r="K337" s="48"/>
      <c r="L337" s="48"/>
      <c r="M337" s="48"/>
      <c r="N337" s="48"/>
      <c r="O337" s="48"/>
      <c r="P337" s="48"/>
      <c r="Q337" s="48"/>
      <c r="R337" s="48"/>
      <c r="S337" s="48"/>
      <c r="T337" s="48"/>
      <c r="U337" s="48"/>
      <c r="V337" s="48"/>
      <c r="W337" s="48"/>
      <c r="X337" s="48"/>
      <c r="Y337" s="48"/>
      <c r="Z337" s="48"/>
      <c r="AA337" s="48"/>
      <c r="AB337" s="48"/>
      <c r="AC337" s="48"/>
      <c r="AD337" s="48"/>
      <c r="AE337" s="48"/>
      <c r="AF337" s="48"/>
      <c r="AG337" s="48"/>
      <c r="AH337" s="48"/>
      <c r="AI337" s="48"/>
      <c r="AJ337" s="48"/>
      <c r="AK337" s="48"/>
      <c r="AL337" s="48"/>
      <c r="AM337" s="48"/>
      <c r="AN337" s="48"/>
      <c r="AO337" s="48"/>
      <c r="AP337" s="48"/>
      <c r="AQ337" s="48"/>
      <c r="AR337" s="48"/>
      <c r="AS337" s="48"/>
      <c r="AT337" s="48"/>
      <c r="AU337" s="48"/>
      <c r="AV337" s="48"/>
      <c r="AW337" s="48"/>
      <c r="AX337" s="48"/>
      <c r="AY337" s="48"/>
      <c r="AZ337" s="50"/>
    </row>
    <row r="338" spans="1:52" ht="16" x14ac:dyDescent="0.35">
      <c r="A338" s="61"/>
      <c r="B338" s="52"/>
      <c r="C338" s="53"/>
      <c r="D338" s="53"/>
      <c r="E338" s="53"/>
      <c r="F338" s="52"/>
      <c r="G338" s="52"/>
      <c r="H338" s="52"/>
      <c r="I338" s="52"/>
      <c r="J338" s="52"/>
      <c r="K338" s="52"/>
      <c r="L338" s="52"/>
      <c r="M338" s="52"/>
      <c r="N338" s="52"/>
      <c r="O338" s="52"/>
      <c r="P338" s="52"/>
      <c r="Q338" s="52"/>
      <c r="R338" s="52"/>
      <c r="S338" s="52"/>
      <c r="T338" s="52"/>
      <c r="U338" s="52"/>
      <c r="V338" s="52"/>
      <c r="W338" s="52"/>
      <c r="X338" s="52"/>
      <c r="Y338" s="52"/>
      <c r="Z338" s="52"/>
      <c r="AA338" s="52"/>
      <c r="AB338" s="52"/>
      <c r="AC338" s="52"/>
      <c r="AD338" s="52"/>
      <c r="AE338" s="52"/>
      <c r="AF338" s="52"/>
      <c r="AG338" s="52"/>
      <c r="AH338" s="52"/>
      <c r="AI338" s="52"/>
      <c r="AJ338" s="52"/>
      <c r="AK338" s="52"/>
      <c r="AL338" s="52"/>
      <c r="AM338" s="52"/>
      <c r="AN338" s="52"/>
      <c r="AO338" s="52"/>
      <c r="AP338" s="52"/>
      <c r="AQ338" s="52"/>
      <c r="AR338" s="52"/>
      <c r="AS338" s="52"/>
      <c r="AT338" s="52"/>
      <c r="AU338" s="52"/>
      <c r="AV338" s="52"/>
      <c r="AW338" s="52"/>
      <c r="AX338" s="52"/>
      <c r="AY338" s="52"/>
      <c r="AZ338" s="54"/>
    </row>
    <row r="339" spans="1:52" ht="16" x14ac:dyDescent="0.35">
      <c r="A339" s="60"/>
      <c r="B339" s="48"/>
      <c r="C339" s="49"/>
      <c r="D339" s="49"/>
      <c r="E339" s="49"/>
      <c r="F339" s="48"/>
      <c r="G339" s="48"/>
      <c r="H339" s="48"/>
      <c r="I339" s="48"/>
      <c r="J339" s="48"/>
      <c r="K339" s="48"/>
      <c r="L339" s="48"/>
      <c r="M339" s="48"/>
      <c r="N339" s="48"/>
      <c r="O339" s="48"/>
      <c r="P339" s="48"/>
      <c r="Q339" s="48"/>
      <c r="R339" s="48"/>
      <c r="S339" s="48"/>
      <c r="T339" s="48"/>
      <c r="U339" s="48"/>
      <c r="V339" s="48"/>
      <c r="W339" s="48"/>
      <c r="X339" s="48"/>
      <c r="Y339" s="48"/>
      <c r="Z339" s="48"/>
      <c r="AA339" s="48"/>
      <c r="AB339" s="48"/>
      <c r="AC339" s="48"/>
      <c r="AD339" s="48"/>
      <c r="AE339" s="48"/>
      <c r="AF339" s="48"/>
      <c r="AG339" s="48"/>
      <c r="AH339" s="48"/>
      <c r="AI339" s="48"/>
      <c r="AJ339" s="48"/>
      <c r="AK339" s="48"/>
      <c r="AL339" s="48"/>
      <c r="AM339" s="48"/>
      <c r="AN339" s="48"/>
      <c r="AO339" s="48"/>
      <c r="AP339" s="48"/>
      <c r="AQ339" s="48"/>
      <c r="AR339" s="48"/>
      <c r="AS339" s="48"/>
      <c r="AT339" s="48"/>
      <c r="AU339" s="48"/>
      <c r="AV339" s="48"/>
      <c r="AW339" s="48"/>
      <c r="AX339" s="48"/>
      <c r="AY339" s="48"/>
      <c r="AZ339" s="50"/>
    </row>
    <row r="340" spans="1:52" ht="16" x14ac:dyDescent="0.35">
      <c r="A340" s="61"/>
      <c r="B340" s="52"/>
      <c r="C340" s="53"/>
      <c r="D340" s="53"/>
      <c r="E340" s="53"/>
      <c r="F340" s="52"/>
      <c r="G340" s="52"/>
      <c r="H340" s="52"/>
      <c r="I340" s="52"/>
      <c r="J340" s="52"/>
      <c r="K340" s="52"/>
      <c r="L340" s="52"/>
      <c r="M340" s="52"/>
      <c r="N340" s="52"/>
      <c r="O340" s="52"/>
      <c r="P340" s="52"/>
      <c r="Q340" s="52"/>
      <c r="R340" s="52"/>
      <c r="S340" s="52"/>
      <c r="T340" s="52"/>
      <c r="U340" s="52"/>
      <c r="V340" s="52"/>
      <c r="W340" s="52"/>
      <c r="X340" s="52"/>
      <c r="Y340" s="52"/>
      <c r="Z340" s="52"/>
      <c r="AA340" s="52"/>
      <c r="AB340" s="52"/>
      <c r="AC340" s="52"/>
      <c r="AD340" s="52"/>
      <c r="AE340" s="52"/>
      <c r="AF340" s="52"/>
      <c r="AG340" s="52"/>
      <c r="AH340" s="52"/>
      <c r="AI340" s="52"/>
      <c r="AJ340" s="52"/>
      <c r="AK340" s="52"/>
      <c r="AL340" s="52"/>
      <c r="AM340" s="52"/>
      <c r="AN340" s="52"/>
      <c r="AO340" s="52"/>
      <c r="AP340" s="52"/>
      <c r="AQ340" s="52"/>
      <c r="AR340" s="52"/>
      <c r="AS340" s="52"/>
      <c r="AT340" s="52"/>
      <c r="AU340" s="52"/>
      <c r="AV340" s="52"/>
      <c r="AW340" s="52"/>
      <c r="AX340" s="52"/>
      <c r="AY340" s="52"/>
      <c r="AZ340" s="54"/>
    </row>
    <row r="341" spans="1:52" ht="16" x14ac:dyDescent="0.35">
      <c r="A341" s="60"/>
      <c r="B341" s="48"/>
      <c r="C341" s="49"/>
      <c r="D341" s="49"/>
      <c r="E341" s="49"/>
      <c r="F341" s="48"/>
      <c r="G341" s="48"/>
      <c r="H341" s="48"/>
      <c r="I341" s="48"/>
      <c r="J341" s="48"/>
      <c r="K341" s="48"/>
      <c r="L341" s="48"/>
      <c r="M341" s="48"/>
      <c r="N341" s="48"/>
      <c r="O341" s="48"/>
      <c r="P341" s="48"/>
      <c r="Q341" s="48"/>
      <c r="R341" s="48"/>
      <c r="S341" s="48"/>
      <c r="T341" s="48"/>
      <c r="U341" s="48"/>
      <c r="V341" s="48"/>
      <c r="W341" s="48"/>
      <c r="X341" s="48"/>
      <c r="Y341" s="48"/>
      <c r="Z341" s="48"/>
      <c r="AA341" s="48"/>
      <c r="AB341" s="48"/>
      <c r="AC341" s="48"/>
      <c r="AD341" s="48"/>
      <c r="AE341" s="48"/>
      <c r="AF341" s="48"/>
      <c r="AG341" s="48"/>
      <c r="AH341" s="48"/>
      <c r="AI341" s="48"/>
      <c r="AJ341" s="48"/>
      <c r="AK341" s="48"/>
      <c r="AL341" s="48"/>
      <c r="AM341" s="48"/>
      <c r="AN341" s="48"/>
      <c r="AO341" s="48"/>
      <c r="AP341" s="48"/>
      <c r="AQ341" s="48"/>
      <c r="AR341" s="48"/>
      <c r="AS341" s="48"/>
      <c r="AT341" s="48"/>
      <c r="AU341" s="48"/>
      <c r="AV341" s="48"/>
      <c r="AW341" s="48"/>
      <c r="AX341" s="48"/>
      <c r="AY341" s="48"/>
      <c r="AZ341" s="50"/>
    </row>
    <row r="342" spans="1:52" ht="16" x14ac:dyDescent="0.35">
      <c r="A342" s="61"/>
      <c r="B342" s="52"/>
      <c r="C342" s="53"/>
      <c r="D342" s="53"/>
      <c r="E342" s="53"/>
      <c r="F342" s="52"/>
      <c r="G342" s="52"/>
      <c r="H342" s="52"/>
      <c r="I342" s="52"/>
      <c r="J342" s="52"/>
      <c r="K342" s="52"/>
      <c r="L342" s="52"/>
      <c r="M342" s="52"/>
      <c r="N342" s="52"/>
      <c r="O342" s="52"/>
      <c r="P342" s="52"/>
      <c r="Q342" s="52"/>
      <c r="R342" s="52"/>
      <c r="S342" s="52"/>
      <c r="T342" s="52"/>
      <c r="U342" s="52"/>
      <c r="V342" s="52"/>
      <c r="W342" s="52"/>
      <c r="X342" s="52"/>
      <c r="Y342" s="52"/>
      <c r="Z342" s="52"/>
      <c r="AA342" s="52"/>
      <c r="AB342" s="52"/>
      <c r="AC342" s="52"/>
      <c r="AD342" s="52"/>
      <c r="AE342" s="52"/>
      <c r="AF342" s="52"/>
      <c r="AG342" s="52"/>
      <c r="AH342" s="52"/>
      <c r="AI342" s="52"/>
      <c r="AJ342" s="52"/>
      <c r="AK342" s="52"/>
      <c r="AL342" s="52"/>
      <c r="AM342" s="52"/>
      <c r="AN342" s="52"/>
      <c r="AO342" s="52"/>
      <c r="AP342" s="52"/>
      <c r="AQ342" s="52"/>
      <c r="AR342" s="52"/>
      <c r="AS342" s="52"/>
      <c r="AT342" s="52"/>
      <c r="AU342" s="52"/>
      <c r="AV342" s="52"/>
      <c r="AW342" s="52"/>
      <c r="AX342" s="52"/>
      <c r="AY342" s="52"/>
      <c r="AZ342" s="54"/>
    </row>
    <row r="343" spans="1:52" ht="16" x14ac:dyDescent="0.35">
      <c r="A343" s="60"/>
      <c r="B343" s="48"/>
      <c r="C343" s="49"/>
      <c r="D343" s="49"/>
      <c r="E343" s="49"/>
      <c r="F343" s="48"/>
      <c r="G343" s="48"/>
      <c r="H343" s="48"/>
      <c r="I343" s="48"/>
      <c r="J343" s="48"/>
      <c r="K343" s="48"/>
      <c r="L343" s="48"/>
      <c r="M343" s="48"/>
      <c r="N343" s="48"/>
      <c r="O343" s="48"/>
      <c r="P343" s="48"/>
      <c r="Q343" s="48"/>
      <c r="R343" s="48"/>
      <c r="S343" s="48"/>
      <c r="T343" s="48"/>
      <c r="U343" s="48"/>
      <c r="V343" s="48"/>
      <c r="W343" s="48"/>
      <c r="X343" s="48"/>
      <c r="Y343" s="48"/>
      <c r="Z343" s="48"/>
      <c r="AA343" s="48"/>
      <c r="AB343" s="48"/>
      <c r="AC343" s="48"/>
      <c r="AD343" s="48"/>
      <c r="AE343" s="48"/>
      <c r="AF343" s="48"/>
      <c r="AG343" s="48"/>
      <c r="AH343" s="48"/>
      <c r="AI343" s="48"/>
      <c r="AJ343" s="48"/>
      <c r="AK343" s="48"/>
      <c r="AL343" s="48"/>
      <c r="AM343" s="48"/>
      <c r="AN343" s="48"/>
      <c r="AO343" s="48"/>
      <c r="AP343" s="48"/>
      <c r="AQ343" s="48"/>
      <c r="AR343" s="48"/>
      <c r="AS343" s="48"/>
      <c r="AT343" s="48"/>
      <c r="AU343" s="48"/>
      <c r="AV343" s="48"/>
      <c r="AW343" s="48"/>
      <c r="AX343" s="48"/>
      <c r="AY343" s="48"/>
      <c r="AZ343" s="50"/>
    </row>
    <row r="344" spans="1:52" ht="16" x14ac:dyDescent="0.35">
      <c r="A344" s="61"/>
      <c r="B344" s="52"/>
      <c r="C344" s="53"/>
      <c r="D344" s="53"/>
      <c r="E344" s="53"/>
      <c r="F344" s="52"/>
      <c r="G344" s="52"/>
      <c r="H344" s="52"/>
      <c r="I344" s="52"/>
      <c r="J344" s="52"/>
      <c r="K344" s="52"/>
      <c r="L344" s="52"/>
      <c r="M344" s="52"/>
      <c r="N344" s="52"/>
      <c r="O344" s="52"/>
      <c r="P344" s="52"/>
      <c r="Q344" s="52"/>
      <c r="R344" s="52"/>
      <c r="S344" s="52"/>
      <c r="T344" s="52"/>
      <c r="U344" s="52"/>
      <c r="V344" s="52"/>
      <c r="W344" s="52"/>
      <c r="X344" s="52"/>
      <c r="Y344" s="52"/>
      <c r="Z344" s="52"/>
      <c r="AA344" s="52"/>
      <c r="AB344" s="52"/>
      <c r="AC344" s="52"/>
      <c r="AD344" s="52"/>
      <c r="AE344" s="52"/>
      <c r="AF344" s="52"/>
      <c r="AG344" s="52"/>
      <c r="AH344" s="52"/>
      <c r="AI344" s="52"/>
      <c r="AJ344" s="52"/>
      <c r="AK344" s="52"/>
      <c r="AL344" s="52"/>
      <c r="AM344" s="52"/>
      <c r="AN344" s="52"/>
      <c r="AO344" s="52"/>
      <c r="AP344" s="52"/>
      <c r="AQ344" s="52"/>
      <c r="AR344" s="52"/>
      <c r="AS344" s="52"/>
      <c r="AT344" s="52"/>
      <c r="AU344" s="52"/>
      <c r="AV344" s="52"/>
      <c r="AW344" s="52"/>
      <c r="AX344" s="52"/>
      <c r="AY344" s="52"/>
      <c r="AZ344" s="54"/>
    </row>
    <row r="345" spans="1:52" ht="16" x14ac:dyDescent="0.35">
      <c r="A345" s="60"/>
      <c r="B345" s="48"/>
      <c r="C345" s="49"/>
      <c r="D345" s="49"/>
      <c r="E345" s="49"/>
      <c r="F345" s="48"/>
      <c r="G345" s="48"/>
      <c r="H345" s="48"/>
      <c r="I345" s="48"/>
      <c r="J345" s="48"/>
      <c r="K345" s="48"/>
      <c r="L345" s="48"/>
      <c r="M345" s="48"/>
      <c r="N345" s="48"/>
      <c r="O345" s="48"/>
      <c r="P345" s="48"/>
      <c r="Q345" s="48"/>
      <c r="R345" s="48"/>
      <c r="S345" s="48"/>
      <c r="T345" s="48"/>
      <c r="U345" s="48"/>
      <c r="V345" s="48"/>
      <c r="W345" s="48"/>
      <c r="X345" s="48"/>
      <c r="Y345" s="48"/>
      <c r="Z345" s="48"/>
      <c r="AA345" s="48"/>
      <c r="AB345" s="48"/>
      <c r="AC345" s="48"/>
      <c r="AD345" s="48"/>
      <c r="AE345" s="48"/>
      <c r="AF345" s="48"/>
      <c r="AG345" s="48"/>
      <c r="AH345" s="48"/>
      <c r="AI345" s="48"/>
      <c r="AJ345" s="48"/>
      <c r="AK345" s="48"/>
      <c r="AL345" s="48"/>
      <c r="AM345" s="48"/>
      <c r="AN345" s="48"/>
      <c r="AO345" s="48"/>
      <c r="AP345" s="48"/>
      <c r="AQ345" s="48"/>
      <c r="AR345" s="48"/>
      <c r="AS345" s="48"/>
      <c r="AT345" s="48"/>
      <c r="AU345" s="48"/>
      <c r="AV345" s="48"/>
      <c r="AW345" s="48"/>
      <c r="AX345" s="48"/>
      <c r="AY345" s="48"/>
      <c r="AZ345" s="50"/>
    </row>
    <row r="346" spans="1:52" ht="16" x14ac:dyDescent="0.35">
      <c r="A346" s="61"/>
      <c r="B346" s="52"/>
      <c r="C346" s="53"/>
      <c r="D346" s="53"/>
      <c r="E346" s="53"/>
      <c r="F346" s="52"/>
      <c r="G346" s="52"/>
      <c r="H346" s="52"/>
      <c r="I346" s="52"/>
      <c r="J346" s="52"/>
      <c r="K346" s="52"/>
      <c r="L346" s="52"/>
      <c r="M346" s="52"/>
      <c r="N346" s="52"/>
      <c r="O346" s="52"/>
      <c r="P346" s="52"/>
      <c r="Q346" s="52"/>
      <c r="R346" s="52"/>
      <c r="S346" s="52"/>
      <c r="T346" s="52"/>
      <c r="U346" s="52"/>
      <c r="V346" s="52"/>
      <c r="W346" s="52"/>
      <c r="X346" s="52"/>
      <c r="Y346" s="52"/>
      <c r="Z346" s="52"/>
      <c r="AA346" s="52"/>
      <c r="AB346" s="52"/>
      <c r="AC346" s="52"/>
      <c r="AD346" s="52"/>
      <c r="AE346" s="52"/>
      <c r="AF346" s="52"/>
      <c r="AG346" s="52"/>
      <c r="AH346" s="52"/>
      <c r="AI346" s="52"/>
      <c r="AJ346" s="52"/>
      <c r="AK346" s="52"/>
      <c r="AL346" s="52"/>
      <c r="AM346" s="52"/>
      <c r="AN346" s="52"/>
      <c r="AO346" s="52"/>
      <c r="AP346" s="52"/>
      <c r="AQ346" s="52"/>
      <c r="AR346" s="52"/>
      <c r="AS346" s="52"/>
      <c r="AT346" s="52"/>
      <c r="AU346" s="52"/>
      <c r="AV346" s="52"/>
      <c r="AW346" s="52"/>
      <c r="AX346" s="52"/>
      <c r="AY346" s="52"/>
      <c r="AZ346" s="54"/>
    </row>
    <row r="347" spans="1:52" ht="16" x14ac:dyDescent="0.35">
      <c r="A347" s="60"/>
      <c r="B347" s="48"/>
      <c r="C347" s="49"/>
      <c r="D347" s="49"/>
      <c r="E347" s="49"/>
      <c r="F347" s="48"/>
      <c r="G347" s="48"/>
      <c r="H347" s="48"/>
      <c r="I347" s="48"/>
      <c r="J347" s="48"/>
      <c r="K347" s="48"/>
      <c r="L347" s="48"/>
      <c r="M347" s="48"/>
      <c r="N347" s="48"/>
      <c r="O347" s="48"/>
      <c r="P347" s="48"/>
      <c r="Q347" s="48"/>
      <c r="R347" s="48"/>
      <c r="S347" s="48"/>
      <c r="T347" s="48"/>
      <c r="U347" s="48"/>
      <c r="V347" s="48"/>
      <c r="W347" s="48"/>
      <c r="X347" s="48"/>
      <c r="Y347" s="48"/>
      <c r="Z347" s="48"/>
      <c r="AA347" s="48"/>
      <c r="AB347" s="48"/>
      <c r="AC347" s="48"/>
      <c r="AD347" s="48"/>
      <c r="AE347" s="48"/>
      <c r="AF347" s="48"/>
      <c r="AG347" s="48"/>
      <c r="AH347" s="48"/>
      <c r="AI347" s="48"/>
      <c r="AJ347" s="48"/>
      <c r="AK347" s="48"/>
      <c r="AL347" s="48"/>
      <c r="AM347" s="48"/>
      <c r="AN347" s="48"/>
      <c r="AO347" s="48"/>
      <c r="AP347" s="48"/>
      <c r="AQ347" s="48"/>
      <c r="AR347" s="48"/>
      <c r="AS347" s="48"/>
      <c r="AT347" s="48"/>
      <c r="AU347" s="48"/>
      <c r="AV347" s="48"/>
      <c r="AW347" s="48"/>
      <c r="AX347" s="48"/>
      <c r="AY347" s="48"/>
      <c r="AZ347" s="50"/>
    </row>
    <row r="348" spans="1:52" ht="16" x14ac:dyDescent="0.35">
      <c r="A348" s="61"/>
      <c r="B348" s="52"/>
      <c r="C348" s="53"/>
      <c r="D348" s="53"/>
      <c r="E348" s="53"/>
      <c r="F348" s="52"/>
      <c r="G348" s="52"/>
      <c r="H348" s="52"/>
      <c r="I348" s="52"/>
      <c r="J348" s="52"/>
      <c r="K348" s="52"/>
      <c r="L348" s="52"/>
      <c r="M348" s="52"/>
      <c r="N348" s="52"/>
      <c r="O348" s="52"/>
      <c r="P348" s="52"/>
      <c r="Q348" s="52"/>
      <c r="R348" s="52"/>
      <c r="S348" s="52"/>
      <c r="T348" s="52"/>
      <c r="U348" s="52"/>
      <c r="V348" s="52"/>
      <c r="W348" s="52"/>
      <c r="X348" s="52"/>
      <c r="Y348" s="52"/>
      <c r="Z348" s="52"/>
      <c r="AA348" s="52"/>
      <c r="AB348" s="52"/>
      <c r="AC348" s="52"/>
      <c r="AD348" s="52"/>
      <c r="AE348" s="52"/>
      <c r="AF348" s="52"/>
      <c r="AG348" s="52"/>
      <c r="AH348" s="52"/>
      <c r="AI348" s="52"/>
      <c r="AJ348" s="52"/>
      <c r="AK348" s="52"/>
      <c r="AL348" s="52"/>
      <c r="AM348" s="52"/>
      <c r="AN348" s="52"/>
      <c r="AO348" s="52"/>
      <c r="AP348" s="52"/>
      <c r="AQ348" s="52"/>
      <c r="AR348" s="52"/>
      <c r="AS348" s="52"/>
      <c r="AT348" s="52"/>
      <c r="AU348" s="52"/>
      <c r="AV348" s="52"/>
      <c r="AW348" s="52"/>
      <c r="AX348" s="52"/>
      <c r="AY348" s="52"/>
      <c r="AZ348" s="54"/>
    </row>
    <row r="349" spans="1:52" ht="16" x14ac:dyDescent="0.35">
      <c r="A349" s="60"/>
      <c r="B349" s="48"/>
      <c r="C349" s="49"/>
      <c r="D349" s="49"/>
      <c r="E349" s="49"/>
      <c r="F349" s="48"/>
      <c r="G349" s="48"/>
      <c r="H349" s="48"/>
      <c r="I349" s="48"/>
      <c r="J349" s="48"/>
      <c r="K349" s="48"/>
      <c r="L349" s="48"/>
      <c r="M349" s="48"/>
      <c r="N349" s="48"/>
      <c r="O349" s="48"/>
      <c r="P349" s="48"/>
      <c r="Q349" s="48"/>
      <c r="R349" s="48"/>
      <c r="S349" s="48"/>
      <c r="T349" s="48"/>
      <c r="U349" s="48"/>
      <c r="V349" s="48"/>
      <c r="W349" s="48"/>
      <c r="X349" s="48"/>
      <c r="Y349" s="48"/>
      <c r="Z349" s="48"/>
      <c r="AA349" s="48"/>
      <c r="AB349" s="48"/>
      <c r="AC349" s="48"/>
      <c r="AD349" s="48"/>
      <c r="AE349" s="48"/>
      <c r="AF349" s="48"/>
      <c r="AG349" s="48"/>
      <c r="AH349" s="48"/>
      <c r="AI349" s="48"/>
      <c r="AJ349" s="48"/>
      <c r="AK349" s="48"/>
      <c r="AL349" s="48"/>
      <c r="AM349" s="48"/>
      <c r="AN349" s="48"/>
      <c r="AO349" s="48"/>
      <c r="AP349" s="48"/>
      <c r="AQ349" s="48"/>
      <c r="AR349" s="48"/>
      <c r="AS349" s="48"/>
      <c r="AT349" s="48"/>
      <c r="AU349" s="48"/>
      <c r="AV349" s="48"/>
      <c r="AW349" s="48"/>
      <c r="AX349" s="48"/>
      <c r="AY349" s="48"/>
      <c r="AZ349" s="50"/>
    </row>
    <row r="350" spans="1:52" ht="16" x14ac:dyDescent="0.35">
      <c r="A350" s="61"/>
      <c r="B350" s="52"/>
      <c r="C350" s="53"/>
      <c r="D350" s="53"/>
      <c r="E350" s="53"/>
      <c r="F350" s="52"/>
      <c r="G350" s="52"/>
      <c r="H350" s="52"/>
      <c r="I350" s="52"/>
      <c r="J350" s="52"/>
      <c r="K350" s="52"/>
      <c r="L350" s="52"/>
      <c r="M350" s="52"/>
      <c r="N350" s="52"/>
      <c r="O350" s="52"/>
      <c r="P350" s="52"/>
      <c r="Q350" s="52"/>
      <c r="R350" s="52"/>
      <c r="S350" s="52"/>
      <c r="T350" s="52"/>
      <c r="U350" s="52"/>
      <c r="V350" s="52"/>
      <c r="W350" s="52"/>
      <c r="X350" s="52"/>
      <c r="Y350" s="52"/>
      <c r="Z350" s="52"/>
      <c r="AA350" s="52"/>
      <c r="AB350" s="52"/>
      <c r="AC350" s="52"/>
      <c r="AD350" s="52"/>
      <c r="AE350" s="52"/>
      <c r="AF350" s="52"/>
      <c r="AG350" s="52"/>
      <c r="AH350" s="52"/>
      <c r="AI350" s="52"/>
      <c r="AJ350" s="52"/>
      <c r="AK350" s="52"/>
      <c r="AL350" s="52"/>
      <c r="AM350" s="52"/>
      <c r="AN350" s="52"/>
      <c r="AO350" s="52"/>
      <c r="AP350" s="52"/>
      <c r="AQ350" s="52"/>
      <c r="AR350" s="52"/>
      <c r="AS350" s="52"/>
      <c r="AT350" s="52"/>
      <c r="AU350" s="52"/>
      <c r="AV350" s="52"/>
      <c r="AW350" s="52"/>
      <c r="AX350" s="52"/>
      <c r="AY350" s="52"/>
      <c r="AZ350" s="54"/>
    </row>
    <row r="351" spans="1:52" ht="16" x14ac:dyDescent="0.35">
      <c r="A351" s="60"/>
      <c r="B351" s="48"/>
      <c r="C351" s="49"/>
      <c r="D351" s="49"/>
      <c r="E351" s="49"/>
      <c r="F351" s="48"/>
      <c r="G351" s="48"/>
      <c r="H351" s="48"/>
      <c r="I351" s="48"/>
      <c r="J351" s="48"/>
      <c r="K351" s="48"/>
      <c r="L351" s="48"/>
      <c r="M351" s="48"/>
      <c r="N351" s="48"/>
      <c r="O351" s="48"/>
      <c r="P351" s="48"/>
      <c r="Q351" s="48"/>
      <c r="R351" s="48"/>
      <c r="S351" s="48"/>
      <c r="T351" s="48"/>
      <c r="U351" s="48"/>
      <c r="V351" s="48"/>
      <c r="W351" s="48"/>
      <c r="X351" s="48"/>
      <c r="Y351" s="48"/>
      <c r="Z351" s="48"/>
      <c r="AA351" s="48"/>
      <c r="AB351" s="48"/>
      <c r="AC351" s="48"/>
      <c r="AD351" s="48"/>
      <c r="AE351" s="48"/>
      <c r="AF351" s="48"/>
      <c r="AG351" s="48"/>
      <c r="AH351" s="48"/>
      <c r="AI351" s="48"/>
      <c r="AJ351" s="48"/>
      <c r="AK351" s="48"/>
      <c r="AL351" s="48"/>
      <c r="AM351" s="48"/>
      <c r="AN351" s="48"/>
      <c r="AO351" s="48"/>
      <c r="AP351" s="48"/>
      <c r="AQ351" s="48"/>
      <c r="AR351" s="48"/>
      <c r="AS351" s="48"/>
      <c r="AT351" s="48"/>
      <c r="AU351" s="48"/>
      <c r="AV351" s="48"/>
      <c r="AW351" s="48"/>
      <c r="AX351" s="48"/>
      <c r="AY351" s="48"/>
      <c r="AZ351" s="50"/>
    </row>
    <row r="352" spans="1:52" ht="16" x14ac:dyDescent="0.35">
      <c r="A352" s="61"/>
      <c r="B352" s="52"/>
      <c r="C352" s="53"/>
      <c r="D352" s="53"/>
      <c r="E352" s="53"/>
      <c r="F352" s="52"/>
      <c r="G352" s="52"/>
      <c r="H352" s="52"/>
      <c r="I352" s="52"/>
      <c r="J352" s="52"/>
      <c r="K352" s="52"/>
      <c r="L352" s="52"/>
      <c r="M352" s="52"/>
      <c r="N352" s="52"/>
      <c r="O352" s="52"/>
      <c r="P352" s="52"/>
      <c r="Q352" s="52"/>
      <c r="R352" s="52"/>
      <c r="S352" s="52"/>
      <c r="T352" s="52"/>
      <c r="U352" s="52"/>
      <c r="V352" s="52"/>
      <c r="W352" s="52"/>
      <c r="X352" s="52"/>
      <c r="Y352" s="52"/>
      <c r="Z352" s="52"/>
      <c r="AA352" s="52"/>
      <c r="AB352" s="52"/>
      <c r="AC352" s="52"/>
      <c r="AD352" s="52"/>
      <c r="AE352" s="52"/>
      <c r="AF352" s="52"/>
      <c r="AG352" s="52"/>
      <c r="AH352" s="52"/>
      <c r="AI352" s="52"/>
      <c r="AJ352" s="52"/>
      <c r="AK352" s="52"/>
      <c r="AL352" s="52"/>
      <c r="AM352" s="52"/>
      <c r="AN352" s="52"/>
      <c r="AO352" s="52"/>
      <c r="AP352" s="52"/>
      <c r="AQ352" s="52"/>
      <c r="AR352" s="52"/>
      <c r="AS352" s="52"/>
      <c r="AT352" s="52"/>
      <c r="AU352" s="52"/>
      <c r="AV352" s="52"/>
      <c r="AW352" s="52"/>
      <c r="AX352" s="52"/>
      <c r="AY352" s="52"/>
      <c r="AZ352" s="54"/>
    </row>
    <row r="353" spans="1:52" ht="16" x14ac:dyDescent="0.35">
      <c r="A353" s="60"/>
      <c r="B353" s="48"/>
      <c r="C353" s="49"/>
      <c r="D353" s="49"/>
      <c r="E353" s="49"/>
      <c r="F353" s="48"/>
      <c r="G353" s="48"/>
      <c r="H353" s="48"/>
      <c r="I353" s="48"/>
      <c r="J353" s="48"/>
      <c r="K353" s="48"/>
      <c r="L353" s="48"/>
      <c r="M353" s="48"/>
      <c r="N353" s="48"/>
      <c r="O353" s="48"/>
      <c r="P353" s="48"/>
      <c r="Q353" s="48"/>
      <c r="R353" s="48"/>
      <c r="S353" s="48"/>
      <c r="T353" s="48"/>
      <c r="U353" s="48"/>
      <c r="V353" s="48"/>
      <c r="W353" s="48"/>
      <c r="X353" s="48"/>
      <c r="Y353" s="48"/>
      <c r="Z353" s="48"/>
      <c r="AA353" s="48"/>
      <c r="AB353" s="48"/>
      <c r="AC353" s="48"/>
      <c r="AD353" s="48"/>
      <c r="AE353" s="48"/>
      <c r="AF353" s="48"/>
      <c r="AG353" s="48"/>
      <c r="AH353" s="48"/>
      <c r="AI353" s="48"/>
      <c r="AJ353" s="48"/>
      <c r="AK353" s="48"/>
      <c r="AL353" s="48"/>
      <c r="AM353" s="48"/>
      <c r="AN353" s="48"/>
      <c r="AO353" s="48"/>
      <c r="AP353" s="48"/>
      <c r="AQ353" s="48"/>
      <c r="AR353" s="48"/>
      <c r="AS353" s="48"/>
      <c r="AT353" s="48"/>
      <c r="AU353" s="48"/>
      <c r="AV353" s="48"/>
      <c r="AW353" s="48"/>
      <c r="AX353" s="48"/>
      <c r="AY353" s="48"/>
      <c r="AZ353" s="50"/>
    </row>
    <row r="354" spans="1:52" ht="16" x14ac:dyDescent="0.35">
      <c r="A354" s="61"/>
      <c r="B354" s="52"/>
      <c r="C354" s="53"/>
      <c r="D354" s="53"/>
      <c r="E354" s="53"/>
      <c r="F354" s="52"/>
      <c r="G354" s="52"/>
      <c r="H354" s="52"/>
      <c r="I354" s="52"/>
      <c r="J354" s="52"/>
      <c r="K354" s="52"/>
      <c r="L354" s="52"/>
      <c r="M354" s="52"/>
      <c r="N354" s="52"/>
      <c r="O354" s="52"/>
      <c r="P354" s="52"/>
      <c r="Q354" s="52"/>
      <c r="R354" s="52"/>
      <c r="S354" s="52"/>
      <c r="T354" s="52"/>
      <c r="U354" s="52"/>
      <c r="V354" s="52"/>
      <c r="W354" s="52"/>
      <c r="X354" s="52"/>
      <c r="Y354" s="52"/>
      <c r="Z354" s="52"/>
      <c r="AA354" s="52"/>
      <c r="AB354" s="52"/>
      <c r="AC354" s="52"/>
      <c r="AD354" s="52"/>
      <c r="AE354" s="52"/>
      <c r="AF354" s="52"/>
      <c r="AG354" s="52"/>
      <c r="AH354" s="52"/>
      <c r="AI354" s="52"/>
      <c r="AJ354" s="52"/>
      <c r="AK354" s="52"/>
      <c r="AL354" s="52"/>
      <c r="AM354" s="52"/>
      <c r="AN354" s="52"/>
      <c r="AO354" s="52"/>
      <c r="AP354" s="52"/>
      <c r="AQ354" s="52"/>
      <c r="AR354" s="52"/>
      <c r="AS354" s="52"/>
      <c r="AT354" s="52"/>
      <c r="AU354" s="52"/>
      <c r="AV354" s="52"/>
      <c r="AW354" s="52"/>
      <c r="AX354" s="52"/>
      <c r="AY354" s="52"/>
      <c r="AZ354" s="54"/>
    </row>
    <row r="355" spans="1:52" ht="16" x14ac:dyDescent="0.35">
      <c r="A355" s="60"/>
      <c r="B355" s="48"/>
      <c r="C355" s="49"/>
      <c r="D355" s="49"/>
      <c r="E355" s="49"/>
      <c r="F355" s="48"/>
      <c r="G355" s="48"/>
      <c r="H355" s="48"/>
      <c r="I355" s="48"/>
      <c r="J355" s="48"/>
      <c r="K355" s="48"/>
      <c r="L355" s="48"/>
      <c r="M355" s="48"/>
      <c r="N355" s="48"/>
      <c r="O355" s="48"/>
      <c r="P355" s="48"/>
      <c r="Q355" s="48"/>
      <c r="R355" s="48"/>
      <c r="S355" s="48"/>
      <c r="T355" s="48"/>
      <c r="U355" s="48"/>
      <c r="V355" s="48"/>
      <c r="W355" s="48"/>
      <c r="X355" s="48"/>
      <c r="Y355" s="48"/>
      <c r="Z355" s="48"/>
      <c r="AA355" s="48"/>
      <c r="AB355" s="48"/>
      <c r="AC355" s="48"/>
      <c r="AD355" s="48"/>
      <c r="AE355" s="48"/>
      <c r="AF355" s="48"/>
      <c r="AG355" s="48"/>
      <c r="AH355" s="48"/>
      <c r="AI355" s="48"/>
      <c r="AJ355" s="48"/>
      <c r="AK355" s="48"/>
      <c r="AL355" s="48"/>
      <c r="AM355" s="48"/>
      <c r="AN355" s="48"/>
      <c r="AO355" s="48"/>
      <c r="AP355" s="48"/>
      <c r="AQ355" s="48"/>
      <c r="AR355" s="48"/>
      <c r="AS355" s="48"/>
      <c r="AT355" s="48"/>
      <c r="AU355" s="48"/>
      <c r="AV355" s="48"/>
      <c r="AW355" s="48"/>
      <c r="AX355" s="48"/>
      <c r="AY355" s="48"/>
      <c r="AZ355" s="50"/>
    </row>
    <row r="356" spans="1:52" ht="16" x14ac:dyDescent="0.35">
      <c r="A356" s="61"/>
      <c r="B356" s="52"/>
      <c r="C356" s="53"/>
      <c r="D356" s="53"/>
      <c r="E356" s="53"/>
      <c r="F356" s="52"/>
      <c r="G356" s="52"/>
      <c r="H356" s="52"/>
      <c r="I356" s="52"/>
      <c r="J356" s="52"/>
      <c r="K356" s="52"/>
      <c r="L356" s="52"/>
      <c r="M356" s="52"/>
      <c r="N356" s="52"/>
      <c r="O356" s="52"/>
      <c r="P356" s="52"/>
      <c r="Q356" s="52"/>
      <c r="R356" s="52"/>
      <c r="S356" s="52"/>
      <c r="T356" s="52"/>
      <c r="U356" s="52"/>
      <c r="V356" s="52"/>
      <c r="W356" s="52"/>
      <c r="X356" s="52"/>
      <c r="Y356" s="52"/>
      <c r="Z356" s="52"/>
      <c r="AA356" s="52"/>
      <c r="AB356" s="52"/>
      <c r="AC356" s="52"/>
      <c r="AD356" s="52"/>
      <c r="AE356" s="52"/>
      <c r="AF356" s="52"/>
      <c r="AG356" s="52"/>
      <c r="AH356" s="52"/>
      <c r="AI356" s="52"/>
      <c r="AJ356" s="52"/>
      <c r="AK356" s="52"/>
      <c r="AL356" s="52"/>
      <c r="AM356" s="52"/>
      <c r="AN356" s="52"/>
      <c r="AO356" s="52"/>
      <c r="AP356" s="52"/>
      <c r="AQ356" s="52"/>
      <c r="AR356" s="52"/>
      <c r="AS356" s="52"/>
      <c r="AT356" s="52"/>
      <c r="AU356" s="52"/>
      <c r="AV356" s="52"/>
      <c r="AW356" s="52"/>
      <c r="AX356" s="52"/>
      <c r="AY356" s="52"/>
      <c r="AZ356" s="54"/>
    </row>
    <row r="357" spans="1:52" ht="16" x14ac:dyDescent="0.35">
      <c r="A357" s="60"/>
      <c r="B357" s="48"/>
      <c r="C357" s="49"/>
      <c r="D357" s="49"/>
      <c r="E357" s="49"/>
      <c r="F357" s="48"/>
      <c r="G357" s="48"/>
      <c r="H357" s="48"/>
      <c r="I357" s="48"/>
      <c r="J357" s="48"/>
      <c r="K357" s="48"/>
      <c r="L357" s="48"/>
      <c r="M357" s="48"/>
      <c r="N357" s="48"/>
      <c r="O357" s="48"/>
      <c r="P357" s="48"/>
      <c r="Q357" s="48"/>
      <c r="R357" s="48"/>
      <c r="S357" s="48"/>
      <c r="T357" s="48"/>
      <c r="U357" s="48"/>
      <c r="V357" s="48"/>
      <c r="W357" s="48"/>
      <c r="X357" s="48"/>
      <c r="Y357" s="48"/>
      <c r="Z357" s="48"/>
      <c r="AA357" s="48"/>
      <c r="AB357" s="48"/>
      <c r="AC357" s="48"/>
      <c r="AD357" s="48"/>
      <c r="AE357" s="48"/>
      <c r="AF357" s="48"/>
      <c r="AG357" s="48"/>
      <c r="AH357" s="48"/>
      <c r="AI357" s="48"/>
      <c r="AJ357" s="48"/>
      <c r="AK357" s="48"/>
      <c r="AL357" s="48"/>
      <c r="AM357" s="48"/>
      <c r="AN357" s="48"/>
      <c r="AO357" s="48"/>
      <c r="AP357" s="48"/>
      <c r="AQ357" s="48"/>
      <c r="AR357" s="48"/>
      <c r="AS357" s="48"/>
      <c r="AT357" s="48"/>
      <c r="AU357" s="48"/>
      <c r="AV357" s="48"/>
      <c r="AW357" s="48"/>
      <c r="AX357" s="48"/>
      <c r="AY357" s="48"/>
      <c r="AZ357" s="50"/>
    </row>
    <row r="358" spans="1:52" ht="16" x14ac:dyDescent="0.35">
      <c r="A358" s="61"/>
      <c r="B358" s="52"/>
      <c r="C358" s="53"/>
      <c r="D358" s="53"/>
      <c r="E358" s="53"/>
      <c r="F358" s="52"/>
      <c r="G358" s="52"/>
      <c r="H358" s="52"/>
      <c r="I358" s="52"/>
      <c r="J358" s="52"/>
      <c r="K358" s="52"/>
      <c r="L358" s="52"/>
      <c r="M358" s="52"/>
      <c r="N358" s="52"/>
      <c r="O358" s="52"/>
      <c r="P358" s="52"/>
      <c r="Q358" s="52"/>
      <c r="R358" s="52"/>
      <c r="S358" s="52"/>
      <c r="T358" s="52"/>
      <c r="U358" s="52"/>
      <c r="V358" s="52"/>
      <c r="W358" s="52"/>
      <c r="X358" s="52"/>
      <c r="Y358" s="52"/>
      <c r="Z358" s="52"/>
      <c r="AA358" s="52"/>
      <c r="AB358" s="52"/>
      <c r="AC358" s="52"/>
      <c r="AD358" s="52"/>
      <c r="AE358" s="52"/>
      <c r="AF358" s="52"/>
      <c r="AG358" s="52"/>
      <c r="AH358" s="52"/>
      <c r="AI358" s="52"/>
      <c r="AJ358" s="52"/>
      <c r="AK358" s="52"/>
      <c r="AL358" s="52"/>
      <c r="AM358" s="52"/>
      <c r="AN358" s="52"/>
      <c r="AO358" s="52"/>
      <c r="AP358" s="52"/>
      <c r="AQ358" s="52"/>
      <c r="AR358" s="52"/>
      <c r="AS358" s="52"/>
      <c r="AT358" s="52"/>
      <c r="AU358" s="52"/>
      <c r="AV358" s="52"/>
      <c r="AW358" s="52"/>
      <c r="AX358" s="52"/>
      <c r="AY358" s="52"/>
      <c r="AZ358" s="54"/>
    </row>
    <row r="359" spans="1:52" ht="16" x14ac:dyDescent="0.35">
      <c r="A359" s="60"/>
      <c r="B359" s="48"/>
      <c r="C359" s="49"/>
      <c r="D359" s="49"/>
      <c r="E359" s="49"/>
      <c r="F359" s="48"/>
      <c r="G359" s="48"/>
      <c r="H359" s="48"/>
      <c r="I359" s="48"/>
      <c r="J359" s="48"/>
      <c r="K359" s="48"/>
      <c r="L359" s="48"/>
      <c r="M359" s="48"/>
      <c r="N359" s="48"/>
      <c r="O359" s="48"/>
      <c r="P359" s="48"/>
      <c r="Q359" s="48"/>
      <c r="R359" s="48"/>
      <c r="S359" s="48"/>
      <c r="T359" s="48"/>
      <c r="U359" s="48"/>
      <c r="V359" s="48"/>
      <c r="W359" s="48"/>
      <c r="X359" s="48"/>
      <c r="Y359" s="48"/>
      <c r="Z359" s="48"/>
      <c r="AA359" s="48"/>
      <c r="AB359" s="48"/>
      <c r="AC359" s="48"/>
      <c r="AD359" s="48"/>
      <c r="AE359" s="48"/>
      <c r="AF359" s="48"/>
      <c r="AG359" s="48"/>
      <c r="AH359" s="48"/>
      <c r="AI359" s="48"/>
      <c r="AJ359" s="48"/>
      <c r="AK359" s="48"/>
      <c r="AL359" s="48"/>
      <c r="AM359" s="48"/>
      <c r="AN359" s="48"/>
      <c r="AO359" s="48"/>
      <c r="AP359" s="48"/>
      <c r="AQ359" s="48"/>
      <c r="AR359" s="48"/>
      <c r="AS359" s="48"/>
      <c r="AT359" s="48"/>
      <c r="AU359" s="48"/>
      <c r="AV359" s="48"/>
      <c r="AW359" s="48"/>
      <c r="AX359" s="48"/>
      <c r="AY359" s="48"/>
      <c r="AZ359" s="50"/>
    </row>
    <row r="360" spans="1:52" ht="16" x14ac:dyDescent="0.35">
      <c r="A360" s="61"/>
      <c r="B360" s="52"/>
      <c r="C360" s="53"/>
      <c r="D360" s="53"/>
      <c r="E360" s="53"/>
      <c r="F360" s="52"/>
      <c r="G360" s="52"/>
      <c r="H360" s="52"/>
      <c r="I360" s="52"/>
      <c r="J360" s="52"/>
      <c r="K360" s="52"/>
      <c r="L360" s="52"/>
      <c r="M360" s="52"/>
      <c r="N360" s="52"/>
      <c r="O360" s="52"/>
      <c r="P360" s="52"/>
      <c r="Q360" s="52"/>
      <c r="R360" s="52"/>
      <c r="S360" s="52"/>
      <c r="T360" s="52"/>
      <c r="U360" s="52"/>
      <c r="V360" s="52"/>
      <c r="W360" s="52"/>
      <c r="X360" s="52"/>
      <c r="Y360" s="52"/>
      <c r="Z360" s="52"/>
      <c r="AA360" s="52"/>
      <c r="AB360" s="52"/>
      <c r="AC360" s="52"/>
      <c r="AD360" s="52"/>
      <c r="AE360" s="52"/>
      <c r="AF360" s="52"/>
      <c r="AG360" s="52"/>
      <c r="AH360" s="52"/>
      <c r="AI360" s="52"/>
      <c r="AJ360" s="52"/>
      <c r="AK360" s="52"/>
      <c r="AL360" s="52"/>
      <c r="AM360" s="52"/>
      <c r="AN360" s="52"/>
      <c r="AO360" s="52"/>
      <c r="AP360" s="52"/>
      <c r="AQ360" s="52"/>
      <c r="AR360" s="52"/>
      <c r="AS360" s="52"/>
      <c r="AT360" s="52"/>
      <c r="AU360" s="52"/>
      <c r="AV360" s="52"/>
      <c r="AW360" s="52"/>
      <c r="AX360" s="52"/>
      <c r="AY360" s="52"/>
      <c r="AZ360" s="54"/>
    </row>
    <row r="361" spans="1:52" ht="16" x14ac:dyDescent="0.35">
      <c r="A361" s="60"/>
      <c r="B361" s="48"/>
      <c r="C361" s="49"/>
      <c r="D361" s="49"/>
      <c r="E361" s="49"/>
      <c r="F361" s="48"/>
      <c r="G361" s="48"/>
      <c r="H361" s="48"/>
      <c r="I361" s="48"/>
      <c r="J361" s="48"/>
      <c r="K361" s="48"/>
      <c r="L361" s="48"/>
      <c r="M361" s="48"/>
      <c r="N361" s="48"/>
      <c r="O361" s="48"/>
      <c r="P361" s="48"/>
      <c r="Q361" s="48"/>
      <c r="R361" s="48"/>
      <c r="S361" s="48"/>
      <c r="T361" s="48"/>
      <c r="U361" s="48"/>
      <c r="V361" s="48"/>
      <c r="W361" s="48"/>
      <c r="X361" s="48"/>
      <c r="Y361" s="48"/>
      <c r="Z361" s="48"/>
      <c r="AA361" s="48"/>
      <c r="AB361" s="48"/>
      <c r="AC361" s="48"/>
      <c r="AD361" s="48"/>
      <c r="AE361" s="48"/>
      <c r="AF361" s="48"/>
      <c r="AG361" s="48"/>
      <c r="AH361" s="48"/>
      <c r="AI361" s="48"/>
      <c r="AJ361" s="48"/>
      <c r="AK361" s="48"/>
      <c r="AL361" s="48"/>
      <c r="AM361" s="48"/>
      <c r="AN361" s="48"/>
      <c r="AO361" s="48"/>
      <c r="AP361" s="48"/>
      <c r="AQ361" s="48"/>
      <c r="AR361" s="48"/>
      <c r="AS361" s="48"/>
      <c r="AT361" s="48"/>
      <c r="AU361" s="48"/>
      <c r="AV361" s="48"/>
      <c r="AW361" s="48"/>
      <c r="AX361" s="48"/>
      <c r="AY361" s="48"/>
      <c r="AZ361" s="50"/>
    </row>
    <row r="362" spans="1:52" ht="16" x14ac:dyDescent="0.35">
      <c r="A362" s="61"/>
      <c r="B362" s="52"/>
      <c r="C362" s="53"/>
      <c r="D362" s="53"/>
      <c r="E362" s="53"/>
      <c r="F362" s="52"/>
      <c r="G362" s="52"/>
      <c r="H362" s="52"/>
      <c r="I362" s="52"/>
      <c r="J362" s="52"/>
      <c r="K362" s="52"/>
      <c r="L362" s="52"/>
      <c r="M362" s="52"/>
      <c r="N362" s="52"/>
      <c r="O362" s="52"/>
      <c r="P362" s="52"/>
      <c r="Q362" s="52"/>
      <c r="R362" s="52"/>
      <c r="S362" s="52"/>
      <c r="T362" s="52"/>
      <c r="U362" s="52"/>
      <c r="V362" s="52"/>
      <c r="W362" s="52"/>
      <c r="X362" s="52"/>
      <c r="Y362" s="52"/>
      <c r="Z362" s="52"/>
      <c r="AA362" s="52"/>
      <c r="AB362" s="52"/>
      <c r="AC362" s="52"/>
      <c r="AD362" s="52"/>
      <c r="AE362" s="52"/>
      <c r="AF362" s="52"/>
      <c r="AG362" s="52"/>
      <c r="AH362" s="52"/>
      <c r="AI362" s="52"/>
      <c r="AJ362" s="52"/>
      <c r="AK362" s="52"/>
      <c r="AL362" s="52"/>
      <c r="AM362" s="52"/>
      <c r="AN362" s="52"/>
      <c r="AO362" s="52"/>
      <c r="AP362" s="52"/>
      <c r="AQ362" s="52"/>
      <c r="AR362" s="52"/>
      <c r="AS362" s="52"/>
      <c r="AT362" s="52"/>
      <c r="AU362" s="52"/>
      <c r="AV362" s="52"/>
      <c r="AW362" s="52"/>
      <c r="AX362" s="52"/>
      <c r="AY362" s="52"/>
      <c r="AZ362" s="54"/>
    </row>
    <row r="363" spans="1:52" ht="16" x14ac:dyDescent="0.35">
      <c r="A363" s="60"/>
      <c r="B363" s="48"/>
      <c r="C363" s="49"/>
      <c r="D363" s="49"/>
      <c r="E363" s="49"/>
      <c r="F363" s="48"/>
      <c r="G363" s="48"/>
      <c r="H363" s="48"/>
      <c r="I363" s="48"/>
      <c r="J363" s="48"/>
      <c r="K363" s="48"/>
      <c r="L363" s="48"/>
      <c r="M363" s="48"/>
      <c r="N363" s="48"/>
      <c r="O363" s="48"/>
      <c r="P363" s="48"/>
      <c r="Q363" s="48"/>
      <c r="R363" s="48"/>
      <c r="S363" s="48"/>
      <c r="T363" s="48"/>
      <c r="U363" s="48"/>
      <c r="V363" s="48"/>
      <c r="W363" s="48"/>
      <c r="X363" s="48"/>
      <c r="Y363" s="48"/>
      <c r="Z363" s="48"/>
      <c r="AA363" s="48"/>
      <c r="AB363" s="48"/>
      <c r="AC363" s="48"/>
      <c r="AD363" s="48"/>
      <c r="AE363" s="48"/>
      <c r="AF363" s="48"/>
      <c r="AG363" s="48"/>
      <c r="AH363" s="48"/>
      <c r="AI363" s="48"/>
      <c r="AJ363" s="48"/>
      <c r="AK363" s="48"/>
      <c r="AL363" s="48"/>
      <c r="AM363" s="48"/>
      <c r="AN363" s="48"/>
      <c r="AO363" s="48"/>
      <c r="AP363" s="48"/>
      <c r="AQ363" s="48"/>
      <c r="AR363" s="48"/>
      <c r="AS363" s="48"/>
      <c r="AT363" s="48"/>
      <c r="AU363" s="48"/>
      <c r="AV363" s="48"/>
      <c r="AW363" s="48"/>
      <c r="AX363" s="48"/>
      <c r="AY363" s="48"/>
      <c r="AZ363" s="50"/>
    </row>
    <row r="364" spans="1:52" ht="16" x14ac:dyDescent="0.35">
      <c r="A364" s="61"/>
      <c r="B364" s="52"/>
      <c r="C364" s="53"/>
      <c r="D364" s="53"/>
      <c r="E364" s="53"/>
      <c r="F364" s="52"/>
      <c r="G364" s="52"/>
      <c r="H364" s="52"/>
      <c r="I364" s="52"/>
      <c r="J364" s="52"/>
      <c r="K364" s="52"/>
      <c r="L364" s="52"/>
      <c r="M364" s="52"/>
      <c r="N364" s="52"/>
      <c r="O364" s="52"/>
      <c r="P364" s="52"/>
      <c r="Q364" s="52"/>
      <c r="R364" s="52"/>
      <c r="S364" s="52"/>
      <c r="T364" s="52"/>
      <c r="U364" s="52"/>
      <c r="V364" s="52"/>
      <c r="W364" s="52"/>
      <c r="X364" s="52"/>
      <c r="Y364" s="52"/>
      <c r="Z364" s="52"/>
      <c r="AA364" s="52"/>
      <c r="AB364" s="52"/>
      <c r="AC364" s="52"/>
      <c r="AD364" s="52"/>
      <c r="AE364" s="52"/>
      <c r="AF364" s="52"/>
      <c r="AG364" s="52"/>
      <c r="AH364" s="52"/>
      <c r="AI364" s="52"/>
      <c r="AJ364" s="52"/>
      <c r="AK364" s="52"/>
      <c r="AL364" s="52"/>
      <c r="AM364" s="52"/>
      <c r="AN364" s="52"/>
      <c r="AO364" s="52"/>
      <c r="AP364" s="52"/>
      <c r="AQ364" s="52"/>
      <c r="AR364" s="52"/>
      <c r="AS364" s="52"/>
      <c r="AT364" s="52"/>
      <c r="AU364" s="52"/>
      <c r="AV364" s="52"/>
      <c r="AW364" s="52"/>
      <c r="AX364" s="52"/>
      <c r="AY364" s="52"/>
      <c r="AZ364" s="54"/>
    </row>
    <row r="365" spans="1:52" ht="16" x14ac:dyDescent="0.35">
      <c r="A365" s="60"/>
      <c r="B365" s="48"/>
      <c r="C365" s="49"/>
      <c r="D365" s="49"/>
      <c r="E365" s="49"/>
      <c r="F365" s="48"/>
      <c r="G365" s="48"/>
      <c r="H365" s="48"/>
      <c r="I365" s="48"/>
      <c r="J365" s="48"/>
      <c r="K365" s="48"/>
      <c r="L365" s="48"/>
      <c r="M365" s="48"/>
      <c r="N365" s="48"/>
      <c r="O365" s="48"/>
      <c r="P365" s="48"/>
      <c r="Q365" s="48"/>
      <c r="R365" s="48"/>
      <c r="S365" s="48"/>
      <c r="T365" s="48"/>
      <c r="U365" s="48"/>
      <c r="V365" s="48"/>
      <c r="W365" s="48"/>
      <c r="X365" s="48"/>
      <c r="Y365" s="48"/>
      <c r="Z365" s="48"/>
      <c r="AA365" s="48"/>
      <c r="AB365" s="48"/>
      <c r="AC365" s="48"/>
      <c r="AD365" s="48"/>
      <c r="AE365" s="48"/>
      <c r="AF365" s="48"/>
      <c r="AG365" s="48"/>
      <c r="AH365" s="48"/>
      <c r="AI365" s="48"/>
      <c r="AJ365" s="48"/>
      <c r="AK365" s="48"/>
      <c r="AL365" s="48"/>
      <c r="AM365" s="48"/>
      <c r="AN365" s="48"/>
      <c r="AO365" s="48"/>
      <c r="AP365" s="48"/>
      <c r="AQ365" s="48"/>
      <c r="AR365" s="48"/>
      <c r="AS365" s="48"/>
      <c r="AT365" s="48"/>
      <c r="AU365" s="48"/>
      <c r="AV365" s="48"/>
      <c r="AW365" s="48"/>
      <c r="AX365" s="48"/>
      <c r="AY365" s="48"/>
      <c r="AZ365" s="50"/>
    </row>
    <row r="366" spans="1:52" ht="16" x14ac:dyDescent="0.35">
      <c r="A366" s="61"/>
      <c r="B366" s="52"/>
      <c r="C366" s="53"/>
      <c r="D366" s="53"/>
      <c r="E366" s="53"/>
      <c r="F366" s="52"/>
      <c r="G366" s="52"/>
      <c r="H366" s="52"/>
      <c r="I366" s="52"/>
      <c r="J366" s="52"/>
      <c r="K366" s="52"/>
      <c r="L366" s="52"/>
      <c r="M366" s="52"/>
      <c r="N366" s="52"/>
      <c r="O366" s="52"/>
      <c r="P366" s="52"/>
      <c r="Q366" s="52"/>
      <c r="R366" s="52"/>
      <c r="S366" s="52"/>
      <c r="T366" s="52"/>
      <c r="U366" s="52"/>
      <c r="V366" s="52"/>
      <c r="W366" s="52"/>
      <c r="X366" s="52"/>
      <c r="Y366" s="52"/>
      <c r="Z366" s="52"/>
      <c r="AA366" s="52"/>
      <c r="AB366" s="52"/>
      <c r="AC366" s="52"/>
      <c r="AD366" s="52"/>
      <c r="AE366" s="52"/>
      <c r="AF366" s="52"/>
      <c r="AG366" s="52"/>
      <c r="AH366" s="52"/>
      <c r="AI366" s="52"/>
      <c r="AJ366" s="52"/>
      <c r="AK366" s="52"/>
      <c r="AL366" s="52"/>
      <c r="AM366" s="52"/>
      <c r="AN366" s="52"/>
      <c r="AO366" s="52"/>
      <c r="AP366" s="52"/>
      <c r="AQ366" s="52"/>
      <c r="AR366" s="52"/>
      <c r="AS366" s="52"/>
      <c r="AT366" s="52"/>
      <c r="AU366" s="52"/>
      <c r="AV366" s="52"/>
      <c r="AW366" s="52"/>
      <c r="AX366" s="52"/>
      <c r="AY366" s="52"/>
      <c r="AZ366" s="54"/>
    </row>
    <row r="367" spans="1:52" ht="16" x14ac:dyDescent="0.35">
      <c r="A367" s="60"/>
      <c r="B367" s="48"/>
      <c r="C367" s="49"/>
      <c r="D367" s="49"/>
      <c r="E367" s="49"/>
      <c r="F367" s="48"/>
      <c r="G367" s="48"/>
      <c r="H367" s="48"/>
      <c r="I367" s="48"/>
      <c r="J367" s="48"/>
      <c r="K367" s="48"/>
      <c r="L367" s="48"/>
      <c r="M367" s="48"/>
      <c r="N367" s="48"/>
      <c r="O367" s="48"/>
      <c r="P367" s="48"/>
      <c r="Q367" s="48"/>
      <c r="R367" s="48"/>
      <c r="S367" s="48"/>
      <c r="T367" s="48"/>
      <c r="U367" s="48"/>
      <c r="V367" s="48"/>
      <c r="W367" s="48"/>
      <c r="X367" s="48"/>
      <c r="Y367" s="48"/>
      <c r="Z367" s="48"/>
      <c r="AA367" s="48"/>
      <c r="AB367" s="48"/>
      <c r="AC367" s="48"/>
      <c r="AD367" s="48"/>
      <c r="AE367" s="48"/>
      <c r="AF367" s="48"/>
      <c r="AG367" s="48"/>
      <c r="AH367" s="48"/>
      <c r="AI367" s="48"/>
      <c r="AJ367" s="48"/>
      <c r="AK367" s="48"/>
      <c r="AL367" s="48"/>
      <c r="AM367" s="48"/>
      <c r="AN367" s="48"/>
      <c r="AO367" s="48"/>
      <c r="AP367" s="48"/>
      <c r="AQ367" s="48"/>
      <c r="AR367" s="48"/>
      <c r="AS367" s="48"/>
      <c r="AT367" s="48"/>
      <c r="AU367" s="48"/>
      <c r="AV367" s="48"/>
      <c r="AW367" s="48"/>
      <c r="AX367" s="48"/>
      <c r="AY367" s="48"/>
      <c r="AZ367" s="50"/>
    </row>
    <row r="368" spans="1:52" ht="16" x14ac:dyDescent="0.35">
      <c r="A368" s="61"/>
      <c r="B368" s="52"/>
      <c r="C368" s="53"/>
      <c r="D368" s="53"/>
      <c r="E368" s="53"/>
      <c r="F368" s="52"/>
      <c r="G368" s="52"/>
      <c r="H368" s="52"/>
      <c r="I368" s="52"/>
      <c r="J368" s="52"/>
      <c r="K368" s="52"/>
      <c r="L368" s="52"/>
      <c r="M368" s="52"/>
      <c r="N368" s="52"/>
      <c r="O368" s="52"/>
      <c r="P368" s="52"/>
      <c r="Q368" s="52"/>
      <c r="R368" s="52"/>
      <c r="S368" s="52"/>
      <c r="T368" s="52"/>
      <c r="U368" s="52"/>
      <c r="V368" s="52"/>
      <c r="W368" s="52"/>
      <c r="X368" s="52"/>
      <c r="Y368" s="52"/>
      <c r="Z368" s="52"/>
      <c r="AA368" s="52"/>
      <c r="AB368" s="52"/>
      <c r="AC368" s="52"/>
      <c r="AD368" s="52"/>
      <c r="AE368" s="52"/>
      <c r="AF368" s="52"/>
      <c r="AG368" s="52"/>
      <c r="AH368" s="52"/>
      <c r="AI368" s="52"/>
      <c r="AJ368" s="52"/>
      <c r="AK368" s="52"/>
      <c r="AL368" s="52"/>
      <c r="AM368" s="52"/>
      <c r="AN368" s="52"/>
      <c r="AO368" s="52"/>
      <c r="AP368" s="52"/>
      <c r="AQ368" s="52"/>
      <c r="AR368" s="52"/>
      <c r="AS368" s="52"/>
      <c r="AT368" s="52"/>
      <c r="AU368" s="52"/>
      <c r="AV368" s="52"/>
      <c r="AW368" s="52"/>
      <c r="AX368" s="52"/>
      <c r="AY368" s="52"/>
      <c r="AZ368" s="54"/>
    </row>
    <row r="369" spans="1:52" ht="16" x14ac:dyDescent="0.35">
      <c r="A369" s="60"/>
      <c r="B369" s="48"/>
      <c r="C369" s="49"/>
      <c r="D369" s="49"/>
      <c r="E369" s="49"/>
      <c r="F369" s="48"/>
      <c r="G369" s="48"/>
      <c r="H369" s="48"/>
      <c r="I369" s="48"/>
      <c r="J369" s="48"/>
      <c r="K369" s="48"/>
      <c r="L369" s="48"/>
      <c r="M369" s="48"/>
      <c r="N369" s="48"/>
      <c r="O369" s="48"/>
      <c r="P369" s="48"/>
      <c r="Q369" s="48"/>
      <c r="R369" s="48"/>
      <c r="S369" s="48"/>
      <c r="T369" s="48"/>
      <c r="U369" s="48"/>
      <c r="V369" s="48"/>
      <c r="W369" s="48"/>
      <c r="X369" s="48"/>
      <c r="Y369" s="48"/>
      <c r="Z369" s="48"/>
      <c r="AA369" s="48"/>
      <c r="AB369" s="48"/>
      <c r="AC369" s="48"/>
      <c r="AD369" s="48"/>
      <c r="AE369" s="48"/>
      <c r="AF369" s="48"/>
      <c r="AG369" s="48"/>
      <c r="AH369" s="48"/>
      <c r="AI369" s="48"/>
      <c r="AJ369" s="48"/>
      <c r="AK369" s="48"/>
      <c r="AL369" s="48"/>
      <c r="AM369" s="48"/>
      <c r="AN369" s="48"/>
      <c r="AO369" s="48"/>
      <c r="AP369" s="48"/>
      <c r="AQ369" s="48"/>
      <c r="AR369" s="48"/>
      <c r="AS369" s="48"/>
      <c r="AT369" s="48"/>
      <c r="AU369" s="48"/>
      <c r="AV369" s="48"/>
      <c r="AW369" s="48"/>
      <c r="AX369" s="48"/>
      <c r="AY369" s="48"/>
      <c r="AZ369" s="50"/>
    </row>
    <row r="370" spans="1:52" ht="16" x14ac:dyDescent="0.35">
      <c r="A370" s="61"/>
      <c r="B370" s="52"/>
      <c r="C370" s="53"/>
      <c r="D370" s="53"/>
      <c r="E370" s="53"/>
      <c r="F370" s="52"/>
      <c r="G370" s="52"/>
      <c r="H370" s="52"/>
      <c r="I370" s="52"/>
      <c r="J370" s="52"/>
      <c r="K370" s="52"/>
      <c r="L370" s="52"/>
      <c r="M370" s="52"/>
      <c r="N370" s="52"/>
      <c r="O370" s="52"/>
      <c r="P370" s="52"/>
      <c r="Q370" s="52"/>
      <c r="R370" s="52"/>
      <c r="S370" s="52"/>
      <c r="T370" s="52"/>
      <c r="U370" s="52"/>
      <c r="V370" s="52"/>
      <c r="W370" s="52"/>
      <c r="X370" s="52"/>
      <c r="Y370" s="52"/>
      <c r="Z370" s="52"/>
      <c r="AA370" s="52"/>
      <c r="AB370" s="52"/>
      <c r="AC370" s="52"/>
      <c r="AD370" s="52"/>
      <c r="AE370" s="52"/>
      <c r="AF370" s="52"/>
      <c r="AG370" s="52"/>
      <c r="AH370" s="52"/>
      <c r="AI370" s="52"/>
      <c r="AJ370" s="52"/>
      <c r="AK370" s="52"/>
      <c r="AL370" s="52"/>
      <c r="AM370" s="52"/>
      <c r="AN370" s="52"/>
      <c r="AO370" s="52"/>
      <c r="AP370" s="52"/>
      <c r="AQ370" s="52"/>
      <c r="AR370" s="52"/>
      <c r="AS370" s="52"/>
      <c r="AT370" s="52"/>
      <c r="AU370" s="52"/>
      <c r="AV370" s="52"/>
      <c r="AW370" s="52"/>
      <c r="AX370" s="52"/>
      <c r="AY370" s="52"/>
      <c r="AZ370" s="54"/>
    </row>
    <row r="371" spans="1:52" ht="16" x14ac:dyDescent="0.35">
      <c r="A371" s="60"/>
      <c r="B371" s="48"/>
      <c r="C371" s="49"/>
      <c r="D371" s="49"/>
      <c r="E371" s="49"/>
      <c r="F371" s="48"/>
      <c r="G371" s="48"/>
      <c r="H371" s="48"/>
      <c r="I371" s="48"/>
      <c r="J371" s="48"/>
      <c r="K371" s="48"/>
      <c r="L371" s="48"/>
      <c r="M371" s="48"/>
      <c r="N371" s="48"/>
      <c r="O371" s="48"/>
      <c r="P371" s="48"/>
      <c r="Q371" s="48"/>
      <c r="R371" s="48"/>
      <c r="S371" s="48"/>
      <c r="T371" s="48"/>
      <c r="U371" s="48"/>
      <c r="V371" s="48"/>
      <c r="W371" s="48"/>
      <c r="X371" s="48"/>
      <c r="Y371" s="48"/>
      <c r="Z371" s="48"/>
      <c r="AA371" s="48"/>
      <c r="AB371" s="48"/>
      <c r="AC371" s="48"/>
      <c r="AD371" s="48"/>
      <c r="AE371" s="48"/>
      <c r="AF371" s="48"/>
      <c r="AG371" s="48"/>
      <c r="AH371" s="48"/>
      <c r="AI371" s="48"/>
      <c r="AJ371" s="48"/>
      <c r="AK371" s="48"/>
      <c r="AL371" s="48"/>
      <c r="AM371" s="48"/>
      <c r="AN371" s="48"/>
      <c r="AO371" s="48"/>
      <c r="AP371" s="48"/>
      <c r="AQ371" s="48"/>
      <c r="AR371" s="48"/>
      <c r="AS371" s="48"/>
      <c r="AT371" s="48"/>
      <c r="AU371" s="48"/>
      <c r="AV371" s="48"/>
      <c r="AW371" s="48"/>
      <c r="AX371" s="48"/>
      <c r="AY371" s="48"/>
      <c r="AZ371" s="50"/>
    </row>
    <row r="372" spans="1:52" ht="16" x14ac:dyDescent="0.35">
      <c r="A372" s="61"/>
      <c r="B372" s="52"/>
      <c r="C372" s="53"/>
      <c r="D372" s="53"/>
      <c r="E372" s="53"/>
      <c r="F372" s="52"/>
      <c r="G372" s="52"/>
      <c r="H372" s="52"/>
      <c r="I372" s="52"/>
      <c r="J372" s="52"/>
      <c r="K372" s="52"/>
      <c r="L372" s="52"/>
      <c r="M372" s="52"/>
      <c r="N372" s="52"/>
      <c r="O372" s="52"/>
      <c r="P372" s="52"/>
      <c r="Q372" s="52"/>
      <c r="R372" s="52"/>
      <c r="S372" s="52"/>
      <c r="T372" s="52"/>
      <c r="U372" s="52"/>
      <c r="V372" s="52"/>
      <c r="W372" s="52"/>
      <c r="X372" s="52"/>
      <c r="Y372" s="52"/>
      <c r="Z372" s="52"/>
      <c r="AA372" s="52"/>
      <c r="AB372" s="52"/>
      <c r="AC372" s="52"/>
      <c r="AD372" s="52"/>
      <c r="AE372" s="52"/>
      <c r="AF372" s="52"/>
      <c r="AG372" s="52"/>
      <c r="AH372" s="52"/>
      <c r="AI372" s="52"/>
      <c r="AJ372" s="52"/>
      <c r="AK372" s="52"/>
      <c r="AL372" s="52"/>
      <c r="AM372" s="52"/>
      <c r="AN372" s="52"/>
      <c r="AO372" s="52"/>
      <c r="AP372" s="52"/>
      <c r="AQ372" s="52"/>
      <c r="AR372" s="52"/>
      <c r="AS372" s="52"/>
      <c r="AT372" s="52"/>
      <c r="AU372" s="52"/>
      <c r="AV372" s="52"/>
      <c r="AW372" s="52"/>
      <c r="AX372" s="52"/>
      <c r="AY372" s="52"/>
      <c r="AZ372" s="54"/>
    </row>
    <row r="373" spans="1:52" ht="16" x14ac:dyDescent="0.35">
      <c r="A373" s="60"/>
      <c r="B373" s="48"/>
      <c r="C373" s="49"/>
      <c r="D373" s="49"/>
      <c r="E373" s="49"/>
      <c r="F373" s="48"/>
      <c r="G373" s="48"/>
      <c r="H373" s="48"/>
      <c r="I373" s="48"/>
      <c r="J373" s="48"/>
      <c r="K373" s="48"/>
      <c r="L373" s="48"/>
      <c r="M373" s="48"/>
      <c r="N373" s="48"/>
      <c r="O373" s="48"/>
      <c r="P373" s="48"/>
      <c r="Q373" s="48"/>
      <c r="R373" s="48"/>
      <c r="S373" s="48"/>
      <c r="T373" s="48"/>
      <c r="U373" s="48"/>
      <c r="V373" s="48"/>
      <c r="W373" s="48"/>
      <c r="X373" s="48"/>
      <c r="Y373" s="48"/>
      <c r="Z373" s="48"/>
      <c r="AA373" s="48"/>
      <c r="AB373" s="48"/>
      <c r="AC373" s="48"/>
      <c r="AD373" s="48"/>
      <c r="AE373" s="48"/>
      <c r="AF373" s="48"/>
      <c r="AG373" s="48"/>
      <c r="AH373" s="48"/>
      <c r="AI373" s="48"/>
      <c r="AJ373" s="48"/>
      <c r="AK373" s="48"/>
      <c r="AL373" s="48"/>
      <c r="AM373" s="48"/>
      <c r="AN373" s="48"/>
      <c r="AO373" s="48"/>
      <c r="AP373" s="48"/>
      <c r="AQ373" s="48"/>
      <c r="AR373" s="48"/>
      <c r="AS373" s="48"/>
      <c r="AT373" s="48"/>
      <c r="AU373" s="48"/>
      <c r="AV373" s="48"/>
      <c r="AW373" s="48"/>
      <c r="AX373" s="48"/>
      <c r="AY373" s="48"/>
      <c r="AZ373" s="50"/>
    </row>
    <row r="374" spans="1:52" ht="16" x14ac:dyDescent="0.35">
      <c r="A374" s="61"/>
      <c r="B374" s="52"/>
      <c r="C374" s="53"/>
      <c r="D374" s="53"/>
      <c r="E374" s="53"/>
      <c r="F374" s="52"/>
      <c r="G374" s="52"/>
      <c r="H374" s="52"/>
      <c r="I374" s="52"/>
      <c r="J374" s="52"/>
      <c r="K374" s="52"/>
      <c r="L374" s="52"/>
      <c r="M374" s="52"/>
      <c r="N374" s="52"/>
      <c r="O374" s="52"/>
      <c r="P374" s="52"/>
      <c r="Q374" s="52"/>
      <c r="R374" s="52"/>
      <c r="S374" s="52"/>
      <c r="T374" s="52"/>
      <c r="U374" s="52"/>
      <c r="V374" s="52"/>
      <c r="W374" s="52"/>
      <c r="X374" s="52"/>
      <c r="Y374" s="52"/>
      <c r="Z374" s="52"/>
      <c r="AA374" s="52"/>
      <c r="AB374" s="52"/>
      <c r="AC374" s="52"/>
      <c r="AD374" s="52"/>
      <c r="AE374" s="52"/>
      <c r="AF374" s="52"/>
      <c r="AG374" s="52"/>
      <c r="AH374" s="52"/>
      <c r="AI374" s="52"/>
      <c r="AJ374" s="52"/>
      <c r="AK374" s="52"/>
      <c r="AL374" s="52"/>
      <c r="AM374" s="52"/>
      <c r="AN374" s="52"/>
      <c r="AO374" s="52"/>
      <c r="AP374" s="52"/>
      <c r="AQ374" s="52"/>
      <c r="AR374" s="52"/>
      <c r="AS374" s="52"/>
      <c r="AT374" s="52"/>
      <c r="AU374" s="52"/>
      <c r="AV374" s="52"/>
      <c r="AW374" s="52"/>
      <c r="AX374" s="52"/>
      <c r="AY374" s="52"/>
      <c r="AZ374" s="54"/>
    </row>
    <row r="375" spans="1:52" ht="16" x14ac:dyDescent="0.35">
      <c r="A375" s="60"/>
      <c r="B375" s="48"/>
      <c r="C375" s="49"/>
      <c r="D375" s="49"/>
      <c r="E375" s="49"/>
      <c r="F375" s="48"/>
      <c r="G375" s="48"/>
      <c r="H375" s="48"/>
      <c r="I375" s="48"/>
      <c r="J375" s="48"/>
      <c r="K375" s="48"/>
      <c r="L375" s="48"/>
      <c r="M375" s="48"/>
      <c r="N375" s="48"/>
      <c r="O375" s="48"/>
      <c r="P375" s="48"/>
      <c r="Q375" s="48"/>
      <c r="R375" s="48"/>
      <c r="S375" s="48"/>
      <c r="T375" s="48"/>
      <c r="U375" s="48"/>
      <c r="V375" s="48"/>
      <c r="W375" s="48"/>
      <c r="X375" s="48"/>
      <c r="Y375" s="48"/>
      <c r="Z375" s="48"/>
      <c r="AA375" s="48"/>
      <c r="AB375" s="48"/>
      <c r="AC375" s="48"/>
      <c r="AD375" s="48"/>
      <c r="AE375" s="48"/>
      <c r="AF375" s="48"/>
      <c r="AG375" s="48"/>
      <c r="AH375" s="48"/>
      <c r="AI375" s="48"/>
      <c r="AJ375" s="48"/>
      <c r="AK375" s="48"/>
      <c r="AL375" s="48"/>
      <c r="AM375" s="48"/>
      <c r="AN375" s="48"/>
      <c r="AO375" s="48"/>
      <c r="AP375" s="48"/>
      <c r="AQ375" s="48"/>
      <c r="AR375" s="48"/>
      <c r="AS375" s="48"/>
      <c r="AT375" s="48"/>
      <c r="AU375" s="48"/>
      <c r="AV375" s="48"/>
      <c r="AW375" s="48"/>
      <c r="AX375" s="48"/>
      <c r="AY375" s="48"/>
      <c r="AZ375" s="50"/>
    </row>
    <row r="376" spans="1:52" ht="16" x14ac:dyDescent="0.35">
      <c r="A376" s="61"/>
      <c r="B376" s="52"/>
      <c r="C376" s="53"/>
      <c r="D376" s="53"/>
      <c r="E376" s="53"/>
      <c r="F376" s="52"/>
      <c r="G376" s="52"/>
      <c r="H376" s="52"/>
      <c r="I376" s="52"/>
      <c r="J376" s="52"/>
      <c r="K376" s="52"/>
      <c r="L376" s="52"/>
      <c r="M376" s="52"/>
      <c r="N376" s="52"/>
      <c r="O376" s="52"/>
      <c r="P376" s="52"/>
      <c r="Q376" s="52"/>
      <c r="R376" s="52"/>
      <c r="S376" s="52"/>
      <c r="T376" s="52"/>
      <c r="U376" s="52"/>
      <c r="V376" s="52"/>
      <c r="W376" s="52"/>
      <c r="X376" s="52"/>
      <c r="Y376" s="52"/>
      <c r="Z376" s="52"/>
      <c r="AA376" s="52"/>
      <c r="AB376" s="52"/>
      <c r="AC376" s="52"/>
      <c r="AD376" s="52"/>
      <c r="AE376" s="52"/>
      <c r="AF376" s="52"/>
      <c r="AG376" s="52"/>
      <c r="AH376" s="52"/>
      <c r="AI376" s="52"/>
      <c r="AJ376" s="52"/>
      <c r="AK376" s="52"/>
      <c r="AL376" s="52"/>
      <c r="AM376" s="52"/>
      <c r="AN376" s="52"/>
      <c r="AO376" s="52"/>
      <c r="AP376" s="52"/>
      <c r="AQ376" s="52"/>
      <c r="AR376" s="52"/>
      <c r="AS376" s="52"/>
      <c r="AT376" s="52"/>
      <c r="AU376" s="52"/>
      <c r="AV376" s="52"/>
      <c r="AW376" s="52"/>
      <c r="AX376" s="52"/>
      <c r="AY376" s="52"/>
      <c r="AZ376" s="54"/>
    </row>
    <row r="377" spans="1:52" ht="16" x14ac:dyDescent="0.35">
      <c r="A377" s="60"/>
      <c r="B377" s="48"/>
      <c r="C377" s="49"/>
      <c r="D377" s="49"/>
      <c r="E377" s="49"/>
      <c r="F377" s="48"/>
      <c r="G377" s="48"/>
      <c r="H377" s="48"/>
      <c r="I377" s="48"/>
      <c r="J377" s="48"/>
      <c r="K377" s="48"/>
      <c r="L377" s="48"/>
      <c r="M377" s="48"/>
      <c r="N377" s="48"/>
      <c r="O377" s="48"/>
      <c r="P377" s="48"/>
      <c r="Q377" s="48"/>
      <c r="R377" s="48"/>
      <c r="S377" s="48"/>
      <c r="T377" s="48"/>
      <c r="U377" s="48"/>
      <c r="V377" s="48"/>
      <c r="W377" s="48"/>
      <c r="X377" s="48"/>
      <c r="Y377" s="48"/>
      <c r="Z377" s="48"/>
      <c r="AA377" s="48"/>
      <c r="AB377" s="48"/>
      <c r="AC377" s="48"/>
      <c r="AD377" s="48"/>
      <c r="AE377" s="48"/>
      <c r="AF377" s="48"/>
      <c r="AG377" s="48"/>
      <c r="AH377" s="48"/>
      <c r="AI377" s="48"/>
      <c r="AJ377" s="48"/>
      <c r="AK377" s="48"/>
      <c r="AL377" s="48"/>
      <c r="AM377" s="48"/>
      <c r="AN377" s="48"/>
      <c r="AO377" s="48"/>
      <c r="AP377" s="48"/>
      <c r="AQ377" s="48"/>
      <c r="AR377" s="48"/>
      <c r="AS377" s="48"/>
      <c r="AT377" s="48"/>
      <c r="AU377" s="48"/>
      <c r="AV377" s="48"/>
      <c r="AW377" s="48"/>
      <c r="AX377" s="48"/>
      <c r="AY377" s="48"/>
      <c r="AZ377" s="50"/>
    </row>
    <row r="378" spans="1:52" ht="16" x14ac:dyDescent="0.35">
      <c r="A378" s="61"/>
      <c r="B378" s="52"/>
      <c r="C378" s="53"/>
      <c r="D378" s="53"/>
      <c r="E378" s="53"/>
      <c r="F378" s="52"/>
      <c r="G378" s="52"/>
      <c r="H378" s="52"/>
      <c r="I378" s="52"/>
      <c r="J378" s="52"/>
      <c r="K378" s="52"/>
      <c r="L378" s="52"/>
      <c r="M378" s="52"/>
      <c r="N378" s="52"/>
      <c r="O378" s="52"/>
      <c r="P378" s="52"/>
      <c r="Q378" s="52"/>
      <c r="R378" s="52"/>
      <c r="S378" s="52"/>
      <c r="T378" s="52"/>
      <c r="U378" s="52"/>
      <c r="V378" s="52"/>
      <c r="W378" s="52"/>
      <c r="X378" s="52"/>
      <c r="Y378" s="52"/>
      <c r="Z378" s="52"/>
      <c r="AA378" s="52"/>
      <c r="AB378" s="52"/>
      <c r="AC378" s="52"/>
      <c r="AD378" s="52"/>
      <c r="AE378" s="52"/>
      <c r="AF378" s="52"/>
      <c r="AG378" s="52"/>
      <c r="AH378" s="52"/>
      <c r="AI378" s="52"/>
      <c r="AJ378" s="52"/>
      <c r="AK378" s="52"/>
      <c r="AL378" s="52"/>
      <c r="AM378" s="52"/>
      <c r="AN378" s="52"/>
      <c r="AO378" s="52"/>
      <c r="AP378" s="52"/>
      <c r="AQ378" s="52"/>
      <c r="AR378" s="52"/>
      <c r="AS378" s="52"/>
      <c r="AT378" s="52"/>
      <c r="AU378" s="52"/>
      <c r="AV378" s="52"/>
      <c r="AW378" s="52"/>
      <c r="AX378" s="52"/>
      <c r="AY378" s="52"/>
      <c r="AZ378" s="54"/>
    </row>
    <row r="379" spans="1:52" ht="16" x14ac:dyDescent="0.35">
      <c r="A379" s="60"/>
      <c r="B379" s="48"/>
      <c r="C379" s="49"/>
      <c r="D379" s="49"/>
      <c r="E379" s="49"/>
      <c r="F379" s="48"/>
      <c r="G379" s="48"/>
      <c r="H379" s="48"/>
      <c r="I379" s="48"/>
      <c r="J379" s="48"/>
      <c r="K379" s="48"/>
      <c r="L379" s="48"/>
      <c r="M379" s="48"/>
      <c r="N379" s="48"/>
      <c r="O379" s="48"/>
      <c r="P379" s="48"/>
      <c r="Q379" s="48"/>
      <c r="R379" s="48"/>
      <c r="S379" s="48"/>
      <c r="T379" s="48"/>
      <c r="U379" s="48"/>
      <c r="V379" s="48"/>
      <c r="W379" s="48"/>
      <c r="X379" s="48"/>
      <c r="Y379" s="48"/>
      <c r="Z379" s="48"/>
      <c r="AA379" s="48"/>
      <c r="AB379" s="48"/>
      <c r="AC379" s="48"/>
      <c r="AD379" s="48"/>
      <c r="AE379" s="48"/>
      <c r="AF379" s="48"/>
      <c r="AG379" s="48"/>
      <c r="AH379" s="48"/>
      <c r="AI379" s="48"/>
      <c r="AJ379" s="48"/>
      <c r="AK379" s="48"/>
      <c r="AL379" s="48"/>
      <c r="AM379" s="48"/>
      <c r="AN379" s="48"/>
      <c r="AO379" s="48"/>
      <c r="AP379" s="48"/>
      <c r="AQ379" s="48"/>
      <c r="AR379" s="48"/>
      <c r="AS379" s="48"/>
      <c r="AT379" s="48"/>
      <c r="AU379" s="48"/>
      <c r="AV379" s="48"/>
      <c r="AW379" s="48"/>
      <c r="AX379" s="48"/>
      <c r="AY379" s="48"/>
      <c r="AZ379" s="50"/>
    </row>
    <row r="380" spans="1:52" ht="16" x14ac:dyDescent="0.35">
      <c r="A380" s="61"/>
      <c r="B380" s="52"/>
      <c r="C380" s="53"/>
      <c r="D380" s="53"/>
      <c r="E380" s="53"/>
      <c r="F380" s="52"/>
      <c r="G380" s="52"/>
      <c r="H380" s="52"/>
      <c r="I380" s="52"/>
      <c r="J380" s="52"/>
      <c r="K380" s="52"/>
      <c r="L380" s="52"/>
      <c r="M380" s="52"/>
      <c r="N380" s="52"/>
      <c r="O380" s="52"/>
      <c r="P380" s="52"/>
      <c r="Q380" s="52"/>
      <c r="R380" s="52"/>
      <c r="S380" s="52"/>
      <c r="T380" s="52"/>
      <c r="U380" s="52"/>
      <c r="V380" s="52"/>
      <c r="W380" s="52"/>
      <c r="X380" s="52"/>
      <c r="Y380" s="52"/>
      <c r="Z380" s="52"/>
      <c r="AA380" s="52"/>
      <c r="AB380" s="52"/>
      <c r="AC380" s="52"/>
      <c r="AD380" s="52"/>
      <c r="AE380" s="52"/>
      <c r="AF380" s="52"/>
      <c r="AG380" s="52"/>
      <c r="AH380" s="52"/>
      <c r="AI380" s="52"/>
      <c r="AJ380" s="52"/>
      <c r="AK380" s="52"/>
      <c r="AL380" s="52"/>
      <c r="AM380" s="52"/>
      <c r="AN380" s="52"/>
      <c r="AO380" s="52"/>
      <c r="AP380" s="52"/>
      <c r="AQ380" s="52"/>
      <c r="AR380" s="52"/>
      <c r="AS380" s="52"/>
      <c r="AT380" s="52"/>
      <c r="AU380" s="52"/>
      <c r="AV380" s="52"/>
      <c r="AW380" s="52"/>
      <c r="AX380" s="52"/>
      <c r="AY380" s="52"/>
      <c r="AZ380" s="54"/>
    </row>
    <row r="381" spans="1:52" ht="16" x14ac:dyDescent="0.35">
      <c r="A381" s="60"/>
      <c r="B381" s="48"/>
      <c r="C381" s="49"/>
      <c r="D381" s="49"/>
      <c r="E381" s="49"/>
      <c r="F381" s="48"/>
      <c r="G381" s="48"/>
      <c r="H381" s="48"/>
      <c r="I381" s="48"/>
      <c r="J381" s="48"/>
      <c r="K381" s="48"/>
      <c r="L381" s="48"/>
      <c r="M381" s="48"/>
      <c r="N381" s="48"/>
      <c r="O381" s="48"/>
      <c r="P381" s="48"/>
      <c r="Q381" s="48"/>
      <c r="R381" s="48"/>
      <c r="S381" s="48"/>
      <c r="T381" s="48"/>
      <c r="U381" s="48"/>
      <c r="V381" s="48"/>
      <c r="W381" s="48"/>
      <c r="X381" s="48"/>
      <c r="Y381" s="48"/>
      <c r="Z381" s="48"/>
      <c r="AA381" s="48"/>
      <c r="AB381" s="48"/>
      <c r="AC381" s="48"/>
      <c r="AD381" s="48"/>
      <c r="AE381" s="48"/>
      <c r="AF381" s="48"/>
      <c r="AG381" s="48"/>
      <c r="AH381" s="48"/>
      <c r="AI381" s="48"/>
      <c r="AJ381" s="48"/>
      <c r="AK381" s="48"/>
      <c r="AL381" s="48"/>
      <c r="AM381" s="48"/>
      <c r="AN381" s="48"/>
      <c r="AO381" s="48"/>
      <c r="AP381" s="48"/>
      <c r="AQ381" s="48"/>
      <c r="AR381" s="48"/>
      <c r="AS381" s="48"/>
      <c r="AT381" s="48"/>
      <c r="AU381" s="48"/>
      <c r="AV381" s="48"/>
      <c r="AW381" s="48"/>
      <c r="AX381" s="48"/>
      <c r="AY381" s="48"/>
      <c r="AZ381" s="50"/>
    </row>
    <row r="382" spans="1:52" ht="16" x14ac:dyDescent="0.35">
      <c r="A382" s="61"/>
      <c r="B382" s="52"/>
      <c r="C382" s="53"/>
      <c r="D382" s="53"/>
      <c r="E382" s="53"/>
      <c r="F382" s="52"/>
      <c r="G382" s="52"/>
      <c r="H382" s="52"/>
      <c r="I382" s="52"/>
      <c r="J382" s="52"/>
      <c r="K382" s="52"/>
      <c r="L382" s="52"/>
      <c r="M382" s="52"/>
      <c r="N382" s="52"/>
      <c r="O382" s="52"/>
      <c r="P382" s="52"/>
      <c r="Q382" s="52"/>
      <c r="R382" s="52"/>
      <c r="S382" s="52"/>
      <c r="T382" s="52"/>
      <c r="U382" s="52"/>
      <c r="V382" s="52"/>
      <c r="W382" s="52"/>
      <c r="X382" s="52"/>
      <c r="Y382" s="52"/>
      <c r="Z382" s="52"/>
      <c r="AA382" s="52"/>
      <c r="AB382" s="52"/>
      <c r="AC382" s="52"/>
      <c r="AD382" s="52"/>
      <c r="AE382" s="52"/>
      <c r="AF382" s="52"/>
      <c r="AG382" s="52"/>
      <c r="AH382" s="52"/>
      <c r="AI382" s="52"/>
      <c r="AJ382" s="52"/>
      <c r="AK382" s="52"/>
      <c r="AL382" s="52"/>
      <c r="AM382" s="52"/>
      <c r="AN382" s="52"/>
      <c r="AO382" s="52"/>
      <c r="AP382" s="52"/>
      <c r="AQ382" s="52"/>
      <c r="AR382" s="52"/>
      <c r="AS382" s="52"/>
      <c r="AT382" s="52"/>
      <c r="AU382" s="52"/>
      <c r="AV382" s="52"/>
      <c r="AW382" s="52"/>
      <c r="AX382" s="52"/>
      <c r="AY382" s="52"/>
      <c r="AZ382" s="54"/>
    </row>
    <row r="383" spans="1:52" ht="16" x14ac:dyDescent="0.35">
      <c r="A383" s="60"/>
      <c r="B383" s="48"/>
      <c r="C383" s="49"/>
      <c r="D383" s="49"/>
      <c r="E383" s="49"/>
      <c r="F383" s="48"/>
      <c r="G383" s="48"/>
      <c r="H383" s="48"/>
      <c r="I383" s="48"/>
      <c r="J383" s="48"/>
      <c r="K383" s="48"/>
      <c r="L383" s="48"/>
      <c r="M383" s="48"/>
      <c r="N383" s="48"/>
      <c r="O383" s="48"/>
      <c r="P383" s="48"/>
      <c r="Q383" s="48"/>
      <c r="R383" s="48"/>
      <c r="S383" s="48"/>
      <c r="T383" s="48"/>
      <c r="U383" s="48"/>
      <c r="V383" s="48"/>
      <c r="W383" s="48"/>
      <c r="X383" s="48"/>
      <c r="Y383" s="48"/>
      <c r="Z383" s="48"/>
      <c r="AA383" s="48"/>
      <c r="AB383" s="48"/>
      <c r="AC383" s="48"/>
      <c r="AD383" s="48"/>
      <c r="AE383" s="48"/>
      <c r="AF383" s="48"/>
      <c r="AG383" s="48"/>
      <c r="AH383" s="48"/>
      <c r="AI383" s="48"/>
      <c r="AJ383" s="48"/>
      <c r="AK383" s="48"/>
      <c r="AL383" s="48"/>
      <c r="AM383" s="48"/>
      <c r="AN383" s="48"/>
      <c r="AO383" s="48"/>
      <c r="AP383" s="48"/>
      <c r="AQ383" s="48"/>
      <c r="AR383" s="48"/>
      <c r="AS383" s="48"/>
      <c r="AT383" s="48"/>
      <c r="AU383" s="48"/>
      <c r="AV383" s="48"/>
      <c r="AW383" s="48"/>
      <c r="AX383" s="48"/>
      <c r="AY383" s="48"/>
      <c r="AZ383" s="50"/>
    </row>
    <row r="384" spans="1:52" ht="16" x14ac:dyDescent="0.35">
      <c r="A384" s="61"/>
      <c r="B384" s="52"/>
      <c r="C384" s="53"/>
      <c r="D384" s="53"/>
      <c r="E384" s="53"/>
      <c r="F384" s="52"/>
      <c r="G384" s="52"/>
      <c r="H384" s="52"/>
      <c r="I384" s="52"/>
      <c r="J384" s="52"/>
      <c r="K384" s="52"/>
      <c r="L384" s="52"/>
      <c r="M384" s="52"/>
      <c r="N384" s="52"/>
      <c r="O384" s="52"/>
      <c r="P384" s="52"/>
      <c r="Q384" s="52"/>
      <c r="R384" s="52"/>
      <c r="S384" s="52"/>
      <c r="T384" s="52"/>
      <c r="U384" s="52"/>
      <c r="V384" s="52"/>
      <c r="W384" s="52"/>
      <c r="X384" s="52"/>
      <c r="Y384" s="52"/>
      <c r="Z384" s="52"/>
      <c r="AA384" s="52"/>
      <c r="AB384" s="52"/>
      <c r="AC384" s="52"/>
      <c r="AD384" s="52"/>
      <c r="AE384" s="52"/>
      <c r="AF384" s="52"/>
      <c r="AG384" s="52"/>
      <c r="AH384" s="52"/>
      <c r="AI384" s="52"/>
      <c r="AJ384" s="52"/>
      <c r="AK384" s="52"/>
      <c r="AL384" s="52"/>
      <c r="AM384" s="52"/>
      <c r="AN384" s="52"/>
      <c r="AO384" s="52"/>
      <c r="AP384" s="52"/>
      <c r="AQ384" s="52"/>
      <c r="AR384" s="52"/>
      <c r="AS384" s="52"/>
      <c r="AT384" s="52"/>
      <c r="AU384" s="52"/>
      <c r="AV384" s="52"/>
      <c r="AW384" s="52"/>
      <c r="AX384" s="52"/>
      <c r="AY384" s="52"/>
      <c r="AZ384" s="54"/>
    </row>
    <row r="385" spans="1:52" ht="16" x14ac:dyDescent="0.35">
      <c r="A385" s="60"/>
      <c r="B385" s="48"/>
      <c r="C385" s="49"/>
      <c r="D385" s="49"/>
      <c r="E385" s="49"/>
      <c r="F385" s="48"/>
      <c r="G385" s="48"/>
      <c r="H385" s="48"/>
      <c r="I385" s="48"/>
      <c r="J385" s="48"/>
      <c r="K385" s="48"/>
      <c r="L385" s="48"/>
      <c r="M385" s="48"/>
      <c r="N385" s="48"/>
      <c r="O385" s="48"/>
      <c r="P385" s="48"/>
      <c r="Q385" s="48"/>
      <c r="R385" s="48"/>
      <c r="S385" s="48"/>
      <c r="T385" s="48"/>
      <c r="U385" s="48"/>
      <c r="V385" s="48"/>
      <c r="W385" s="48"/>
      <c r="X385" s="48"/>
      <c r="Y385" s="48"/>
      <c r="Z385" s="48"/>
      <c r="AA385" s="48"/>
      <c r="AB385" s="48"/>
      <c r="AC385" s="48"/>
      <c r="AD385" s="48"/>
      <c r="AE385" s="48"/>
      <c r="AF385" s="48"/>
      <c r="AG385" s="48"/>
      <c r="AH385" s="48"/>
      <c r="AI385" s="48"/>
      <c r="AJ385" s="48"/>
      <c r="AK385" s="48"/>
      <c r="AL385" s="48"/>
      <c r="AM385" s="48"/>
      <c r="AN385" s="48"/>
      <c r="AO385" s="48"/>
      <c r="AP385" s="48"/>
      <c r="AQ385" s="48"/>
      <c r="AR385" s="48"/>
      <c r="AS385" s="48"/>
      <c r="AT385" s="48"/>
      <c r="AU385" s="48"/>
      <c r="AV385" s="48"/>
      <c r="AW385" s="48"/>
      <c r="AX385" s="48"/>
      <c r="AY385" s="48"/>
      <c r="AZ385" s="50"/>
    </row>
    <row r="386" spans="1:52" ht="16" x14ac:dyDescent="0.35">
      <c r="A386" s="61"/>
      <c r="B386" s="52"/>
      <c r="C386" s="53"/>
      <c r="D386" s="53"/>
      <c r="E386" s="53"/>
      <c r="F386" s="52"/>
      <c r="G386" s="52"/>
      <c r="H386" s="52"/>
      <c r="I386" s="52"/>
      <c r="J386" s="52"/>
      <c r="K386" s="52"/>
      <c r="L386" s="52"/>
      <c r="M386" s="52"/>
      <c r="N386" s="52"/>
      <c r="O386" s="52"/>
      <c r="P386" s="52"/>
      <c r="Q386" s="52"/>
      <c r="R386" s="52"/>
      <c r="S386" s="52"/>
      <c r="T386" s="52"/>
      <c r="U386" s="52"/>
      <c r="V386" s="52"/>
      <c r="W386" s="52"/>
      <c r="X386" s="52"/>
      <c r="Y386" s="52"/>
      <c r="Z386" s="52"/>
      <c r="AA386" s="52"/>
      <c r="AB386" s="52"/>
      <c r="AC386" s="52"/>
      <c r="AD386" s="52"/>
      <c r="AE386" s="52"/>
      <c r="AF386" s="52"/>
      <c r="AG386" s="52"/>
      <c r="AH386" s="52"/>
      <c r="AI386" s="52"/>
      <c r="AJ386" s="52"/>
      <c r="AK386" s="52"/>
      <c r="AL386" s="52"/>
      <c r="AM386" s="52"/>
      <c r="AN386" s="52"/>
      <c r="AO386" s="52"/>
      <c r="AP386" s="52"/>
      <c r="AQ386" s="52"/>
      <c r="AR386" s="52"/>
      <c r="AS386" s="52"/>
      <c r="AT386" s="52"/>
      <c r="AU386" s="52"/>
      <c r="AV386" s="52"/>
      <c r="AW386" s="52"/>
      <c r="AX386" s="52"/>
      <c r="AY386" s="52"/>
      <c r="AZ386" s="54"/>
    </row>
    <row r="387" spans="1:52" ht="16" x14ac:dyDescent="0.35">
      <c r="A387" s="60"/>
      <c r="B387" s="48"/>
      <c r="C387" s="49"/>
      <c r="D387" s="49"/>
      <c r="E387" s="49"/>
      <c r="F387" s="48"/>
      <c r="G387" s="48"/>
      <c r="H387" s="48"/>
      <c r="I387" s="48"/>
      <c r="J387" s="48"/>
      <c r="K387" s="48"/>
      <c r="L387" s="48"/>
      <c r="M387" s="48"/>
      <c r="N387" s="48"/>
      <c r="O387" s="48"/>
      <c r="P387" s="48"/>
      <c r="Q387" s="48"/>
      <c r="R387" s="48"/>
      <c r="S387" s="48"/>
      <c r="T387" s="48"/>
      <c r="U387" s="48"/>
      <c r="V387" s="48"/>
      <c r="W387" s="48"/>
      <c r="X387" s="48"/>
      <c r="Y387" s="48"/>
      <c r="Z387" s="48"/>
      <c r="AA387" s="48"/>
      <c r="AB387" s="48"/>
      <c r="AC387" s="48"/>
      <c r="AD387" s="48"/>
      <c r="AE387" s="48"/>
      <c r="AF387" s="48"/>
      <c r="AG387" s="48"/>
      <c r="AH387" s="48"/>
      <c r="AI387" s="48"/>
      <c r="AJ387" s="48"/>
      <c r="AK387" s="48"/>
      <c r="AL387" s="48"/>
      <c r="AM387" s="48"/>
      <c r="AN387" s="48"/>
      <c r="AO387" s="48"/>
      <c r="AP387" s="48"/>
      <c r="AQ387" s="48"/>
      <c r="AR387" s="48"/>
      <c r="AS387" s="48"/>
      <c r="AT387" s="48"/>
      <c r="AU387" s="48"/>
      <c r="AV387" s="48"/>
      <c r="AW387" s="48"/>
      <c r="AX387" s="48"/>
      <c r="AY387" s="48"/>
      <c r="AZ387" s="50"/>
    </row>
    <row r="388" spans="1:52" ht="16" x14ac:dyDescent="0.35">
      <c r="A388" s="61"/>
      <c r="B388" s="52"/>
      <c r="C388" s="53"/>
      <c r="D388" s="53"/>
      <c r="E388" s="53"/>
      <c r="F388" s="52"/>
      <c r="G388" s="52"/>
      <c r="H388" s="52"/>
      <c r="I388" s="52"/>
      <c r="J388" s="52"/>
      <c r="K388" s="52"/>
      <c r="L388" s="52"/>
      <c r="M388" s="52"/>
      <c r="N388" s="52"/>
      <c r="O388" s="52"/>
      <c r="P388" s="52"/>
      <c r="Q388" s="52"/>
      <c r="R388" s="52"/>
      <c r="S388" s="52"/>
      <c r="T388" s="52"/>
      <c r="U388" s="52"/>
      <c r="V388" s="52"/>
      <c r="W388" s="52"/>
      <c r="X388" s="52"/>
      <c r="Y388" s="52"/>
      <c r="Z388" s="52"/>
      <c r="AA388" s="52"/>
      <c r="AB388" s="52"/>
      <c r="AC388" s="52"/>
      <c r="AD388" s="52"/>
      <c r="AE388" s="52"/>
      <c r="AF388" s="52"/>
      <c r="AG388" s="52"/>
      <c r="AH388" s="52"/>
      <c r="AI388" s="52"/>
      <c r="AJ388" s="52"/>
      <c r="AK388" s="52"/>
      <c r="AL388" s="52"/>
      <c r="AM388" s="52"/>
      <c r="AN388" s="52"/>
      <c r="AO388" s="52"/>
      <c r="AP388" s="52"/>
      <c r="AQ388" s="52"/>
      <c r="AR388" s="52"/>
      <c r="AS388" s="52"/>
      <c r="AT388" s="52"/>
      <c r="AU388" s="52"/>
      <c r="AV388" s="52"/>
      <c r="AW388" s="52"/>
      <c r="AX388" s="52"/>
      <c r="AY388" s="52"/>
      <c r="AZ388" s="54"/>
    </row>
    <row r="389" spans="1:52" ht="16" x14ac:dyDescent="0.35">
      <c r="A389" s="60"/>
      <c r="B389" s="48"/>
      <c r="C389" s="49"/>
      <c r="D389" s="49"/>
      <c r="E389" s="49"/>
      <c r="F389" s="48"/>
      <c r="G389" s="48"/>
      <c r="H389" s="48"/>
      <c r="I389" s="48"/>
      <c r="J389" s="48"/>
      <c r="K389" s="48"/>
      <c r="L389" s="48"/>
      <c r="M389" s="48"/>
      <c r="N389" s="48"/>
      <c r="O389" s="48"/>
      <c r="P389" s="48"/>
      <c r="Q389" s="48"/>
      <c r="R389" s="48"/>
      <c r="S389" s="48"/>
      <c r="T389" s="48"/>
      <c r="U389" s="48"/>
      <c r="V389" s="48"/>
      <c r="W389" s="48"/>
      <c r="X389" s="48"/>
      <c r="Y389" s="48"/>
      <c r="Z389" s="48"/>
      <c r="AA389" s="48"/>
      <c r="AB389" s="48"/>
      <c r="AC389" s="48"/>
      <c r="AD389" s="48"/>
      <c r="AE389" s="48"/>
      <c r="AF389" s="48"/>
      <c r="AG389" s="48"/>
      <c r="AH389" s="48"/>
      <c r="AI389" s="48"/>
      <c r="AJ389" s="48"/>
      <c r="AK389" s="48"/>
      <c r="AL389" s="48"/>
      <c r="AM389" s="48"/>
      <c r="AN389" s="48"/>
      <c r="AO389" s="48"/>
      <c r="AP389" s="48"/>
      <c r="AQ389" s="48"/>
      <c r="AR389" s="48"/>
      <c r="AS389" s="48"/>
      <c r="AT389" s="48"/>
      <c r="AU389" s="48"/>
      <c r="AV389" s="48"/>
      <c r="AW389" s="48"/>
      <c r="AX389" s="48"/>
      <c r="AY389" s="48"/>
      <c r="AZ389" s="50"/>
    </row>
    <row r="390" spans="1:52" ht="16" x14ac:dyDescent="0.35">
      <c r="A390" s="61"/>
      <c r="B390" s="52"/>
      <c r="C390" s="53"/>
      <c r="D390" s="53"/>
      <c r="E390" s="53"/>
      <c r="F390" s="52"/>
      <c r="G390" s="52"/>
      <c r="H390" s="52"/>
      <c r="I390" s="52"/>
      <c r="J390" s="52"/>
      <c r="K390" s="52"/>
      <c r="L390" s="52"/>
      <c r="M390" s="52"/>
      <c r="N390" s="52"/>
      <c r="O390" s="52"/>
      <c r="P390" s="52"/>
      <c r="Q390" s="52"/>
      <c r="R390" s="52"/>
      <c r="S390" s="52"/>
      <c r="T390" s="52"/>
      <c r="U390" s="52"/>
      <c r="V390" s="52"/>
      <c r="W390" s="52"/>
      <c r="X390" s="52"/>
      <c r="Y390" s="52"/>
      <c r="Z390" s="52"/>
      <c r="AA390" s="52"/>
      <c r="AB390" s="52"/>
      <c r="AC390" s="52"/>
      <c r="AD390" s="52"/>
      <c r="AE390" s="52"/>
      <c r="AF390" s="52"/>
      <c r="AG390" s="52"/>
      <c r="AH390" s="52"/>
      <c r="AI390" s="52"/>
      <c r="AJ390" s="52"/>
      <c r="AK390" s="52"/>
      <c r="AL390" s="52"/>
      <c r="AM390" s="52"/>
      <c r="AN390" s="52"/>
      <c r="AO390" s="52"/>
      <c r="AP390" s="52"/>
      <c r="AQ390" s="52"/>
      <c r="AR390" s="52"/>
      <c r="AS390" s="52"/>
      <c r="AT390" s="52"/>
      <c r="AU390" s="52"/>
      <c r="AV390" s="52"/>
      <c r="AW390" s="52"/>
      <c r="AX390" s="52"/>
      <c r="AY390" s="52"/>
      <c r="AZ390" s="54"/>
    </row>
    <row r="391" spans="1:52" ht="16" x14ac:dyDescent="0.35">
      <c r="A391" s="60"/>
      <c r="B391" s="48"/>
      <c r="C391" s="49"/>
      <c r="D391" s="49"/>
      <c r="E391" s="49"/>
      <c r="F391" s="48"/>
      <c r="G391" s="48"/>
      <c r="H391" s="48"/>
      <c r="I391" s="48"/>
      <c r="J391" s="48"/>
      <c r="K391" s="48"/>
      <c r="L391" s="48"/>
      <c r="M391" s="48"/>
      <c r="N391" s="48"/>
      <c r="O391" s="48"/>
      <c r="P391" s="48"/>
      <c r="Q391" s="48"/>
      <c r="R391" s="48"/>
      <c r="S391" s="48"/>
      <c r="T391" s="48"/>
      <c r="U391" s="48"/>
      <c r="V391" s="48"/>
      <c r="W391" s="48"/>
      <c r="X391" s="48"/>
      <c r="Y391" s="48"/>
      <c r="Z391" s="48"/>
      <c r="AA391" s="48"/>
      <c r="AB391" s="48"/>
      <c r="AC391" s="48"/>
      <c r="AD391" s="48"/>
      <c r="AE391" s="48"/>
      <c r="AF391" s="48"/>
      <c r="AG391" s="48"/>
      <c r="AH391" s="48"/>
      <c r="AI391" s="48"/>
      <c r="AJ391" s="48"/>
      <c r="AK391" s="48"/>
      <c r="AL391" s="48"/>
      <c r="AM391" s="48"/>
      <c r="AN391" s="48"/>
      <c r="AO391" s="48"/>
      <c r="AP391" s="48"/>
      <c r="AQ391" s="48"/>
      <c r="AR391" s="48"/>
      <c r="AS391" s="48"/>
      <c r="AT391" s="48"/>
      <c r="AU391" s="48"/>
      <c r="AV391" s="48"/>
      <c r="AW391" s="48"/>
      <c r="AX391" s="48"/>
      <c r="AY391" s="48"/>
      <c r="AZ391" s="50"/>
    </row>
    <row r="392" spans="1:52" ht="16" x14ac:dyDescent="0.35">
      <c r="A392" s="61"/>
      <c r="B392" s="52"/>
      <c r="C392" s="53"/>
      <c r="D392" s="53"/>
      <c r="E392" s="53"/>
      <c r="F392" s="52"/>
      <c r="G392" s="52"/>
      <c r="H392" s="52"/>
      <c r="I392" s="52"/>
      <c r="J392" s="52"/>
      <c r="K392" s="52"/>
      <c r="L392" s="52"/>
      <c r="M392" s="52"/>
      <c r="N392" s="52"/>
      <c r="O392" s="52"/>
      <c r="P392" s="52"/>
      <c r="Q392" s="52"/>
      <c r="R392" s="52"/>
      <c r="S392" s="52"/>
      <c r="T392" s="52"/>
      <c r="U392" s="52"/>
      <c r="V392" s="52"/>
      <c r="W392" s="52"/>
      <c r="X392" s="52"/>
      <c r="Y392" s="52"/>
      <c r="Z392" s="52"/>
      <c r="AA392" s="52"/>
      <c r="AB392" s="52"/>
      <c r="AC392" s="52"/>
      <c r="AD392" s="52"/>
      <c r="AE392" s="52"/>
      <c r="AF392" s="52"/>
      <c r="AG392" s="52"/>
      <c r="AH392" s="52"/>
      <c r="AI392" s="52"/>
      <c r="AJ392" s="52"/>
      <c r="AK392" s="52"/>
      <c r="AL392" s="52"/>
      <c r="AM392" s="52"/>
      <c r="AN392" s="52"/>
      <c r="AO392" s="52"/>
      <c r="AP392" s="52"/>
      <c r="AQ392" s="52"/>
      <c r="AR392" s="52"/>
      <c r="AS392" s="52"/>
      <c r="AT392" s="52"/>
      <c r="AU392" s="52"/>
      <c r="AV392" s="52"/>
      <c r="AW392" s="52"/>
      <c r="AX392" s="52"/>
      <c r="AY392" s="52"/>
      <c r="AZ392" s="54"/>
    </row>
    <row r="393" spans="1:52" ht="16" x14ac:dyDescent="0.35">
      <c r="A393" s="60"/>
      <c r="B393" s="48"/>
      <c r="C393" s="49"/>
      <c r="D393" s="49"/>
      <c r="E393" s="49"/>
      <c r="F393" s="48"/>
      <c r="G393" s="48"/>
      <c r="H393" s="48"/>
      <c r="I393" s="48"/>
      <c r="J393" s="48"/>
      <c r="K393" s="48"/>
      <c r="L393" s="48"/>
      <c r="M393" s="48"/>
      <c r="N393" s="48"/>
      <c r="O393" s="48"/>
      <c r="P393" s="48"/>
      <c r="Q393" s="48"/>
      <c r="R393" s="48"/>
      <c r="S393" s="48"/>
      <c r="T393" s="48"/>
      <c r="U393" s="48"/>
      <c r="V393" s="48"/>
      <c r="W393" s="48"/>
      <c r="X393" s="48"/>
      <c r="Y393" s="48"/>
      <c r="Z393" s="48"/>
      <c r="AA393" s="48"/>
      <c r="AB393" s="48"/>
      <c r="AC393" s="48"/>
      <c r="AD393" s="48"/>
      <c r="AE393" s="48"/>
      <c r="AF393" s="48"/>
      <c r="AG393" s="48"/>
      <c r="AH393" s="48"/>
      <c r="AI393" s="48"/>
      <c r="AJ393" s="48"/>
      <c r="AK393" s="48"/>
      <c r="AL393" s="48"/>
      <c r="AM393" s="48"/>
      <c r="AN393" s="48"/>
      <c r="AO393" s="48"/>
      <c r="AP393" s="48"/>
      <c r="AQ393" s="48"/>
      <c r="AR393" s="48"/>
      <c r="AS393" s="48"/>
      <c r="AT393" s="48"/>
      <c r="AU393" s="48"/>
      <c r="AV393" s="48"/>
      <c r="AW393" s="48"/>
      <c r="AX393" s="48"/>
      <c r="AY393" s="48"/>
      <c r="AZ393" s="50"/>
    </row>
    <row r="394" spans="1:52" ht="16" x14ac:dyDescent="0.35">
      <c r="A394" s="61"/>
      <c r="B394" s="52"/>
      <c r="C394" s="53"/>
      <c r="D394" s="53"/>
      <c r="E394" s="53"/>
      <c r="F394" s="52"/>
      <c r="G394" s="52"/>
      <c r="H394" s="52"/>
      <c r="I394" s="52"/>
      <c r="J394" s="52"/>
      <c r="K394" s="52"/>
      <c r="L394" s="52"/>
      <c r="M394" s="52"/>
      <c r="N394" s="52"/>
      <c r="O394" s="52"/>
      <c r="P394" s="52"/>
      <c r="Q394" s="52"/>
      <c r="R394" s="52"/>
      <c r="S394" s="52"/>
      <c r="T394" s="52"/>
      <c r="U394" s="52"/>
      <c r="V394" s="52"/>
      <c r="W394" s="52"/>
      <c r="X394" s="52"/>
      <c r="Y394" s="52"/>
      <c r="Z394" s="52"/>
      <c r="AA394" s="52"/>
      <c r="AB394" s="52"/>
      <c r="AC394" s="52"/>
      <c r="AD394" s="52"/>
      <c r="AE394" s="52"/>
      <c r="AF394" s="52"/>
      <c r="AG394" s="52"/>
      <c r="AH394" s="52"/>
      <c r="AI394" s="52"/>
      <c r="AJ394" s="52"/>
      <c r="AK394" s="52"/>
      <c r="AL394" s="52"/>
      <c r="AM394" s="52"/>
      <c r="AN394" s="52"/>
      <c r="AO394" s="52"/>
      <c r="AP394" s="52"/>
      <c r="AQ394" s="52"/>
      <c r="AR394" s="52"/>
      <c r="AS394" s="52"/>
      <c r="AT394" s="52"/>
      <c r="AU394" s="52"/>
      <c r="AV394" s="52"/>
      <c r="AW394" s="52"/>
      <c r="AX394" s="52"/>
      <c r="AY394" s="52"/>
      <c r="AZ394" s="54"/>
    </row>
    <row r="395" spans="1:52" ht="16" x14ac:dyDescent="0.35">
      <c r="A395" s="60"/>
      <c r="B395" s="48"/>
      <c r="C395" s="49"/>
      <c r="D395" s="49"/>
      <c r="E395" s="49"/>
      <c r="F395" s="48"/>
      <c r="G395" s="48"/>
      <c r="H395" s="48"/>
      <c r="I395" s="48"/>
      <c r="J395" s="48"/>
      <c r="K395" s="48"/>
      <c r="L395" s="48"/>
      <c r="M395" s="48"/>
      <c r="N395" s="48"/>
      <c r="O395" s="48"/>
      <c r="P395" s="48"/>
      <c r="Q395" s="48"/>
      <c r="R395" s="48"/>
      <c r="S395" s="48"/>
      <c r="T395" s="48"/>
      <c r="U395" s="48"/>
      <c r="V395" s="48"/>
      <c r="W395" s="48"/>
      <c r="X395" s="48"/>
      <c r="Y395" s="48"/>
      <c r="Z395" s="48"/>
      <c r="AA395" s="48"/>
      <c r="AB395" s="48"/>
      <c r="AC395" s="48"/>
      <c r="AD395" s="48"/>
      <c r="AE395" s="48"/>
      <c r="AF395" s="48"/>
      <c r="AG395" s="48"/>
      <c r="AH395" s="48"/>
      <c r="AI395" s="48"/>
      <c r="AJ395" s="48"/>
      <c r="AK395" s="48"/>
      <c r="AL395" s="48"/>
      <c r="AM395" s="48"/>
      <c r="AN395" s="48"/>
      <c r="AO395" s="48"/>
      <c r="AP395" s="48"/>
      <c r="AQ395" s="48"/>
      <c r="AR395" s="48"/>
      <c r="AS395" s="48"/>
      <c r="AT395" s="48"/>
      <c r="AU395" s="48"/>
      <c r="AV395" s="48"/>
      <c r="AW395" s="48"/>
      <c r="AX395" s="48"/>
      <c r="AY395" s="48"/>
      <c r="AZ395" s="50"/>
    </row>
    <row r="396" spans="1:52" ht="16" x14ac:dyDescent="0.35">
      <c r="A396" s="61"/>
      <c r="B396" s="52"/>
      <c r="C396" s="53"/>
      <c r="D396" s="53"/>
      <c r="E396" s="53"/>
      <c r="F396" s="52"/>
      <c r="G396" s="52"/>
      <c r="H396" s="52"/>
      <c r="I396" s="52"/>
      <c r="J396" s="52"/>
      <c r="K396" s="52"/>
      <c r="L396" s="52"/>
      <c r="M396" s="52"/>
      <c r="N396" s="52"/>
      <c r="O396" s="52"/>
      <c r="P396" s="52"/>
      <c r="Q396" s="52"/>
      <c r="R396" s="52"/>
      <c r="S396" s="52"/>
      <c r="T396" s="52"/>
      <c r="U396" s="52"/>
      <c r="V396" s="52"/>
      <c r="W396" s="52"/>
      <c r="X396" s="52"/>
      <c r="Y396" s="52"/>
      <c r="Z396" s="52"/>
      <c r="AA396" s="52"/>
      <c r="AB396" s="52"/>
      <c r="AC396" s="52"/>
      <c r="AD396" s="52"/>
      <c r="AE396" s="52"/>
      <c r="AF396" s="52"/>
      <c r="AG396" s="52"/>
      <c r="AH396" s="52"/>
      <c r="AI396" s="52"/>
      <c r="AJ396" s="52"/>
      <c r="AK396" s="52"/>
      <c r="AL396" s="52"/>
      <c r="AM396" s="52"/>
      <c r="AN396" s="52"/>
      <c r="AO396" s="52"/>
      <c r="AP396" s="52"/>
      <c r="AQ396" s="52"/>
      <c r="AR396" s="52"/>
      <c r="AS396" s="52"/>
      <c r="AT396" s="52"/>
      <c r="AU396" s="52"/>
      <c r="AV396" s="52"/>
      <c r="AW396" s="52"/>
      <c r="AX396" s="52"/>
      <c r="AY396" s="52"/>
      <c r="AZ396" s="54"/>
    </row>
    <row r="397" spans="1:52" ht="16" x14ac:dyDescent="0.35">
      <c r="A397" s="60"/>
      <c r="B397" s="48"/>
      <c r="C397" s="49"/>
      <c r="D397" s="49"/>
      <c r="E397" s="49"/>
      <c r="F397" s="48"/>
      <c r="G397" s="48"/>
      <c r="H397" s="48"/>
      <c r="I397" s="48"/>
      <c r="J397" s="48"/>
      <c r="K397" s="48"/>
      <c r="L397" s="48"/>
      <c r="M397" s="48"/>
      <c r="N397" s="48"/>
      <c r="O397" s="48"/>
      <c r="P397" s="48"/>
      <c r="Q397" s="48"/>
      <c r="R397" s="48"/>
      <c r="S397" s="48"/>
      <c r="T397" s="48"/>
      <c r="U397" s="48"/>
      <c r="V397" s="48"/>
      <c r="W397" s="48"/>
      <c r="X397" s="48"/>
      <c r="Y397" s="48"/>
      <c r="Z397" s="48"/>
      <c r="AA397" s="48"/>
      <c r="AB397" s="48"/>
      <c r="AC397" s="48"/>
      <c r="AD397" s="48"/>
      <c r="AE397" s="48"/>
      <c r="AF397" s="48"/>
      <c r="AG397" s="48"/>
      <c r="AH397" s="48"/>
      <c r="AI397" s="48"/>
      <c r="AJ397" s="48"/>
      <c r="AK397" s="48"/>
      <c r="AL397" s="48"/>
      <c r="AM397" s="48"/>
      <c r="AN397" s="48"/>
      <c r="AO397" s="48"/>
      <c r="AP397" s="48"/>
      <c r="AQ397" s="48"/>
      <c r="AR397" s="48"/>
      <c r="AS397" s="48"/>
      <c r="AT397" s="48"/>
      <c r="AU397" s="48"/>
      <c r="AV397" s="48"/>
      <c r="AW397" s="48"/>
      <c r="AX397" s="48"/>
      <c r="AY397" s="48"/>
      <c r="AZ397" s="50"/>
    </row>
    <row r="398" spans="1:52" ht="16" x14ac:dyDescent="0.35">
      <c r="A398" s="61"/>
      <c r="B398" s="52"/>
      <c r="C398" s="53"/>
      <c r="D398" s="53"/>
      <c r="E398" s="53"/>
      <c r="F398" s="52"/>
      <c r="G398" s="52"/>
      <c r="H398" s="52"/>
      <c r="I398" s="52"/>
      <c r="J398" s="52"/>
      <c r="K398" s="52"/>
      <c r="L398" s="52"/>
      <c r="M398" s="52"/>
      <c r="N398" s="52"/>
      <c r="O398" s="52"/>
      <c r="P398" s="52"/>
      <c r="Q398" s="52"/>
      <c r="R398" s="52"/>
      <c r="S398" s="52"/>
      <c r="T398" s="52"/>
      <c r="U398" s="52"/>
      <c r="V398" s="52"/>
      <c r="W398" s="52"/>
      <c r="X398" s="52"/>
      <c r="Y398" s="52"/>
      <c r="Z398" s="52"/>
      <c r="AA398" s="52"/>
      <c r="AB398" s="52"/>
      <c r="AC398" s="52"/>
      <c r="AD398" s="52"/>
      <c r="AE398" s="52"/>
      <c r="AF398" s="52"/>
      <c r="AG398" s="52"/>
      <c r="AH398" s="52"/>
      <c r="AI398" s="52"/>
      <c r="AJ398" s="52"/>
      <c r="AK398" s="52"/>
      <c r="AL398" s="52"/>
      <c r="AM398" s="52"/>
      <c r="AN398" s="52"/>
      <c r="AO398" s="52"/>
      <c r="AP398" s="52"/>
      <c r="AQ398" s="52"/>
      <c r="AR398" s="52"/>
      <c r="AS398" s="52"/>
      <c r="AT398" s="52"/>
      <c r="AU398" s="52"/>
      <c r="AV398" s="52"/>
      <c r="AW398" s="52"/>
      <c r="AX398" s="52"/>
      <c r="AY398" s="52"/>
      <c r="AZ398" s="54"/>
    </row>
    <row r="399" spans="1:52" ht="16" x14ac:dyDescent="0.35">
      <c r="A399" s="60"/>
      <c r="B399" s="48"/>
      <c r="C399" s="49"/>
      <c r="D399" s="49"/>
      <c r="E399" s="49"/>
      <c r="F399" s="48"/>
      <c r="G399" s="48"/>
      <c r="H399" s="48"/>
      <c r="I399" s="48"/>
      <c r="J399" s="48"/>
      <c r="K399" s="48"/>
      <c r="L399" s="48"/>
      <c r="M399" s="48"/>
      <c r="N399" s="48"/>
      <c r="O399" s="48"/>
      <c r="P399" s="48"/>
      <c r="Q399" s="48"/>
      <c r="R399" s="48"/>
      <c r="S399" s="48"/>
      <c r="T399" s="48"/>
      <c r="U399" s="48"/>
      <c r="V399" s="48"/>
      <c r="W399" s="48"/>
      <c r="X399" s="48"/>
      <c r="Y399" s="48"/>
      <c r="Z399" s="48"/>
      <c r="AA399" s="48"/>
      <c r="AB399" s="48"/>
      <c r="AC399" s="48"/>
      <c r="AD399" s="48"/>
      <c r="AE399" s="48"/>
      <c r="AF399" s="48"/>
      <c r="AG399" s="48"/>
      <c r="AH399" s="48"/>
      <c r="AI399" s="48"/>
      <c r="AJ399" s="48"/>
      <c r="AK399" s="48"/>
      <c r="AL399" s="48"/>
      <c r="AM399" s="48"/>
      <c r="AN399" s="48"/>
      <c r="AO399" s="48"/>
      <c r="AP399" s="48"/>
      <c r="AQ399" s="48"/>
      <c r="AR399" s="48"/>
      <c r="AS399" s="48"/>
      <c r="AT399" s="48"/>
      <c r="AU399" s="48"/>
      <c r="AV399" s="48"/>
      <c r="AW399" s="48"/>
      <c r="AX399" s="48"/>
      <c r="AY399" s="48"/>
      <c r="AZ399" s="50"/>
    </row>
    <row r="400" spans="1:52" ht="16" x14ac:dyDescent="0.35">
      <c r="A400" s="61"/>
      <c r="B400" s="52"/>
      <c r="C400" s="53"/>
      <c r="D400" s="53"/>
      <c r="E400" s="53"/>
      <c r="F400" s="52"/>
      <c r="G400" s="52"/>
      <c r="H400" s="52"/>
      <c r="I400" s="52"/>
      <c r="J400" s="52"/>
      <c r="K400" s="52"/>
      <c r="L400" s="52"/>
      <c r="M400" s="52"/>
      <c r="N400" s="52"/>
      <c r="O400" s="52"/>
      <c r="P400" s="52"/>
      <c r="Q400" s="52"/>
      <c r="R400" s="52"/>
      <c r="S400" s="52"/>
      <c r="T400" s="52"/>
      <c r="U400" s="52"/>
      <c r="V400" s="52"/>
      <c r="W400" s="52"/>
      <c r="X400" s="52"/>
      <c r="Y400" s="52"/>
      <c r="Z400" s="52"/>
      <c r="AA400" s="52"/>
      <c r="AB400" s="52"/>
      <c r="AC400" s="52"/>
      <c r="AD400" s="52"/>
      <c r="AE400" s="52"/>
      <c r="AF400" s="52"/>
      <c r="AG400" s="52"/>
      <c r="AH400" s="52"/>
      <c r="AI400" s="52"/>
      <c r="AJ400" s="52"/>
      <c r="AK400" s="52"/>
      <c r="AL400" s="52"/>
      <c r="AM400" s="52"/>
      <c r="AN400" s="52"/>
      <c r="AO400" s="52"/>
      <c r="AP400" s="52"/>
      <c r="AQ400" s="52"/>
      <c r="AR400" s="52"/>
      <c r="AS400" s="52"/>
      <c r="AT400" s="52"/>
      <c r="AU400" s="52"/>
      <c r="AV400" s="52"/>
      <c r="AW400" s="52"/>
      <c r="AX400" s="52"/>
      <c r="AY400" s="52"/>
      <c r="AZ400" s="54"/>
    </row>
    <row r="401" spans="1:52" ht="16" x14ac:dyDescent="0.35">
      <c r="A401" s="60"/>
      <c r="B401" s="48"/>
      <c r="C401" s="49"/>
      <c r="D401" s="49"/>
      <c r="E401" s="49"/>
      <c r="F401" s="48"/>
      <c r="G401" s="48"/>
      <c r="H401" s="48"/>
      <c r="I401" s="48"/>
      <c r="J401" s="48"/>
      <c r="K401" s="48"/>
      <c r="L401" s="48"/>
      <c r="M401" s="48"/>
      <c r="N401" s="48"/>
      <c r="O401" s="48"/>
      <c r="P401" s="48"/>
      <c r="Q401" s="48"/>
      <c r="R401" s="48"/>
      <c r="S401" s="48"/>
      <c r="T401" s="48"/>
      <c r="U401" s="48"/>
      <c r="V401" s="48"/>
      <c r="W401" s="48"/>
      <c r="X401" s="48"/>
      <c r="Y401" s="48"/>
      <c r="Z401" s="48"/>
      <c r="AA401" s="48"/>
      <c r="AB401" s="48"/>
      <c r="AC401" s="48"/>
      <c r="AD401" s="48"/>
      <c r="AE401" s="48"/>
      <c r="AF401" s="48"/>
      <c r="AG401" s="48"/>
      <c r="AH401" s="48"/>
      <c r="AI401" s="48"/>
      <c r="AJ401" s="48"/>
      <c r="AK401" s="48"/>
      <c r="AL401" s="48"/>
      <c r="AM401" s="48"/>
      <c r="AN401" s="48"/>
      <c r="AO401" s="48"/>
      <c r="AP401" s="48"/>
      <c r="AQ401" s="48"/>
      <c r="AR401" s="48"/>
      <c r="AS401" s="48"/>
      <c r="AT401" s="48"/>
      <c r="AU401" s="48"/>
      <c r="AV401" s="48"/>
      <c r="AW401" s="48"/>
      <c r="AX401" s="48"/>
      <c r="AY401" s="48"/>
      <c r="AZ401" s="50"/>
    </row>
    <row r="402" spans="1:52" ht="16" x14ac:dyDescent="0.35">
      <c r="A402" s="61"/>
      <c r="B402" s="52"/>
      <c r="C402" s="53"/>
      <c r="D402" s="53"/>
      <c r="E402" s="53"/>
      <c r="F402" s="52"/>
      <c r="G402" s="52"/>
      <c r="H402" s="52"/>
      <c r="I402" s="52"/>
      <c r="J402" s="52"/>
      <c r="K402" s="52"/>
      <c r="L402" s="52"/>
      <c r="M402" s="52"/>
      <c r="N402" s="52"/>
      <c r="O402" s="52"/>
      <c r="P402" s="52"/>
      <c r="Q402" s="52"/>
      <c r="R402" s="52"/>
      <c r="S402" s="52"/>
      <c r="T402" s="52"/>
      <c r="U402" s="52"/>
      <c r="V402" s="52"/>
      <c r="W402" s="52"/>
      <c r="X402" s="52"/>
      <c r="Y402" s="52"/>
      <c r="Z402" s="52"/>
      <c r="AA402" s="52"/>
      <c r="AB402" s="52"/>
      <c r="AC402" s="52"/>
      <c r="AD402" s="52"/>
      <c r="AE402" s="52"/>
      <c r="AF402" s="52"/>
      <c r="AG402" s="52"/>
      <c r="AH402" s="52"/>
      <c r="AI402" s="52"/>
      <c r="AJ402" s="52"/>
      <c r="AK402" s="52"/>
      <c r="AL402" s="52"/>
      <c r="AM402" s="52"/>
      <c r="AN402" s="52"/>
      <c r="AO402" s="52"/>
      <c r="AP402" s="52"/>
      <c r="AQ402" s="52"/>
      <c r="AR402" s="52"/>
      <c r="AS402" s="52"/>
      <c r="AT402" s="52"/>
      <c r="AU402" s="52"/>
      <c r="AV402" s="52"/>
      <c r="AW402" s="52"/>
      <c r="AX402" s="52"/>
      <c r="AY402" s="52"/>
      <c r="AZ402" s="54"/>
    </row>
    <row r="403" spans="1:52" ht="16" x14ac:dyDescent="0.35">
      <c r="A403" s="60"/>
      <c r="B403" s="48"/>
      <c r="C403" s="49"/>
      <c r="D403" s="49"/>
      <c r="E403" s="49"/>
      <c r="F403" s="48"/>
      <c r="G403" s="48"/>
      <c r="H403" s="48"/>
      <c r="I403" s="48"/>
      <c r="J403" s="48"/>
      <c r="K403" s="48"/>
      <c r="L403" s="48"/>
      <c r="M403" s="48"/>
      <c r="N403" s="48"/>
      <c r="O403" s="48"/>
      <c r="P403" s="48"/>
      <c r="Q403" s="48"/>
      <c r="R403" s="48"/>
      <c r="S403" s="48"/>
      <c r="T403" s="48"/>
      <c r="U403" s="48"/>
      <c r="V403" s="48"/>
      <c r="W403" s="48"/>
      <c r="X403" s="48"/>
      <c r="Y403" s="48"/>
      <c r="Z403" s="48"/>
      <c r="AA403" s="48"/>
      <c r="AB403" s="48"/>
      <c r="AC403" s="48"/>
      <c r="AD403" s="48"/>
      <c r="AE403" s="48"/>
      <c r="AF403" s="48"/>
      <c r="AG403" s="48"/>
      <c r="AH403" s="48"/>
      <c r="AI403" s="48"/>
      <c r="AJ403" s="48"/>
      <c r="AK403" s="48"/>
      <c r="AL403" s="48"/>
      <c r="AM403" s="48"/>
      <c r="AN403" s="48"/>
      <c r="AO403" s="48"/>
      <c r="AP403" s="48"/>
      <c r="AQ403" s="48"/>
      <c r="AR403" s="48"/>
      <c r="AS403" s="48"/>
      <c r="AT403" s="48"/>
      <c r="AU403" s="48"/>
      <c r="AV403" s="48"/>
      <c r="AW403" s="48"/>
      <c r="AX403" s="48"/>
      <c r="AY403" s="48"/>
      <c r="AZ403" s="50"/>
    </row>
    <row r="404" spans="1:52" ht="16" x14ac:dyDescent="0.35">
      <c r="A404" s="61"/>
      <c r="B404" s="52"/>
      <c r="C404" s="53"/>
      <c r="D404" s="53"/>
      <c r="E404" s="53"/>
      <c r="F404" s="52"/>
      <c r="G404" s="52"/>
      <c r="H404" s="52"/>
      <c r="I404" s="52"/>
      <c r="J404" s="52"/>
      <c r="K404" s="52"/>
      <c r="L404" s="52"/>
      <c r="M404" s="52"/>
      <c r="N404" s="52"/>
      <c r="O404" s="52"/>
      <c r="P404" s="52"/>
      <c r="Q404" s="52"/>
      <c r="R404" s="52"/>
      <c r="S404" s="52"/>
      <c r="T404" s="52"/>
      <c r="U404" s="52"/>
      <c r="V404" s="52"/>
      <c r="W404" s="52"/>
      <c r="X404" s="52"/>
      <c r="Y404" s="52"/>
      <c r="Z404" s="52"/>
      <c r="AA404" s="52"/>
      <c r="AB404" s="52"/>
      <c r="AC404" s="52"/>
      <c r="AD404" s="52"/>
      <c r="AE404" s="52"/>
      <c r="AF404" s="52"/>
      <c r="AG404" s="52"/>
      <c r="AH404" s="52"/>
      <c r="AI404" s="52"/>
      <c r="AJ404" s="52"/>
      <c r="AK404" s="52"/>
      <c r="AL404" s="52"/>
      <c r="AM404" s="52"/>
      <c r="AN404" s="52"/>
      <c r="AO404" s="52"/>
      <c r="AP404" s="52"/>
      <c r="AQ404" s="52"/>
      <c r="AR404" s="52"/>
      <c r="AS404" s="52"/>
      <c r="AT404" s="52"/>
      <c r="AU404" s="52"/>
      <c r="AV404" s="52"/>
      <c r="AW404" s="52"/>
      <c r="AX404" s="52"/>
      <c r="AY404" s="52"/>
      <c r="AZ404" s="54"/>
    </row>
    <row r="405" spans="1:52" ht="16" x14ac:dyDescent="0.35">
      <c r="A405" s="60"/>
      <c r="B405" s="48"/>
      <c r="C405" s="49"/>
      <c r="D405" s="49"/>
      <c r="E405" s="49"/>
      <c r="F405" s="48"/>
      <c r="G405" s="48"/>
      <c r="H405" s="48"/>
      <c r="I405" s="48"/>
      <c r="J405" s="48"/>
      <c r="K405" s="48"/>
      <c r="L405" s="48"/>
      <c r="M405" s="48"/>
      <c r="N405" s="48"/>
      <c r="O405" s="48"/>
      <c r="P405" s="48"/>
      <c r="Q405" s="48"/>
      <c r="R405" s="48"/>
      <c r="S405" s="48"/>
      <c r="T405" s="48"/>
      <c r="U405" s="48"/>
      <c r="V405" s="48"/>
      <c r="W405" s="48"/>
      <c r="X405" s="48"/>
      <c r="Y405" s="48"/>
      <c r="Z405" s="48"/>
      <c r="AA405" s="48"/>
      <c r="AB405" s="48"/>
      <c r="AC405" s="48"/>
      <c r="AD405" s="48"/>
      <c r="AE405" s="48"/>
      <c r="AF405" s="48"/>
      <c r="AG405" s="48"/>
      <c r="AH405" s="48"/>
      <c r="AI405" s="48"/>
      <c r="AJ405" s="48"/>
      <c r="AK405" s="48"/>
      <c r="AL405" s="48"/>
      <c r="AM405" s="48"/>
      <c r="AN405" s="48"/>
      <c r="AO405" s="48"/>
      <c r="AP405" s="48"/>
      <c r="AQ405" s="48"/>
      <c r="AR405" s="48"/>
      <c r="AS405" s="48"/>
      <c r="AT405" s="48"/>
      <c r="AU405" s="48"/>
      <c r="AV405" s="48"/>
      <c r="AW405" s="48"/>
      <c r="AX405" s="48"/>
      <c r="AY405" s="48"/>
      <c r="AZ405" s="50"/>
    </row>
    <row r="406" spans="1:52" ht="16" x14ac:dyDescent="0.35">
      <c r="A406" s="61"/>
      <c r="B406" s="52"/>
      <c r="C406" s="53"/>
      <c r="D406" s="53"/>
      <c r="E406" s="53"/>
      <c r="F406" s="52"/>
      <c r="G406" s="52"/>
      <c r="H406" s="52"/>
      <c r="I406" s="52"/>
      <c r="J406" s="52"/>
      <c r="K406" s="52"/>
      <c r="L406" s="52"/>
      <c r="M406" s="52"/>
      <c r="N406" s="52"/>
      <c r="O406" s="52"/>
      <c r="P406" s="52"/>
      <c r="Q406" s="52"/>
      <c r="R406" s="52"/>
      <c r="S406" s="52"/>
      <c r="T406" s="52"/>
      <c r="U406" s="52"/>
      <c r="V406" s="52"/>
      <c r="W406" s="52"/>
      <c r="X406" s="52"/>
      <c r="Y406" s="52"/>
      <c r="Z406" s="52"/>
      <c r="AA406" s="52"/>
      <c r="AB406" s="52"/>
      <c r="AC406" s="52"/>
      <c r="AD406" s="52"/>
      <c r="AE406" s="52"/>
      <c r="AF406" s="52"/>
      <c r="AG406" s="52"/>
      <c r="AH406" s="52"/>
      <c r="AI406" s="52"/>
      <c r="AJ406" s="52"/>
      <c r="AK406" s="52"/>
      <c r="AL406" s="52"/>
      <c r="AM406" s="52"/>
      <c r="AN406" s="52"/>
      <c r="AO406" s="52"/>
      <c r="AP406" s="52"/>
      <c r="AQ406" s="52"/>
      <c r="AR406" s="52"/>
      <c r="AS406" s="52"/>
      <c r="AT406" s="52"/>
      <c r="AU406" s="52"/>
      <c r="AV406" s="52"/>
      <c r="AW406" s="52"/>
      <c r="AX406" s="52"/>
      <c r="AY406" s="52"/>
      <c r="AZ406" s="54"/>
    </row>
    <row r="407" spans="1:52" ht="16" x14ac:dyDescent="0.35">
      <c r="A407" s="60"/>
      <c r="B407" s="48"/>
      <c r="C407" s="49"/>
      <c r="D407" s="49"/>
      <c r="E407" s="49"/>
      <c r="F407" s="48"/>
      <c r="G407" s="48"/>
      <c r="H407" s="48"/>
      <c r="I407" s="48"/>
      <c r="J407" s="48"/>
      <c r="K407" s="48"/>
      <c r="L407" s="48"/>
      <c r="M407" s="48"/>
      <c r="N407" s="48"/>
      <c r="O407" s="48"/>
      <c r="P407" s="48"/>
      <c r="Q407" s="48"/>
      <c r="R407" s="48"/>
      <c r="S407" s="48"/>
      <c r="T407" s="48"/>
      <c r="U407" s="48"/>
      <c r="V407" s="48"/>
      <c r="W407" s="48"/>
      <c r="X407" s="48"/>
      <c r="Y407" s="48"/>
      <c r="Z407" s="48"/>
      <c r="AA407" s="48"/>
      <c r="AB407" s="48"/>
      <c r="AC407" s="48"/>
      <c r="AD407" s="48"/>
      <c r="AE407" s="48"/>
      <c r="AF407" s="48"/>
      <c r="AG407" s="48"/>
      <c r="AH407" s="48"/>
      <c r="AI407" s="48"/>
      <c r="AJ407" s="48"/>
      <c r="AK407" s="48"/>
      <c r="AL407" s="48"/>
      <c r="AM407" s="48"/>
      <c r="AN407" s="48"/>
      <c r="AO407" s="48"/>
      <c r="AP407" s="48"/>
      <c r="AQ407" s="48"/>
      <c r="AR407" s="48"/>
      <c r="AS407" s="48"/>
      <c r="AT407" s="48"/>
      <c r="AU407" s="48"/>
      <c r="AV407" s="48"/>
      <c r="AW407" s="48"/>
      <c r="AX407" s="48"/>
      <c r="AY407" s="48"/>
      <c r="AZ407" s="50"/>
    </row>
    <row r="408" spans="1:52" ht="16" x14ac:dyDescent="0.35">
      <c r="A408" s="61"/>
      <c r="B408" s="52"/>
      <c r="C408" s="53"/>
      <c r="D408" s="53"/>
      <c r="E408" s="53"/>
      <c r="F408" s="52"/>
      <c r="G408" s="52"/>
      <c r="H408" s="52"/>
      <c r="I408" s="52"/>
      <c r="J408" s="52"/>
      <c r="K408" s="52"/>
      <c r="L408" s="52"/>
      <c r="M408" s="52"/>
      <c r="N408" s="52"/>
      <c r="O408" s="52"/>
      <c r="P408" s="52"/>
      <c r="Q408" s="52"/>
      <c r="R408" s="52"/>
      <c r="S408" s="52"/>
      <c r="T408" s="52"/>
      <c r="U408" s="52"/>
      <c r="V408" s="52"/>
      <c r="W408" s="52"/>
      <c r="X408" s="52"/>
      <c r="Y408" s="52"/>
      <c r="Z408" s="52"/>
      <c r="AA408" s="52"/>
      <c r="AB408" s="52"/>
      <c r="AC408" s="52"/>
      <c r="AD408" s="52"/>
      <c r="AE408" s="52"/>
      <c r="AF408" s="52"/>
      <c r="AG408" s="52"/>
      <c r="AH408" s="52"/>
      <c r="AI408" s="52"/>
      <c r="AJ408" s="52"/>
      <c r="AK408" s="52"/>
      <c r="AL408" s="52"/>
      <c r="AM408" s="52"/>
      <c r="AN408" s="52"/>
      <c r="AO408" s="52"/>
      <c r="AP408" s="52"/>
      <c r="AQ408" s="52"/>
      <c r="AR408" s="52"/>
      <c r="AS408" s="52"/>
      <c r="AT408" s="52"/>
      <c r="AU408" s="52"/>
      <c r="AV408" s="52"/>
      <c r="AW408" s="52"/>
      <c r="AX408" s="52"/>
      <c r="AY408" s="52"/>
      <c r="AZ408" s="54"/>
    </row>
    <row r="409" spans="1:52" ht="16" x14ac:dyDescent="0.35">
      <c r="A409" s="60"/>
      <c r="B409" s="48"/>
      <c r="C409" s="49"/>
      <c r="D409" s="49"/>
      <c r="E409" s="49"/>
      <c r="F409" s="48"/>
      <c r="G409" s="48"/>
      <c r="H409" s="48"/>
      <c r="I409" s="48"/>
      <c r="J409" s="48"/>
      <c r="K409" s="48"/>
      <c r="L409" s="48"/>
      <c r="M409" s="48"/>
      <c r="N409" s="48"/>
      <c r="O409" s="48"/>
      <c r="P409" s="48"/>
      <c r="Q409" s="48"/>
      <c r="R409" s="48"/>
      <c r="S409" s="48"/>
      <c r="T409" s="48"/>
      <c r="U409" s="48"/>
      <c r="V409" s="48"/>
      <c r="W409" s="48"/>
      <c r="X409" s="48"/>
      <c r="Y409" s="48"/>
      <c r="Z409" s="48"/>
      <c r="AA409" s="48"/>
      <c r="AB409" s="48"/>
      <c r="AC409" s="48"/>
      <c r="AD409" s="48"/>
      <c r="AE409" s="48"/>
      <c r="AF409" s="48"/>
      <c r="AG409" s="48"/>
      <c r="AH409" s="48"/>
      <c r="AI409" s="48"/>
      <c r="AJ409" s="48"/>
      <c r="AK409" s="48"/>
      <c r="AL409" s="48"/>
      <c r="AM409" s="48"/>
      <c r="AN409" s="48"/>
      <c r="AO409" s="48"/>
      <c r="AP409" s="48"/>
      <c r="AQ409" s="48"/>
      <c r="AR409" s="48"/>
      <c r="AS409" s="48"/>
      <c r="AT409" s="48"/>
      <c r="AU409" s="48"/>
      <c r="AV409" s="48"/>
      <c r="AW409" s="48"/>
      <c r="AX409" s="48"/>
      <c r="AY409" s="48"/>
      <c r="AZ409" s="50"/>
    </row>
    <row r="410" spans="1:52" ht="16" x14ac:dyDescent="0.35">
      <c r="A410" s="61"/>
      <c r="B410" s="52"/>
      <c r="C410" s="53"/>
      <c r="D410" s="53"/>
      <c r="E410" s="53"/>
      <c r="F410" s="52"/>
      <c r="G410" s="52"/>
      <c r="H410" s="52"/>
      <c r="I410" s="52"/>
      <c r="J410" s="52"/>
      <c r="K410" s="52"/>
      <c r="L410" s="52"/>
      <c r="M410" s="52"/>
      <c r="N410" s="52"/>
      <c r="O410" s="52"/>
      <c r="P410" s="52"/>
      <c r="Q410" s="52"/>
      <c r="R410" s="52"/>
      <c r="S410" s="52"/>
      <c r="T410" s="52"/>
      <c r="U410" s="52"/>
      <c r="V410" s="52"/>
      <c r="W410" s="52"/>
      <c r="X410" s="52"/>
      <c r="Y410" s="52"/>
      <c r="Z410" s="52"/>
      <c r="AA410" s="52"/>
      <c r="AB410" s="52"/>
      <c r="AC410" s="52"/>
      <c r="AD410" s="52"/>
      <c r="AE410" s="52"/>
      <c r="AF410" s="52"/>
      <c r="AG410" s="52"/>
      <c r="AH410" s="52"/>
      <c r="AI410" s="52"/>
      <c r="AJ410" s="52"/>
      <c r="AK410" s="52"/>
      <c r="AL410" s="52"/>
      <c r="AM410" s="52"/>
      <c r="AN410" s="52"/>
      <c r="AO410" s="52"/>
      <c r="AP410" s="52"/>
      <c r="AQ410" s="52"/>
      <c r="AR410" s="52"/>
      <c r="AS410" s="52"/>
      <c r="AT410" s="52"/>
      <c r="AU410" s="52"/>
      <c r="AV410" s="52"/>
      <c r="AW410" s="52"/>
      <c r="AX410" s="52"/>
      <c r="AY410" s="52"/>
      <c r="AZ410" s="54"/>
    </row>
    <row r="411" spans="1:52" ht="16" x14ac:dyDescent="0.35">
      <c r="A411" s="60"/>
      <c r="B411" s="48"/>
      <c r="C411" s="49"/>
      <c r="D411" s="49"/>
      <c r="E411" s="49"/>
      <c r="F411" s="48"/>
      <c r="G411" s="48"/>
      <c r="H411" s="48"/>
      <c r="I411" s="48"/>
      <c r="J411" s="48"/>
      <c r="K411" s="48"/>
      <c r="L411" s="48"/>
      <c r="M411" s="48"/>
      <c r="N411" s="48"/>
      <c r="O411" s="48"/>
      <c r="P411" s="48"/>
      <c r="Q411" s="48"/>
      <c r="R411" s="48"/>
      <c r="S411" s="48"/>
      <c r="T411" s="48"/>
      <c r="U411" s="48"/>
      <c r="V411" s="48"/>
      <c r="W411" s="48"/>
      <c r="X411" s="48"/>
      <c r="Y411" s="48"/>
      <c r="Z411" s="48"/>
      <c r="AA411" s="48"/>
      <c r="AB411" s="48"/>
      <c r="AC411" s="48"/>
      <c r="AD411" s="48"/>
      <c r="AE411" s="48"/>
      <c r="AF411" s="48"/>
      <c r="AG411" s="48"/>
      <c r="AH411" s="48"/>
      <c r="AI411" s="48"/>
      <c r="AJ411" s="48"/>
      <c r="AK411" s="48"/>
      <c r="AL411" s="48"/>
      <c r="AM411" s="48"/>
      <c r="AN411" s="48"/>
      <c r="AO411" s="48"/>
      <c r="AP411" s="48"/>
      <c r="AQ411" s="48"/>
      <c r="AR411" s="48"/>
      <c r="AS411" s="48"/>
      <c r="AT411" s="48"/>
      <c r="AU411" s="48"/>
      <c r="AV411" s="48"/>
      <c r="AW411" s="48"/>
      <c r="AX411" s="48"/>
      <c r="AY411" s="48"/>
      <c r="AZ411" s="50"/>
    </row>
    <row r="412" spans="1:52" ht="16" x14ac:dyDescent="0.35">
      <c r="A412" s="61"/>
      <c r="B412" s="52"/>
      <c r="C412" s="53"/>
      <c r="D412" s="53"/>
      <c r="E412" s="53"/>
      <c r="F412" s="52"/>
      <c r="G412" s="52"/>
      <c r="H412" s="52"/>
      <c r="I412" s="52"/>
      <c r="J412" s="52"/>
      <c r="K412" s="52"/>
      <c r="L412" s="52"/>
      <c r="M412" s="52"/>
      <c r="N412" s="52"/>
      <c r="O412" s="52"/>
      <c r="P412" s="52"/>
      <c r="Q412" s="52"/>
      <c r="R412" s="52"/>
      <c r="S412" s="52"/>
      <c r="T412" s="52"/>
      <c r="U412" s="52"/>
      <c r="V412" s="52"/>
      <c r="W412" s="52"/>
      <c r="X412" s="52"/>
      <c r="Y412" s="52"/>
      <c r="Z412" s="52"/>
      <c r="AA412" s="52"/>
      <c r="AB412" s="52"/>
      <c r="AC412" s="52"/>
      <c r="AD412" s="52"/>
      <c r="AE412" s="52"/>
      <c r="AF412" s="52"/>
      <c r="AG412" s="52"/>
      <c r="AH412" s="52"/>
      <c r="AI412" s="52"/>
      <c r="AJ412" s="52"/>
      <c r="AK412" s="52"/>
      <c r="AL412" s="52"/>
      <c r="AM412" s="52"/>
      <c r="AN412" s="52"/>
      <c r="AO412" s="52"/>
      <c r="AP412" s="52"/>
      <c r="AQ412" s="52"/>
      <c r="AR412" s="52"/>
      <c r="AS412" s="52"/>
      <c r="AT412" s="52"/>
      <c r="AU412" s="52"/>
      <c r="AV412" s="52"/>
      <c r="AW412" s="52"/>
      <c r="AX412" s="52"/>
      <c r="AY412" s="52"/>
      <c r="AZ412" s="54"/>
    </row>
    <row r="413" spans="1:52" ht="16" x14ac:dyDescent="0.35">
      <c r="A413" s="60"/>
      <c r="B413" s="48"/>
      <c r="C413" s="49"/>
      <c r="D413" s="49"/>
      <c r="E413" s="49"/>
      <c r="F413" s="48"/>
      <c r="G413" s="48"/>
      <c r="H413" s="48"/>
      <c r="I413" s="48"/>
      <c r="J413" s="48"/>
      <c r="K413" s="48"/>
      <c r="L413" s="48"/>
      <c r="M413" s="48"/>
      <c r="N413" s="48"/>
      <c r="O413" s="48"/>
      <c r="P413" s="48"/>
      <c r="Q413" s="48"/>
      <c r="R413" s="48"/>
      <c r="S413" s="48"/>
      <c r="T413" s="48"/>
      <c r="U413" s="48"/>
      <c r="V413" s="48"/>
      <c r="W413" s="48"/>
      <c r="X413" s="48"/>
      <c r="Y413" s="48"/>
      <c r="Z413" s="48"/>
      <c r="AA413" s="48"/>
      <c r="AB413" s="48"/>
      <c r="AC413" s="48"/>
      <c r="AD413" s="48"/>
      <c r="AE413" s="48"/>
      <c r="AF413" s="48"/>
      <c r="AG413" s="48"/>
      <c r="AH413" s="48"/>
      <c r="AI413" s="48"/>
      <c r="AJ413" s="48"/>
      <c r="AK413" s="48"/>
      <c r="AL413" s="48"/>
      <c r="AM413" s="48"/>
      <c r="AN413" s="48"/>
      <c r="AO413" s="48"/>
      <c r="AP413" s="48"/>
      <c r="AQ413" s="48"/>
      <c r="AR413" s="48"/>
      <c r="AS413" s="48"/>
      <c r="AT413" s="48"/>
      <c r="AU413" s="48"/>
      <c r="AV413" s="48"/>
      <c r="AW413" s="48"/>
      <c r="AX413" s="48"/>
      <c r="AY413" s="48"/>
      <c r="AZ413" s="50"/>
    </row>
    <row r="414" spans="1:52" ht="16" x14ac:dyDescent="0.35">
      <c r="A414" s="61"/>
      <c r="B414" s="52"/>
      <c r="C414" s="53"/>
      <c r="D414" s="53"/>
      <c r="E414" s="53"/>
      <c r="F414" s="52"/>
      <c r="G414" s="52"/>
      <c r="H414" s="52"/>
      <c r="I414" s="52"/>
      <c r="J414" s="52"/>
      <c r="K414" s="52"/>
      <c r="L414" s="52"/>
      <c r="M414" s="52"/>
      <c r="N414" s="52"/>
      <c r="O414" s="52"/>
      <c r="P414" s="52"/>
      <c r="Q414" s="52"/>
      <c r="R414" s="52"/>
      <c r="S414" s="52"/>
      <c r="T414" s="52"/>
      <c r="U414" s="52"/>
      <c r="V414" s="52"/>
      <c r="W414" s="52"/>
      <c r="X414" s="52"/>
      <c r="Y414" s="52"/>
      <c r="Z414" s="52"/>
      <c r="AA414" s="52"/>
      <c r="AB414" s="52"/>
      <c r="AC414" s="52"/>
      <c r="AD414" s="52"/>
      <c r="AE414" s="52"/>
      <c r="AF414" s="52"/>
      <c r="AG414" s="52"/>
      <c r="AH414" s="52"/>
      <c r="AI414" s="52"/>
      <c r="AJ414" s="52"/>
      <c r="AK414" s="52"/>
      <c r="AL414" s="52"/>
      <c r="AM414" s="52"/>
      <c r="AN414" s="52"/>
      <c r="AO414" s="52"/>
      <c r="AP414" s="52"/>
      <c r="AQ414" s="52"/>
      <c r="AR414" s="52"/>
      <c r="AS414" s="52"/>
      <c r="AT414" s="52"/>
      <c r="AU414" s="52"/>
      <c r="AV414" s="52"/>
      <c r="AW414" s="52"/>
      <c r="AX414" s="52"/>
      <c r="AY414" s="52"/>
      <c r="AZ414" s="54"/>
    </row>
    <row r="415" spans="1:52" ht="16" x14ac:dyDescent="0.35">
      <c r="A415" s="60"/>
      <c r="B415" s="48"/>
      <c r="C415" s="49"/>
      <c r="D415" s="49"/>
      <c r="E415" s="49"/>
      <c r="F415" s="48"/>
      <c r="G415" s="48"/>
      <c r="H415" s="48"/>
      <c r="I415" s="48"/>
      <c r="J415" s="48"/>
      <c r="K415" s="48"/>
      <c r="L415" s="48"/>
      <c r="M415" s="48"/>
      <c r="N415" s="48"/>
      <c r="O415" s="48"/>
      <c r="P415" s="48"/>
      <c r="Q415" s="48"/>
      <c r="R415" s="48"/>
      <c r="S415" s="48"/>
      <c r="T415" s="48"/>
      <c r="U415" s="48"/>
      <c r="V415" s="48"/>
      <c r="W415" s="48"/>
      <c r="X415" s="48"/>
      <c r="Y415" s="48"/>
      <c r="Z415" s="48"/>
      <c r="AA415" s="48"/>
      <c r="AB415" s="48"/>
      <c r="AC415" s="48"/>
      <c r="AD415" s="48"/>
      <c r="AE415" s="48"/>
      <c r="AF415" s="48"/>
      <c r="AG415" s="48"/>
      <c r="AH415" s="48"/>
      <c r="AI415" s="48"/>
      <c r="AJ415" s="48"/>
      <c r="AK415" s="48"/>
      <c r="AL415" s="48"/>
      <c r="AM415" s="48"/>
      <c r="AN415" s="48"/>
      <c r="AO415" s="48"/>
      <c r="AP415" s="48"/>
      <c r="AQ415" s="48"/>
      <c r="AR415" s="48"/>
      <c r="AS415" s="48"/>
      <c r="AT415" s="48"/>
      <c r="AU415" s="48"/>
      <c r="AV415" s="48"/>
      <c r="AW415" s="48"/>
      <c r="AX415" s="48"/>
      <c r="AY415" s="48"/>
      <c r="AZ415" s="50"/>
    </row>
    <row r="416" spans="1:52" ht="16" x14ac:dyDescent="0.35">
      <c r="A416" s="61"/>
      <c r="B416" s="52"/>
      <c r="C416" s="53"/>
      <c r="D416" s="53"/>
      <c r="E416" s="53"/>
      <c r="F416" s="52"/>
      <c r="G416" s="52"/>
      <c r="H416" s="52"/>
      <c r="I416" s="52"/>
      <c r="J416" s="52"/>
      <c r="K416" s="52"/>
      <c r="L416" s="52"/>
      <c r="M416" s="52"/>
      <c r="N416" s="52"/>
      <c r="O416" s="52"/>
      <c r="P416" s="52"/>
      <c r="Q416" s="52"/>
      <c r="R416" s="52"/>
      <c r="S416" s="52"/>
      <c r="T416" s="52"/>
      <c r="U416" s="52"/>
      <c r="V416" s="52"/>
      <c r="W416" s="52"/>
      <c r="X416" s="52"/>
      <c r="Y416" s="52"/>
      <c r="Z416" s="52"/>
      <c r="AA416" s="52"/>
      <c r="AB416" s="52"/>
      <c r="AC416" s="52"/>
      <c r="AD416" s="52"/>
      <c r="AE416" s="52"/>
      <c r="AF416" s="52"/>
      <c r="AG416" s="52"/>
      <c r="AH416" s="52"/>
      <c r="AI416" s="52"/>
      <c r="AJ416" s="52"/>
      <c r="AK416" s="52"/>
      <c r="AL416" s="52"/>
      <c r="AM416" s="52"/>
      <c r="AN416" s="52"/>
      <c r="AO416" s="52"/>
      <c r="AP416" s="52"/>
      <c r="AQ416" s="52"/>
      <c r="AR416" s="52"/>
      <c r="AS416" s="52"/>
      <c r="AT416" s="52"/>
      <c r="AU416" s="52"/>
      <c r="AV416" s="52"/>
      <c r="AW416" s="52"/>
      <c r="AX416" s="52"/>
      <c r="AY416" s="52"/>
      <c r="AZ416" s="54"/>
    </row>
    <row r="417" spans="1:52" ht="16" x14ac:dyDescent="0.35">
      <c r="A417" s="60"/>
      <c r="B417" s="48"/>
      <c r="C417" s="49"/>
      <c r="D417" s="49"/>
      <c r="E417" s="49"/>
      <c r="F417" s="48"/>
      <c r="G417" s="48"/>
      <c r="H417" s="48"/>
      <c r="I417" s="48"/>
      <c r="J417" s="48"/>
      <c r="K417" s="48"/>
      <c r="L417" s="48"/>
      <c r="M417" s="48"/>
      <c r="N417" s="48"/>
      <c r="O417" s="48"/>
      <c r="P417" s="48"/>
      <c r="Q417" s="48"/>
      <c r="R417" s="48"/>
      <c r="S417" s="48"/>
      <c r="T417" s="48"/>
      <c r="U417" s="48"/>
      <c r="V417" s="48"/>
      <c r="W417" s="48"/>
      <c r="X417" s="48"/>
      <c r="Y417" s="48"/>
      <c r="Z417" s="48"/>
      <c r="AA417" s="48"/>
      <c r="AB417" s="48"/>
      <c r="AC417" s="48"/>
      <c r="AD417" s="48"/>
      <c r="AE417" s="48"/>
      <c r="AF417" s="48"/>
      <c r="AG417" s="48"/>
      <c r="AH417" s="48"/>
      <c r="AI417" s="48"/>
      <c r="AJ417" s="48"/>
      <c r="AK417" s="48"/>
      <c r="AL417" s="48"/>
      <c r="AM417" s="48"/>
      <c r="AN417" s="48"/>
      <c r="AO417" s="48"/>
      <c r="AP417" s="48"/>
      <c r="AQ417" s="48"/>
      <c r="AR417" s="48"/>
      <c r="AS417" s="48"/>
      <c r="AT417" s="48"/>
      <c r="AU417" s="48"/>
      <c r="AV417" s="48"/>
      <c r="AW417" s="48"/>
      <c r="AX417" s="48"/>
      <c r="AY417" s="48"/>
      <c r="AZ417" s="50"/>
    </row>
    <row r="418" spans="1:52" ht="16" x14ac:dyDescent="0.35">
      <c r="A418" s="61"/>
      <c r="B418" s="52"/>
      <c r="C418" s="53"/>
      <c r="D418" s="53"/>
      <c r="E418" s="53"/>
      <c r="F418" s="52"/>
      <c r="G418" s="52"/>
      <c r="H418" s="52"/>
      <c r="I418" s="52"/>
      <c r="J418" s="52"/>
      <c r="K418" s="52"/>
      <c r="L418" s="52"/>
      <c r="M418" s="52"/>
      <c r="N418" s="52"/>
      <c r="O418" s="52"/>
      <c r="P418" s="52"/>
      <c r="Q418" s="52"/>
      <c r="R418" s="52"/>
      <c r="S418" s="52"/>
      <c r="T418" s="52"/>
      <c r="U418" s="52"/>
      <c r="V418" s="52"/>
      <c r="W418" s="52"/>
      <c r="X418" s="52"/>
      <c r="Y418" s="52"/>
      <c r="Z418" s="52"/>
      <c r="AA418" s="52"/>
      <c r="AB418" s="52"/>
      <c r="AC418" s="52"/>
      <c r="AD418" s="52"/>
      <c r="AE418" s="52"/>
      <c r="AF418" s="52"/>
      <c r="AG418" s="52"/>
      <c r="AH418" s="52"/>
      <c r="AI418" s="52"/>
      <c r="AJ418" s="52"/>
      <c r="AK418" s="52"/>
      <c r="AL418" s="52"/>
      <c r="AM418" s="52"/>
      <c r="AN418" s="52"/>
      <c r="AO418" s="52"/>
      <c r="AP418" s="52"/>
      <c r="AQ418" s="52"/>
      <c r="AR418" s="52"/>
      <c r="AS418" s="52"/>
      <c r="AT418" s="52"/>
      <c r="AU418" s="52"/>
      <c r="AV418" s="52"/>
      <c r="AW418" s="52"/>
      <c r="AX418" s="52"/>
      <c r="AY418" s="52"/>
      <c r="AZ418" s="54"/>
    </row>
    <row r="419" spans="1:52" ht="16" x14ac:dyDescent="0.35">
      <c r="A419" s="60"/>
      <c r="B419" s="48"/>
      <c r="C419" s="49"/>
      <c r="D419" s="49"/>
      <c r="E419" s="49"/>
      <c r="F419" s="48"/>
      <c r="G419" s="48"/>
      <c r="H419" s="48"/>
      <c r="I419" s="48"/>
      <c r="J419" s="48"/>
      <c r="K419" s="48"/>
      <c r="L419" s="48"/>
      <c r="M419" s="48"/>
      <c r="N419" s="48"/>
      <c r="O419" s="48"/>
      <c r="P419" s="48"/>
      <c r="Q419" s="48"/>
      <c r="R419" s="48"/>
      <c r="S419" s="48"/>
      <c r="T419" s="48"/>
      <c r="U419" s="48"/>
      <c r="V419" s="48"/>
      <c r="W419" s="48"/>
      <c r="X419" s="48"/>
      <c r="Y419" s="48"/>
      <c r="Z419" s="48"/>
      <c r="AA419" s="48"/>
      <c r="AB419" s="48"/>
      <c r="AC419" s="48"/>
      <c r="AD419" s="48"/>
      <c r="AE419" s="48"/>
      <c r="AF419" s="48"/>
      <c r="AG419" s="48"/>
      <c r="AH419" s="48"/>
      <c r="AI419" s="48"/>
      <c r="AJ419" s="48"/>
      <c r="AK419" s="48"/>
      <c r="AL419" s="48"/>
      <c r="AM419" s="48"/>
      <c r="AN419" s="48"/>
      <c r="AO419" s="48"/>
      <c r="AP419" s="48"/>
      <c r="AQ419" s="48"/>
      <c r="AR419" s="48"/>
      <c r="AS419" s="48"/>
      <c r="AT419" s="48"/>
      <c r="AU419" s="48"/>
      <c r="AV419" s="48"/>
      <c r="AW419" s="48"/>
      <c r="AX419" s="48"/>
      <c r="AY419" s="48"/>
      <c r="AZ419" s="50"/>
    </row>
    <row r="420" spans="1:52" ht="16" x14ac:dyDescent="0.35">
      <c r="A420" s="61"/>
      <c r="B420" s="52"/>
      <c r="C420" s="53"/>
      <c r="D420" s="53"/>
      <c r="E420" s="53"/>
      <c r="F420" s="52"/>
      <c r="G420" s="52"/>
      <c r="H420" s="52"/>
      <c r="I420" s="52"/>
      <c r="J420" s="52"/>
      <c r="K420" s="52"/>
      <c r="L420" s="52"/>
      <c r="M420" s="52"/>
      <c r="N420" s="52"/>
      <c r="O420" s="52"/>
      <c r="P420" s="52"/>
      <c r="Q420" s="52"/>
      <c r="R420" s="52"/>
      <c r="S420" s="52"/>
      <c r="T420" s="52"/>
      <c r="U420" s="52"/>
      <c r="V420" s="52"/>
      <c r="W420" s="52"/>
      <c r="X420" s="52"/>
      <c r="Y420" s="52"/>
      <c r="Z420" s="52"/>
      <c r="AA420" s="52"/>
      <c r="AB420" s="52"/>
      <c r="AC420" s="52"/>
      <c r="AD420" s="52"/>
      <c r="AE420" s="52"/>
      <c r="AF420" s="52"/>
      <c r="AG420" s="52"/>
      <c r="AH420" s="52"/>
      <c r="AI420" s="52"/>
      <c r="AJ420" s="52"/>
      <c r="AK420" s="52"/>
      <c r="AL420" s="52"/>
      <c r="AM420" s="52"/>
      <c r="AN420" s="52"/>
      <c r="AO420" s="52"/>
      <c r="AP420" s="52"/>
      <c r="AQ420" s="52"/>
      <c r="AR420" s="52"/>
      <c r="AS420" s="52"/>
      <c r="AT420" s="52"/>
      <c r="AU420" s="52"/>
      <c r="AV420" s="52"/>
      <c r="AW420" s="52"/>
      <c r="AX420" s="52"/>
      <c r="AY420" s="52"/>
      <c r="AZ420" s="54"/>
    </row>
    <row r="421" spans="1:52" ht="16" x14ac:dyDescent="0.35">
      <c r="A421" s="60"/>
      <c r="B421" s="48"/>
      <c r="C421" s="49"/>
      <c r="D421" s="49"/>
      <c r="E421" s="49"/>
      <c r="F421" s="48"/>
      <c r="G421" s="48"/>
      <c r="H421" s="48"/>
      <c r="I421" s="48"/>
      <c r="J421" s="48"/>
      <c r="K421" s="48"/>
      <c r="L421" s="48"/>
      <c r="M421" s="48"/>
      <c r="N421" s="48"/>
      <c r="O421" s="48"/>
      <c r="P421" s="48"/>
      <c r="Q421" s="48"/>
      <c r="R421" s="48"/>
      <c r="S421" s="48"/>
      <c r="T421" s="48"/>
      <c r="U421" s="48"/>
      <c r="V421" s="48"/>
      <c r="W421" s="48"/>
      <c r="X421" s="48"/>
      <c r="Y421" s="48"/>
      <c r="Z421" s="48"/>
      <c r="AA421" s="48"/>
      <c r="AB421" s="48"/>
      <c r="AC421" s="48"/>
      <c r="AD421" s="48"/>
      <c r="AE421" s="48"/>
      <c r="AF421" s="48"/>
      <c r="AG421" s="48"/>
      <c r="AH421" s="48"/>
      <c r="AI421" s="48"/>
      <c r="AJ421" s="48"/>
      <c r="AK421" s="48"/>
      <c r="AL421" s="48"/>
      <c r="AM421" s="48"/>
      <c r="AN421" s="48"/>
      <c r="AO421" s="48"/>
      <c r="AP421" s="48"/>
      <c r="AQ421" s="48"/>
      <c r="AR421" s="48"/>
      <c r="AS421" s="48"/>
      <c r="AT421" s="48"/>
      <c r="AU421" s="48"/>
      <c r="AV421" s="48"/>
      <c r="AW421" s="48"/>
      <c r="AX421" s="48"/>
      <c r="AY421" s="48"/>
      <c r="AZ421" s="50"/>
    </row>
    <row r="422" spans="1:52" ht="16" x14ac:dyDescent="0.35">
      <c r="A422" s="61"/>
      <c r="B422" s="52"/>
      <c r="C422" s="53"/>
      <c r="D422" s="53"/>
      <c r="E422" s="53"/>
      <c r="F422" s="52"/>
      <c r="G422" s="52"/>
      <c r="H422" s="52"/>
      <c r="I422" s="52"/>
      <c r="J422" s="52"/>
      <c r="K422" s="52"/>
      <c r="L422" s="52"/>
      <c r="M422" s="52"/>
      <c r="N422" s="52"/>
      <c r="O422" s="52"/>
      <c r="P422" s="52"/>
      <c r="Q422" s="52"/>
      <c r="R422" s="52"/>
      <c r="S422" s="52"/>
      <c r="T422" s="52"/>
      <c r="U422" s="52"/>
      <c r="V422" s="52"/>
      <c r="W422" s="52"/>
      <c r="X422" s="52"/>
      <c r="Y422" s="52"/>
      <c r="Z422" s="52"/>
      <c r="AA422" s="52"/>
      <c r="AB422" s="52"/>
      <c r="AC422" s="52"/>
      <c r="AD422" s="52"/>
      <c r="AE422" s="52"/>
      <c r="AF422" s="52"/>
      <c r="AG422" s="52"/>
      <c r="AH422" s="52"/>
      <c r="AI422" s="52"/>
      <c r="AJ422" s="52"/>
      <c r="AK422" s="52"/>
      <c r="AL422" s="52"/>
      <c r="AM422" s="52"/>
      <c r="AN422" s="52"/>
      <c r="AO422" s="52"/>
      <c r="AP422" s="52"/>
      <c r="AQ422" s="52"/>
      <c r="AR422" s="52"/>
      <c r="AS422" s="52"/>
      <c r="AT422" s="52"/>
      <c r="AU422" s="52"/>
      <c r="AV422" s="52"/>
      <c r="AW422" s="52"/>
      <c r="AX422" s="52"/>
      <c r="AY422" s="52"/>
      <c r="AZ422" s="54"/>
    </row>
    <row r="423" spans="1:52" ht="16" x14ac:dyDescent="0.35">
      <c r="A423" s="60"/>
      <c r="B423" s="48"/>
      <c r="C423" s="49"/>
      <c r="D423" s="49"/>
      <c r="E423" s="49"/>
      <c r="F423" s="48"/>
      <c r="G423" s="48"/>
      <c r="H423" s="48"/>
      <c r="I423" s="48"/>
      <c r="J423" s="48"/>
      <c r="K423" s="48"/>
      <c r="L423" s="48"/>
      <c r="M423" s="48"/>
      <c r="N423" s="48"/>
      <c r="O423" s="48"/>
      <c r="P423" s="48"/>
      <c r="Q423" s="48"/>
      <c r="R423" s="48"/>
      <c r="S423" s="48"/>
      <c r="T423" s="48"/>
      <c r="U423" s="48"/>
      <c r="V423" s="48"/>
      <c r="W423" s="48"/>
      <c r="X423" s="48"/>
      <c r="Y423" s="48"/>
      <c r="Z423" s="48"/>
      <c r="AA423" s="48"/>
      <c r="AB423" s="48"/>
      <c r="AC423" s="48"/>
      <c r="AD423" s="48"/>
      <c r="AE423" s="48"/>
      <c r="AF423" s="48"/>
      <c r="AG423" s="48"/>
      <c r="AH423" s="48"/>
      <c r="AI423" s="48"/>
      <c r="AJ423" s="48"/>
      <c r="AK423" s="48"/>
      <c r="AL423" s="48"/>
      <c r="AM423" s="48"/>
      <c r="AN423" s="48"/>
      <c r="AO423" s="48"/>
      <c r="AP423" s="48"/>
      <c r="AQ423" s="48"/>
      <c r="AR423" s="48"/>
      <c r="AS423" s="48"/>
      <c r="AT423" s="48"/>
      <c r="AU423" s="48"/>
      <c r="AV423" s="48"/>
      <c r="AW423" s="48"/>
      <c r="AX423" s="48"/>
      <c r="AY423" s="48"/>
      <c r="AZ423" s="50"/>
    </row>
    <row r="424" spans="1:52" ht="16" x14ac:dyDescent="0.35">
      <c r="A424" s="61"/>
      <c r="B424" s="52"/>
      <c r="C424" s="53"/>
      <c r="D424" s="53"/>
      <c r="E424" s="53"/>
      <c r="F424" s="52"/>
      <c r="G424" s="52"/>
      <c r="H424" s="52"/>
      <c r="I424" s="52"/>
      <c r="J424" s="52"/>
      <c r="K424" s="52"/>
      <c r="L424" s="52"/>
      <c r="M424" s="52"/>
      <c r="N424" s="52"/>
      <c r="O424" s="52"/>
      <c r="P424" s="52"/>
      <c r="Q424" s="52"/>
      <c r="R424" s="52"/>
      <c r="S424" s="52"/>
      <c r="T424" s="52"/>
      <c r="U424" s="52"/>
      <c r="V424" s="52"/>
      <c r="W424" s="52"/>
      <c r="X424" s="52"/>
      <c r="Y424" s="52"/>
      <c r="Z424" s="52"/>
      <c r="AA424" s="52"/>
      <c r="AB424" s="52"/>
      <c r="AC424" s="52"/>
      <c r="AD424" s="52"/>
      <c r="AE424" s="52"/>
      <c r="AF424" s="52"/>
      <c r="AG424" s="52"/>
      <c r="AH424" s="52"/>
      <c r="AI424" s="52"/>
      <c r="AJ424" s="52"/>
      <c r="AK424" s="52"/>
      <c r="AL424" s="52"/>
      <c r="AM424" s="52"/>
      <c r="AN424" s="52"/>
      <c r="AO424" s="52"/>
      <c r="AP424" s="52"/>
      <c r="AQ424" s="52"/>
      <c r="AR424" s="52"/>
      <c r="AS424" s="52"/>
      <c r="AT424" s="52"/>
      <c r="AU424" s="52"/>
      <c r="AV424" s="52"/>
      <c r="AW424" s="52"/>
      <c r="AX424" s="52"/>
      <c r="AY424" s="52"/>
      <c r="AZ424" s="54"/>
    </row>
    <row r="425" spans="1:52" ht="16" x14ac:dyDescent="0.35">
      <c r="A425" s="60"/>
      <c r="B425" s="48"/>
      <c r="C425" s="49"/>
      <c r="D425" s="49"/>
      <c r="E425" s="49"/>
      <c r="F425" s="48"/>
      <c r="G425" s="48"/>
      <c r="H425" s="48"/>
      <c r="I425" s="48"/>
      <c r="J425" s="48"/>
      <c r="K425" s="48"/>
      <c r="L425" s="48"/>
      <c r="M425" s="48"/>
      <c r="N425" s="48"/>
      <c r="O425" s="48"/>
      <c r="P425" s="48"/>
      <c r="Q425" s="48"/>
      <c r="R425" s="48"/>
      <c r="S425" s="48"/>
      <c r="T425" s="48"/>
      <c r="U425" s="48"/>
      <c r="V425" s="48"/>
      <c r="W425" s="48"/>
      <c r="X425" s="48"/>
      <c r="Y425" s="48"/>
      <c r="Z425" s="48"/>
      <c r="AA425" s="48"/>
      <c r="AB425" s="48"/>
      <c r="AC425" s="48"/>
      <c r="AD425" s="48"/>
      <c r="AE425" s="48"/>
      <c r="AF425" s="48"/>
      <c r="AG425" s="48"/>
      <c r="AH425" s="48"/>
      <c r="AI425" s="48"/>
      <c r="AJ425" s="48"/>
      <c r="AK425" s="48"/>
      <c r="AL425" s="48"/>
      <c r="AM425" s="48"/>
      <c r="AN425" s="48"/>
      <c r="AO425" s="48"/>
      <c r="AP425" s="48"/>
      <c r="AQ425" s="48"/>
      <c r="AR425" s="48"/>
      <c r="AS425" s="48"/>
      <c r="AT425" s="48"/>
      <c r="AU425" s="48"/>
      <c r="AV425" s="48"/>
      <c r="AW425" s="48"/>
      <c r="AX425" s="48"/>
      <c r="AY425" s="48"/>
      <c r="AZ425" s="50"/>
    </row>
    <row r="426" spans="1:52" ht="16" x14ac:dyDescent="0.35">
      <c r="A426" s="61"/>
      <c r="B426" s="52"/>
      <c r="C426" s="53"/>
      <c r="D426" s="53"/>
      <c r="E426" s="53"/>
      <c r="F426" s="52"/>
      <c r="G426" s="52"/>
      <c r="H426" s="52"/>
      <c r="I426" s="52"/>
      <c r="J426" s="52"/>
      <c r="K426" s="52"/>
      <c r="L426" s="52"/>
      <c r="M426" s="52"/>
      <c r="N426" s="52"/>
      <c r="O426" s="52"/>
      <c r="P426" s="52"/>
      <c r="Q426" s="52"/>
      <c r="R426" s="52"/>
      <c r="S426" s="52"/>
      <c r="T426" s="52"/>
      <c r="U426" s="52"/>
      <c r="V426" s="52"/>
      <c r="W426" s="52"/>
      <c r="X426" s="52"/>
      <c r="Y426" s="52"/>
      <c r="Z426" s="52"/>
      <c r="AA426" s="52"/>
      <c r="AB426" s="52"/>
      <c r="AC426" s="52"/>
      <c r="AD426" s="52"/>
      <c r="AE426" s="52"/>
      <c r="AF426" s="52"/>
      <c r="AG426" s="52"/>
      <c r="AH426" s="52"/>
      <c r="AI426" s="52"/>
      <c r="AJ426" s="52"/>
      <c r="AK426" s="52"/>
      <c r="AL426" s="52"/>
      <c r="AM426" s="52"/>
      <c r="AN426" s="52"/>
      <c r="AO426" s="52"/>
      <c r="AP426" s="52"/>
      <c r="AQ426" s="52"/>
      <c r="AR426" s="52"/>
      <c r="AS426" s="52"/>
      <c r="AT426" s="52"/>
      <c r="AU426" s="52"/>
      <c r="AV426" s="52"/>
      <c r="AW426" s="52"/>
      <c r="AX426" s="52"/>
      <c r="AY426" s="52"/>
      <c r="AZ426" s="54"/>
    </row>
    <row r="427" spans="1:52" ht="16" x14ac:dyDescent="0.35">
      <c r="A427" s="60"/>
      <c r="B427" s="48"/>
      <c r="C427" s="49"/>
      <c r="D427" s="49"/>
      <c r="E427" s="49"/>
      <c r="F427" s="48"/>
      <c r="G427" s="48"/>
      <c r="H427" s="48"/>
      <c r="I427" s="48"/>
      <c r="J427" s="48"/>
      <c r="K427" s="48"/>
      <c r="L427" s="48"/>
      <c r="M427" s="48"/>
      <c r="N427" s="48"/>
      <c r="O427" s="48"/>
      <c r="P427" s="48"/>
      <c r="Q427" s="48"/>
      <c r="R427" s="48"/>
      <c r="S427" s="48"/>
      <c r="T427" s="48"/>
      <c r="U427" s="48"/>
      <c r="V427" s="48"/>
      <c r="W427" s="48"/>
      <c r="X427" s="48"/>
      <c r="Y427" s="48"/>
      <c r="Z427" s="48"/>
      <c r="AA427" s="48"/>
      <c r="AB427" s="48"/>
      <c r="AC427" s="48"/>
      <c r="AD427" s="48"/>
      <c r="AE427" s="48"/>
      <c r="AF427" s="48"/>
      <c r="AG427" s="48"/>
      <c r="AH427" s="48"/>
      <c r="AI427" s="48"/>
      <c r="AJ427" s="48"/>
      <c r="AK427" s="48"/>
      <c r="AL427" s="48"/>
      <c r="AM427" s="48"/>
      <c r="AN427" s="48"/>
      <c r="AO427" s="48"/>
      <c r="AP427" s="48"/>
      <c r="AQ427" s="48"/>
      <c r="AR427" s="48"/>
      <c r="AS427" s="48"/>
      <c r="AT427" s="48"/>
      <c r="AU427" s="48"/>
      <c r="AV427" s="48"/>
      <c r="AW427" s="48"/>
      <c r="AX427" s="48"/>
      <c r="AY427" s="48"/>
      <c r="AZ427" s="50"/>
    </row>
    <row r="428" spans="1:52" ht="16" x14ac:dyDescent="0.35">
      <c r="A428" s="61"/>
      <c r="B428" s="52"/>
      <c r="C428" s="53"/>
      <c r="D428" s="53"/>
      <c r="E428" s="53"/>
      <c r="F428" s="52"/>
      <c r="G428" s="52"/>
      <c r="H428" s="52"/>
      <c r="I428" s="52"/>
      <c r="J428" s="52"/>
      <c r="K428" s="52"/>
      <c r="L428" s="52"/>
      <c r="M428" s="52"/>
      <c r="N428" s="52"/>
      <c r="O428" s="52"/>
      <c r="P428" s="52"/>
      <c r="Q428" s="52"/>
      <c r="R428" s="52"/>
      <c r="S428" s="52"/>
      <c r="T428" s="52"/>
      <c r="U428" s="52"/>
      <c r="V428" s="52"/>
      <c r="W428" s="52"/>
      <c r="X428" s="52"/>
      <c r="Y428" s="52"/>
      <c r="Z428" s="52"/>
      <c r="AA428" s="52"/>
      <c r="AB428" s="52"/>
      <c r="AC428" s="52"/>
      <c r="AD428" s="52"/>
      <c r="AE428" s="52"/>
      <c r="AF428" s="52"/>
      <c r="AG428" s="52"/>
      <c r="AH428" s="52"/>
      <c r="AI428" s="52"/>
      <c r="AJ428" s="52"/>
      <c r="AK428" s="52"/>
      <c r="AL428" s="52"/>
      <c r="AM428" s="52"/>
      <c r="AN428" s="52"/>
      <c r="AO428" s="52"/>
      <c r="AP428" s="52"/>
      <c r="AQ428" s="52"/>
      <c r="AR428" s="52"/>
      <c r="AS428" s="52"/>
      <c r="AT428" s="52"/>
      <c r="AU428" s="52"/>
      <c r="AV428" s="52"/>
      <c r="AW428" s="52"/>
      <c r="AX428" s="52"/>
      <c r="AY428" s="52"/>
      <c r="AZ428" s="54"/>
    </row>
    <row r="429" spans="1:52" ht="16" x14ac:dyDescent="0.35">
      <c r="A429" s="60"/>
      <c r="B429" s="48"/>
      <c r="C429" s="49"/>
      <c r="D429" s="49"/>
      <c r="E429" s="49"/>
      <c r="F429" s="48"/>
      <c r="G429" s="48"/>
      <c r="H429" s="48"/>
      <c r="I429" s="48"/>
      <c r="J429" s="48"/>
      <c r="K429" s="48"/>
      <c r="L429" s="48"/>
      <c r="M429" s="48"/>
      <c r="N429" s="48"/>
      <c r="O429" s="48"/>
      <c r="P429" s="48"/>
      <c r="Q429" s="48"/>
      <c r="R429" s="48"/>
      <c r="S429" s="48"/>
      <c r="T429" s="48"/>
      <c r="U429" s="48"/>
      <c r="V429" s="48"/>
      <c r="W429" s="48"/>
      <c r="X429" s="48"/>
      <c r="Y429" s="48"/>
      <c r="Z429" s="48"/>
      <c r="AA429" s="48"/>
      <c r="AB429" s="48"/>
      <c r="AC429" s="48"/>
      <c r="AD429" s="48"/>
      <c r="AE429" s="48"/>
      <c r="AF429" s="48"/>
      <c r="AG429" s="48"/>
      <c r="AH429" s="48"/>
      <c r="AI429" s="48"/>
      <c r="AJ429" s="48"/>
      <c r="AK429" s="48"/>
      <c r="AL429" s="48"/>
      <c r="AM429" s="48"/>
      <c r="AN429" s="48"/>
      <c r="AO429" s="48"/>
      <c r="AP429" s="48"/>
      <c r="AQ429" s="48"/>
      <c r="AR429" s="48"/>
      <c r="AS429" s="48"/>
      <c r="AT429" s="48"/>
      <c r="AU429" s="48"/>
      <c r="AV429" s="48"/>
      <c r="AW429" s="48"/>
      <c r="AX429" s="48"/>
      <c r="AY429" s="48"/>
      <c r="AZ429" s="50"/>
    </row>
    <row r="430" spans="1:52" ht="16" x14ac:dyDescent="0.35">
      <c r="A430" s="61"/>
      <c r="B430" s="52"/>
      <c r="C430" s="53"/>
      <c r="D430" s="53"/>
      <c r="E430" s="53"/>
      <c r="F430" s="52"/>
      <c r="G430" s="52"/>
      <c r="H430" s="52"/>
      <c r="I430" s="52"/>
      <c r="J430" s="52"/>
      <c r="K430" s="52"/>
      <c r="L430" s="52"/>
      <c r="M430" s="52"/>
      <c r="N430" s="52"/>
      <c r="O430" s="52"/>
      <c r="P430" s="52"/>
      <c r="Q430" s="52"/>
      <c r="R430" s="52"/>
      <c r="S430" s="52"/>
      <c r="T430" s="52"/>
      <c r="U430" s="52"/>
      <c r="V430" s="52"/>
      <c r="W430" s="52"/>
      <c r="X430" s="52"/>
      <c r="Y430" s="52"/>
      <c r="Z430" s="52"/>
      <c r="AA430" s="52"/>
      <c r="AB430" s="52"/>
      <c r="AC430" s="52"/>
      <c r="AD430" s="52"/>
      <c r="AE430" s="52"/>
      <c r="AF430" s="52"/>
      <c r="AG430" s="52"/>
      <c r="AH430" s="52"/>
      <c r="AI430" s="52"/>
      <c r="AJ430" s="52"/>
      <c r="AK430" s="52"/>
      <c r="AL430" s="52"/>
      <c r="AM430" s="52"/>
      <c r="AN430" s="52"/>
      <c r="AO430" s="52"/>
      <c r="AP430" s="52"/>
      <c r="AQ430" s="52"/>
      <c r="AR430" s="52"/>
      <c r="AS430" s="52"/>
      <c r="AT430" s="52"/>
      <c r="AU430" s="52"/>
      <c r="AV430" s="52"/>
      <c r="AW430" s="52"/>
      <c r="AX430" s="52"/>
      <c r="AY430" s="52"/>
      <c r="AZ430" s="54"/>
    </row>
    <row r="431" spans="1:52" ht="16" x14ac:dyDescent="0.35">
      <c r="A431" s="60"/>
      <c r="B431" s="48"/>
      <c r="C431" s="49"/>
      <c r="D431" s="49"/>
      <c r="E431" s="49"/>
      <c r="F431" s="48"/>
      <c r="G431" s="48"/>
      <c r="H431" s="48"/>
      <c r="I431" s="48"/>
      <c r="J431" s="48"/>
      <c r="K431" s="48"/>
      <c r="L431" s="48"/>
      <c r="M431" s="48"/>
      <c r="N431" s="48"/>
      <c r="O431" s="48"/>
      <c r="P431" s="48"/>
      <c r="Q431" s="48"/>
      <c r="R431" s="48"/>
      <c r="S431" s="48"/>
      <c r="T431" s="48"/>
      <c r="U431" s="48"/>
      <c r="V431" s="48"/>
      <c r="W431" s="48"/>
      <c r="X431" s="48"/>
      <c r="Y431" s="48"/>
      <c r="Z431" s="48"/>
      <c r="AA431" s="48"/>
      <c r="AB431" s="48"/>
      <c r="AC431" s="48"/>
      <c r="AD431" s="48"/>
      <c r="AE431" s="48"/>
      <c r="AF431" s="48"/>
      <c r="AG431" s="48"/>
      <c r="AH431" s="48"/>
      <c r="AI431" s="48"/>
      <c r="AJ431" s="48"/>
      <c r="AK431" s="48"/>
      <c r="AL431" s="48"/>
      <c r="AM431" s="48"/>
      <c r="AN431" s="48"/>
      <c r="AO431" s="48"/>
      <c r="AP431" s="48"/>
      <c r="AQ431" s="48"/>
      <c r="AR431" s="48"/>
      <c r="AS431" s="48"/>
      <c r="AT431" s="48"/>
      <c r="AU431" s="48"/>
      <c r="AV431" s="48"/>
      <c r="AW431" s="48"/>
      <c r="AX431" s="48"/>
      <c r="AY431" s="48"/>
      <c r="AZ431" s="50"/>
    </row>
    <row r="432" spans="1:52" ht="16" x14ac:dyDescent="0.35">
      <c r="A432" s="61"/>
      <c r="B432" s="52"/>
      <c r="C432" s="53"/>
      <c r="D432" s="53"/>
      <c r="E432" s="53"/>
      <c r="F432" s="52"/>
      <c r="G432" s="52"/>
      <c r="H432" s="52"/>
      <c r="I432" s="52"/>
      <c r="J432" s="52"/>
      <c r="K432" s="52"/>
      <c r="L432" s="52"/>
      <c r="M432" s="52"/>
      <c r="N432" s="52"/>
      <c r="O432" s="52"/>
      <c r="P432" s="52"/>
      <c r="Q432" s="52"/>
      <c r="R432" s="52"/>
      <c r="S432" s="52"/>
      <c r="T432" s="52"/>
      <c r="U432" s="52"/>
      <c r="V432" s="52"/>
      <c r="W432" s="52"/>
      <c r="X432" s="52"/>
      <c r="Y432" s="52"/>
      <c r="Z432" s="52"/>
      <c r="AA432" s="52"/>
      <c r="AB432" s="52"/>
      <c r="AC432" s="52"/>
      <c r="AD432" s="52"/>
      <c r="AE432" s="52"/>
      <c r="AF432" s="52"/>
      <c r="AG432" s="52"/>
      <c r="AH432" s="52"/>
      <c r="AI432" s="52"/>
      <c r="AJ432" s="52"/>
      <c r="AK432" s="52"/>
      <c r="AL432" s="52"/>
      <c r="AM432" s="52"/>
      <c r="AN432" s="52"/>
      <c r="AO432" s="52"/>
      <c r="AP432" s="52"/>
      <c r="AQ432" s="52"/>
      <c r="AR432" s="52"/>
      <c r="AS432" s="52"/>
      <c r="AT432" s="52"/>
      <c r="AU432" s="52"/>
      <c r="AV432" s="52"/>
      <c r="AW432" s="52"/>
      <c r="AX432" s="52"/>
      <c r="AY432" s="52"/>
      <c r="AZ432" s="54"/>
    </row>
    <row r="433" spans="1:52" ht="16" x14ac:dyDescent="0.35">
      <c r="A433" s="60"/>
      <c r="B433" s="48"/>
      <c r="C433" s="49"/>
      <c r="D433" s="49"/>
      <c r="E433" s="49"/>
      <c r="F433" s="48"/>
      <c r="G433" s="48"/>
      <c r="H433" s="48"/>
      <c r="I433" s="48"/>
      <c r="J433" s="48"/>
      <c r="K433" s="48"/>
      <c r="L433" s="48"/>
      <c r="M433" s="48"/>
      <c r="N433" s="48"/>
      <c r="O433" s="48"/>
      <c r="P433" s="48"/>
      <c r="Q433" s="48"/>
      <c r="R433" s="48"/>
      <c r="S433" s="48"/>
      <c r="T433" s="48"/>
      <c r="U433" s="48"/>
      <c r="V433" s="48"/>
      <c r="W433" s="48"/>
      <c r="X433" s="48"/>
      <c r="Y433" s="48"/>
      <c r="Z433" s="48"/>
      <c r="AA433" s="48"/>
      <c r="AB433" s="48"/>
      <c r="AC433" s="48"/>
      <c r="AD433" s="48"/>
      <c r="AE433" s="48"/>
      <c r="AF433" s="48"/>
      <c r="AG433" s="48"/>
      <c r="AH433" s="48"/>
      <c r="AI433" s="48"/>
      <c r="AJ433" s="48"/>
      <c r="AK433" s="48"/>
      <c r="AL433" s="48"/>
      <c r="AM433" s="48"/>
      <c r="AN433" s="48"/>
      <c r="AO433" s="48"/>
      <c r="AP433" s="48"/>
      <c r="AQ433" s="48"/>
      <c r="AR433" s="48"/>
      <c r="AS433" s="48"/>
      <c r="AT433" s="48"/>
      <c r="AU433" s="48"/>
      <c r="AV433" s="48"/>
      <c r="AW433" s="48"/>
      <c r="AX433" s="48"/>
      <c r="AY433" s="48"/>
      <c r="AZ433" s="50"/>
    </row>
    <row r="434" spans="1:52" ht="16" x14ac:dyDescent="0.35">
      <c r="A434" s="61"/>
      <c r="B434" s="52"/>
      <c r="C434" s="53"/>
      <c r="D434" s="53"/>
      <c r="E434" s="53"/>
      <c r="F434" s="52"/>
      <c r="G434" s="52"/>
      <c r="H434" s="52"/>
      <c r="I434" s="52"/>
      <c r="J434" s="52"/>
      <c r="K434" s="52"/>
      <c r="L434" s="52"/>
      <c r="M434" s="52"/>
      <c r="N434" s="52"/>
      <c r="O434" s="52"/>
      <c r="P434" s="52"/>
      <c r="Q434" s="52"/>
      <c r="R434" s="52"/>
      <c r="S434" s="52"/>
      <c r="T434" s="52"/>
      <c r="U434" s="52"/>
      <c r="V434" s="52"/>
      <c r="W434" s="52"/>
      <c r="X434" s="52"/>
      <c r="Y434" s="52"/>
      <c r="Z434" s="52"/>
      <c r="AA434" s="52"/>
      <c r="AB434" s="52"/>
      <c r="AC434" s="52"/>
      <c r="AD434" s="52"/>
      <c r="AE434" s="52"/>
      <c r="AF434" s="52"/>
      <c r="AG434" s="52"/>
      <c r="AH434" s="52"/>
      <c r="AI434" s="52"/>
      <c r="AJ434" s="52"/>
      <c r="AK434" s="52"/>
      <c r="AL434" s="52"/>
      <c r="AM434" s="52"/>
      <c r="AN434" s="52"/>
      <c r="AO434" s="52"/>
      <c r="AP434" s="52"/>
      <c r="AQ434" s="52"/>
      <c r="AR434" s="52"/>
      <c r="AS434" s="52"/>
      <c r="AT434" s="52"/>
      <c r="AU434" s="52"/>
      <c r="AV434" s="52"/>
      <c r="AW434" s="52"/>
      <c r="AX434" s="52"/>
      <c r="AY434" s="52"/>
      <c r="AZ434" s="54"/>
    </row>
    <row r="435" spans="1:52" ht="16" x14ac:dyDescent="0.35">
      <c r="A435" s="60"/>
      <c r="B435" s="48"/>
      <c r="C435" s="49"/>
      <c r="D435" s="49"/>
      <c r="E435" s="49"/>
      <c r="F435" s="48"/>
      <c r="G435" s="48"/>
      <c r="H435" s="48"/>
      <c r="I435" s="48"/>
      <c r="J435" s="48"/>
      <c r="K435" s="48"/>
      <c r="L435" s="48"/>
      <c r="M435" s="48"/>
      <c r="N435" s="48"/>
      <c r="O435" s="48"/>
      <c r="P435" s="48"/>
      <c r="Q435" s="48"/>
      <c r="R435" s="48"/>
      <c r="S435" s="48"/>
      <c r="T435" s="48"/>
      <c r="U435" s="48"/>
      <c r="V435" s="48"/>
      <c r="W435" s="48"/>
      <c r="X435" s="48"/>
      <c r="Y435" s="48"/>
      <c r="Z435" s="48"/>
      <c r="AA435" s="48"/>
      <c r="AB435" s="48"/>
      <c r="AC435" s="48"/>
      <c r="AD435" s="48"/>
      <c r="AE435" s="48"/>
      <c r="AF435" s="48"/>
      <c r="AG435" s="48"/>
      <c r="AH435" s="48"/>
      <c r="AI435" s="48"/>
      <c r="AJ435" s="48"/>
      <c r="AK435" s="48"/>
      <c r="AL435" s="48"/>
      <c r="AM435" s="48"/>
      <c r="AN435" s="48"/>
      <c r="AO435" s="48"/>
      <c r="AP435" s="48"/>
      <c r="AQ435" s="48"/>
      <c r="AR435" s="48"/>
      <c r="AS435" s="48"/>
      <c r="AT435" s="48"/>
      <c r="AU435" s="48"/>
      <c r="AV435" s="48"/>
      <c r="AW435" s="48"/>
      <c r="AX435" s="48"/>
      <c r="AY435" s="48"/>
      <c r="AZ435" s="50"/>
    </row>
    <row r="436" spans="1:52" ht="16" x14ac:dyDescent="0.35">
      <c r="A436" s="61"/>
      <c r="B436" s="52"/>
      <c r="C436" s="53"/>
      <c r="D436" s="53"/>
      <c r="E436" s="53"/>
      <c r="F436" s="52"/>
      <c r="G436" s="52"/>
      <c r="H436" s="52"/>
      <c r="I436" s="52"/>
      <c r="J436" s="52"/>
      <c r="K436" s="52"/>
      <c r="L436" s="52"/>
      <c r="M436" s="52"/>
      <c r="N436" s="52"/>
      <c r="O436" s="52"/>
      <c r="P436" s="52"/>
      <c r="Q436" s="52"/>
      <c r="R436" s="52"/>
      <c r="S436" s="52"/>
      <c r="T436" s="52"/>
      <c r="U436" s="52"/>
      <c r="V436" s="52"/>
      <c r="W436" s="52"/>
      <c r="X436" s="52"/>
      <c r="Y436" s="52"/>
      <c r="Z436" s="52"/>
      <c r="AA436" s="52"/>
      <c r="AB436" s="52"/>
      <c r="AC436" s="52"/>
      <c r="AD436" s="52"/>
      <c r="AE436" s="52"/>
      <c r="AF436" s="52"/>
      <c r="AG436" s="52"/>
      <c r="AH436" s="52"/>
      <c r="AI436" s="52"/>
      <c r="AJ436" s="52"/>
      <c r="AK436" s="52"/>
      <c r="AL436" s="52"/>
      <c r="AM436" s="52"/>
      <c r="AN436" s="52"/>
      <c r="AO436" s="52"/>
      <c r="AP436" s="52"/>
      <c r="AQ436" s="52"/>
      <c r="AR436" s="52"/>
      <c r="AS436" s="52"/>
      <c r="AT436" s="52"/>
      <c r="AU436" s="52"/>
      <c r="AV436" s="52"/>
      <c r="AW436" s="52"/>
      <c r="AX436" s="52"/>
      <c r="AY436" s="52"/>
      <c r="AZ436" s="54"/>
    </row>
    <row r="437" spans="1:52" ht="16" x14ac:dyDescent="0.35">
      <c r="A437" s="60"/>
      <c r="B437" s="48"/>
      <c r="C437" s="49"/>
      <c r="D437" s="49"/>
      <c r="E437" s="49"/>
      <c r="F437" s="48"/>
      <c r="G437" s="48"/>
      <c r="H437" s="48"/>
      <c r="I437" s="48"/>
      <c r="J437" s="48"/>
      <c r="K437" s="48"/>
      <c r="L437" s="48"/>
      <c r="M437" s="48"/>
      <c r="N437" s="48"/>
      <c r="O437" s="48"/>
      <c r="P437" s="48"/>
      <c r="Q437" s="48"/>
      <c r="R437" s="48"/>
      <c r="S437" s="48"/>
      <c r="T437" s="48"/>
      <c r="U437" s="48"/>
      <c r="V437" s="48"/>
      <c r="W437" s="48"/>
      <c r="X437" s="48"/>
      <c r="Y437" s="48"/>
      <c r="Z437" s="48"/>
      <c r="AA437" s="48"/>
      <c r="AB437" s="48"/>
      <c r="AC437" s="48"/>
      <c r="AD437" s="48"/>
      <c r="AE437" s="48"/>
      <c r="AF437" s="48"/>
      <c r="AG437" s="48"/>
      <c r="AH437" s="48"/>
      <c r="AI437" s="48"/>
      <c r="AJ437" s="48"/>
      <c r="AK437" s="48"/>
      <c r="AL437" s="48"/>
      <c r="AM437" s="48"/>
      <c r="AN437" s="48"/>
      <c r="AO437" s="48"/>
      <c r="AP437" s="48"/>
      <c r="AQ437" s="48"/>
      <c r="AR437" s="48"/>
      <c r="AS437" s="48"/>
      <c r="AT437" s="48"/>
      <c r="AU437" s="48"/>
      <c r="AV437" s="48"/>
      <c r="AW437" s="48"/>
      <c r="AX437" s="48"/>
      <c r="AY437" s="48"/>
      <c r="AZ437" s="50"/>
    </row>
    <row r="438" spans="1:52" ht="16" x14ac:dyDescent="0.35">
      <c r="A438" s="61"/>
      <c r="B438" s="52"/>
      <c r="C438" s="53"/>
      <c r="D438" s="53"/>
      <c r="E438" s="53"/>
      <c r="F438" s="52"/>
      <c r="G438" s="52"/>
      <c r="H438" s="52"/>
      <c r="I438" s="52"/>
      <c r="J438" s="52"/>
      <c r="K438" s="52"/>
      <c r="L438" s="52"/>
      <c r="M438" s="52"/>
      <c r="N438" s="52"/>
      <c r="O438" s="52"/>
      <c r="P438" s="52"/>
      <c r="Q438" s="52"/>
      <c r="R438" s="52"/>
      <c r="S438" s="52"/>
      <c r="T438" s="52"/>
      <c r="U438" s="52"/>
      <c r="V438" s="52"/>
      <c r="W438" s="52"/>
      <c r="X438" s="52"/>
      <c r="Y438" s="52"/>
      <c r="Z438" s="52"/>
      <c r="AA438" s="52"/>
      <c r="AB438" s="52"/>
      <c r="AC438" s="52"/>
      <c r="AD438" s="52"/>
      <c r="AE438" s="52"/>
      <c r="AF438" s="52"/>
      <c r="AG438" s="52"/>
      <c r="AH438" s="52"/>
      <c r="AI438" s="52"/>
      <c r="AJ438" s="52"/>
      <c r="AK438" s="52"/>
      <c r="AL438" s="52"/>
      <c r="AM438" s="52"/>
      <c r="AN438" s="52"/>
      <c r="AO438" s="52"/>
      <c r="AP438" s="52"/>
      <c r="AQ438" s="52"/>
      <c r="AR438" s="52"/>
      <c r="AS438" s="52"/>
      <c r="AT438" s="52"/>
      <c r="AU438" s="52"/>
      <c r="AV438" s="52"/>
      <c r="AW438" s="52"/>
      <c r="AX438" s="52"/>
      <c r="AY438" s="52"/>
      <c r="AZ438" s="54"/>
    </row>
    <row r="439" spans="1:52" ht="16" x14ac:dyDescent="0.35">
      <c r="A439" s="60"/>
      <c r="B439" s="48"/>
      <c r="C439" s="49"/>
      <c r="D439" s="49"/>
      <c r="E439" s="49"/>
      <c r="F439" s="48"/>
      <c r="G439" s="48"/>
      <c r="H439" s="48"/>
      <c r="I439" s="48"/>
      <c r="J439" s="48"/>
      <c r="K439" s="48"/>
      <c r="L439" s="48"/>
      <c r="M439" s="48"/>
      <c r="N439" s="48"/>
      <c r="O439" s="48"/>
      <c r="P439" s="48"/>
      <c r="Q439" s="48"/>
      <c r="R439" s="48"/>
      <c r="S439" s="48"/>
      <c r="T439" s="48"/>
      <c r="U439" s="48"/>
      <c r="V439" s="48"/>
      <c r="W439" s="48"/>
      <c r="X439" s="48"/>
      <c r="Y439" s="48"/>
      <c r="Z439" s="48"/>
      <c r="AA439" s="48"/>
      <c r="AB439" s="48"/>
      <c r="AC439" s="48"/>
      <c r="AD439" s="48"/>
      <c r="AE439" s="48"/>
      <c r="AF439" s="48"/>
      <c r="AG439" s="48"/>
      <c r="AH439" s="48"/>
      <c r="AI439" s="48"/>
      <c r="AJ439" s="48"/>
      <c r="AK439" s="48"/>
      <c r="AL439" s="48"/>
      <c r="AM439" s="48"/>
      <c r="AN439" s="48"/>
      <c r="AO439" s="48"/>
      <c r="AP439" s="48"/>
      <c r="AQ439" s="48"/>
      <c r="AR439" s="48"/>
      <c r="AS439" s="48"/>
      <c r="AT439" s="48"/>
      <c r="AU439" s="48"/>
      <c r="AV439" s="48"/>
      <c r="AW439" s="48"/>
      <c r="AX439" s="48"/>
      <c r="AY439" s="48"/>
      <c r="AZ439" s="50"/>
    </row>
    <row r="440" spans="1:52" ht="16" x14ac:dyDescent="0.35">
      <c r="A440" s="61"/>
      <c r="B440" s="52"/>
      <c r="C440" s="53"/>
      <c r="D440" s="53"/>
      <c r="E440" s="53"/>
      <c r="F440" s="52"/>
      <c r="G440" s="52"/>
      <c r="H440" s="52"/>
      <c r="I440" s="52"/>
      <c r="J440" s="52"/>
      <c r="K440" s="52"/>
      <c r="L440" s="52"/>
      <c r="M440" s="52"/>
      <c r="N440" s="52"/>
      <c r="O440" s="52"/>
      <c r="P440" s="52"/>
      <c r="Q440" s="52"/>
      <c r="R440" s="52"/>
      <c r="S440" s="52"/>
      <c r="T440" s="52"/>
      <c r="U440" s="52"/>
      <c r="V440" s="52"/>
      <c r="W440" s="52"/>
      <c r="X440" s="52"/>
      <c r="Y440" s="52"/>
      <c r="Z440" s="52"/>
      <c r="AA440" s="52"/>
      <c r="AB440" s="52"/>
      <c r="AC440" s="52"/>
      <c r="AD440" s="52"/>
      <c r="AE440" s="52"/>
      <c r="AF440" s="52"/>
      <c r="AG440" s="52"/>
      <c r="AH440" s="52"/>
      <c r="AI440" s="52"/>
      <c r="AJ440" s="52"/>
      <c r="AK440" s="52"/>
      <c r="AL440" s="52"/>
      <c r="AM440" s="52"/>
      <c r="AN440" s="52"/>
      <c r="AO440" s="52"/>
      <c r="AP440" s="52"/>
      <c r="AQ440" s="52"/>
      <c r="AR440" s="52"/>
      <c r="AS440" s="52"/>
      <c r="AT440" s="52"/>
      <c r="AU440" s="52"/>
      <c r="AV440" s="52"/>
      <c r="AW440" s="52"/>
      <c r="AX440" s="52"/>
      <c r="AY440" s="52"/>
      <c r="AZ440" s="54"/>
    </row>
    <row r="441" spans="1:52" ht="16" x14ac:dyDescent="0.35">
      <c r="A441" s="60"/>
      <c r="B441" s="48"/>
      <c r="C441" s="49"/>
      <c r="D441" s="49"/>
      <c r="E441" s="49"/>
      <c r="F441" s="48"/>
      <c r="G441" s="48"/>
      <c r="H441" s="48"/>
      <c r="I441" s="48"/>
      <c r="J441" s="48"/>
      <c r="K441" s="48"/>
      <c r="L441" s="48"/>
      <c r="M441" s="48"/>
      <c r="N441" s="48"/>
      <c r="O441" s="48"/>
      <c r="P441" s="48"/>
      <c r="Q441" s="48"/>
      <c r="R441" s="48"/>
      <c r="S441" s="48"/>
      <c r="T441" s="48"/>
      <c r="U441" s="48"/>
      <c r="V441" s="48"/>
      <c r="W441" s="48"/>
      <c r="X441" s="48"/>
      <c r="Y441" s="48"/>
      <c r="Z441" s="48"/>
      <c r="AA441" s="48"/>
      <c r="AB441" s="48"/>
      <c r="AC441" s="48"/>
      <c r="AD441" s="48"/>
      <c r="AE441" s="48"/>
      <c r="AF441" s="48"/>
      <c r="AG441" s="48"/>
      <c r="AH441" s="48"/>
      <c r="AI441" s="48"/>
      <c r="AJ441" s="48"/>
      <c r="AK441" s="48"/>
      <c r="AL441" s="48"/>
      <c r="AM441" s="48"/>
      <c r="AN441" s="48"/>
      <c r="AO441" s="48"/>
      <c r="AP441" s="48"/>
      <c r="AQ441" s="48"/>
      <c r="AR441" s="48"/>
      <c r="AS441" s="48"/>
      <c r="AT441" s="48"/>
      <c r="AU441" s="48"/>
      <c r="AV441" s="48"/>
      <c r="AW441" s="48"/>
      <c r="AX441" s="48"/>
      <c r="AY441" s="48"/>
      <c r="AZ441" s="50"/>
    </row>
    <row r="442" spans="1:52" ht="16" x14ac:dyDescent="0.35">
      <c r="A442" s="61"/>
      <c r="B442" s="52"/>
      <c r="C442" s="53"/>
      <c r="D442" s="53"/>
      <c r="E442" s="53"/>
      <c r="F442" s="52"/>
      <c r="G442" s="52"/>
      <c r="H442" s="52"/>
      <c r="I442" s="52"/>
      <c r="J442" s="52"/>
      <c r="K442" s="52"/>
      <c r="L442" s="52"/>
      <c r="M442" s="52"/>
      <c r="N442" s="52"/>
      <c r="O442" s="52"/>
      <c r="P442" s="52"/>
      <c r="Q442" s="52"/>
      <c r="R442" s="52"/>
      <c r="S442" s="52"/>
      <c r="T442" s="52"/>
      <c r="U442" s="52"/>
      <c r="V442" s="52"/>
      <c r="W442" s="52"/>
      <c r="X442" s="52"/>
      <c r="Y442" s="52"/>
      <c r="Z442" s="52"/>
      <c r="AA442" s="52"/>
      <c r="AB442" s="52"/>
      <c r="AC442" s="52"/>
      <c r="AD442" s="52"/>
      <c r="AE442" s="52"/>
      <c r="AF442" s="52"/>
      <c r="AG442" s="52"/>
      <c r="AH442" s="52"/>
      <c r="AI442" s="52"/>
      <c r="AJ442" s="52"/>
      <c r="AK442" s="52"/>
      <c r="AL442" s="52"/>
      <c r="AM442" s="52"/>
      <c r="AN442" s="52"/>
      <c r="AO442" s="52"/>
      <c r="AP442" s="52"/>
      <c r="AQ442" s="52"/>
      <c r="AR442" s="52"/>
      <c r="AS442" s="52"/>
      <c r="AT442" s="52"/>
      <c r="AU442" s="52"/>
      <c r="AV442" s="52"/>
      <c r="AW442" s="52"/>
      <c r="AX442" s="52"/>
      <c r="AY442" s="52"/>
      <c r="AZ442" s="54"/>
    </row>
    <row r="443" spans="1:52" ht="16" x14ac:dyDescent="0.35">
      <c r="A443" s="60"/>
      <c r="B443" s="48"/>
      <c r="C443" s="49"/>
      <c r="D443" s="49"/>
      <c r="E443" s="49"/>
      <c r="F443" s="48"/>
      <c r="G443" s="48"/>
      <c r="H443" s="48"/>
      <c r="I443" s="48"/>
      <c r="J443" s="48"/>
      <c r="K443" s="48"/>
      <c r="L443" s="48"/>
      <c r="M443" s="48"/>
      <c r="N443" s="48"/>
      <c r="O443" s="48"/>
      <c r="P443" s="48"/>
      <c r="Q443" s="48"/>
      <c r="R443" s="48"/>
      <c r="S443" s="48"/>
      <c r="T443" s="48"/>
      <c r="U443" s="48"/>
      <c r="V443" s="48"/>
      <c r="W443" s="48"/>
      <c r="X443" s="48"/>
      <c r="Y443" s="48"/>
      <c r="Z443" s="48"/>
      <c r="AA443" s="48"/>
      <c r="AB443" s="48"/>
      <c r="AC443" s="48"/>
      <c r="AD443" s="48"/>
      <c r="AE443" s="48"/>
      <c r="AF443" s="48"/>
      <c r="AG443" s="48"/>
      <c r="AH443" s="48"/>
      <c r="AI443" s="48"/>
      <c r="AJ443" s="48"/>
      <c r="AK443" s="48"/>
      <c r="AL443" s="48"/>
      <c r="AM443" s="48"/>
      <c r="AN443" s="48"/>
      <c r="AO443" s="48"/>
      <c r="AP443" s="48"/>
      <c r="AQ443" s="48"/>
      <c r="AR443" s="48"/>
      <c r="AS443" s="48"/>
      <c r="AT443" s="48"/>
      <c r="AU443" s="48"/>
      <c r="AV443" s="48"/>
      <c r="AW443" s="48"/>
      <c r="AX443" s="48"/>
      <c r="AY443" s="48"/>
      <c r="AZ443" s="50"/>
    </row>
    <row r="444" spans="1:52" ht="16" x14ac:dyDescent="0.35">
      <c r="A444" s="61"/>
      <c r="B444" s="52"/>
      <c r="C444" s="53"/>
      <c r="D444" s="53"/>
      <c r="E444" s="53"/>
      <c r="F444" s="52"/>
      <c r="G444" s="52"/>
      <c r="H444" s="52"/>
      <c r="I444" s="52"/>
      <c r="J444" s="52"/>
      <c r="K444" s="52"/>
      <c r="L444" s="52"/>
      <c r="M444" s="52"/>
      <c r="N444" s="52"/>
      <c r="O444" s="52"/>
      <c r="P444" s="52"/>
      <c r="Q444" s="52"/>
      <c r="R444" s="52"/>
      <c r="S444" s="52"/>
      <c r="T444" s="52"/>
      <c r="U444" s="52"/>
      <c r="V444" s="52"/>
      <c r="W444" s="52"/>
      <c r="X444" s="52"/>
      <c r="Y444" s="52"/>
      <c r="Z444" s="52"/>
      <c r="AA444" s="52"/>
      <c r="AB444" s="52"/>
      <c r="AC444" s="52"/>
      <c r="AD444" s="52"/>
      <c r="AE444" s="52"/>
      <c r="AF444" s="52"/>
      <c r="AG444" s="52"/>
      <c r="AH444" s="52"/>
      <c r="AI444" s="52"/>
      <c r="AJ444" s="52"/>
      <c r="AK444" s="52"/>
      <c r="AL444" s="52"/>
      <c r="AM444" s="52"/>
      <c r="AN444" s="52"/>
      <c r="AO444" s="52"/>
      <c r="AP444" s="52"/>
      <c r="AQ444" s="52"/>
      <c r="AR444" s="52"/>
      <c r="AS444" s="52"/>
      <c r="AT444" s="52"/>
      <c r="AU444" s="52"/>
      <c r="AV444" s="52"/>
      <c r="AW444" s="52"/>
      <c r="AX444" s="52"/>
      <c r="AY444" s="52"/>
      <c r="AZ444" s="54"/>
    </row>
    <row r="445" spans="1:52" ht="16" x14ac:dyDescent="0.35">
      <c r="A445" s="60"/>
      <c r="B445" s="48"/>
      <c r="C445" s="49"/>
      <c r="D445" s="49"/>
      <c r="E445" s="49"/>
      <c r="F445" s="48"/>
      <c r="G445" s="48"/>
      <c r="H445" s="48"/>
      <c r="I445" s="48"/>
      <c r="J445" s="48"/>
      <c r="K445" s="48"/>
      <c r="L445" s="48"/>
      <c r="M445" s="48"/>
      <c r="N445" s="48"/>
      <c r="O445" s="48"/>
      <c r="P445" s="48"/>
      <c r="Q445" s="48"/>
      <c r="R445" s="48"/>
      <c r="S445" s="48"/>
      <c r="T445" s="48"/>
      <c r="U445" s="48"/>
      <c r="V445" s="48"/>
      <c r="W445" s="48"/>
      <c r="X445" s="48"/>
      <c r="Y445" s="48"/>
      <c r="Z445" s="48"/>
      <c r="AA445" s="48"/>
      <c r="AB445" s="48"/>
      <c r="AC445" s="48"/>
      <c r="AD445" s="48"/>
      <c r="AE445" s="48"/>
      <c r="AF445" s="48"/>
      <c r="AG445" s="48"/>
      <c r="AH445" s="48"/>
      <c r="AI445" s="48"/>
      <c r="AJ445" s="48"/>
      <c r="AK445" s="48"/>
      <c r="AL445" s="48"/>
      <c r="AM445" s="48"/>
      <c r="AN445" s="48"/>
      <c r="AO445" s="48"/>
      <c r="AP445" s="48"/>
      <c r="AQ445" s="48"/>
      <c r="AR445" s="48"/>
      <c r="AS445" s="48"/>
      <c r="AT445" s="48"/>
      <c r="AU445" s="48"/>
      <c r="AV445" s="48"/>
      <c r="AW445" s="48"/>
      <c r="AX445" s="48"/>
      <c r="AY445" s="48"/>
      <c r="AZ445" s="50"/>
    </row>
    <row r="446" spans="1:52" ht="16" x14ac:dyDescent="0.35">
      <c r="A446" s="61"/>
      <c r="B446" s="52"/>
      <c r="C446" s="53"/>
      <c r="D446" s="53"/>
      <c r="E446" s="53"/>
      <c r="F446" s="52"/>
      <c r="G446" s="52"/>
      <c r="H446" s="52"/>
      <c r="I446" s="52"/>
      <c r="J446" s="52"/>
      <c r="K446" s="52"/>
      <c r="L446" s="52"/>
      <c r="M446" s="52"/>
      <c r="N446" s="52"/>
      <c r="O446" s="52"/>
      <c r="P446" s="52"/>
      <c r="Q446" s="52"/>
      <c r="R446" s="52"/>
      <c r="S446" s="52"/>
      <c r="T446" s="52"/>
      <c r="U446" s="52"/>
      <c r="V446" s="52"/>
      <c r="W446" s="52"/>
      <c r="X446" s="52"/>
      <c r="Y446" s="52"/>
      <c r="Z446" s="52"/>
      <c r="AA446" s="52"/>
      <c r="AB446" s="52"/>
      <c r="AC446" s="52"/>
      <c r="AD446" s="52"/>
      <c r="AE446" s="52"/>
      <c r="AF446" s="52"/>
      <c r="AG446" s="52"/>
      <c r="AH446" s="52"/>
      <c r="AI446" s="52"/>
      <c r="AJ446" s="52"/>
      <c r="AK446" s="52"/>
      <c r="AL446" s="52"/>
      <c r="AM446" s="52"/>
      <c r="AN446" s="52"/>
      <c r="AO446" s="52"/>
      <c r="AP446" s="52"/>
      <c r="AQ446" s="52"/>
      <c r="AR446" s="52"/>
      <c r="AS446" s="52"/>
      <c r="AT446" s="52"/>
      <c r="AU446" s="52"/>
      <c r="AV446" s="52"/>
      <c r="AW446" s="52"/>
      <c r="AX446" s="52"/>
      <c r="AY446" s="52"/>
      <c r="AZ446" s="54"/>
    </row>
    <row r="447" spans="1:52" ht="16" x14ac:dyDescent="0.35">
      <c r="A447" s="60"/>
      <c r="B447" s="48"/>
      <c r="C447" s="49"/>
      <c r="D447" s="49"/>
      <c r="E447" s="49"/>
      <c r="F447" s="48"/>
      <c r="G447" s="48"/>
      <c r="H447" s="48"/>
      <c r="I447" s="48"/>
      <c r="J447" s="48"/>
      <c r="K447" s="48"/>
      <c r="L447" s="48"/>
      <c r="M447" s="48"/>
      <c r="N447" s="48"/>
      <c r="O447" s="48"/>
      <c r="P447" s="48"/>
      <c r="Q447" s="48"/>
      <c r="R447" s="48"/>
      <c r="S447" s="48"/>
      <c r="T447" s="48"/>
      <c r="U447" s="48"/>
      <c r="V447" s="48"/>
      <c r="W447" s="48"/>
      <c r="X447" s="48"/>
      <c r="Y447" s="48"/>
      <c r="Z447" s="48"/>
      <c r="AA447" s="48"/>
      <c r="AB447" s="48"/>
      <c r="AC447" s="48"/>
      <c r="AD447" s="48"/>
      <c r="AE447" s="48"/>
      <c r="AF447" s="48"/>
      <c r="AG447" s="48"/>
      <c r="AH447" s="48"/>
      <c r="AI447" s="48"/>
      <c r="AJ447" s="48"/>
      <c r="AK447" s="48"/>
      <c r="AL447" s="48"/>
      <c r="AM447" s="48"/>
      <c r="AN447" s="48"/>
      <c r="AO447" s="48"/>
      <c r="AP447" s="48"/>
      <c r="AQ447" s="48"/>
      <c r="AR447" s="48"/>
      <c r="AS447" s="48"/>
      <c r="AT447" s="48"/>
      <c r="AU447" s="48"/>
      <c r="AV447" s="48"/>
      <c r="AW447" s="48"/>
      <c r="AX447" s="48"/>
      <c r="AY447" s="48"/>
      <c r="AZ447" s="50"/>
    </row>
    <row r="448" spans="1:52" ht="16" x14ac:dyDescent="0.35">
      <c r="A448" s="61"/>
      <c r="B448" s="52"/>
      <c r="C448" s="53"/>
      <c r="D448" s="53"/>
      <c r="E448" s="53"/>
      <c r="F448" s="52"/>
      <c r="G448" s="52"/>
      <c r="H448" s="52"/>
      <c r="I448" s="52"/>
      <c r="J448" s="52"/>
      <c r="K448" s="52"/>
      <c r="L448" s="52"/>
      <c r="M448" s="52"/>
      <c r="N448" s="52"/>
      <c r="O448" s="52"/>
      <c r="P448" s="52"/>
      <c r="Q448" s="52"/>
      <c r="R448" s="52"/>
      <c r="S448" s="52"/>
      <c r="T448" s="52"/>
      <c r="U448" s="52"/>
      <c r="V448" s="52"/>
      <c r="W448" s="52"/>
      <c r="X448" s="52"/>
      <c r="Y448" s="52"/>
      <c r="Z448" s="52"/>
      <c r="AA448" s="52"/>
      <c r="AB448" s="52"/>
      <c r="AC448" s="52"/>
      <c r="AD448" s="52"/>
      <c r="AE448" s="52"/>
      <c r="AF448" s="52"/>
      <c r="AG448" s="52"/>
      <c r="AH448" s="52"/>
      <c r="AI448" s="52"/>
      <c r="AJ448" s="52"/>
      <c r="AK448" s="52"/>
      <c r="AL448" s="52"/>
      <c r="AM448" s="52"/>
      <c r="AN448" s="52"/>
      <c r="AO448" s="52"/>
      <c r="AP448" s="52"/>
      <c r="AQ448" s="52"/>
      <c r="AR448" s="52"/>
      <c r="AS448" s="52"/>
      <c r="AT448" s="52"/>
      <c r="AU448" s="52"/>
      <c r="AV448" s="52"/>
      <c r="AW448" s="52"/>
      <c r="AX448" s="52"/>
      <c r="AY448" s="52"/>
      <c r="AZ448" s="54"/>
    </row>
    <row r="449" spans="1:52" ht="16" x14ac:dyDescent="0.35">
      <c r="A449" s="60"/>
      <c r="B449" s="48"/>
      <c r="C449" s="49"/>
      <c r="D449" s="49"/>
      <c r="E449" s="49"/>
      <c r="F449" s="48"/>
      <c r="G449" s="48"/>
      <c r="H449" s="48"/>
      <c r="I449" s="48"/>
      <c r="J449" s="48"/>
      <c r="K449" s="48"/>
      <c r="L449" s="48"/>
      <c r="M449" s="48"/>
      <c r="N449" s="48"/>
      <c r="O449" s="48"/>
      <c r="P449" s="48"/>
      <c r="Q449" s="48"/>
      <c r="R449" s="48"/>
      <c r="S449" s="48"/>
      <c r="T449" s="48"/>
      <c r="U449" s="48"/>
      <c r="V449" s="48"/>
      <c r="W449" s="48"/>
      <c r="X449" s="48"/>
      <c r="Y449" s="48"/>
      <c r="Z449" s="48"/>
      <c r="AA449" s="48"/>
      <c r="AB449" s="48"/>
      <c r="AC449" s="48"/>
      <c r="AD449" s="48"/>
      <c r="AE449" s="48"/>
      <c r="AF449" s="48"/>
      <c r="AG449" s="48"/>
      <c r="AH449" s="48"/>
      <c r="AI449" s="48"/>
      <c r="AJ449" s="48"/>
      <c r="AK449" s="48"/>
      <c r="AL449" s="48"/>
      <c r="AM449" s="48"/>
      <c r="AN449" s="48"/>
      <c r="AO449" s="48"/>
      <c r="AP449" s="48"/>
      <c r="AQ449" s="48"/>
      <c r="AR449" s="48"/>
      <c r="AS449" s="48"/>
      <c r="AT449" s="48"/>
      <c r="AU449" s="48"/>
      <c r="AV449" s="48"/>
      <c r="AW449" s="48"/>
      <c r="AX449" s="48"/>
      <c r="AY449" s="48"/>
      <c r="AZ449" s="50"/>
    </row>
    <row r="450" spans="1:52" ht="16" x14ac:dyDescent="0.35">
      <c r="A450" s="61"/>
      <c r="B450" s="52"/>
      <c r="C450" s="53"/>
      <c r="D450" s="53"/>
      <c r="E450" s="53"/>
      <c r="F450" s="52"/>
      <c r="G450" s="52"/>
      <c r="H450" s="52"/>
      <c r="I450" s="52"/>
      <c r="J450" s="52"/>
      <c r="K450" s="52"/>
      <c r="L450" s="52"/>
      <c r="M450" s="52"/>
      <c r="N450" s="52"/>
      <c r="O450" s="52"/>
      <c r="P450" s="52"/>
      <c r="Q450" s="52"/>
      <c r="R450" s="52"/>
      <c r="S450" s="52"/>
      <c r="T450" s="52"/>
      <c r="U450" s="52"/>
      <c r="V450" s="52"/>
      <c r="W450" s="52"/>
      <c r="X450" s="52"/>
      <c r="Y450" s="52"/>
      <c r="Z450" s="52"/>
      <c r="AA450" s="52"/>
      <c r="AB450" s="52"/>
      <c r="AC450" s="52"/>
      <c r="AD450" s="52"/>
      <c r="AE450" s="52"/>
      <c r="AF450" s="52"/>
      <c r="AG450" s="52"/>
      <c r="AH450" s="52"/>
      <c r="AI450" s="52"/>
      <c r="AJ450" s="52"/>
      <c r="AK450" s="52"/>
      <c r="AL450" s="52"/>
      <c r="AM450" s="52"/>
      <c r="AN450" s="52"/>
      <c r="AO450" s="52"/>
      <c r="AP450" s="52"/>
      <c r="AQ450" s="52"/>
      <c r="AR450" s="52"/>
      <c r="AS450" s="52"/>
      <c r="AT450" s="52"/>
      <c r="AU450" s="52"/>
      <c r="AV450" s="52"/>
      <c r="AW450" s="52"/>
      <c r="AX450" s="52"/>
      <c r="AY450" s="52"/>
      <c r="AZ450" s="54"/>
    </row>
    <row r="451" spans="1:52" ht="16" x14ac:dyDescent="0.35">
      <c r="A451" s="60"/>
      <c r="B451" s="48"/>
      <c r="C451" s="49"/>
      <c r="D451" s="49"/>
      <c r="E451" s="49"/>
      <c r="F451" s="48"/>
      <c r="G451" s="48"/>
      <c r="H451" s="48"/>
      <c r="I451" s="48"/>
      <c r="J451" s="48"/>
      <c r="K451" s="48"/>
      <c r="L451" s="48"/>
      <c r="M451" s="48"/>
      <c r="N451" s="48"/>
      <c r="O451" s="48"/>
      <c r="P451" s="48"/>
      <c r="Q451" s="48"/>
      <c r="R451" s="48"/>
      <c r="S451" s="48"/>
      <c r="T451" s="48"/>
      <c r="U451" s="48"/>
      <c r="V451" s="48"/>
      <c r="W451" s="48"/>
      <c r="X451" s="48"/>
      <c r="Y451" s="48"/>
      <c r="Z451" s="48"/>
      <c r="AA451" s="48"/>
      <c r="AB451" s="48"/>
      <c r="AC451" s="48"/>
      <c r="AD451" s="48"/>
      <c r="AE451" s="48"/>
      <c r="AF451" s="48"/>
      <c r="AG451" s="48"/>
      <c r="AH451" s="48"/>
      <c r="AI451" s="48"/>
      <c r="AJ451" s="48"/>
      <c r="AK451" s="48"/>
      <c r="AL451" s="48"/>
      <c r="AM451" s="48"/>
      <c r="AN451" s="48"/>
      <c r="AO451" s="48"/>
      <c r="AP451" s="48"/>
      <c r="AQ451" s="48"/>
      <c r="AR451" s="48"/>
      <c r="AS451" s="48"/>
      <c r="AT451" s="48"/>
      <c r="AU451" s="48"/>
      <c r="AV451" s="48"/>
      <c r="AW451" s="48"/>
      <c r="AX451" s="48"/>
      <c r="AY451" s="48"/>
      <c r="AZ451" s="50"/>
    </row>
    <row r="452" spans="1:52" ht="16" x14ac:dyDescent="0.35">
      <c r="A452" s="61"/>
      <c r="B452" s="52"/>
      <c r="C452" s="53"/>
      <c r="D452" s="53"/>
      <c r="E452" s="53"/>
      <c r="F452" s="52"/>
      <c r="G452" s="52"/>
      <c r="H452" s="52"/>
      <c r="I452" s="52"/>
      <c r="J452" s="52"/>
      <c r="K452" s="52"/>
      <c r="L452" s="52"/>
      <c r="M452" s="52"/>
      <c r="N452" s="52"/>
      <c r="O452" s="52"/>
      <c r="P452" s="52"/>
      <c r="Q452" s="52"/>
      <c r="R452" s="52"/>
      <c r="S452" s="52"/>
      <c r="T452" s="52"/>
      <c r="U452" s="52"/>
      <c r="V452" s="52"/>
      <c r="W452" s="52"/>
      <c r="X452" s="52"/>
      <c r="Y452" s="52"/>
      <c r="Z452" s="52"/>
      <c r="AA452" s="52"/>
      <c r="AB452" s="52"/>
      <c r="AC452" s="52"/>
      <c r="AD452" s="52"/>
      <c r="AE452" s="52"/>
      <c r="AF452" s="52"/>
      <c r="AG452" s="52"/>
      <c r="AH452" s="52"/>
      <c r="AI452" s="52"/>
      <c r="AJ452" s="52"/>
      <c r="AK452" s="52"/>
      <c r="AL452" s="52"/>
      <c r="AM452" s="52"/>
      <c r="AN452" s="52"/>
      <c r="AO452" s="52"/>
      <c r="AP452" s="52"/>
      <c r="AQ452" s="52"/>
      <c r="AR452" s="52"/>
      <c r="AS452" s="52"/>
      <c r="AT452" s="52"/>
      <c r="AU452" s="52"/>
      <c r="AV452" s="52"/>
      <c r="AW452" s="52"/>
      <c r="AX452" s="52"/>
      <c r="AY452" s="52"/>
      <c r="AZ452" s="54"/>
    </row>
    <row r="453" spans="1:52" ht="16" x14ac:dyDescent="0.35">
      <c r="A453" s="60"/>
      <c r="B453" s="48"/>
      <c r="C453" s="49"/>
      <c r="D453" s="49"/>
      <c r="E453" s="49"/>
      <c r="F453" s="48"/>
      <c r="G453" s="48"/>
      <c r="H453" s="48"/>
      <c r="I453" s="48"/>
      <c r="J453" s="48"/>
      <c r="K453" s="48"/>
      <c r="L453" s="48"/>
      <c r="M453" s="48"/>
      <c r="N453" s="48"/>
      <c r="O453" s="48"/>
      <c r="P453" s="48"/>
      <c r="Q453" s="48"/>
      <c r="R453" s="48"/>
      <c r="S453" s="48"/>
      <c r="T453" s="48"/>
      <c r="U453" s="48"/>
      <c r="V453" s="48"/>
      <c r="W453" s="48"/>
      <c r="X453" s="48"/>
      <c r="Y453" s="48"/>
      <c r="Z453" s="48"/>
      <c r="AA453" s="48"/>
      <c r="AB453" s="48"/>
      <c r="AC453" s="48"/>
      <c r="AD453" s="48"/>
      <c r="AE453" s="48"/>
      <c r="AF453" s="48"/>
      <c r="AG453" s="48"/>
      <c r="AH453" s="48"/>
      <c r="AI453" s="48"/>
      <c r="AJ453" s="48"/>
      <c r="AK453" s="48"/>
      <c r="AL453" s="48"/>
      <c r="AM453" s="48"/>
      <c r="AN453" s="48"/>
      <c r="AO453" s="48"/>
      <c r="AP453" s="48"/>
      <c r="AQ453" s="48"/>
      <c r="AR453" s="48"/>
      <c r="AS453" s="48"/>
      <c r="AT453" s="48"/>
      <c r="AU453" s="48"/>
      <c r="AV453" s="48"/>
      <c r="AW453" s="48"/>
      <c r="AX453" s="48"/>
      <c r="AY453" s="48"/>
      <c r="AZ453" s="50"/>
    </row>
    <row r="454" spans="1:52" ht="16" x14ac:dyDescent="0.35">
      <c r="A454" s="61"/>
      <c r="B454" s="52"/>
      <c r="C454" s="53"/>
      <c r="D454" s="53"/>
      <c r="E454" s="53"/>
      <c r="F454" s="52"/>
      <c r="G454" s="52"/>
      <c r="H454" s="52"/>
      <c r="I454" s="52"/>
      <c r="J454" s="52"/>
      <c r="K454" s="52"/>
      <c r="L454" s="52"/>
      <c r="M454" s="52"/>
      <c r="N454" s="52"/>
      <c r="O454" s="52"/>
      <c r="P454" s="52"/>
      <c r="Q454" s="52"/>
      <c r="R454" s="52"/>
      <c r="S454" s="52"/>
      <c r="T454" s="52"/>
      <c r="U454" s="52"/>
      <c r="V454" s="52"/>
      <c r="W454" s="52"/>
      <c r="X454" s="52"/>
      <c r="Y454" s="52"/>
      <c r="Z454" s="52"/>
      <c r="AA454" s="52"/>
      <c r="AB454" s="52"/>
      <c r="AC454" s="52"/>
      <c r="AD454" s="52"/>
      <c r="AE454" s="52"/>
      <c r="AF454" s="52"/>
      <c r="AG454" s="52"/>
      <c r="AH454" s="52"/>
      <c r="AI454" s="52"/>
      <c r="AJ454" s="52"/>
      <c r="AK454" s="52"/>
      <c r="AL454" s="52"/>
      <c r="AM454" s="52"/>
      <c r="AN454" s="52"/>
      <c r="AO454" s="52"/>
      <c r="AP454" s="52"/>
      <c r="AQ454" s="52"/>
      <c r="AR454" s="52"/>
      <c r="AS454" s="52"/>
      <c r="AT454" s="52"/>
      <c r="AU454" s="52"/>
      <c r="AV454" s="52"/>
      <c r="AW454" s="52"/>
      <c r="AX454" s="52"/>
      <c r="AY454" s="52"/>
      <c r="AZ454" s="54"/>
    </row>
    <row r="455" spans="1:52" ht="16" x14ac:dyDescent="0.35">
      <c r="A455" s="60"/>
      <c r="B455" s="48"/>
      <c r="C455" s="49"/>
      <c r="D455" s="49"/>
      <c r="E455" s="49"/>
      <c r="F455" s="48"/>
      <c r="G455" s="48"/>
      <c r="H455" s="48"/>
      <c r="I455" s="48"/>
      <c r="J455" s="48"/>
      <c r="K455" s="48"/>
      <c r="L455" s="48"/>
      <c r="M455" s="48"/>
      <c r="N455" s="48"/>
      <c r="O455" s="48"/>
      <c r="P455" s="48"/>
      <c r="Q455" s="48"/>
      <c r="R455" s="48"/>
      <c r="S455" s="48"/>
      <c r="T455" s="48"/>
      <c r="U455" s="48"/>
      <c r="V455" s="48"/>
      <c r="W455" s="48"/>
      <c r="X455" s="48"/>
      <c r="Y455" s="48"/>
      <c r="Z455" s="48"/>
      <c r="AA455" s="48"/>
      <c r="AB455" s="48"/>
      <c r="AC455" s="48"/>
      <c r="AD455" s="48"/>
      <c r="AE455" s="48"/>
      <c r="AF455" s="48"/>
      <c r="AG455" s="48"/>
      <c r="AH455" s="48"/>
      <c r="AI455" s="48"/>
      <c r="AJ455" s="48"/>
      <c r="AK455" s="48"/>
      <c r="AL455" s="48"/>
      <c r="AM455" s="48"/>
      <c r="AN455" s="48"/>
      <c r="AO455" s="48"/>
      <c r="AP455" s="48"/>
      <c r="AQ455" s="48"/>
      <c r="AR455" s="48"/>
      <c r="AS455" s="48"/>
      <c r="AT455" s="48"/>
      <c r="AU455" s="48"/>
      <c r="AV455" s="48"/>
      <c r="AW455" s="48"/>
      <c r="AX455" s="48"/>
      <c r="AY455" s="48"/>
      <c r="AZ455" s="50"/>
    </row>
    <row r="456" spans="1:52" ht="16" x14ac:dyDescent="0.35">
      <c r="A456" s="61"/>
      <c r="B456" s="52"/>
      <c r="C456" s="53"/>
      <c r="D456" s="53"/>
      <c r="E456" s="53"/>
      <c r="F456" s="52"/>
      <c r="G456" s="52"/>
      <c r="H456" s="52"/>
      <c r="I456" s="52"/>
      <c r="J456" s="52"/>
      <c r="K456" s="52"/>
      <c r="L456" s="52"/>
      <c r="M456" s="52"/>
      <c r="N456" s="52"/>
      <c r="O456" s="52"/>
      <c r="P456" s="52"/>
      <c r="Q456" s="52"/>
      <c r="R456" s="52"/>
      <c r="S456" s="52"/>
      <c r="T456" s="52"/>
      <c r="U456" s="52"/>
      <c r="V456" s="52"/>
      <c r="W456" s="52"/>
      <c r="X456" s="52"/>
      <c r="Y456" s="52"/>
      <c r="Z456" s="52"/>
      <c r="AA456" s="52"/>
      <c r="AB456" s="52"/>
      <c r="AC456" s="52"/>
      <c r="AD456" s="52"/>
      <c r="AE456" s="52"/>
      <c r="AF456" s="52"/>
      <c r="AG456" s="52"/>
      <c r="AH456" s="52"/>
      <c r="AI456" s="52"/>
      <c r="AJ456" s="52"/>
      <c r="AK456" s="52"/>
      <c r="AL456" s="52"/>
      <c r="AM456" s="52"/>
      <c r="AN456" s="52"/>
      <c r="AO456" s="52"/>
      <c r="AP456" s="52"/>
      <c r="AQ456" s="52"/>
      <c r="AR456" s="52"/>
      <c r="AS456" s="52"/>
      <c r="AT456" s="52"/>
      <c r="AU456" s="52"/>
      <c r="AV456" s="52"/>
      <c r="AW456" s="52"/>
      <c r="AX456" s="52"/>
      <c r="AY456" s="52"/>
      <c r="AZ456" s="54"/>
    </row>
    <row r="457" spans="1:52" ht="16" x14ac:dyDescent="0.35">
      <c r="A457" s="60"/>
      <c r="B457" s="48"/>
      <c r="C457" s="49"/>
      <c r="D457" s="49"/>
      <c r="E457" s="49"/>
      <c r="F457" s="48"/>
      <c r="G457" s="48"/>
      <c r="H457" s="48"/>
      <c r="I457" s="48"/>
      <c r="J457" s="48"/>
      <c r="K457" s="48"/>
      <c r="L457" s="48"/>
      <c r="M457" s="48"/>
      <c r="N457" s="48"/>
      <c r="O457" s="48"/>
      <c r="P457" s="48"/>
      <c r="Q457" s="48"/>
      <c r="R457" s="48"/>
      <c r="S457" s="48"/>
      <c r="T457" s="48"/>
      <c r="U457" s="48"/>
      <c r="V457" s="48"/>
      <c r="W457" s="48"/>
      <c r="X457" s="48"/>
      <c r="Y457" s="48"/>
      <c r="Z457" s="48"/>
      <c r="AA457" s="48"/>
      <c r="AB457" s="48"/>
      <c r="AC457" s="48"/>
      <c r="AD457" s="48"/>
      <c r="AE457" s="48"/>
      <c r="AF457" s="48"/>
      <c r="AG457" s="48"/>
      <c r="AH457" s="48"/>
      <c r="AI457" s="48"/>
      <c r="AJ457" s="48"/>
      <c r="AK457" s="48"/>
      <c r="AL457" s="48"/>
      <c r="AM457" s="48"/>
      <c r="AN457" s="48"/>
      <c r="AO457" s="48"/>
      <c r="AP457" s="48"/>
      <c r="AQ457" s="48"/>
      <c r="AR457" s="48"/>
      <c r="AS457" s="48"/>
      <c r="AT457" s="48"/>
      <c r="AU457" s="48"/>
      <c r="AV457" s="48"/>
      <c r="AW457" s="48"/>
      <c r="AX457" s="48"/>
      <c r="AY457" s="48"/>
      <c r="AZ457" s="50"/>
    </row>
    <row r="458" spans="1:52" ht="16" x14ac:dyDescent="0.35">
      <c r="A458" s="61"/>
      <c r="B458" s="52"/>
      <c r="C458" s="53"/>
      <c r="D458" s="53"/>
      <c r="E458" s="53"/>
      <c r="F458" s="52"/>
      <c r="G458" s="52"/>
      <c r="H458" s="52"/>
      <c r="I458" s="52"/>
      <c r="J458" s="52"/>
      <c r="K458" s="52"/>
      <c r="L458" s="52"/>
      <c r="M458" s="52"/>
      <c r="N458" s="52"/>
      <c r="O458" s="52"/>
      <c r="P458" s="52"/>
      <c r="Q458" s="52"/>
      <c r="R458" s="52"/>
      <c r="S458" s="52"/>
      <c r="T458" s="52"/>
      <c r="U458" s="52"/>
      <c r="V458" s="52"/>
      <c r="W458" s="52"/>
      <c r="X458" s="52"/>
      <c r="Y458" s="52"/>
      <c r="Z458" s="52"/>
      <c r="AA458" s="52"/>
      <c r="AB458" s="52"/>
      <c r="AC458" s="52"/>
      <c r="AD458" s="52"/>
      <c r="AE458" s="52"/>
      <c r="AF458" s="52"/>
      <c r="AG458" s="52"/>
      <c r="AH458" s="52"/>
      <c r="AI458" s="52"/>
      <c r="AJ458" s="52"/>
      <c r="AK458" s="52"/>
      <c r="AL458" s="52"/>
      <c r="AM458" s="52"/>
      <c r="AN458" s="52"/>
      <c r="AO458" s="52"/>
      <c r="AP458" s="52"/>
      <c r="AQ458" s="52"/>
      <c r="AR458" s="52"/>
      <c r="AS458" s="52"/>
      <c r="AT458" s="52"/>
      <c r="AU458" s="52"/>
      <c r="AV458" s="52"/>
      <c r="AW458" s="52"/>
      <c r="AX458" s="52"/>
      <c r="AY458" s="52"/>
      <c r="AZ458" s="54"/>
    </row>
    <row r="459" spans="1:52" ht="16" x14ac:dyDescent="0.35">
      <c r="A459" s="60"/>
      <c r="B459" s="48"/>
      <c r="C459" s="49"/>
      <c r="D459" s="49"/>
      <c r="E459" s="49"/>
      <c r="F459" s="48"/>
      <c r="G459" s="48"/>
      <c r="H459" s="48"/>
      <c r="I459" s="48"/>
      <c r="J459" s="48"/>
      <c r="K459" s="48"/>
      <c r="L459" s="48"/>
      <c r="M459" s="48"/>
      <c r="N459" s="48"/>
      <c r="O459" s="48"/>
      <c r="P459" s="48"/>
      <c r="Q459" s="48"/>
      <c r="R459" s="48"/>
      <c r="S459" s="48"/>
      <c r="T459" s="48"/>
      <c r="U459" s="48"/>
      <c r="V459" s="48"/>
      <c r="W459" s="48"/>
      <c r="X459" s="48"/>
      <c r="Y459" s="48"/>
      <c r="Z459" s="48"/>
      <c r="AA459" s="48"/>
      <c r="AB459" s="48"/>
      <c r="AC459" s="48"/>
      <c r="AD459" s="48"/>
      <c r="AE459" s="48"/>
      <c r="AF459" s="48"/>
      <c r="AG459" s="48"/>
      <c r="AH459" s="48"/>
      <c r="AI459" s="48"/>
      <c r="AJ459" s="48"/>
      <c r="AK459" s="48"/>
      <c r="AL459" s="48"/>
      <c r="AM459" s="48"/>
      <c r="AN459" s="48"/>
      <c r="AO459" s="48"/>
      <c r="AP459" s="48"/>
      <c r="AQ459" s="48"/>
      <c r="AR459" s="48"/>
      <c r="AS459" s="48"/>
      <c r="AT459" s="48"/>
      <c r="AU459" s="48"/>
      <c r="AV459" s="48"/>
      <c r="AW459" s="48"/>
      <c r="AX459" s="48"/>
      <c r="AY459" s="48"/>
      <c r="AZ459" s="50"/>
    </row>
    <row r="460" spans="1:52" ht="16" x14ac:dyDescent="0.35">
      <c r="A460" s="61"/>
      <c r="B460" s="52"/>
      <c r="C460" s="53"/>
      <c r="D460" s="53"/>
      <c r="E460" s="53"/>
      <c r="F460" s="52"/>
      <c r="G460" s="52"/>
      <c r="H460" s="52"/>
      <c r="I460" s="52"/>
      <c r="J460" s="52"/>
      <c r="K460" s="52"/>
      <c r="L460" s="52"/>
      <c r="M460" s="52"/>
      <c r="N460" s="52"/>
      <c r="O460" s="52"/>
      <c r="P460" s="52"/>
      <c r="Q460" s="52"/>
      <c r="R460" s="52"/>
      <c r="S460" s="52"/>
      <c r="T460" s="52"/>
      <c r="U460" s="52"/>
      <c r="V460" s="52"/>
      <c r="W460" s="52"/>
      <c r="X460" s="52"/>
      <c r="Y460" s="52"/>
      <c r="Z460" s="52"/>
      <c r="AA460" s="52"/>
      <c r="AB460" s="52"/>
      <c r="AC460" s="52"/>
      <c r="AD460" s="52"/>
      <c r="AE460" s="52"/>
      <c r="AF460" s="52"/>
      <c r="AG460" s="52"/>
      <c r="AH460" s="52"/>
      <c r="AI460" s="52"/>
      <c r="AJ460" s="52"/>
      <c r="AK460" s="52"/>
      <c r="AL460" s="52"/>
      <c r="AM460" s="52"/>
      <c r="AN460" s="52"/>
      <c r="AO460" s="52"/>
      <c r="AP460" s="52"/>
      <c r="AQ460" s="52"/>
      <c r="AR460" s="52"/>
      <c r="AS460" s="52"/>
      <c r="AT460" s="52"/>
      <c r="AU460" s="52"/>
      <c r="AV460" s="52"/>
      <c r="AW460" s="52"/>
      <c r="AX460" s="52"/>
      <c r="AY460" s="52"/>
      <c r="AZ460" s="54"/>
    </row>
    <row r="461" spans="1:52" ht="16" x14ac:dyDescent="0.35">
      <c r="A461" s="60"/>
      <c r="B461" s="48"/>
      <c r="C461" s="49"/>
      <c r="D461" s="49"/>
      <c r="E461" s="49"/>
      <c r="F461" s="48"/>
      <c r="G461" s="48"/>
      <c r="H461" s="48"/>
      <c r="I461" s="48"/>
      <c r="J461" s="48"/>
      <c r="K461" s="48"/>
      <c r="L461" s="48"/>
      <c r="M461" s="48"/>
      <c r="N461" s="48"/>
      <c r="O461" s="48"/>
      <c r="P461" s="48"/>
      <c r="Q461" s="48"/>
      <c r="R461" s="48"/>
      <c r="S461" s="48"/>
      <c r="T461" s="48"/>
      <c r="U461" s="48"/>
      <c r="V461" s="48"/>
      <c r="W461" s="48"/>
      <c r="X461" s="48"/>
      <c r="Y461" s="48"/>
      <c r="Z461" s="48"/>
      <c r="AA461" s="48"/>
      <c r="AB461" s="48"/>
      <c r="AC461" s="48"/>
      <c r="AD461" s="48"/>
      <c r="AE461" s="48"/>
      <c r="AF461" s="48"/>
      <c r="AG461" s="48"/>
      <c r="AH461" s="48"/>
      <c r="AI461" s="48"/>
      <c r="AJ461" s="48"/>
      <c r="AK461" s="48"/>
      <c r="AL461" s="48"/>
      <c r="AM461" s="48"/>
      <c r="AN461" s="48"/>
      <c r="AO461" s="48"/>
      <c r="AP461" s="48"/>
      <c r="AQ461" s="48"/>
      <c r="AR461" s="48"/>
      <c r="AS461" s="48"/>
      <c r="AT461" s="48"/>
      <c r="AU461" s="48"/>
      <c r="AV461" s="48"/>
      <c r="AW461" s="48"/>
      <c r="AX461" s="48"/>
      <c r="AY461" s="48"/>
      <c r="AZ461" s="50"/>
    </row>
    <row r="462" spans="1:52" ht="16" x14ac:dyDescent="0.35">
      <c r="A462" s="61"/>
      <c r="B462" s="52"/>
      <c r="C462" s="53"/>
      <c r="D462" s="53"/>
      <c r="E462" s="53"/>
      <c r="F462" s="52"/>
      <c r="G462" s="52"/>
      <c r="H462" s="52"/>
      <c r="I462" s="52"/>
      <c r="J462" s="52"/>
      <c r="K462" s="52"/>
      <c r="L462" s="52"/>
      <c r="M462" s="52"/>
      <c r="N462" s="52"/>
      <c r="O462" s="52"/>
      <c r="P462" s="52"/>
      <c r="Q462" s="52"/>
      <c r="R462" s="52"/>
      <c r="S462" s="52"/>
      <c r="T462" s="52"/>
      <c r="U462" s="52"/>
      <c r="V462" s="52"/>
      <c r="W462" s="52"/>
      <c r="X462" s="52"/>
      <c r="Y462" s="52"/>
      <c r="Z462" s="52"/>
      <c r="AA462" s="52"/>
      <c r="AB462" s="52"/>
      <c r="AC462" s="52"/>
      <c r="AD462" s="52"/>
      <c r="AE462" s="52"/>
      <c r="AF462" s="52"/>
      <c r="AG462" s="52"/>
      <c r="AH462" s="52"/>
      <c r="AI462" s="52"/>
      <c r="AJ462" s="52"/>
      <c r="AK462" s="52"/>
      <c r="AL462" s="52"/>
      <c r="AM462" s="52"/>
      <c r="AN462" s="52"/>
      <c r="AO462" s="52"/>
      <c r="AP462" s="52"/>
      <c r="AQ462" s="52"/>
      <c r="AR462" s="52"/>
      <c r="AS462" s="52"/>
      <c r="AT462" s="52"/>
      <c r="AU462" s="52"/>
      <c r="AV462" s="52"/>
      <c r="AW462" s="52"/>
      <c r="AX462" s="52"/>
      <c r="AY462" s="52"/>
      <c r="AZ462" s="54"/>
    </row>
    <row r="463" spans="1:52" ht="16" x14ac:dyDescent="0.35">
      <c r="A463" s="60"/>
      <c r="B463" s="48"/>
      <c r="C463" s="49"/>
      <c r="D463" s="49"/>
      <c r="E463" s="49"/>
      <c r="F463" s="48"/>
      <c r="G463" s="48"/>
      <c r="H463" s="48"/>
      <c r="I463" s="48"/>
      <c r="J463" s="48"/>
      <c r="K463" s="48"/>
      <c r="L463" s="48"/>
      <c r="M463" s="48"/>
      <c r="N463" s="48"/>
      <c r="O463" s="48"/>
      <c r="P463" s="48"/>
      <c r="Q463" s="48"/>
      <c r="R463" s="48"/>
      <c r="S463" s="48"/>
      <c r="T463" s="48"/>
      <c r="U463" s="48"/>
      <c r="V463" s="48"/>
      <c r="W463" s="48"/>
      <c r="X463" s="48"/>
      <c r="Y463" s="48"/>
      <c r="Z463" s="48"/>
      <c r="AA463" s="48"/>
      <c r="AB463" s="48"/>
      <c r="AC463" s="48"/>
      <c r="AD463" s="48"/>
      <c r="AE463" s="48"/>
      <c r="AF463" s="48"/>
      <c r="AG463" s="48"/>
      <c r="AH463" s="48"/>
      <c r="AI463" s="48"/>
      <c r="AJ463" s="48"/>
      <c r="AK463" s="48"/>
      <c r="AL463" s="48"/>
      <c r="AM463" s="48"/>
      <c r="AN463" s="48"/>
      <c r="AO463" s="48"/>
      <c r="AP463" s="48"/>
      <c r="AQ463" s="48"/>
      <c r="AR463" s="48"/>
      <c r="AS463" s="48"/>
      <c r="AT463" s="48"/>
      <c r="AU463" s="48"/>
      <c r="AV463" s="48"/>
      <c r="AW463" s="48"/>
      <c r="AX463" s="48"/>
      <c r="AY463" s="48"/>
      <c r="AZ463" s="50"/>
    </row>
    <row r="464" spans="1:52" ht="16" x14ac:dyDescent="0.35">
      <c r="A464" s="61"/>
      <c r="B464" s="52"/>
      <c r="C464" s="53"/>
      <c r="D464" s="53"/>
      <c r="E464" s="53"/>
      <c r="F464" s="52"/>
      <c r="G464" s="52"/>
      <c r="H464" s="52"/>
      <c r="I464" s="52"/>
      <c r="J464" s="52"/>
      <c r="K464" s="52"/>
      <c r="L464" s="52"/>
      <c r="M464" s="52"/>
      <c r="N464" s="52"/>
      <c r="O464" s="52"/>
      <c r="P464" s="52"/>
      <c r="Q464" s="52"/>
      <c r="R464" s="52"/>
      <c r="S464" s="52"/>
      <c r="T464" s="52"/>
      <c r="U464" s="52"/>
      <c r="V464" s="52"/>
      <c r="W464" s="52"/>
      <c r="X464" s="52"/>
      <c r="Y464" s="52"/>
      <c r="Z464" s="52"/>
      <c r="AA464" s="52"/>
      <c r="AB464" s="52"/>
      <c r="AC464" s="52"/>
      <c r="AD464" s="52"/>
      <c r="AE464" s="52"/>
      <c r="AF464" s="52"/>
      <c r="AG464" s="52"/>
      <c r="AH464" s="52"/>
      <c r="AI464" s="52"/>
      <c r="AJ464" s="52"/>
      <c r="AK464" s="52"/>
      <c r="AL464" s="52"/>
      <c r="AM464" s="52"/>
      <c r="AN464" s="52"/>
      <c r="AO464" s="52"/>
      <c r="AP464" s="52"/>
      <c r="AQ464" s="52"/>
      <c r="AR464" s="52"/>
      <c r="AS464" s="52"/>
      <c r="AT464" s="52"/>
      <c r="AU464" s="52"/>
      <c r="AV464" s="52"/>
      <c r="AW464" s="52"/>
      <c r="AX464" s="52"/>
      <c r="AY464" s="52"/>
      <c r="AZ464" s="54"/>
    </row>
    <row r="465" spans="1:52" ht="16" x14ac:dyDescent="0.35">
      <c r="A465" s="60"/>
      <c r="B465" s="48"/>
      <c r="C465" s="49"/>
      <c r="D465" s="49"/>
      <c r="E465" s="49"/>
      <c r="F465" s="48"/>
      <c r="G465" s="48"/>
      <c r="H465" s="48"/>
      <c r="I465" s="48"/>
      <c r="J465" s="48"/>
      <c r="K465" s="48"/>
      <c r="L465" s="48"/>
      <c r="M465" s="48"/>
      <c r="N465" s="48"/>
      <c r="O465" s="48"/>
      <c r="P465" s="48"/>
      <c r="Q465" s="48"/>
      <c r="R465" s="48"/>
      <c r="S465" s="48"/>
      <c r="T465" s="48"/>
      <c r="U465" s="48"/>
      <c r="V465" s="48"/>
      <c r="W465" s="48"/>
      <c r="X465" s="48"/>
      <c r="Y465" s="48"/>
      <c r="Z465" s="48"/>
      <c r="AA465" s="48"/>
      <c r="AB465" s="48"/>
      <c r="AC465" s="48"/>
      <c r="AD465" s="48"/>
      <c r="AE465" s="48"/>
      <c r="AF465" s="48"/>
      <c r="AG465" s="48"/>
      <c r="AH465" s="48"/>
      <c r="AI465" s="48"/>
      <c r="AJ465" s="48"/>
      <c r="AK465" s="48"/>
      <c r="AL465" s="48"/>
      <c r="AM465" s="48"/>
      <c r="AN465" s="48"/>
      <c r="AO465" s="48"/>
      <c r="AP465" s="48"/>
      <c r="AQ465" s="48"/>
      <c r="AR465" s="48"/>
      <c r="AS465" s="48"/>
      <c r="AT465" s="48"/>
      <c r="AU465" s="48"/>
      <c r="AV465" s="48"/>
      <c r="AW465" s="48"/>
      <c r="AX465" s="48"/>
      <c r="AY465" s="48"/>
      <c r="AZ465" s="50"/>
    </row>
    <row r="466" spans="1:52" ht="16" x14ac:dyDescent="0.35">
      <c r="A466" s="61"/>
      <c r="B466" s="52"/>
      <c r="C466" s="53"/>
      <c r="D466" s="53"/>
      <c r="E466" s="53"/>
      <c r="F466" s="52"/>
      <c r="G466" s="52"/>
      <c r="H466" s="52"/>
      <c r="I466" s="52"/>
      <c r="J466" s="52"/>
      <c r="K466" s="52"/>
      <c r="L466" s="52"/>
      <c r="M466" s="52"/>
      <c r="N466" s="52"/>
      <c r="O466" s="52"/>
      <c r="P466" s="52"/>
      <c r="Q466" s="52"/>
      <c r="R466" s="52"/>
      <c r="S466" s="52"/>
      <c r="T466" s="52"/>
      <c r="U466" s="52"/>
      <c r="V466" s="52"/>
      <c r="W466" s="52"/>
      <c r="X466" s="52"/>
      <c r="Y466" s="52"/>
      <c r="Z466" s="52"/>
      <c r="AA466" s="52"/>
      <c r="AB466" s="52"/>
      <c r="AC466" s="52"/>
      <c r="AD466" s="52"/>
      <c r="AE466" s="52"/>
      <c r="AF466" s="52"/>
      <c r="AG466" s="52"/>
      <c r="AH466" s="52"/>
      <c r="AI466" s="52"/>
      <c r="AJ466" s="52"/>
      <c r="AK466" s="52"/>
      <c r="AL466" s="52"/>
      <c r="AM466" s="52"/>
      <c r="AN466" s="52"/>
      <c r="AO466" s="52"/>
      <c r="AP466" s="52"/>
      <c r="AQ466" s="52"/>
      <c r="AR466" s="52"/>
      <c r="AS466" s="52"/>
      <c r="AT466" s="52"/>
      <c r="AU466" s="52"/>
      <c r="AV466" s="52"/>
      <c r="AW466" s="52"/>
      <c r="AX466" s="52"/>
      <c r="AY466" s="52"/>
      <c r="AZ466" s="54"/>
    </row>
    <row r="467" spans="1:52" ht="16" x14ac:dyDescent="0.35">
      <c r="A467" s="60"/>
      <c r="B467" s="48"/>
      <c r="C467" s="49"/>
      <c r="D467" s="49"/>
      <c r="E467" s="49"/>
      <c r="F467" s="48"/>
      <c r="G467" s="48"/>
      <c r="H467" s="48"/>
      <c r="I467" s="48"/>
      <c r="J467" s="48"/>
      <c r="K467" s="48"/>
      <c r="L467" s="48"/>
      <c r="M467" s="48"/>
      <c r="N467" s="48"/>
      <c r="O467" s="48"/>
      <c r="P467" s="48"/>
      <c r="Q467" s="48"/>
      <c r="R467" s="48"/>
      <c r="S467" s="48"/>
      <c r="T467" s="48"/>
      <c r="U467" s="48"/>
      <c r="V467" s="48"/>
      <c r="W467" s="48"/>
      <c r="X467" s="48"/>
      <c r="Y467" s="48"/>
      <c r="Z467" s="48"/>
      <c r="AA467" s="48"/>
      <c r="AB467" s="48"/>
      <c r="AC467" s="48"/>
      <c r="AD467" s="48"/>
      <c r="AE467" s="48"/>
      <c r="AF467" s="48"/>
      <c r="AG467" s="48"/>
      <c r="AH467" s="48"/>
      <c r="AI467" s="48"/>
      <c r="AJ467" s="48"/>
      <c r="AK467" s="48"/>
      <c r="AL467" s="48"/>
      <c r="AM467" s="48"/>
      <c r="AN467" s="48"/>
      <c r="AO467" s="48"/>
      <c r="AP467" s="48"/>
      <c r="AQ467" s="48"/>
      <c r="AR467" s="48"/>
      <c r="AS467" s="48"/>
      <c r="AT467" s="48"/>
      <c r="AU467" s="48"/>
      <c r="AV467" s="48"/>
      <c r="AW467" s="48"/>
      <c r="AX467" s="48"/>
      <c r="AY467" s="48"/>
      <c r="AZ467" s="50"/>
    </row>
    <row r="468" spans="1:52" ht="16" x14ac:dyDescent="0.35">
      <c r="A468" s="61"/>
      <c r="B468" s="52"/>
      <c r="C468" s="53"/>
      <c r="D468" s="53"/>
      <c r="E468" s="53"/>
      <c r="F468" s="52"/>
      <c r="G468" s="52"/>
      <c r="H468" s="52"/>
      <c r="I468" s="52"/>
      <c r="J468" s="52"/>
      <c r="K468" s="52"/>
      <c r="L468" s="52"/>
      <c r="M468" s="52"/>
      <c r="N468" s="52"/>
      <c r="O468" s="52"/>
      <c r="P468" s="52"/>
      <c r="Q468" s="52"/>
      <c r="R468" s="52"/>
      <c r="S468" s="52"/>
      <c r="T468" s="52"/>
      <c r="U468" s="52"/>
      <c r="V468" s="52"/>
      <c r="W468" s="52"/>
      <c r="X468" s="52"/>
      <c r="Y468" s="52"/>
      <c r="Z468" s="52"/>
      <c r="AA468" s="52"/>
      <c r="AB468" s="52"/>
      <c r="AC468" s="52"/>
      <c r="AD468" s="52"/>
      <c r="AE468" s="52"/>
      <c r="AF468" s="52"/>
      <c r="AG468" s="52"/>
      <c r="AH468" s="52"/>
      <c r="AI468" s="52"/>
      <c r="AJ468" s="52"/>
      <c r="AK468" s="52"/>
      <c r="AL468" s="52"/>
      <c r="AM468" s="52"/>
      <c r="AN468" s="52"/>
      <c r="AO468" s="52"/>
      <c r="AP468" s="52"/>
      <c r="AQ468" s="52"/>
      <c r="AR468" s="52"/>
      <c r="AS468" s="52"/>
      <c r="AT468" s="52"/>
      <c r="AU468" s="52"/>
      <c r="AV468" s="52"/>
      <c r="AW468" s="52"/>
      <c r="AX468" s="52"/>
      <c r="AY468" s="52"/>
      <c r="AZ468" s="54"/>
    </row>
    <row r="469" spans="1:52" ht="16" x14ac:dyDescent="0.35">
      <c r="A469" s="60"/>
      <c r="B469" s="48"/>
      <c r="C469" s="49"/>
      <c r="D469" s="49"/>
      <c r="E469" s="49"/>
      <c r="F469" s="48"/>
      <c r="G469" s="48"/>
      <c r="H469" s="48"/>
      <c r="I469" s="48"/>
      <c r="J469" s="48"/>
      <c r="K469" s="48"/>
      <c r="L469" s="48"/>
      <c r="M469" s="48"/>
      <c r="N469" s="48"/>
      <c r="O469" s="48"/>
      <c r="P469" s="48"/>
      <c r="Q469" s="48"/>
      <c r="R469" s="48"/>
      <c r="S469" s="48"/>
      <c r="T469" s="48"/>
      <c r="U469" s="48"/>
      <c r="V469" s="48"/>
      <c r="W469" s="48"/>
      <c r="X469" s="48"/>
      <c r="Y469" s="48"/>
      <c r="Z469" s="48"/>
      <c r="AA469" s="48"/>
      <c r="AB469" s="48"/>
      <c r="AC469" s="48"/>
      <c r="AD469" s="48"/>
      <c r="AE469" s="48"/>
      <c r="AF469" s="48"/>
      <c r="AG469" s="48"/>
      <c r="AH469" s="48"/>
      <c r="AI469" s="48"/>
      <c r="AJ469" s="48"/>
      <c r="AK469" s="48"/>
      <c r="AL469" s="48"/>
      <c r="AM469" s="48"/>
      <c r="AN469" s="48"/>
      <c r="AO469" s="48"/>
      <c r="AP469" s="48"/>
      <c r="AQ469" s="48"/>
      <c r="AR469" s="48"/>
      <c r="AS469" s="48"/>
      <c r="AT469" s="48"/>
      <c r="AU469" s="48"/>
      <c r="AV469" s="48"/>
      <c r="AW469" s="48"/>
      <c r="AX469" s="48"/>
      <c r="AY469" s="48"/>
      <c r="AZ469" s="50"/>
    </row>
    <row r="470" spans="1:52" ht="16" x14ac:dyDescent="0.35">
      <c r="A470" s="61"/>
      <c r="B470" s="52"/>
      <c r="C470" s="53"/>
      <c r="D470" s="53"/>
      <c r="E470" s="53"/>
      <c r="F470" s="52"/>
      <c r="G470" s="52"/>
      <c r="H470" s="52"/>
      <c r="I470" s="52"/>
      <c r="J470" s="52"/>
      <c r="K470" s="52"/>
      <c r="L470" s="52"/>
      <c r="M470" s="52"/>
      <c r="N470" s="52"/>
      <c r="O470" s="52"/>
      <c r="P470" s="52"/>
      <c r="Q470" s="52"/>
      <c r="R470" s="52"/>
      <c r="S470" s="52"/>
      <c r="T470" s="52"/>
      <c r="U470" s="52"/>
      <c r="V470" s="52"/>
      <c r="W470" s="52"/>
      <c r="X470" s="52"/>
      <c r="Y470" s="52"/>
      <c r="Z470" s="52"/>
      <c r="AA470" s="52"/>
      <c r="AB470" s="52"/>
      <c r="AC470" s="52"/>
      <c r="AD470" s="52"/>
      <c r="AE470" s="52"/>
      <c r="AF470" s="52"/>
      <c r="AG470" s="52"/>
      <c r="AH470" s="52"/>
      <c r="AI470" s="52"/>
      <c r="AJ470" s="52"/>
      <c r="AK470" s="52"/>
      <c r="AL470" s="52"/>
      <c r="AM470" s="52"/>
      <c r="AN470" s="52"/>
      <c r="AO470" s="52"/>
      <c r="AP470" s="52"/>
      <c r="AQ470" s="52"/>
      <c r="AR470" s="52"/>
      <c r="AS470" s="52"/>
      <c r="AT470" s="52"/>
      <c r="AU470" s="52"/>
      <c r="AV470" s="52"/>
      <c r="AW470" s="52"/>
      <c r="AX470" s="52"/>
      <c r="AY470" s="52"/>
      <c r="AZ470" s="54"/>
    </row>
    <row r="471" spans="1:52" ht="16" x14ac:dyDescent="0.35">
      <c r="A471" s="60"/>
      <c r="B471" s="48"/>
      <c r="C471" s="49"/>
      <c r="D471" s="49"/>
      <c r="E471" s="49"/>
      <c r="F471" s="48"/>
      <c r="G471" s="48"/>
      <c r="H471" s="48"/>
      <c r="I471" s="48"/>
      <c r="J471" s="48"/>
      <c r="K471" s="48"/>
      <c r="L471" s="48"/>
      <c r="M471" s="48"/>
      <c r="N471" s="48"/>
      <c r="O471" s="48"/>
      <c r="P471" s="48"/>
      <c r="Q471" s="48"/>
      <c r="R471" s="48"/>
      <c r="S471" s="48"/>
      <c r="T471" s="48"/>
      <c r="U471" s="48"/>
      <c r="V471" s="48"/>
      <c r="W471" s="48"/>
      <c r="X471" s="48"/>
      <c r="Y471" s="48"/>
      <c r="Z471" s="48"/>
      <c r="AA471" s="48"/>
      <c r="AB471" s="48"/>
      <c r="AC471" s="48"/>
      <c r="AD471" s="48"/>
      <c r="AE471" s="48"/>
      <c r="AF471" s="48"/>
      <c r="AG471" s="48"/>
      <c r="AH471" s="48"/>
      <c r="AI471" s="48"/>
      <c r="AJ471" s="48"/>
      <c r="AK471" s="48"/>
      <c r="AL471" s="48"/>
      <c r="AM471" s="48"/>
      <c r="AN471" s="48"/>
      <c r="AO471" s="48"/>
      <c r="AP471" s="48"/>
      <c r="AQ471" s="48"/>
      <c r="AR471" s="48"/>
      <c r="AS471" s="48"/>
      <c r="AT471" s="48"/>
      <c r="AU471" s="48"/>
      <c r="AV471" s="48"/>
      <c r="AW471" s="48"/>
      <c r="AX471" s="48"/>
      <c r="AY471" s="48"/>
      <c r="AZ471" s="50"/>
    </row>
    <row r="472" spans="1:52" ht="16" x14ac:dyDescent="0.35">
      <c r="A472" s="61"/>
      <c r="B472" s="52"/>
      <c r="C472" s="53"/>
      <c r="D472" s="53"/>
      <c r="E472" s="53"/>
      <c r="F472" s="52"/>
      <c r="G472" s="52"/>
      <c r="H472" s="52"/>
      <c r="I472" s="52"/>
      <c r="J472" s="52"/>
      <c r="K472" s="52"/>
      <c r="L472" s="52"/>
      <c r="M472" s="52"/>
      <c r="N472" s="52"/>
      <c r="O472" s="52"/>
      <c r="P472" s="52"/>
      <c r="Q472" s="52"/>
      <c r="R472" s="52"/>
      <c r="S472" s="52"/>
      <c r="T472" s="52"/>
      <c r="U472" s="52"/>
      <c r="V472" s="52"/>
      <c r="W472" s="52"/>
      <c r="X472" s="52"/>
      <c r="Y472" s="52"/>
      <c r="Z472" s="52"/>
      <c r="AA472" s="52"/>
      <c r="AB472" s="52"/>
      <c r="AC472" s="52"/>
      <c r="AD472" s="52"/>
      <c r="AE472" s="52"/>
      <c r="AF472" s="52"/>
      <c r="AG472" s="52"/>
      <c r="AH472" s="52"/>
      <c r="AI472" s="52"/>
      <c r="AJ472" s="52"/>
      <c r="AK472" s="52"/>
      <c r="AL472" s="52"/>
      <c r="AM472" s="52"/>
      <c r="AN472" s="52"/>
      <c r="AO472" s="52"/>
      <c r="AP472" s="52"/>
      <c r="AQ472" s="52"/>
      <c r="AR472" s="52"/>
      <c r="AS472" s="52"/>
      <c r="AT472" s="52"/>
      <c r="AU472" s="52"/>
      <c r="AV472" s="52"/>
      <c r="AW472" s="52"/>
      <c r="AX472" s="52"/>
      <c r="AY472" s="52"/>
      <c r="AZ472" s="54"/>
    </row>
    <row r="473" spans="1:52" ht="16" x14ac:dyDescent="0.35">
      <c r="A473" s="60"/>
      <c r="B473" s="48"/>
      <c r="C473" s="49"/>
      <c r="D473" s="49"/>
      <c r="E473" s="49"/>
      <c r="F473" s="48"/>
      <c r="G473" s="48"/>
      <c r="H473" s="48"/>
      <c r="I473" s="48"/>
      <c r="J473" s="48"/>
      <c r="K473" s="48"/>
      <c r="L473" s="48"/>
      <c r="M473" s="48"/>
      <c r="N473" s="48"/>
      <c r="O473" s="48"/>
      <c r="P473" s="48"/>
      <c r="Q473" s="48"/>
      <c r="R473" s="48"/>
      <c r="S473" s="48"/>
      <c r="T473" s="48"/>
      <c r="U473" s="48"/>
      <c r="V473" s="48"/>
      <c r="W473" s="48"/>
      <c r="X473" s="48"/>
      <c r="Y473" s="48"/>
      <c r="Z473" s="48"/>
      <c r="AA473" s="48"/>
      <c r="AB473" s="48"/>
      <c r="AC473" s="48"/>
      <c r="AD473" s="48"/>
      <c r="AE473" s="48"/>
      <c r="AF473" s="48"/>
      <c r="AG473" s="48"/>
      <c r="AH473" s="48"/>
      <c r="AI473" s="48"/>
      <c r="AJ473" s="48"/>
      <c r="AK473" s="48"/>
      <c r="AL473" s="48"/>
      <c r="AM473" s="48"/>
      <c r="AN473" s="48"/>
      <c r="AO473" s="48"/>
      <c r="AP473" s="48"/>
      <c r="AQ473" s="48"/>
      <c r="AR473" s="48"/>
      <c r="AS473" s="48"/>
      <c r="AT473" s="48"/>
      <c r="AU473" s="48"/>
      <c r="AV473" s="48"/>
      <c r="AW473" s="48"/>
      <c r="AX473" s="48"/>
      <c r="AY473" s="48"/>
      <c r="AZ473" s="50"/>
    </row>
    <row r="474" spans="1:52" ht="16" x14ac:dyDescent="0.35">
      <c r="A474" s="61"/>
      <c r="B474" s="52"/>
      <c r="C474" s="53"/>
      <c r="D474" s="53"/>
      <c r="E474" s="53"/>
      <c r="F474" s="52"/>
      <c r="G474" s="52"/>
      <c r="H474" s="52"/>
      <c r="I474" s="52"/>
      <c r="J474" s="52"/>
      <c r="K474" s="52"/>
      <c r="L474" s="52"/>
      <c r="M474" s="52"/>
      <c r="N474" s="52"/>
      <c r="O474" s="52"/>
      <c r="P474" s="52"/>
      <c r="Q474" s="52"/>
      <c r="R474" s="52"/>
      <c r="S474" s="52"/>
      <c r="T474" s="52"/>
      <c r="U474" s="52"/>
      <c r="V474" s="52"/>
      <c r="W474" s="52"/>
      <c r="X474" s="52"/>
      <c r="Y474" s="52"/>
      <c r="Z474" s="52"/>
      <c r="AA474" s="52"/>
      <c r="AB474" s="52"/>
      <c r="AC474" s="52"/>
      <c r="AD474" s="52"/>
      <c r="AE474" s="52"/>
      <c r="AF474" s="52"/>
      <c r="AG474" s="52"/>
      <c r="AH474" s="52"/>
      <c r="AI474" s="52"/>
      <c r="AJ474" s="52"/>
      <c r="AK474" s="52"/>
      <c r="AL474" s="52"/>
      <c r="AM474" s="52"/>
      <c r="AN474" s="52"/>
      <c r="AO474" s="52"/>
      <c r="AP474" s="52"/>
      <c r="AQ474" s="52"/>
      <c r="AR474" s="52"/>
      <c r="AS474" s="52"/>
      <c r="AT474" s="52"/>
      <c r="AU474" s="52"/>
      <c r="AV474" s="52"/>
      <c r="AW474" s="52"/>
      <c r="AX474" s="52"/>
      <c r="AY474" s="52"/>
      <c r="AZ474" s="54"/>
    </row>
    <row r="475" spans="1:52" ht="16" x14ac:dyDescent="0.35">
      <c r="A475" s="60"/>
      <c r="B475" s="48"/>
      <c r="C475" s="49"/>
      <c r="D475" s="49"/>
      <c r="E475" s="49"/>
      <c r="F475" s="48"/>
      <c r="G475" s="48"/>
      <c r="H475" s="48"/>
      <c r="I475" s="48"/>
      <c r="J475" s="48"/>
      <c r="K475" s="48"/>
      <c r="L475" s="48"/>
      <c r="M475" s="48"/>
      <c r="N475" s="48"/>
      <c r="O475" s="48"/>
      <c r="P475" s="48"/>
      <c r="Q475" s="48"/>
      <c r="R475" s="48"/>
      <c r="S475" s="48"/>
      <c r="T475" s="48"/>
      <c r="U475" s="48"/>
      <c r="V475" s="48"/>
      <c r="W475" s="48"/>
      <c r="X475" s="48"/>
      <c r="Y475" s="48"/>
      <c r="Z475" s="48"/>
      <c r="AA475" s="48"/>
      <c r="AB475" s="48"/>
      <c r="AC475" s="48"/>
      <c r="AD475" s="48"/>
      <c r="AE475" s="48"/>
      <c r="AF475" s="48"/>
      <c r="AG475" s="48"/>
      <c r="AH475" s="48"/>
      <c r="AI475" s="48"/>
      <c r="AJ475" s="48"/>
      <c r="AK475" s="48"/>
      <c r="AL475" s="48"/>
      <c r="AM475" s="48"/>
      <c r="AN475" s="48"/>
      <c r="AO475" s="48"/>
      <c r="AP475" s="48"/>
      <c r="AQ475" s="48"/>
      <c r="AR475" s="48"/>
      <c r="AS475" s="48"/>
      <c r="AT475" s="48"/>
      <c r="AU475" s="48"/>
      <c r="AV475" s="48"/>
      <c r="AW475" s="48"/>
      <c r="AX475" s="48"/>
      <c r="AY475" s="48"/>
      <c r="AZ475" s="50"/>
    </row>
    <row r="476" spans="1:52" ht="16" x14ac:dyDescent="0.35">
      <c r="A476" s="61"/>
      <c r="B476" s="52"/>
      <c r="C476" s="53"/>
      <c r="D476" s="53"/>
      <c r="E476" s="53"/>
      <c r="F476" s="52"/>
      <c r="G476" s="52"/>
      <c r="H476" s="52"/>
      <c r="I476" s="52"/>
      <c r="J476" s="52"/>
      <c r="K476" s="52"/>
      <c r="L476" s="52"/>
      <c r="M476" s="52"/>
      <c r="N476" s="52"/>
      <c r="O476" s="52"/>
      <c r="P476" s="52"/>
      <c r="Q476" s="52"/>
      <c r="R476" s="52"/>
      <c r="S476" s="52"/>
      <c r="T476" s="52"/>
      <c r="U476" s="52"/>
      <c r="V476" s="52"/>
      <c r="W476" s="52"/>
      <c r="X476" s="52"/>
      <c r="Y476" s="52"/>
      <c r="Z476" s="52"/>
      <c r="AA476" s="52"/>
      <c r="AB476" s="52"/>
      <c r="AC476" s="52"/>
      <c r="AD476" s="52"/>
      <c r="AE476" s="52"/>
      <c r="AF476" s="52"/>
      <c r="AG476" s="52"/>
      <c r="AH476" s="52"/>
      <c r="AI476" s="52"/>
      <c r="AJ476" s="52"/>
      <c r="AK476" s="52"/>
      <c r="AL476" s="52"/>
      <c r="AM476" s="52"/>
      <c r="AN476" s="52"/>
      <c r="AO476" s="52"/>
      <c r="AP476" s="52"/>
      <c r="AQ476" s="52"/>
      <c r="AR476" s="52"/>
      <c r="AS476" s="52"/>
      <c r="AT476" s="52"/>
      <c r="AU476" s="52"/>
      <c r="AV476" s="52"/>
      <c r="AW476" s="52"/>
      <c r="AX476" s="52"/>
      <c r="AY476" s="52"/>
      <c r="AZ476" s="54"/>
    </row>
    <row r="477" spans="1:52" ht="16" x14ac:dyDescent="0.35">
      <c r="A477" s="60"/>
      <c r="B477" s="48"/>
      <c r="C477" s="49"/>
      <c r="D477" s="49"/>
      <c r="E477" s="49"/>
      <c r="F477" s="48"/>
      <c r="G477" s="48"/>
      <c r="H477" s="48"/>
      <c r="I477" s="48"/>
      <c r="J477" s="48"/>
      <c r="K477" s="48"/>
      <c r="L477" s="48"/>
      <c r="M477" s="48"/>
      <c r="N477" s="48"/>
      <c r="O477" s="48"/>
      <c r="P477" s="48"/>
      <c r="Q477" s="48"/>
      <c r="R477" s="48"/>
      <c r="S477" s="48"/>
      <c r="T477" s="48"/>
      <c r="U477" s="48"/>
      <c r="V477" s="48"/>
      <c r="W477" s="48"/>
      <c r="X477" s="48"/>
      <c r="Y477" s="48"/>
      <c r="Z477" s="48"/>
      <c r="AA477" s="48"/>
      <c r="AB477" s="48"/>
      <c r="AC477" s="48"/>
      <c r="AD477" s="48"/>
      <c r="AE477" s="48"/>
      <c r="AF477" s="48"/>
      <c r="AG477" s="48"/>
      <c r="AH477" s="48"/>
      <c r="AI477" s="48"/>
      <c r="AJ477" s="48"/>
      <c r="AK477" s="48"/>
      <c r="AL477" s="48"/>
      <c r="AM477" s="48"/>
      <c r="AN477" s="48"/>
      <c r="AO477" s="48"/>
      <c r="AP477" s="48"/>
      <c r="AQ477" s="48"/>
      <c r="AR477" s="48"/>
      <c r="AS477" s="48"/>
      <c r="AT477" s="48"/>
      <c r="AU477" s="48"/>
      <c r="AV477" s="48"/>
      <c r="AW477" s="48"/>
      <c r="AX477" s="48"/>
      <c r="AY477" s="48"/>
      <c r="AZ477" s="50"/>
    </row>
    <row r="478" spans="1:52" ht="16" x14ac:dyDescent="0.35">
      <c r="A478" s="61"/>
      <c r="B478" s="52"/>
      <c r="C478" s="53"/>
      <c r="D478" s="53"/>
      <c r="E478" s="53"/>
      <c r="F478" s="52"/>
      <c r="G478" s="52"/>
      <c r="H478" s="52"/>
      <c r="I478" s="52"/>
      <c r="J478" s="52"/>
      <c r="K478" s="52"/>
      <c r="L478" s="52"/>
      <c r="M478" s="52"/>
      <c r="N478" s="52"/>
      <c r="O478" s="52"/>
      <c r="P478" s="52"/>
      <c r="Q478" s="52"/>
      <c r="R478" s="52"/>
      <c r="S478" s="52"/>
      <c r="T478" s="52"/>
      <c r="U478" s="52"/>
      <c r="V478" s="52"/>
      <c r="W478" s="52"/>
      <c r="X478" s="52"/>
      <c r="Y478" s="52"/>
      <c r="Z478" s="52"/>
      <c r="AA478" s="52"/>
      <c r="AB478" s="52"/>
      <c r="AC478" s="52"/>
      <c r="AD478" s="52"/>
      <c r="AE478" s="52"/>
      <c r="AF478" s="52"/>
      <c r="AG478" s="52"/>
      <c r="AH478" s="52"/>
      <c r="AI478" s="52"/>
      <c r="AJ478" s="52"/>
      <c r="AK478" s="52"/>
      <c r="AL478" s="52"/>
      <c r="AM478" s="52"/>
      <c r="AN478" s="52"/>
      <c r="AO478" s="52"/>
      <c r="AP478" s="52"/>
      <c r="AQ478" s="52"/>
      <c r="AR478" s="52"/>
      <c r="AS478" s="52"/>
      <c r="AT478" s="52"/>
      <c r="AU478" s="52"/>
      <c r="AV478" s="52"/>
      <c r="AW478" s="52"/>
      <c r="AX478" s="52"/>
      <c r="AY478" s="52"/>
      <c r="AZ478" s="54"/>
    </row>
    <row r="479" spans="1:52" ht="16" x14ac:dyDescent="0.35">
      <c r="A479" s="60"/>
      <c r="B479" s="48"/>
      <c r="C479" s="49"/>
      <c r="D479" s="49"/>
      <c r="E479" s="49"/>
      <c r="F479" s="48"/>
      <c r="G479" s="48"/>
      <c r="H479" s="48"/>
      <c r="I479" s="48"/>
      <c r="J479" s="48"/>
      <c r="K479" s="48"/>
      <c r="L479" s="48"/>
      <c r="M479" s="48"/>
      <c r="N479" s="48"/>
      <c r="O479" s="48"/>
      <c r="P479" s="48"/>
      <c r="Q479" s="48"/>
      <c r="R479" s="48"/>
      <c r="S479" s="48"/>
      <c r="T479" s="48"/>
      <c r="U479" s="48"/>
      <c r="V479" s="48"/>
      <c r="W479" s="48"/>
      <c r="X479" s="48"/>
      <c r="Y479" s="48"/>
      <c r="Z479" s="48"/>
      <c r="AA479" s="48"/>
      <c r="AB479" s="48"/>
      <c r="AC479" s="48"/>
      <c r="AD479" s="48"/>
      <c r="AE479" s="48"/>
      <c r="AF479" s="48"/>
      <c r="AG479" s="48"/>
      <c r="AH479" s="48"/>
      <c r="AI479" s="48"/>
      <c r="AJ479" s="48"/>
      <c r="AK479" s="48"/>
      <c r="AL479" s="48"/>
      <c r="AM479" s="48"/>
      <c r="AN479" s="48"/>
      <c r="AO479" s="48"/>
      <c r="AP479" s="48"/>
      <c r="AQ479" s="48"/>
      <c r="AR479" s="48"/>
      <c r="AS479" s="48"/>
      <c r="AT479" s="48"/>
      <c r="AU479" s="48"/>
      <c r="AV479" s="48"/>
      <c r="AW479" s="48"/>
      <c r="AX479" s="48"/>
      <c r="AY479" s="48"/>
      <c r="AZ479" s="50"/>
    </row>
    <row r="480" spans="1:52" ht="16" x14ac:dyDescent="0.35">
      <c r="A480" s="61"/>
      <c r="B480" s="52"/>
      <c r="C480" s="53"/>
      <c r="D480" s="53"/>
      <c r="E480" s="53"/>
      <c r="F480" s="52"/>
      <c r="G480" s="52"/>
      <c r="H480" s="52"/>
      <c r="I480" s="52"/>
      <c r="J480" s="52"/>
      <c r="K480" s="52"/>
      <c r="L480" s="52"/>
      <c r="M480" s="52"/>
      <c r="N480" s="52"/>
      <c r="O480" s="52"/>
      <c r="P480" s="52"/>
      <c r="Q480" s="52"/>
      <c r="R480" s="52"/>
      <c r="S480" s="52"/>
      <c r="T480" s="52"/>
      <c r="U480" s="52"/>
      <c r="V480" s="52"/>
      <c r="W480" s="52"/>
      <c r="X480" s="52"/>
      <c r="Y480" s="52"/>
      <c r="Z480" s="52"/>
      <c r="AA480" s="52"/>
      <c r="AB480" s="52"/>
      <c r="AC480" s="52"/>
      <c r="AD480" s="52"/>
      <c r="AE480" s="52"/>
      <c r="AF480" s="52"/>
      <c r="AG480" s="52"/>
      <c r="AH480" s="52"/>
      <c r="AI480" s="52"/>
      <c r="AJ480" s="52"/>
      <c r="AK480" s="52"/>
      <c r="AL480" s="52"/>
      <c r="AM480" s="52"/>
      <c r="AN480" s="52"/>
      <c r="AO480" s="52"/>
      <c r="AP480" s="52"/>
      <c r="AQ480" s="52"/>
      <c r="AR480" s="52"/>
      <c r="AS480" s="52"/>
      <c r="AT480" s="52"/>
      <c r="AU480" s="52"/>
      <c r="AV480" s="52"/>
      <c r="AW480" s="52"/>
      <c r="AX480" s="52"/>
      <c r="AY480" s="52"/>
      <c r="AZ480" s="54"/>
    </row>
    <row r="481" spans="1:52" ht="16" x14ac:dyDescent="0.35">
      <c r="A481" s="60"/>
      <c r="B481" s="48"/>
      <c r="C481" s="49"/>
      <c r="D481" s="49"/>
      <c r="E481" s="49"/>
      <c r="F481" s="48"/>
      <c r="G481" s="48"/>
      <c r="H481" s="48"/>
      <c r="I481" s="48"/>
      <c r="J481" s="48"/>
      <c r="K481" s="48"/>
      <c r="L481" s="48"/>
      <c r="M481" s="48"/>
      <c r="N481" s="48"/>
      <c r="O481" s="48"/>
      <c r="P481" s="48"/>
      <c r="Q481" s="48"/>
      <c r="R481" s="48"/>
      <c r="S481" s="48"/>
      <c r="T481" s="48"/>
      <c r="U481" s="48"/>
      <c r="V481" s="48"/>
      <c r="W481" s="48"/>
      <c r="X481" s="48"/>
      <c r="Y481" s="48"/>
      <c r="Z481" s="48"/>
      <c r="AA481" s="48"/>
      <c r="AB481" s="48"/>
      <c r="AC481" s="48"/>
      <c r="AD481" s="48"/>
      <c r="AE481" s="48"/>
      <c r="AF481" s="48"/>
      <c r="AG481" s="48"/>
      <c r="AH481" s="48"/>
      <c r="AI481" s="48"/>
      <c r="AJ481" s="48"/>
      <c r="AK481" s="48"/>
      <c r="AL481" s="48"/>
      <c r="AM481" s="48"/>
      <c r="AN481" s="48"/>
      <c r="AO481" s="48"/>
      <c r="AP481" s="48"/>
      <c r="AQ481" s="48"/>
      <c r="AR481" s="48"/>
      <c r="AS481" s="48"/>
      <c r="AT481" s="48"/>
      <c r="AU481" s="48"/>
      <c r="AV481" s="48"/>
      <c r="AW481" s="48"/>
      <c r="AX481" s="48"/>
      <c r="AY481" s="48"/>
      <c r="AZ481" s="50"/>
    </row>
    <row r="482" spans="1:52" ht="16" x14ac:dyDescent="0.35">
      <c r="A482" s="61"/>
      <c r="B482" s="52"/>
      <c r="C482" s="53"/>
      <c r="D482" s="53"/>
      <c r="E482" s="53"/>
      <c r="F482" s="52"/>
      <c r="G482" s="52"/>
      <c r="H482" s="52"/>
      <c r="I482" s="52"/>
      <c r="J482" s="52"/>
      <c r="K482" s="52"/>
      <c r="L482" s="52"/>
      <c r="M482" s="52"/>
      <c r="N482" s="52"/>
      <c r="O482" s="52"/>
      <c r="P482" s="52"/>
      <c r="Q482" s="52"/>
      <c r="R482" s="52"/>
      <c r="S482" s="52"/>
      <c r="T482" s="52"/>
      <c r="U482" s="52"/>
      <c r="V482" s="52"/>
      <c r="W482" s="52"/>
      <c r="X482" s="52"/>
      <c r="Y482" s="52"/>
      <c r="Z482" s="52"/>
      <c r="AA482" s="52"/>
      <c r="AB482" s="52"/>
      <c r="AC482" s="52"/>
      <c r="AD482" s="52"/>
      <c r="AE482" s="52"/>
      <c r="AF482" s="52"/>
      <c r="AG482" s="52"/>
      <c r="AH482" s="52"/>
      <c r="AI482" s="52"/>
      <c r="AJ482" s="52"/>
      <c r="AK482" s="52"/>
      <c r="AL482" s="52"/>
      <c r="AM482" s="52"/>
      <c r="AN482" s="52"/>
      <c r="AO482" s="52"/>
      <c r="AP482" s="52"/>
      <c r="AQ482" s="52"/>
      <c r="AR482" s="52"/>
      <c r="AS482" s="52"/>
      <c r="AT482" s="52"/>
      <c r="AU482" s="52"/>
      <c r="AV482" s="52"/>
      <c r="AW482" s="52"/>
      <c r="AX482" s="52"/>
      <c r="AY482" s="52"/>
      <c r="AZ482" s="54"/>
    </row>
    <row r="483" spans="1:52" ht="16" x14ac:dyDescent="0.35">
      <c r="A483" s="60"/>
      <c r="B483" s="48"/>
      <c r="C483" s="49"/>
      <c r="D483" s="49"/>
      <c r="E483" s="49"/>
      <c r="F483" s="48"/>
      <c r="G483" s="48"/>
      <c r="H483" s="48"/>
      <c r="I483" s="48"/>
      <c r="J483" s="48"/>
      <c r="K483" s="48"/>
      <c r="L483" s="48"/>
      <c r="M483" s="48"/>
      <c r="N483" s="48"/>
      <c r="O483" s="48"/>
      <c r="P483" s="48"/>
      <c r="Q483" s="48"/>
      <c r="R483" s="48"/>
      <c r="S483" s="48"/>
      <c r="T483" s="48"/>
      <c r="U483" s="48"/>
      <c r="V483" s="48"/>
      <c r="W483" s="48"/>
      <c r="X483" s="48"/>
      <c r="Y483" s="48"/>
      <c r="Z483" s="48"/>
      <c r="AA483" s="48"/>
      <c r="AB483" s="48"/>
      <c r="AC483" s="48"/>
      <c r="AD483" s="48"/>
      <c r="AE483" s="48"/>
      <c r="AF483" s="48"/>
      <c r="AG483" s="48"/>
      <c r="AH483" s="48"/>
      <c r="AI483" s="48"/>
      <c r="AJ483" s="48"/>
      <c r="AK483" s="48"/>
      <c r="AL483" s="48"/>
      <c r="AM483" s="48"/>
      <c r="AN483" s="48"/>
      <c r="AO483" s="48"/>
      <c r="AP483" s="48"/>
      <c r="AQ483" s="48"/>
      <c r="AR483" s="48"/>
      <c r="AS483" s="48"/>
      <c r="AT483" s="48"/>
      <c r="AU483" s="48"/>
      <c r="AV483" s="48"/>
      <c r="AW483" s="48"/>
      <c r="AX483" s="48"/>
      <c r="AY483" s="48"/>
      <c r="AZ483" s="50"/>
    </row>
    <row r="484" spans="1:52" ht="16" x14ac:dyDescent="0.35">
      <c r="A484" s="61"/>
      <c r="B484" s="52"/>
      <c r="C484" s="53"/>
      <c r="D484" s="53"/>
      <c r="E484" s="53"/>
      <c r="F484" s="52"/>
      <c r="G484" s="52"/>
      <c r="H484" s="52"/>
      <c r="I484" s="52"/>
      <c r="J484" s="52"/>
      <c r="K484" s="52"/>
      <c r="L484" s="52"/>
      <c r="M484" s="52"/>
      <c r="N484" s="52"/>
      <c r="O484" s="52"/>
      <c r="P484" s="52"/>
      <c r="Q484" s="52"/>
      <c r="R484" s="52"/>
      <c r="S484" s="52"/>
      <c r="T484" s="52"/>
      <c r="U484" s="52"/>
      <c r="V484" s="52"/>
      <c r="W484" s="52"/>
      <c r="X484" s="52"/>
      <c r="Y484" s="52"/>
      <c r="Z484" s="52"/>
      <c r="AA484" s="52"/>
      <c r="AB484" s="52"/>
      <c r="AC484" s="52"/>
      <c r="AD484" s="52"/>
      <c r="AE484" s="52"/>
      <c r="AF484" s="52"/>
      <c r="AG484" s="52"/>
      <c r="AH484" s="52"/>
      <c r="AI484" s="52"/>
      <c r="AJ484" s="52"/>
      <c r="AK484" s="52"/>
      <c r="AL484" s="52"/>
      <c r="AM484" s="52"/>
      <c r="AN484" s="52"/>
      <c r="AO484" s="52"/>
      <c r="AP484" s="52"/>
      <c r="AQ484" s="52"/>
      <c r="AR484" s="52"/>
      <c r="AS484" s="52"/>
      <c r="AT484" s="52"/>
      <c r="AU484" s="52"/>
      <c r="AV484" s="52"/>
      <c r="AW484" s="52"/>
      <c r="AX484" s="52"/>
      <c r="AY484" s="52"/>
      <c r="AZ484" s="54"/>
    </row>
    <row r="485" spans="1:52" ht="16" x14ac:dyDescent="0.35">
      <c r="A485" s="60"/>
      <c r="B485" s="48"/>
      <c r="C485" s="49"/>
      <c r="D485" s="49"/>
      <c r="E485" s="49"/>
      <c r="F485" s="48"/>
      <c r="G485" s="48"/>
      <c r="H485" s="48"/>
      <c r="I485" s="48"/>
      <c r="J485" s="48"/>
      <c r="K485" s="48"/>
      <c r="L485" s="48"/>
      <c r="M485" s="48"/>
      <c r="N485" s="48"/>
      <c r="O485" s="48"/>
      <c r="P485" s="48"/>
      <c r="Q485" s="48"/>
      <c r="R485" s="48"/>
      <c r="S485" s="48"/>
      <c r="T485" s="48"/>
      <c r="U485" s="48"/>
      <c r="V485" s="48"/>
      <c r="W485" s="48"/>
      <c r="X485" s="48"/>
      <c r="Y485" s="48"/>
      <c r="Z485" s="48"/>
      <c r="AA485" s="48"/>
      <c r="AB485" s="48"/>
      <c r="AC485" s="48"/>
      <c r="AD485" s="48"/>
      <c r="AE485" s="48"/>
      <c r="AF485" s="48"/>
      <c r="AG485" s="48"/>
      <c r="AH485" s="48"/>
      <c r="AI485" s="48"/>
      <c r="AJ485" s="48"/>
      <c r="AK485" s="48"/>
      <c r="AL485" s="48"/>
      <c r="AM485" s="48"/>
      <c r="AN485" s="48"/>
      <c r="AO485" s="48"/>
      <c r="AP485" s="48"/>
      <c r="AQ485" s="48"/>
      <c r="AR485" s="48"/>
      <c r="AS485" s="48"/>
      <c r="AT485" s="48"/>
      <c r="AU485" s="48"/>
      <c r="AV485" s="48"/>
      <c r="AW485" s="48"/>
      <c r="AX485" s="48"/>
      <c r="AY485" s="48"/>
      <c r="AZ485" s="50"/>
    </row>
    <row r="486" spans="1:52" ht="16" x14ac:dyDescent="0.35">
      <c r="A486" s="61"/>
      <c r="B486" s="52"/>
      <c r="C486" s="53"/>
      <c r="D486" s="53"/>
      <c r="E486" s="53"/>
      <c r="F486" s="52"/>
      <c r="G486" s="52"/>
      <c r="H486" s="52"/>
      <c r="I486" s="52"/>
      <c r="J486" s="52"/>
      <c r="K486" s="52"/>
      <c r="L486" s="52"/>
      <c r="M486" s="52"/>
      <c r="N486" s="52"/>
      <c r="O486" s="52"/>
      <c r="P486" s="52"/>
      <c r="Q486" s="52"/>
      <c r="R486" s="52"/>
      <c r="S486" s="52"/>
      <c r="T486" s="52"/>
      <c r="U486" s="52"/>
      <c r="V486" s="52"/>
      <c r="W486" s="52"/>
      <c r="X486" s="52"/>
      <c r="Y486" s="52"/>
      <c r="Z486" s="52"/>
      <c r="AA486" s="52"/>
      <c r="AB486" s="52"/>
      <c r="AC486" s="52"/>
      <c r="AD486" s="52"/>
      <c r="AE486" s="52"/>
      <c r="AF486" s="52"/>
      <c r="AG486" s="52"/>
      <c r="AH486" s="52"/>
      <c r="AI486" s="52"/>
      <c r="AJ486" s="52"/>
      <c r="AK486" s="52"/>
      <c r="AL486" s="52"/>
      <c r="AM486" s="52"/>
      <c r="AN486" s="52"/>
      <c r="AO486" s="52"/>
      <c r="AP486" s="52"/>
      <c r="AQ486" s="52"/>
      <c r="AR486" s="52"/>
      <c r="AS486" s="52"/>
      <c r="AT486" s="52"/>
      <c r="AU486" s="52"/>
      <c r="AV486" s="52"/>
      <c r="AW486" s="52"/>
      <c r="AX486" s="52"/>
      <c r="AY486" s="52"/>
      <c r="AZ486" s="54"/>
    </row>
    <row r="487" spans="1:52" ht="16" x14ac:dyDescent="0.35">
      <c r="A487" s="60"/>
      <c r="B487" s="48"/>
      <c r="C487" s="49"/>
      <c r="D487" s="49"/>
      <c r="E487" s="49"/>
      <c r="F487" s="48"/>
      <c r="G487" s="48"/>
      <c r="H487" s="48"/>
      <c r="I487" s="48"/>
      <c r="J487" s="48"/>
      <c r="K487" s="48"/>
      <c r="L487" s="48"/>
      <c r="M487" s="48"/>
      <c r="N487" s="48"/>
      <c r="O487" s="48"/>
      <c r="P487" s="48"/>
      <c r="Q487" s="48"/>
      <c r="R487" s="48"/>
      <c r="S487" s="48"/>
      <c r="T487" s="48"/>
      <c r="U487" s="48"/>
      <c r="V487" s="48"/>
      <c r="W487" s="48"/>
      <c r="X487" s="48"/>
      <c r="Y487" s="48"/>
      <c r="Z487" s="48"/>
      <c r="AA487" s="48"/>
      <c r="AB487" s="48"/>
      <c r="AC487" s="48"/>
      <c r="AD487" s="48"/>
      <c r="AE487" s="48"/>
      <c r="AF487" s="48"/>
      <c r="AG487" s="48"/>
      <c r="AH487" s="48"/>
      <c r="AI487" s="48"/>
      <c r="AJ487" s="48"/>
      <c r="AK487" s="48"/>
      <c r="AL487" s="48"/>
      <c r="AM487" s="48"/>
      <c r="AN487" s="48"/>
      <c r="AO487" s="48"/>
      <c r="AP487" s="48"/>
      <c r="AQ487" s="48"/>
      <c r="AR487" s="48"/>
      <c r="AS487" s="48"/>
      <c r="AT487" s="48"/>
      <c r="AU487" s="48"/>
      <c r="AV487" s="48"/>
      <c r="AW487" s="48"/>
      <c r="AX487" s="48"/>
      <c r="AY487" s="48"/>
      <c r="AZ487" s="50"/>
    </row>
    <row r="488" spans="1:52" ht="16" x14ac:dyDescent="0.35">
      <c r="A488" s="61"/>
      <c r="B488" s="52"/>
      <c r="C488" s="53"/>
      <c r="D488" s="53"/>
      <c r="E488" s="53"/>
      <c r="F488" s="52"/>
      <c r="G488" s="52"/>
      <c r="H488" s="52"/>
      <c r="I488" s="52"/>
      <c r="J488" s="52"/>
      <c r="K488" s="52"/>
      <c r="L488" s="52"/>
      <c r="M488" s="52"/>
      <c r="N488" s="52"/>
      <c r="O488" s="52"/>
      <c r="P488" s="52"/>
      <c r="Q488" s="52"/>
      <c r="R488" s="52"/>
      <c r="S488" s="52"/>
      <c r="T488" s="52"/>
      <c r="U488" s="52"/>
      <c r="V488" s="52"/>
      <c r="W488" s="52"/>
      <c r="X488" s="52"/>
      <c r="Y488" s="52"/>
      <c r="Z488" s="52"/>
      <c r="AA488" s="52"/>
      <c r="AB488" s="52"/>
      <c r="AC488" s="52"/>
      <c r="AD488" s="52"/>
      <c r="AE488" s="52"/>
      <c r="AF488" s="52"/>
      <c r="AG488" s="52"/>
      <c r="AH488" s="52"/>
      <c r="AI488" s="52"/>
      <c r="AJ488" s="52"/>
      <c r="AK488" s="52"/>
      <c r="AL488" s="52"/>
      <c r="AM488" s="52"/>
      <c r="AN488" s="52"/>
      <c r="AO488" s="52"/>
      <c r="AP488" s="52"/>
      <c r="AQ488" s="52"/>
      <c r="AR488" s="52"/>
      <c r="AS488" s="52"/>
      <c r="AT488" s="52"/>
      <c r="AU488" s="52"/>
      <c r="AV488" s="52"/>
      <c r="AW488" s="52"/>
      <c r="AX488" s="52"/>
      <c r="AY488" s="52"/>
      <c r="AZ488" s="54"/>
    </row>
    <row r="489" spans="1:52" ht="16" x14ac:dyDescent="0.35">
      <c r="A489" s="60"/>
      <c r="B489" s="48"/>
      <c r="C489" s="49"/>
      <c r="D489" s="49"/>
      <c r="E489" s="49"/>
      <c r="F489" s="48"/>
      <c r="G489" s="48"/>
      <c r="H489" s="48"/>
      <c r="I489" s="48"/>
      <c r="J489" s="48"/>
      <c r="K489" s="48"/>
      <c r="L489" s="48"/>
      <c r="M489" s="48"/>
      <c r="N489" s="48"/>
      <c r="O489" s="48"/>
      <c r="P489" s="48"/>
      <c r="Q489" s="48"/>
      <c r="R489" s="48"/>
      <c r="S489" s="48"/>
      <c r="T489" s="48"/>
      <c r="U489" s="48"/>
      <c r="V489" s="48"/>
      <c r="W489" s="48"/>
      <c r="X489" s="48"/>
      <c r="Y489" s="48"/>
      <c r="Z489" s="48"/>
      <c r="AA489" s="48"/>
      <c r="AB489" s="48"/>
      <c r="AC489" s="48"/>
      <c r="AD489" s="48"/>
      <c r="AE489" s="48"/>
      <c r="AF489" s="48"/>
      <c r="AG489" s="48"/>
      <c r="AH489" s="48"/>
      <c r="AI489" s="48"/>
      <c r="AJ489" s="48"/>
      <c r="AK489" s="48"/>
      <c r="AL489" s="48"/>
      <c r="AM489" s="48"/>
      <c r="AN489" s="48"/>
      <c r="AO489" s="48"/>
      <c r="AP489" s="48"/>
      <c r="AQ489" s="48"/>
      <c r="AR489" s="48"/>
      <c r="AS489" s="48"/>
      <c r="AT489" s="48"/>
      <c r="AU489" s="48"/>
      <c r="AV489" s="48"/>
      <c r="AW489" s="48"/>
      <c r="AX489" s="48"/>
      <c r="AY489" s="48"/>
      <c r="AZ489" s="50"/>
    </row>
    <row r="490" spans="1:52" ht="16" x14ac:dyDescent="0.35">
      <c r="A490" s="61"/>
      <c r="B490" s="52"/>
      <c r="C490" s="53"/>
      <c r="D490" s="53"/>
      <c r="E490" s="53"/>
      <c r="F490" s="52"/>
      <c r="G490" s="52"/>
      <c r="H490" s="52"/>
      <c r="I490" s="52"/>
      <c r="J490" s="52"/>
      <c r="K490" s="52"/>
      <c r="L490" s="52"/>
      <c r="M490" s="52"/>
      <c r="N490" s="52"/>
      <c r="O490" s="52"/>
      <c r="P490" s="52"/>
      <c r="Q490" s="52"/>
      <c r="R490" s="52"/>
      <c r="S490" s="52"/>
      <c r="T490" s="52"/>
      <c r="U490" s="52"/>
      <c r="V490" s="52"/>
      <c r="W490" s="52"/>
      <c r="X490" s="52"/>
      <c r="Y490" s="52"/>
      <c r="Z490" s="52"/>
      <c r="AA490" s="52"/>
      <c r="AB490" s="52"/>
      <c r="AC490" s="52"/>
      <c r="AD490" s="52"/>
      <c r="AE490" s="52"/>
      <c r="AF490" s="52"/>
      <c r="AG490" s="52"/>
      <c r="AH490" s="52"/>
      <c r="AI490" s="52"/>
      <c r="AJ490" s="52"/>
      <c r="AK490" s="52"/>
      <c r="AL490" s="52"/>
      <c r="AM490" s="52"/>
      <c r="AN490" s="52"/>
      <c r="AO490" s="52"/>
      <c r="AP490" s="52"/>
      <c r="AQ490" s="52"/>
      <c r="AR490" s="52"/>
      <c r="AS490" s="52"/>
      <c r="AT490" s="52"/>
      <c r="AU490" s="52"/>
      <c r="AV490" s="52"/>
      <c r="AW490" s="52"/>
      <c r="AX490" s="52"/>
      <c r="AY490" s="52"/>
      <c r="AZ490" s="54"/>
    </row>
    <row r="491" spans="1:52" ht="16" x14ac:dyDescent="0.35">
      <c r="A491" s="60"/>
      <c r="B491" s="48"/>
      <c r="C491" s="49"/>
      <c r="D491" s="49"/>
      <c r="E491" s="49"/>
      <c r="F491" s="48"/>
      <c r="G491" s="48"/>
      <c r="H491" s="48"/>
      <c r="I491" s="48"/>
      <c r="J491" s="48"/>
      <c r="K491" s="48"/>
      <c r="L491" s="48"/>
      <c r="M491" s="48"/>
      <c r="N491" s="48"/>
      <c r="O491" s="48"/>
      <c r="P491" s="48"/>
      <c r="Q491" s="48"/>
      <c r="R491" s="48"/>
      <c r="S491" s="48"/>
      <c r="T491" s="48"/>
      <c r="U491" s="48"/>
      <c r="V491" s="48"/>
      <c r="W491" s="48"/>
      <c r="X491" s="48"/>
      <c r="Y491" s="48"/>
      <c r="Z491" s="48"/>
      <c r="AA491" s="48"/>
      <c r="AB491" s="48"/>
      <c r="AC491" s="48"/>
      <c r="AD491" s="48"/>
      <c r="AE491" s="48"/>
      <c r="AF491" s="48"/>
      <c r="AG491" s="48"/>
      <c r="AH491" s="48"/>
      <c r="AI491" s="48"/>
      <c r="AJ491" s="48"/>
      <c r="AK491" s="48"/>
      <c r="AL491" s="48"/>
      <c r="AM491" s="48"/>
      <c r="AN491" s="48"/>
      <c r="AO491" s="48"/>
      <c r="AP491" s="48"/>
      <c r="AQ491" s="48"/>
      <c r="AR491" s="48"/>
      <c r="AS491" s="48"/>
      <c r="AT491" s="48"/>
      <c r="AU491" s="48"/>
      <c r="AV491" s="48"/>
      <c r="AW491" s="48"/>
      <c r="AX491" s="48"/>
      <c r="AY491" s="48"/>
      <c r="AZ491" s="50"/>
    </row>
    <row r="492" spans="1:52" ht="16" x14ac:dyDescent="0.35">
      <c r="A492" s="61"/>
      <c r="B492" s="52"/>
      <c r="C492" s="53"/>
      <c r="D492" s="53"/>
      <c r="E492" s="53"/>
      <c r="F492" s="52"/>
      <c r="G492" s="52"/>
      <c r="H492" s="52"/>
      <c r="I492" s="52"/>
      <c r="J492" s="52"/>
      <c r="K492" s="52"/>
      <c r="L492" s="52"/>
      <c r="M492" s="52"/>
      <c r="N492" s="52"/>
      <c r="O492" s="52"/>
      <c r="P492" s="52"/>
      <c r="Q492" s="52"/>
      <c r="R492" s="52"/>
      <c r="S492" s="52"/>
      <c r="T492" s="52"/>
      <c r="U492" s="52"/>
      <c r="V492" s="52"/>
      <c r="W492" s="52"/>
      <c r="X492" s="52"/>
      <c r="Y492" s="52"/>
      <c r="Z492" s="52"/>
      <c r="AA492" s="52"/>
      <c r="AB492" s="52"/>
      <c r="AC492" s="52"/>
      <c r="AD492" s="52"/>
      <c r="AE492" s="52"/>
      <c r="AF492" s="52"/>
      <c r="AG492" s="52"/>
      <c r="AH492" s="52"/>
      <c r="AI492" s="52"/>
      <c r="AJ492" s="52"/>
      <c r="AK492" s="52"/>
      <c r="AL492" s="52"/>
      <c r="AM492" s="52"/>
      <c r="AN492" s="52"/>
      <c r="AO492" s="52"/>
      <c r="AP492" s="52"/>
      <c r="AQ492" s="52"/>
      <c r="AR492" s="52"/>
      <c r="AS492" s="52"/>
      <c r="AT492" s="52"/>
      <c r="AU492" s="52"/>
      <c r="AV492" s="52"/>
      <c r="AW492" s="52"/>
      <c r="AX492" s="52"/>
      <c r="AY492" s="52"/>
      <c r="AZ492" s="54"/>
    </row>
    <row r="493" spans="1:52" ht="16" x14ac:dyDescent="0.35">
      <c r="A493" s="60"/>
      <c r="B493" s="48"/>
      <c r="C493" s="49"/>
      <c r="D493" s="49"/>
      <c r="E493" s="49"/>
      <c r="F493" s="48"/>
      <c r="G493" s="48"/>
      <c r="H493" s="48"/>
      <c r="I493" s="48"/>
      <c r="J493" s="48"/>
      <c r="K493" s="48"/>
      <c r="L493" s="48"/>
      <c r="M493" s="48"/>
      <c r="N493" s="48"/>
      <c r="O493" s="48"/>
      <c r="P493" s="48"/>
      <c r="Q493" s="48"/>
      <c r="R493" s="48"/>
      <c r="S493" s="48"/>
      <c r="T493" s="48"/>
      <c r="U493" s="48"/>
      <c r="V493" s="48"/>
      <c r="W493" s="48"/>
      <c r="X493" s="48"/>
      <c r="Y493" s="48"/>
      <c r="Z493" s="48"/>
      <c r="AA493" s="48"/>
      <c r="AB493" s="48"/>
      <c r="AC493" s="48"/>
      <c r="AD493" s="48"/>
      <c r="AE493" s="48"/>
      <c r="AF493" s="48"/>
      <c r="AG493" s="48"/>
      <c r="AH493" s="48"/>
      <c r="AI493" s="48"/>
      <c r="AJ493" s="48"/>
      <c r="AK493" s="48"/>
      <c r="AL493" s="48"/>
      <c r="AM493" s="48"/>
      <c r="AN493" s="48"/>
      <c r="AO493" s="48"/>
      <c r="AP493" s="48"/>
      <c r="AQ493" s="48"/>
      <c r="AR493" s="48"/>
      <c r="AS493" s="48"/>
      <c r="AT493" s="48"/>
      <c r="AU493" s="48"/>
      <c r="AV493" s="48"/>
      <c r="AW493" s="48"/>
      <c r="AX493" s="48"/>
      <c r="AY493" s="48"/>
      <c r="AZ493" s="50"/>
    </row>
    <row r="494" spans="1:52" ht="16" x14ac:dyDescent="0.35">
      <c r="A494" s="61"/>
      <c r="B494" s="52"/>
      <c r="C494" s="53"/>
      <c r="D494" s="53"/>
      <c r="E494" s="53"/>
      <c r="F494" s="52"/>
      <c r="G494" s="52"/>
      <c r="H494" s="52"/>
      <c r="I494" s="52"/>
      <c r="J494" s="52"/>
      <c r="K494" s="52"/>
      <c r="L494" s="52"/>
      <c r="M494" s="52"/>
      <c r="N494" s="52"/>
      <c r="O494" s="52"/>
      <c r="P494" s="52"/>
      <c r="Q494" s="52"/>
      <c r="R494" s="52"/>
      <c r="S494" s="52"/>
      <c r="T494" s="52"/>
      <c r="U494" s="52"/>
      <c r="V494" s="52"/>
      <c r="W494" s="52"/>
      <c r="X494" s="52"/>
      <c r="Y494" s="52"/>
      <c r="Z494" s="52"/>
      <c r="AA494" s="52"/>
      <c r="AB494" s="52"/>
      <c r="AC494" s="52"/>
      <c r="AD494" s="52"/>
      <c r="AE494" s="52"/>
      <c r="AF494" s="52"/>
      <c r="AG494" s="52"/>
      <c r="AH494" s="52"/>
      <c r="AI494" s="52"/>
      <c r="AJ494" s="52"/>
      <c r="AK494" s="52"/>
      <c r="AL494" s="52"/>
      <c r="AM494" s="52"/>
      <c r="AN494" s="52"/>
      <c r="AO494" s="52"/>
      <c r="AP494" s="52"/>
      <c r="AQ494" s="52"/>
      <c r="AR494" s="52"/>
      <c r="AS494" s="52"/>
      <c r="AT494" s="52"/>
      <c r="AU494" s="52"/>
      <c r="AV494" s="52"/>
      <c r="AW494" s="52"/>
      <c r="AX494" s="52"/>
      <c r="AY494" s="52"/>
      <c r="AZ494" s="54"/>
    </row>
    <row r="495" spans="1:52" ht="16" x14ac:dyDescent="0.35">
      <c r="A495" s="60"/>
      <c r="B495" s="48"/>
      <c r="C495" s="49"/>
      <c r="D495" s="49"/>
      <c r="E495" s="49"/>
      <c r="F495" s="48"/>
      <c r="G495" s="48"/>
      <c r="H495" s="48"/>
      <c r="I495" s="48"/>
      <c r="J495" s="48"/>
      <c r="K495" s="48"/>
      <c r="L495" s="48"/>
      <c r="M495" s="48"/>
      <c r="N495" s="48"/>
      <c r="O495" s="48"/>
      <c r="P495" s="48"/>
      <c r="Q495" s="48"/>
      <c r="R495" s="48"/>
      <c r="S495" s="48"/>
      <c r="T495" s="48"/>
      <c r="U495" s="48"/>
      <c r="V495" s="48"/>
      <c r="W495" s="48"/>
      <c r="X495" s="48"/>
      <c r="Y495" s="48"/>
      <c r="Z495" s="48"/>
      <c r="AA495" s="48"/>
      <c r="AB495" s="48"/>
      <c r="AC495" s="48"/>
      <c r="AD495" s="48"/>
      <c r="AE495" s="48"/>
      <c r="AF495" s="48"/>
      <c r="AG495" s="48"/>
      <c r="AH495" s="48"/>
      <c r="AI495" s="48"/>
      <c r="AJ495" s="48"/>
      <c r="AK495" s="48"/>
      <c r="AL495" s="48"/>
      <c r="AM495" s="48"/>
      <c r="AN495" s="48"/>
      <c r="AO495" s="48"/>
      <c r="AP495" s="48"/>
      <c r="AQ495" s="48"/>
      <c r="AR495" s="48"/>
      <c r="AS495" s="48"/>
      <c r="AT495" s="48"/>
      <c r="AU495" s="48"/>
      <c r="AV495" s="48"/>
      <c r="AW495" s="48"/>
      <c r="AX495" s="48"/>
      <c r="AY495" s="48"/>
      <c r="AZ495" s="50"/>
    </row>
    <row r="496" spans="1:52" ht="16" x14ac:dyDescent="0.35">
      <c r="A496" s="61"/>
      <c r="B496" s="52"/>
      <c r="C496" s="53"/>
      <c r="D496" s="53"/>
      <c r="E496" s="53"/>
      <c r="F496" s="52"/>
      <c r="G496" s="52"/>
      <c r="H496" s="52"/>
      <c r="I496" s="52"/>
      <c r="J496" s="52"/>
      <c r="K496" s="52"/>
      <c r="L496" s="52"/>
      <c r="M496" s="52"/>
      <c r="N496" s="52"/>
      <c r="O496" s="52"/>
      <c r="P496" s="52"/>
      <c r="Q496" s="52"/>
      <c r="R496" s="52"/>
      <c r="S496" s="52"/>
      <c r="T496" s="52"/>
      <c r="U496" s="52"/>
      <c r="V496" s="52"/>
      <c r="W496" s="52"/>
      <c r="X496" s="52"/>
      <c r="Y496" s="52"/>
      <c r="Z496" s="52"/>
      <c r="AA496" s="52"/>
      <c r="AB496" s="52"/>
      <c r="AC496" s="52"/>
      <c r="AD496" s="52"/>
      <c r="AE496" s="52"/>
      <c r="AF496" s="52"/>
      <c r="AG496" s="52"/>
      <c r="AH496" s="52"/>
      <c r="AI496" s="52"/>
      <c r="AJ496" s="52"/>
      <c r="AK496" s="52"/>
      <c r="AL496" s="52"/>
      <c r="AM496" s="52"/>
      <c r="AN496" s="52"/>
      <c r="AO496" s="52"/>
      <c r="AP496" s="52"/>
      <c r="AQ496" s="52"/>
      <c r="AR496" s="52"/>
      <c r="AS496" s="52"/>
      <c r="AT496" s="52"/>
      <c r="AU496" s="52"/>
      <c r="AV496" s="52"/>
      <c r="AW496" s="52"/>
      <c r="AX496" s="52"/>
      <c r="AY496" s="52"/>
      <c r="AZ496" s="54"/>
    </row>
    <row r="497" spans="1:52" ht="16" x14ac:dyDescent="0.35">
      <c r="A497" s="60"/>
      <c r="B497" s="48"/>
      <c r="C497" s="49"/>
      <c r="D497" s="49"/>
      <c r="E497" s="49"/>
      <c r="F497" s="48"/>
      <c r="G497" s="48"/>
      <c r="H497" s="48"/>
      <c r="I497" s="48"/>
      <c r="J497" s="48"/>
      <c r="K497" s="48"/>
      <c r="L497" s="48"/>
      <c r="M497" s="48"/>
      <c r="N497" s="48"/>
      <c r="O497" s="48"/>
      <c r="P497" s="48"/>
      <c r="Q497" s="48"/>
      <c r="R497" s="48"/>
      <c r="S497" s="48"/>
      <c r="T497" s="48"/>
      <c r="U497" s="48"/>
      <c r="V497" s="48"/>
      <c r="W497" s="48"/>
      <c r="X497" s="48"/>
      <c r="Y497" s="48"/>
      <c r="Z497" s="48"/>
      <c r="AA497" s="48"/>
      <c r="AB497" s="48"/>
      <c r="AC497" s="48"/>
      <c r="AD497" s="48"/>
      <c r="AE497" s="48"/>
      <c r="AF497" s="48"/>
      <c r="AG497" s="48"/>
      <c r="AH497" s="48"/>
      <c r="AI497" s="48"/>
      <c r="AJ497" s="48"/>
      <c r="AK497" s="48"/>
      <c r="AL497" s="48"/>
      <c r="AM497" s="48"/>
      <c r="AN497" s="48"/>
      <c r="AO497" s="48"/>
      <c r="AP497" s="48"/>
      <c r="AQ497" s="48"/>
      <c r="AR497" s="48"/>
      <c r="AS497" s="48"/>
      <c r="AT497" s="48"/>
      <c r="AU497" s="48"/>
      <c r="AV497" s="48"/>
      <c r="AW497" s="48"/>
      <c r="AX497" s="48"/>
      <c r="AY497" s="48"/>
      <c r="AZ497" s="50"/>
    </row>
    <row r="498" spans="1:52" ht="16" x14ac:dyDescent="0.35">
      <c r="A498" s="61"/>
      <c r="B498" s="52"/>
      <c r="C498" s="53"/>
      <c r="D498" s="53"/>
      <c r="E498" s="53"/>
      <c r="F498" s="52"/>
      <c r="G498" s="52"/>
      <c r="H498" s="52"/>
      <c r="I498" s="52"/>
      <c r="J498" s="52"/>
      <c r="K498" s="52"/>
      <c r="L498" s="52"/>
      <c r="M498" s="52"/>
      <c r="N498" s="52"/>
      <c r="O498" s="52"/>
      <c r="P498" s="52"/>
      <c r="Q498" s="52"/>
      <c r="R498" s="52"/>
      <c r="S498" s="52"/>
      <c r="T498" s="52"/>
      <c r="U498" s="52"/>
      <c r="V498" s="52"/>
      <c r="W498" s="52"/>
      <c r="X498" s="52"/>
      <c r="Y498" s="52"/>
      <c r="Z498" s="52"/>
      <c r="AA498" s="52"/>
      <c r="AB498" s="52"/>
      <c r="AC498" s="52"/>
      <c r="AD498" s="52"/>
      <c r="AE498" s="52"/>
      <c r="AF498" s="52"/>
      <c r="AG498" s="52"/>
      <c r="AH498" s="52"/>
      <c r="AI498" s="52"/>
      <c r="AJ498" s="52"/>
      <c r="AK498" s="52"/>
      <c r="AL498" s="52"/>
      <c r="AM498" s="52"/>
      <c r="AN498" s="52"/>
      <c r="AO498" s="52"/>
      <c r="AP498" s="52"/>
      <c r="AQ498" s="52"/>
      <c r="AR498" s="52"/>
      <c r="AS498" s="52"/>
      <c r="AT498" s="52"/>
      <c r="AU498" s="52"/>
      <c r="AV498" s="52"/>
      <c r="AW498" s="52"/>
      <c r="AX498" s="52"/>
      <c r="AY498" s="52"/>
      <c r="AZ498" s="54"/>
    </row>
    <row r="499" spans="1:52" ht="16" x14ac:dyDescent="0.35">
      <c r="A499" s="60"/>
      <c r="B499" s="48"/>
      <c r="C499" s="49"/>
      <c r="D499" s="49"/>
      <c r="E499" s="49"/>
      <c r="F499" s="48"/>
      <c r="G499" s="48"/>
      <c r="H499" s="48"/>
      <c r="I499" s="48"/>
      <c r="J499" s="48"/>
      <c r="K499" s="48"/>
      <c r="L499" s="48"/>
      <c r="M499" s="48"/>
      <c r="N499" s="48"/>
      <c r="O499" s="48"/>
      <c r="P499" s="48"/>
      <c r="Q499" s="48"/>
      <c r="R499" s="48"/>
      <c r="S499" s="48"/>
      <c r="T499" s="48"/>
      <c r="U499" s="48"/>
      <c r="V499" s="48"/>
      <c r="W499" s="48"/>
      <c r="X499" s="48"/>
      <c r="Y499" s="48"/>
      <c r="Z499" s="48"/>
      <c r="AA499" s="48"/>
      <c r="AB499" s="48"/>
      <c r="AC499" s="48"/>
      <c r="AD499" s="48"/>
      <c r="AE499" s="48"/>
      <c r="AF499" s="48"/>
      <c r="AG499" s="48"/>
      <c r="AH499" s="48"/>
      <c r="AI499" s="48"/>
      <c r="AJ499" s="48"/>
      <c r="AK499" s="48"/>
      <c r="AL499" s="48"/>
      <c r="AM499" s="48"/>
      <c r="AN499" s="48"/>
      <c r="AO499" s="48"/>
      <c r="AP499" s="48"/>
      <c r="AQ499" s="48"/>
      <c r="AR499" s="48"/>
      <c r="AS499" s="48"/>
      <c r="AT499" s="48"/>
      <c r="AU499" s="48"/>
      <c r="AV499" s="48"/>
      <c r="AW499" s="48"/>
      <c r="AX499" s="48"/>
      <c r="AY499" s="48"/>
      <c r="AZ499" s="50"/>
    </row>
    <row r="500" spans="1:52" ht="16" x14ac:dyDescent="0.35">
      <c r="A500" s="61"/>
      <c r="B500" s="52"/>
      <c r="C500" s="53"/>
      <c r="D500" s="53"/>
      <c r="E500" s="53"/>
      <c r="F500" s="52"/>
      <c r="G500" s="52"/>
      <c r="H500" s="52"/>
      <c r="I500" s="52"/>
      <c r="J500" s="52"/>
      <c r="K500" s="52"/>
      <c r="L500" s="52"/>
      <c r="M500" s="52"/>
      <c r="N500" s="52"/>
      <c r="O500" s="52"/>
      <c r="P500" s="52"/>
      <c r="Q500" s="52"/>
      <c r="R500" s="52"/>
      <c r="S500" s="52"/>
      <c r="T500" s="52"/>
      <c r="U500" s="52"/>
      <c r="V500" s="52"/>
      <c r="W500" s="52"/>
      <c r="X500" s="52"/>
      <c r="Y500" s="52"/>
      <c r="Z500" s="52"/>
      <c r="AA500" s="52"/>
      <c r="AB500" s="52"/>
      <c r="AC500" s="52"/>
      <c r="AD500" s="52"/>
      <c r="AE500" s="52"/>
      <c r="AF500" s="52"/>
      <c r="AG500" s="52"/>
      <c r="AH500" s="52"/>
      <c r="AI500" s="52"/>
      <c r="AJ500" s="52"/>
      <c r="AK500" s="52"/>
      <c r="AL500" s="52"/>
      <c r="AM500" s="52"/>
      <c r="AN500" s="52"/>
      <c r="AO500" s="52"/>
      <c r="AP500" s="52"/>
      <c r="AQ500" s="52"/>
      <c r="AR500" s="52"/>
      <c r="AS500" s="52"/>
      <c r="AT500" s="52"/>
      <c r="AU500" s="52"/>
      <c r="AV500" s="52"/>
      <c r="AW500" s="52"/>
      <c r="AX500" s="52"/>
      <c r="AY500" s="52"/>
      <c r="AZ500" s="54"/>
    </row>
    <row r="501" spans="1:52" ht="16" x14ac:dyDescent="0.35">
      <c r="A501" s="60"/>
      <c r="B501" s="48"/>
      <c r="C501" s="49"/>
      <c r="D501" s="49"/>
      <c r="E501" s="49"/>
      <c r="F501" s="48"/>
      <c r="G501" s="48"/>
      <c r="H501" s="48"/>
      <c r="I501" s="48"/>
      <c r="J501" s="48"/>
      <c r="K501" s="48"/>
      <c r="L501" s="48"/>
      <c r="M501" s="48"/>
      <c r="N501" s="48"/>
      <c r="O501" s="48"/>
      <c r="P501" s="48"/>
      <c r="Q501" s="48"/>
      <c r="R501" s="48"/>
      <c r="S501" s="48"/>
      <c r="T501" s="48"/>
      <c r="U501" s="48"/>
      <c r="V501" s="48"/>
      <c r="W501" s="48"/>
      <c r="X501" s="48"/>
      <c r="Y501" s="48"/>
      <c r="Z501" s="48"/>
      <c r="AA501" s="48"/>
      <c r="AB501" s="48"/>
      <c r="AC501" s="48"/>
      <c r="AD501" s="48"/>
      <c r="AE501" s="48"/>
      <c r="AF501" s="48"/>
      <c r="AG501" s="48"/>
      <c r="AH501" s="48"/>
      <c r="AI501" s="48"/>
      <c r="AJ501" s="48"/>
      <c r="AK501" s="48"/>
      <c r="AL501" s="48"/>
      <c r="AM501" s="48"/>
      <c r="AN501" s="48"/>
      <c r="AO501" s="48"/>
      <c r="AP501" s="48"/>
      <c r="AQ501" s="48"/>
      <c r="AR501" s="48"/>
      <c r="AS501" s="48"/>
      <c r="AT501" s="48"/>
      <c r="AU501" s="48"/>
      <c r="AV501" s="48"/>
      <c r="AW501" s="48"/>
      <c r="AX501" s="48"/>
      <c r="AY501" s="48"/>
      <c r="AZ501" s="50"/>
    </row>
    <row r="502" spans="1:52" ht="16" x14ac:dyDescent="0.35">
      <c r="A502" s="61"/>
      <c r="B502" s="52"/>
      <c r="C502" s="53"/>
      <c r="D502" s="53"/>
      <c r="E502" s="53"/>
      <c r="F502" s="52"/>
      <c r="G502" s="52"/>
      <c r="H502" s="52"/>
      <c r="I502" s="52"/>
      <c r="J502" s="52"/>
      <c r="K502" s="52"/>
      <c r="L502" s="52"/>
      <c r="M502" s="52"/>
      <c r="N502" s="52"/>
      <c r="O502" s="52"/>
      <c r="P502" s="52"/>
      <c r="Q502" s="52"/>
      <c r="R502" s="52"/>
      <c r="S502" s="52"/>
      <c r="T502" s="52"/>
      <c r="U502" s="52"/>
      <c r="V502" s="52"/>
      <c r="W502" s="52"/>
      <c r="X502" s="52"/>
      <c r="Y502" s="52"/>
      <c r="Z502" s="52"/>
      <c r="AA502" s="52"/>
      <c r="AB502" s="52"/>
      <c r="AC502" s="52"/>
      <c r="AD502" s="52"/>
      <c r="AE502" s="52"/>
      <c r="AF502" s="52"/>
      <c r="AG502" s="52"/>
      <c r="AH502" s="52"/>
      <c r="AI502" s="52"/>
      <c r="AJ502" s="52"/>
      <c r="AK502" s="52"/>
      <c r="AL502" s="52"/>
      <c r="AM502" s="52"/>
      <c r="AN502" s="52"/>
      <c r="AO502" s="52"/>
      <c r="AP502" s="52"/>
      <c r="AQ502" s="52"/>
      <c r="AR502" s="52"/>
      <c r="AS502" s="52"/>
      <c r="AT502" s="52"/>
      <c r="AU502" s="52"/>
      <c r="AV502" s="52"/>
      <c r="AW502" s="52"/>
      <c r="AX502" s="52"/>
      <c r="AY502" s="52"/>
      <c r="AZ502" s="54"/>
    </row>
    <row r="503" spans="1:52" ht="16" x14ac:dyDescent="0.35">
      <c r="A503" s="60"/>
      <c r="B503" s="48"/>
      <c r="C503" s="49"/>
      <c r="D503" s="49"/>
      <c r="E503" s="49"/>
      <c r="F503" s="48"/>
      <c r="G503" s="48"/>
      <c r="H503" s="48"/>
      <c r="I503" s="48"/>
      <c r="J503" s="48"/>
      <c r="K503" s="48"/>
      <c r="L503" s="48"/>
      <c r="M503" s="48"/>
      <c r="N503" s="48"/>
      <c r="O503" s="48"/>
      <c r="P503" s="48"/>
      <c r="Q503" s="48"/>
      <c r="R503" s="48"/>
      <c r="S503" s="48"/>
      <c r="T503" s="48"/>
      <c r="U503" s="48"/>
      <c r="V503" s="48"/>
      <c r="W503" s="48"/>
      <c r="X503" s="48"/>
      <c r="Y503" s="48"/>
      <c r="Z503" s="48"/>
      <c r="AA503" s="48"/>
      <c r="AB503" s="48"/>
      <c r="AC503" s="48"/>
      <c r="AD503" s="48"/>
      <c r="AE503" s="48"/>
      <c r="AF503" s="48"/>
      <c r="AG503" s="48"/>
      <c r="AH503" s="48"/>
      <c r="AI503" s="48"/>
      <c r="AJ503" s="48"/>
      <c r="AK503" s="48"/>
      <c r="AL503" s="48"/>
      <c r="AM503" s="48"/>
      <c r="AN503" s="48"/>
      <c r="AO503" s="48"/>
      <c r="AP503" s="48"/>
      <c r="AQ503" s="48"/>
      <c r="AR503" s="48"/>
      <c r="AS503" s="48"/>
      <c r="AT503" s="48"/>
      <c r="AU503" s="48"/>
      <c r="AV503" s="48"/>
      <c r="AW503" s="48"/>
      <c r="AX503" s="48"/>
      <c r="AY503" s="48"/>
      <c r="AZ503" s="50"/>
    </row>
    <row r="504" spans="1:52" ht="16" x14ac:dyDescent="0.35">
      <c r="A504" s="61"/>
      <c r="B504" s="52"/>
      <c r="C504" s="53"/>
      <c r="D504" s="53"/>
      <c r="E504" s="53"/>
      <c r="F504" s="52"/>
      <c r="G504" s="52"/>
      <c r="H504" s="52"/>
      <c r="I504" s="52"/>
      <c r="J504" s="52"/>
      <c r="K504" s="52"/>
      <c r="L504" s="52"/>
      <c r="M504" s="52"/>
      <c r="N504" s="52"/>
      <c r="O504" s="52"/>
      <c r="P504" s="52"/>
      <c r="Q504" s="52"/>
      <c r="R504" s="52"/>
      <c r="S504" s="52"/>
      <c r="T504" s="52"/>
      <c r="U504" s="52"/>
      <c r="V504" s="52"/>
      <c r="W504" s="52"/>
      <c r="X504" s="52"/>
      <c r="Y504" s="52"/>
      <c r="Z504" s="52"/>
      <c r="AA504" s="52"/>
      <c r="AB504" s="52"/>
      <c r="AC504" s="52"/>
      <c r="AD504" s="52"/>
      <c r="AE504" s="52"/>
      <c r="AF504" s="52"/>
      <c r="AG504" s="52"/>
      <c r="AH504" s="52"/>
      <c r="AI504" s="52"/>
      <c r="AJ504" s="52"/>
      <c r="AK504" s="52"/>
      <c r="AL504" s="52"/>
      <c r="AM504" s="52"/>
      <c r="AN504" s="52"/>
      <c r="AO504" s="52"/>
      <c r="AP504" s="52"/>
      <c r="AQ504" s="52"/>
      <c r="AR504" s="52"/>
      <c r="AS504" s="52"/>
      <c r="AT504" s="52"/>
      <c r="AU504" s="52"/>
      <c r="AV504" s="52"/>
      <c r="AW504" s="52"/>
      <c r="AX504" s="52"/>
      <c r="AY504" s="52"/>
      <c r="AZ504" s="54"/>
    </row>
    <row r="505" spans="1:52" ht="16" x14ac:dyDescent="0.35">
      <c r="A505" s="60"/>
      <c r="B505" s="48"/>
      <c r="C505" s="49"/>
      <c r="D505" s="49"/>
      <c r="E505" s="49"/>
      <c r="F505" s="48"/>
      <c r="G505" s="48"/>
      <c r="H505" s="48"/>
      <c r="I505" s="48"/>
      <c r="J505" s="48"/>
      <c r="K505" s="48"/>
      <c r="L505" s="48"/>
      <c r="M505" s="48"/>
      <c r="N505" s="48"/>
      <c r="O505" s="48"/>
      <c r="P505" s="48"/>
      <c r="Q505" s="48"/>
      <c r="R505" s="48"/>
      <c r="S505" s="48"/>
      <c r="T505" s="48"/>
      <c r="U505" s="48"/>
      <c r="V505" s="48"/>
      <c r="W505" s="48"/>
      <c r="X505" s="48"/>
      <c r="Y505" s="48"/>
      <c r="Z505" s="48"/>
      <c r="AA505" s="48"/>
      <c r="AB505" s="48"/>
      <c r="AC505" s="48"/>
      <c r="AD505" s="48"/>
      <c r="AE505" s="48"/>
      <c r="AF505" s="48"/>
      <c r="AG505" s="48"/>
      <c r="AH505" s="48"/>
      <c r="AI505" s="48"/>
      <c r="AJ505" s="48"/>
      <c r="AK505" s="48"/>
      <c r="AL505" s="48"/>
      <c r="AM505" s="48"/>
      <c r="AN505" s="48"/>
      <c r="AO505" s="48"/>
      <c r="AP505" s="48"/>
      <c r="AQ505" s="48"/>
      <c r="AR505" s="48"/>
      <c r="AS505" s="48"/>
      <c r="AT505" s="48"/>
      <c r="AU505" s="48"/>
      <c r="AV505" s="48"/>
      <c r="AW505" s="48"/>
      <c r="AX505" s="48"/>
      <c r="AY505" s="48"/>
      <c r="AZ505" s="50"/>
    </row>
    <row r="506" spans="1:52" ht="16" x14ac:dyDescent="0.35">
      <c r="A506" s="61"/>
      <c r="B506" s="52"/>
      <c r="C506" s="53"/>
      <c r="D506" s="53"/>
      <c r="E506" s="53"/>
      <c r="F506" s="52"/>
      <c r="G506" s="52"/>
      <c r="H506" s="52"/>
      <c r="I506" s="52"/>
      <c r="J506" s="52"/>
      <c r="K506" s="52"/>
      <c r="L506" s="52"/>
      <c r="M506" s="52"/>
      <c r="N506" s="52"/>
      <c r="O506" s="52"/>
      <c r="P506" s="52"/>
      <c r="Q506" s="52"/>
      <c r="R506" s="52"/>
      <c r="S506" s="52"/>
      <c r="T506" s="52"/>
      <c r="U506" s="52"/>
      <c r="V506" s="52"/>
      <c r="W506" s="52"/>
      <c r="X506" s="52"/>
      <c r="Y506" s="52"/>
      <c r="Z506" s="52"/>
      <c r="AA506" s="52"/>
      <c r="AB506" s="52"/>
      <c r="AC506" s="52"/>
      <c r="AD506" s="52"/>
      <c r="AE506" s="52"/>
      <c r="AF506" s="52"/>
      <c r="AG506" s="52"/>
      <c r="AH506" s="52"/>
      <c r="AI506" s="52"/>
      <c r="AJ506" s="52"/>
      <c r="AK506" s="52"/>
      <c r="AL506" s="52"/>
      <c r="AM506" s="52"/>
      <c r="AN506" s="52"/>
      <c r="AO506" s="52"/>
      <c r="AP506" s="52"/>
      <c r="AQ506" s="52"/>
      <c r="AR506" s="52"/>
      <c r="AS506" s="52"/>
      <c r="AT506" s="52"/>
      <c r="AU506" s="52"/>
      <c r="AV506" s="52"/>
      <c r="AW506" s="52"/>
      <c r="AX506" s="52"/>
      <c r="AY506" s="52"/>
      <c r="AZ506" s="54"/>
    </row>
    <row r="507" spans="1:52" ht="16" x14ac:dyDescent="0.35">
      <c r="A507" s="60"/>
      <c r="B507" s="48"/>
      <c r="C507" s="49"/>
      <c r="D507" s="49"/>
      <c r="E507" s="49"/>
      <c r="F507" s="48"/>
      <c r="G507" s="48"/>
      <c r="H507" s="48"/>
      <c r="I507" s="48"/>
      <c r="J507" s="48"/>
      <c r="K507" s="48"/>
      <c r="L507" s="48"/>
      <c r="M507" s="48"/>
      <c r="N507" s="48"/>
      <c r="O507" s="48"/>
      <c r="P507" s="48"/>
      <c r="Q507" s="48"/>
      <c r="R507" s="48"/>
      <c r="S507" s="48"/>
      <c r="T507" s="48"/>
      <c r="U507" s="48"/>
      <c r="V507" s="48"/>
      <c r="W507" s="48"/>
      <c r="X507" s="48"/>
      <c r="Y507" s="48"/>
      <c r="Z507" s="48"/>
      <c r="AA507" s="48"/>
      <c r="AB507" s="48"/>
      <c r="AC507" s="48"/>
      <c r="AD507" s="48"/>
      <c r="AE507" s="48"/>
      <c r="AF507" s="48"/>
      <c r="AG507" s="48"/>
      <c r="AH507" s="48"/>
      <c r="AI507" s="48"/>
      <c r="AJ507" s="48"/>
      <c r="AK507" s="48"/>
      <c r="AL507" s="48"/>
      <c r="AM507" s="48"/>
      <c r="AN507" s="48"/>
      <c r="AO507" s="48"/>
      <c r="AP507" s="48"/>
      <c r="AQ507" s="48"/>
      <c r="AR507" s="48"/>
      <c r="AS507" s="48"/>
      <c r="AT507" s="48"/>
      <c r="AU507" s="48"/>
      <c r="AV507" s="48"/>
      <c r="AW507" s="48"/>
      <c r="AX507" s="48"/>
      <c r="AY507" s="48"/>
      <c r="AZ507" s="50"/>
    </row>
    <row r="508" spans="1:52" ht="16" x14ac:dyDescent="0.35">
      <c r="A508" s="61"/>
      <c r="B508" s="52"/>
      <c r="C508" s="53"/>
      <c r="D508" s="53"/>
      <c r="E508" s="53"/>
      <c r="F508" s="52"/>
      <c r="G508" s="52"/>
      <c r="H508" s="52"/>
      <c r="I508" s="52"/>
      <c r="J508" s="52"/>
      <c r="K508" s="52"/>
      <c r="L508" s="52"/>
      <c r="M508" s="52"/>
      <c r="N508" s="52"/>
      <c r="O508" s="52"/>
      <c r="P508" s="52"/>
      <c r="Q508" s="52"/>
      <c r="R508" s="52"/>
      <c r="S508" s="52"/>
      <c r="T508" s="52"/>
      <c r="U508" s="52"/>
      <c r="V508" s="52"/>
      <c r="W508" s="52"/>
      <c r="X508" s="52"/>
      <c r="Y508" s="52"/>
      <c r="Z508" s="52"/>
      <c r="AA508" s="52"/>
      <c r="AB508" s="52"/>
      <c r="AC508" s="52"/>
      <c r="AD508" s="52"/>
      <c r="AE508" s="52"/>
      <c r="AF508" s="52"/>
      <c r="AG508" s="52"/>
      <c r="AH508" s="52"/>
      <c r="AI508" s="52"/>
      <c r="AJ508" s="52"/>
      <c r="AK508" s="52"/>
      <c r="AL508" s="52"/>
      <c r="AM508" s="52"/>
      <c r="AN508" s="52"/>
      <c r="AO508" s="52"/>
      <c r="AP508" s="52"/>
      <c r="AQ508" s="52"/>
      <c r="AR508" s="52"/>
      <c r="AS508" s="52"/>
      <c r="AT508" s="52"/>
      <c r="AU508" s="52"/>
      <c r="AV508" s="52"/>
      <c r="AW508" s="52"/>
      <c r="AX508" s="52"/>
      <c r="AY508" s="52"/>
      <c r="AZ508" s="54"/>
    </row>
    <row r="509" spans="1:52" ht="16" x14ac:dyDescent="0.35">
      <c r="A509" s="60"/>
      <c r="B509" s="48"/>
      <c r="C509" s="49"/>
      <c r="D509" s="49"/>
      <c r="E509" s="49"/>
      <c r="F509" s="48"/>
      <c r="G509" s="48"/>
      <c r="H509" s="48"/>
      <c r="I509" s="48"/>
      <c r="J509" s="48"/>
      <c r="K509" s="48"/>
      <c r="L509" s="48"/>
      <c r="M509" s="48"/>
      <c r="N509" s="48"/>
      <c r="O509" s="48"/>
      <c r="P509" s="48"/>
      <c r="Q509" s="48"/>
      <c r="R509" s="48"/>
      <c r="S509" s="48"/>
      <c r="T509" s="48"/>
      <c r="U509" s="48"/>
      <c r="V509" s="48"/>
      <c r="W509" s="48"/>
      <c r="X509" s="48"/>
      <c r="Y509" s="48"/>
      <c r="Z509" s="48"/>
      <c r="AA509" s="48"/>
      <c r="AB509" s="48"/>
      <c r="AC509" s="48"/>
      <c r="AD509" s="48"/>
      <c r="AE509" s="48"/>
      <c r="AF509" s="48"/>
      <c r="AG509" s="48"/>
      <c r="AH509" s="48"/>
      <c r="AI509" s="48"/>
      <c r="AJ509" s="48"/>
      <c r="AK509" s="48"/>
      <c r="AL509" s="48"/>
      <c r="AM509" s="48"/>
      <c r="AN509" s="48"/>
      <c r="AO509" s="48"/>
      <c r="AP509" s="48"/>
      <c r="AQ509" s="48"/>
      <c r="AR509" s="48"/>
      <c r="AS509" s="48"/>
      <c r="AT509" s="48"/>
      <c r="AU509" s="48"/>
      <c r="AV509" s="48"/>
      <c r="AW509" s="48"/>
      <c r="AX509" s="48"/>
      <c r="AY509" s="48"/>
      <c r="AZ509" s="50"/>
    </row>
    <row r="510" spans="1:52" ht="16" x14ac:dyDescent="0.35">
      <c r="A510" s="61"/>
      <c r="B510" s="52"/>
      <c r="C510" s="53"/>
      <c r="D510" s="53"/>
      <c r="E510" s="53"/>
      <c r="F510" s="52"/>
      <c r="G510" s="52"/>
      <c r="H510" s="52"/>
      <c r="I510" s="52"/>
      <c r="J510" s="52"/>
      <c r="K510" s="52"/>
      <c r="L510" s="52"/>
      <c r="M510" s="52"/>
      <c r="N510" s="52"/>
      <c r="O510" s="52"/>
      <c r="P510" s="52"/>
      <c r="Q510" s="52"/>
      <c r="R510" s="52"/>
      <c r="S510" s="52"/>
      <c r="T510" s="52"/>
      <c r="U510" s="52"/>
      <c r="V510" s="52"/>
      <c r="W510" s="52"/>
      <c r="X510" s="52"/>
      <c r="Y510" s="52"/>
      <c r="Z510" s="52"/>
      <c r="AA510" s="52"/>
      <c r="AB510" s="52"/>
      <c r="AC510" s="52"/>
      <c r="AD510" s="52"/>
      <c r="AE510" s="52"/>
      <c r="AF510" s="52"/>
      <c r="AG510" s="52"/>
      <c r="AH510" s="52"/>
      <c r="AI510" s="52"/>
      <c r="AJ510" s="52"/>
      <c r="AK510" s="52"/>
      <c r="AL510" s="52"/>
      <c r="AM510" s="52"/>
      <c r="AN510" s="52"/>
      <c r="AO510" s="52"/>
      <c r="AP510" s="52"/>
      <c r="AQ510" s="52"/>
      <c r="AR510" s="52"/>
      <c r="AS510" s="52"/>
      <c r="AT510" s="52"/>
      <c r="AU510" s="52"/>
      <c r="AV510" s="52"/>
      <c r="AW510" s="52"/>
      <c r="AX510" s="52"/>
      <c r="AY510" s="52"/>
      <c r="AZ510" s="54"/>
    </row>
    <row r="511" spans="1:52" ht="16" x14ac:dyDescent="0.35">
      <c r="A511" s="60"/>
      <c r="B511" s="48"/>
      <c r="C511" s="49"/>
      <c r="D511" s="49"/>
      <c r="E511" s="49"/>
      <c r="F511" s="48"/>
      <c r="G511" s="48"/>
      <c r="H511" s="48"/>
      <c r="I511" s="48"/>
      <c r="J511" s="48"/>
      <c r="K511" s="48"/>
      <c r="L511" s="48"/>
      <c r="M511" s="48"/>
      <c r="N511" s="48"/>
      <c r="O511" s="48"/>
      <c r="P511" s="48"/>
      <c r="Q511" s="48"/>
      <c r="R511" s="48"/>
      <c r="S511" s="48"/>
      <c r="T511" s="48"/>
      <c r="U511" s="48"/>
      <c r="V511" s="48"/>
      <c r="W511" s="48"/>
      <c r="X511" s="48"/>
      <c r="Y511" s="48"/>
      <c r="Z511" s="48"/>
      <c r="AA511" s="48"/>
      <c r="AB511" s="48"/>
      <c r="AC511" s="48"/>
      <c r="AD511" s="48"/>
      <c r="AE511" s="48"/>
      <c r="AF511" s="48"/>
      <c r="AG511" s="48"/>
      <c r="AH511" s="48"/>
      <c r="AI511" s="48"/>
      <c r="AJ511" s="48"/>
      <c r="AK511" s="48"/>
      <c r="AL511" s="48"/>
      <c r="AM511" s="48"/>
      <c r="AN511" s="48"/>
      <c r="AO511" s="48"/>
      <c r="AP511" s="48"/>
      <c r="AQ511" s="48"/>
      <c r="AR511" s="48"/>
      <c r="AS511" s="48"/>
      <c r="AT511" s="48"/>
      <c r="AU511" s="48"/>
      <c r="AV511" s="48"/>
      <c r="AW511" s="48"/>
      <c r="AX511" s="48"/>
      <c r="AY511" s="48"/>
      <c r="AZ511" s="50"/>
    </row>
    <row r="512" spans="1:52" ht="16" x14ac:dyDescent="0.35">
      <c r="A512" s="61"/>
      <c r="B512" s="52"/>
      <c r="C512" s="53"/>
      <c r="D512" s="53"/>
      <c r="E512" s="53"/>
      <c r="F512" s="52"/>
      <c r="G512" s="52"/>
      <c r="H512" s="52"/>
      <c r="I512" s="52"/>
      <c r="J512" s="52"/>
      <c r="K512" s="52"/>
      <c r="L512" s="52"/>
      <c r="M512" s="52"/>
      <c r="N512" s="52"/>
      <c r="O512" s="52"/>
      <c r="P512" s="52"/>
      <c r="Q512" s="52"/>
      <c r="R512" s="52"/>
      <c r="S512" s="52"/>
      <c r="T512" s="52"/>
      <c r="U512" s="52"/>
      <c r="V512" s="52"/>
      <c r="W512" s="52"/>
      <c r="X512" s="52"/>
      <c r="Y512" s="52"/>
      <c r="Z512" s="52"/>
      <c r="AA512" s="52"/>
      <c r="AB512" s="52"/>
      <c r="AC512" s="52"/>
      <c r="AD512" s="52"/>
      <c r="AE512" s="52"/>
      <c r="AF512" s="52"/>
      <c r="AG512" s="52"/>
      <c r="AH512" s="52"/>
      <c r="AI512" s="52"/>
      <c r="AJ512" s="52"/>
      <c r="AK512" s="52"/>
      <c r="AL512" s="52"/>
      <c r="AM512" s="52"/>
      <c r="AN512" s="52"/>
      <c r="AO512" s="52"/>
      <c r="AP512" s="52"/>
      <c r="AQ512" s="52"/>
      <c r="AR512" s="52"/>
      <c r="AS512" s="52"/>
      <c r="AT512" s="52"/>
      <c r="AU512" s="52"/>
      <c r="AV512" s="52"/>
      <c r="AW512" s="52"/>
      <c r="AX512" s="52"/>
      <c r="AY512" s="52"/>
      <c r="AZ512" s="54"/>
    </row>
    <row r="513" spans="1:52" ht="16" x14ac:dyDescent="0.35">
      <c r="A513" s="60"/>
      <c r="B513" s="48"/>
      <c r="C513" s="49"/>
      <c r="D513" s="49"/>
      <c r="E513" s="49"/>
      <c r="F513" s="48"/>
      <c r="G513" s="48"/>
      <c r="H513" s="48"/>
      <c r="I513" s="48"/>
      <c r="J513" s="48"/>
      <c r="K513" s="48"/>
      <c r="L513" s="48"/>
      <c r="M513" s="48"/>
      <c r="N513" s="48"/>
      <c r="O513" s="48"/>
      <c r="P513" s="48"/>
      <c r="Q513" s="48"/>
      <c r="R513" s="48"/>
      <c r="S513" s="48"/>
      <c r="T513" s="48"/>
      <c r="U513" s="48"/>
      <c r="V513" s="48"/>
      <c r="W513" s="48"/>
      <c r="X513" s="48"/>
      <c r="Y513" s="48"/>
      <c r="Z513" s="48"/>
      <c r="AA513" s="48"/>
      <c r="AB513" s="48"/>
      <c r="AC513" s="48"/>
      <c r="AD513" s="48"/>
      <c r="AE513" s="48"/>
      <c r="AF513" s="48"/>
      <c r="AG513" s="48"/>
      <c r="AH513" s="48"/>
      <c r="AI513" s="48"/>
      <c r="AJ513" s="48"/>
      <c r="AK513" s="48"/>
      <c r="AL513" s="48"/>
      <c r="AM513" s="48"/>
      <c r="AN513" s="48"/>
      <c r="AO513" s="48"/>
      <c r="AP513" s="48"/>
      <c r="AQ513" s="48"/>
      <c r="AR513" s="48"/>
      <c r="AS513" s="48"/>
      <c r="AT513" s="48"/>
      <c r="AU513" s="48"/>
      <c r="AV513" s="48"/>
      <c r="AW513" s="48"/>
      <c r="AX513" s="48"/>
      <c r="AY513" s="48"/>
      <c r="AZ513" s="50"/>
    </row>
    <row r="514" spans="1:52" ht="16" x14ac:dyDescent="0.35">
      <c r="A514" s="61"/>
      <c r="B514" s="52"/>
      <c r="C514" s="53"/>
      <c r="D514" s="53"/>
      <c r="E514" s="53"/>
      <c r="F514" s="52"/>
      <c r="G514" s="52"/>
      <c r="H514" s="52"/>
      <c r="I514" s="52"/>
      <c r="J514" s="52"/>
      <c r="K514" s="52"/>
      <c r="L514" s="52"/>
      <c r="M514" s="52"/>
      <c r="N514" s="52"/>
      <c r="O514" s="52"/>
      <c r="P514" s="52"/>
      <c r="Q514" s="52"/>
      <c r="R514" s="52"/>
      <c r="S514" s="52"/>
      <c r="T514" s="52"/>
      <c r="U514" s="52"/>
      <c r="V514" s="52"/>
      <c r="W514" s="52"/>
      <c r="X514" s="52"/>
      <c r="Y514" s="52"/>
      <c r="Z514" s="52"/>
      <c r="AA514" s="52"/>
      <c r="AB514" s="52"/>
      <c r="AC514" s="52"/>
      <c r="AD514" s="52"/>
      <c r="AE514" s="52"/>
      <c r="AF514" s="52"/>
      <c r="AG514" s="52"/>
      <c r="AH514" s="52"/>
      <c r="AI514" s="52"/>
      <c r="AJ514" s="52"/>
      <c r="AK514" s="52"/>
      <c r="AL514" s="52"/>
      <c r="AM514" s="52"/>
      <c r="AN514" s="52"/>
      <c r="AO514" s="52"/>
      <c r="AP514" s="52"/>
      <c r="AQ514" s="52"/>
      <c r="AR514" s="52"/>
      <c r="AS514" s="52"/>
      <c r="AT514" s="52"/>
      <c r="AU514" s="52"/>
      <c r="AV514" s="52"/>
      <c r="AW514" s="52"/>
      <c r="AX514" s="52"/>
      <c r="AY514" s="52"/>
      <c r="AZ514" s="54"/>
    </row>
    <row r="515" spans="1:52" ht="16" x14ac:dyDescent="0.35">
      <c r="A515" s="60"/>
      <c r="B515" s="48"/>
      <c r="C515" s="49"/>
      <c r="D515" s="49"/>
      <c r="E515" s="49"/>
      <c r="F515" s="48"/>
      <c r="G515" s="48"/>
      <c r="H515" s="48"/>
      <c r="I515" s="48"/>
      <c r="J515" s="48"/>
      <c r="K515" s="48"/>
      <c r="L515" s="48"/>
      <c r="M515" s="48"/>
      <c r="N515" s="48"/>
      <c r="O515" s="48"/>
      <c r="P515" s="48"/>
      <c r="Q515" s="48"/>
      <c r="R515" s="48"/>
      <c r="S515" s="48"/>
      <c r="T515" s="48"/>
      <c r="U515" s="48"/>
      <c r="V515" s="48"/>
      <c r="W515" s="48"/>
      <c r="X515" s="48"/>
      <c r="Y515" s="48"/>
      <c r="Z515" s="48"/>
      <c r="AA515" s="48"/>
      <c r="AB515" s="48"/>
      <c r="AC515" s="48"/>
      <c r="AD515" s="48"/>
      <c r="AE515" s="48"/>
      <c r="AF515" s="48"/>
      <c r="AG515" s="48"/>
      <c r="AH515" s="48"/>
      <c r="AI515" s="48"/>
      <c r="AJ515" s="48"/>
      <c r="AK515" s="48"/>
      <c r="AL515" s="48"/>
      <c r="AM515" s="48"/>
      <c r="AN515" s="48"/>
      <c r="AO515" s="48"/>
      <c r="AP515" s="48"/>
      <c r="AQ515" s="48"/>
      <c r="AR515" s="48"/>
      <c r="AS515" s="48"/>
      <c r="AT515" s="48"/>
      <c r="AU515" s="48"/>
      <c r="AV515" s="48"/>
      <c r="AW515" s="48"/>
      <c r="AX515" s="48"/>
      <c r="AY515" s="48"/>
      <c r="AZ515" s="50"/>
    </row>
    <row r="516" spans="1:52" ht="16" x14ac:dyDescent="0.35">
      <c r="A516" s="61"/>
      <c r="B516" s="52"/>
      <c r="C516" s="53"/>
      <c r="D516" s="53"/>
      <c r="E516" s="53"/>
      <c r="F516" s="52"/>
      <c r="G516" s="52"/>
      <c r="H516" s="52"/>
      <c r="I516" s="52"/>
      <c r="J516" s="52"/>
      <c r="K516" s="52"/>
      <c r="L516" s="52"/>
      <c r="M516" s="52"/>
      <c r="N516" s="52"/>
      <c r="O516" s="52"/>
      <c r="P516" s="52"/>
      <c r="Q516" s="52"/>
      <c r="R516" s="52"/>
      <c r="S516" s="52"/>
      <c r="T516" s="52"/>
      <c r="U516" s="52"/>
      <c r="V516" s="52"/>
      <c r="W516" s="52"/>
      <c r="X516" s="52"/>
      <c r="Y516" s="52"/>
      <c r="Z516" s="52"/>
      <c r="AA516" s="52"/>
      <c r="AB516" s="52"/>
      <c r="AC516" s="52"/>
      <c r="AD516" s="52"/>
      <c r="AE516" s="52"/>
      <c r="AF516" s="52"/>
      <c r="AG516" s="52"/>
      <c r="AH516" s="52"/>
      <c r="AI516" s="52"/>
      <c r="AJ516" s="52"/>
      <c r="AK516" s="52"/>
      <c r="AL516" s="52"/>
      <c r="AM516" s="52"/>
      <c r="AN516" s="52"/>
      <c r="AO516" s="52"/>
      <c r="AP516" s="52"/>
      <c r="AQ516" s="52"/>
      <c r="AR516" s="52"/>
      <c r="AS516" s="52"/>
      <c r="AT516" s="52"/>
      <c r="AU516" s="52"/>
      <c r="AV516" s="52"/>
      <c r="AW516" s="52"/>
      <c r="AX516" s="52"/>
      <c r="AY516" s="52"/>
      <c r="AZ516" s="54"/>
    </row>
    <row r="517" spans="1:52" ht="16" x14ac:dyDescent="0.35">
      <c r="A517" s="60"/>
      <c r="B517" s="48"/>
      <c r="C517" s="49"/>
      <c r="D517" s="49"/>
      <c r="E517" s="49"/>
      <c r="F517" s="48"/>
      <c r="G517" s="48"/>
      <c r="H517" s="48"/>
      <c r="I517" s="48"/>
      <c r="J517" s="48"/>
      <c r="K517" s="48"/>
      <c r="L517" s="48"/>
      <c r="M517" s="48"/>
      <c r="N517" s="48"/>
      <c r="O517" s="48"/>
      <c r="P517" s="48"/>
      <c r="Q517" s="48"/>
      <c r="R517" s="48"/>
      <c r="S517" s="48"/>
      <c r="T517" s="48"/>
      <c r="U517" s="48"/>
      <c r="V517" s="48"/>
      <c r="W517" s="48"/>
      <c r="X517" s="48"/>
      <c r="Y517" s="48"/>
      <c r="Z517" s="48"/>
      <c r="AA517" s="48"/>
      <c r="AB517" s="48"/>
      <c r="AC517" s="48"/>
      <c r="AD517" s="48"/>
      <c r="AE517" s="48"/>
      <c r="AF517" s="48"/>
      <c r="AG517" s="48"/>
      <c r="AH517" s="48"/>
      <c r="AI517" s="48"/>
      <c r="AJ517" s="48"/>
      <c r="AK517" s="48"/>
      <c r="AL517" s="48"/>
      <c r="AM517" s="48"/>
      <c r="AN517" s="48"/>
      <c r="AO517" s="48"/>
      <c r="AP517" s="48"/>
      <c r="AQ517" s="48"/>
      <c r="AR517" s="48"/>
      <c r="AS517" s="48"/>
      <c r="AT517" s="48"/>
      <c r="AU517" s="48"/>
      <c r="AV517" s="48"/>
      <c r="AW517" s="48"/>
      <c r="AX517" s="48"/>
      <c r="AY517" s="48"/>
      <c r="AZ517" s="50"/>
    </row>
    <row r="518" spans="1:52" ht="16" x14ac:dyDescent="0.35">
      <c r="A518" s="61"/>
      <c r="B518" s="52"/>
      <c r="C518" s="53"/>
      <c r="D518" s="53"/>
      <c r="E518" s="53"/>
      <c r="F518" s="52"/>
      <c r="G518" s="52"/>
      <c r="H518" s="52"/>
      <c r="I518" s="52"/>
      <c r="J518" s="52"/>
      <c r="K518" s="52"/>
      <c r="L518" s="52"/>
      <c r="M518" s="52"/>
      <c r="N518" s="52"/>
      <c r="O518" s="52"/>
      <c r="P518" s="52"/>
      <c r="Q518" s="52"/>
      <c r="R518" s="52"/>
      <c r="S518" s="52"/>
      <c r="T518" s="52"/>
      <c r="U518" s="52"/>
      <c r="V518" s="52"/>
      <c r="W518" s="52"/>
      <c r="X518" s="52"/>
      <c r="Y518" s="52"/>
      <c r="Z518" s="52"/>
      <c r="AA518" s="52"/>
      <c r="AB518" s="52"/>
      <c r="AC518" s="52"/>
      <c r="AD518" s="52"/>
      <c r="AE518" s="52"/>
      <c r="AF518" s="52"/>
      <c r="AG518" s="52"/>
      <c r="AH518" s="52"/>
      <c r="AI518" s="52"/>
      <c r="AJ518" s="52"/>
      <c r="AK518" s="52"/>
      <c r="AL518" s="52"/>
      <c r="AM518" s="52"/>
      <c r="AN518" s="52"/>
      <c r="AO518" s="52"/>
      <c r="AP518" s="52"/>
      <c r="AQ518" s="52"/>
      <c r="AR518" s="52"/>
      <c r="AS518" s="52"/>
      <c r="AT518" s="52"/>
      <c r="AU518" s="52"/>
      <c r="AV518" s="52"/>
      <c r="AW518" s="52"/>
      <c r="AX518" s="52"/>
      <c r="AY518" s="52"/>
      <c r="AZ518" s="54"/>
    </row>
    <row r="519" spans="1:52" ht="16" x14ac:dyDescent="0.35">
      <c r="A519" s="60"/>
      <c r="B519" s="48"/>
      <c r="C519" s="49"/>
      <c r="D519" s="49"/>
      <c r="E519" s="49"/>
      <c r="F519" s="48"/>
      <c r="G519" s="48"/>
      <c r="H519" s="48"/>
      <c r="I519" s="48"/>
      <c r="J519" s="48"/>
      <c r="K519" s="48"/>
      <c r="L519" s="48"/>
      <c r="M519" s="48"/>
      <c r="N519" s="48"/>
      <c r="O519" s="48"/>
      <c r="P519" s="48"/>
      <c r="Q519" s="48"/>
      <c r="R519" s="48"/>
      <c r="S519" s="48"/>
      <c r="T519" s="48"/>
      <c r="U519" s="48"/>
      <c r="V519" s="48"/>
      <c r="W519" s="48"/>
      <c r="X519" s="48"/>
      <c r="Y519" s="48"/>
      <c r="Z519" s="48"/>
      <c r="AA519" s="48"/>
      <c r="AB519" s="48"/>
      <c r="AC519" s="48"/>
      <c r="AD519" s="48"/>
      <c r="AE519" s="48"/>
      <c r="AF519" s="48"/>
      <c r="AG519" s="48"/>
      <c r="AH519" s="48"/>
      <c r="AI519" s="48"/>
      <c r="AJ519" s="48"/>
      <c r="AK519" s="48"/>
      <c r="AL519" s="48"/>
      <c r="AM519" s="48"/>
      <c r="AN519" s="48"/>
      <c r="AO519" s="48"/>
      <c r="AP519" s="48"/>
      <c r="AQ519" s="48"/>
      <c r="AR519" s="48"/>
      <c r="AS519" s="48"/>
      <c r="AT519" s="48"/>
      <c r="AU519" s="48"/>
      <c r="AV519" s="48"/>
      <c r="AW519" s="48"/>
      <c r="AX519" s="48"/>
      <c r="AY519" s="48"/>
      <c r="AZ519" s="50"/>
    </row>
    <row r="520" spans="1:52" ht="16" x14ac:dyDescent="0.35">
      <c r="A520" s="61"/>
      <c r="B520" s="52"/>
      <c r="C520" s="53"/>
      <c r="D520" s="53"/>
      <c r="E520" s="53"/>
      <c r="F520" s="52"/>
      <c r="G520" s="52"/>
      <c r="H520" s="52"/>
      <c r="I520" s="52"/>
      <c r="J520" s="52"/>
      <c r="K520" s="52"/>
      <c r="L520" s="52"/>
      <c r="M520" s="52"/>
      <c r="N520" s="52"/>
      <c r="O520" s="52"/>
      <c r="P520" s="52"/>
      <c r="Q520" s="52"/>
      <c r="R520" s="52"/>
      <c r="S520" s="52"/>
      <c r="T520" s="52"/>
      <c r="U520" s="52"/>
      <c r="V520" s="52"/>
      <c r="W520" s="52"/>
      <c r="X520" s="52"/>
      <c r="Y520" s="52"/>
      <c r="Z520" s="52"/>
      <c r="AA520" s="52"/>
      <c r="AB520" s="52"/>
      <c r="AC520" s="52"/>
      <c r="AD520" s="52"/>
      <c r="AE520" s="52"/>
      <c r="AF520" s="52"/>
      <c r="AG520" s="52"/>
      <c r="AH520" s="52"/>
      <c r="AI520" s="52"/>
      <c r="AJ520" s="52"/>
      <c r="AK520" s="52"/>
      <c r="AL520" s="52"/>
      <c r="AM520" s="52"/>
      <c r="AN520" s="52"/>
      <c r="AO520" s="52"/>
      <c r="AP520" s="52"/>
      <c r="AQ520" s="52"/>
      <c r="AR520" s="52"/>
      <c r="AS520" s="52"/>
      <c r="AT520" s="52"/>
      <c r="AU520" s="52"/>
      <c r="AV520" s="52"/>
      <c r="AW520" s="52"/>
      <c r="AX520" s="52"/>
      <c r="AY520" s="52"/>
      <c r="AZ520" s="54"/>
    </row>
    <row r="521" spans="1:52" ht="16" x14ac:dyDescent="0.35">
      <c r="A521" s="60"/>
      <c r="B521" s="48"/>
      <c r="C521" s="49"/>
      <c r="D521" s="49"/>
      <c r="E521" s="49"/>
      <c r="F521" s="48"/>
      <c r="G521" s="48"/>
      <c r="H521" s="48"/>
      <c r="I521" s="48"/>
      <c r="J521" s="48"/>
      <c r="K521" s="48"/>
      <c r="L521" s="48"/>
      <c r="M521" s="48"/>
      <c r="N521" s="48"/>
      <c r="O521" s="48"/>
      <c r="P521" s="48"/>
      <c r="Q521" s="48"/>
      <c r="R521" s="48"/>
      <c r="S521" s="48"/>
      <c r="T521" s="48"/>
      <c r="U521" s="48"/>
      <c r="V521" s="48"/>
      <c r="W521" s="48"/>
      <c r="X521" s="48"/>
      <c r="Y521" s="48"/>
      <c r="Z521" s="48"/>
      <c r="AA521" s="48"/>
      <c r="AB521" s="48"/>
      <c r="AC521" s="48"/>
      <c r="AD521" s="48"/>
      <c r="AE521" s="48"/>
      <c r="AF521" s="48"/>
      <c r="AG521" s="48"/>
      <c r="AH521" s="48"/>
      <c r="AI521" s="48"/>
      <c r="AJ521" s="48"/>
      <c r="AK521" s="48"/>
      <c r="AL521" s="48"/>
      <c r="AM521" s="48"/>
      <c r="AN521" s="48"/>
      <c r="AO521" s="48"/>
      <c r="AP521" s="48"/>
      <c r="AQ521" s="48"/>
      <c r="AR521" s="48"/>
      <c r="AS521" s="48"/>
      <c r="AT521" s="48"/>
      <c r="AU521" s="48"/>
      <c r="AV521" s="48"/>
      <c r="AW521" s="48"/>
      <c r="AX521" s="48"/>
      <c r="AY521" s="48"/>
      <c r="AZ521" s="50"/>
    </row>
    <row r="522" spans="1:52" ht="16" x14ac:dyDescent="0.35">
      <c r="A522" s="61"/>
      <c r="B522" s="52"/>
      <c r="C522" s="53"/>
      <c r="D522" s="53"/>
      <c r="E522" s="53"/>
      <c r="F522" s="52"/>
      <c r="G522" s="52"/>
      <c r="H522" s="52"/>
      <c r="I522" s="52"/>
      <c r="J522" s="52"/>
      <c r="K522" s="52"/>
      <c r="L522" s="52"/>
      <c r="M522" s="52"/>
      <c r="N522" s="52"/>
      <c r="O522" s="52"/>
      <c r="P522" s="52"/>
      <c r="Q522" s="52"/>
      <c r="R522" s="52"/>
      <c r="S522" s="52"/>
      <c r="T522" s="52"/>
      <c r="U522" s="52"/>
      <c r="V522" s="52"/>
      <c r="W522" s="52"/>
      <c r="X522" s="52"/>
      <c r="Y522" s="52"/>
      <c r="Z522" s="52"/>
      <c r="AA522" s="52"/>
      <c r="AB522" s="52"/>
      <c r="AC522" s="52"/>
      <c r="AD522" s="52"/>
      <c r="AE522" s="52"/>
      <c r="AF522" s="52"/>
      <c r="AG522" s="52"/>
      <c r="AH522" s="52"/>
      <c r="AI522" s="52"/>
      <c r="AJ522" s="52"/>
      <c r="AK522" s="52"/>
      <c r="AL522" s="52"/>
      <c r="AM522" s="52"/>
      <c r="AN522" s="52"/>
      <c r="AO522" s="52"/>
      <c r="AP522" s="52"/>
      <c r="AQ522" s="52"/>
      <c r="AR522" s="52"/>
      <c r="AS522" s="52"/>
      <c r="AT522" s="52"/>
      <c r="AU522" s="52"/>
      <c r="AV522" s="52"/>
      <c r="AW522" s="52"/>
      <c r="AX522" s="52"/>
      <c r="AY522" s="52"/>
      <c r="AZ522" s="54"/>
    </row>
    <row r="523" spans="1:52" ht="16" x14ac:dyDescent="0.35">
      <c r="A523" s="60"/>
      <c r="B523" s="48"/>
      <c r="C523" s="49"/>
      <c r="D523" s="49"/>
      <c r="E523" s="49"/>
      <c r="F523" s="48"/>
      <c r="G523" s="48"/>
      <c r="H523" s="48"/>
      <c r="I523" s="48"/>
      <c r="J523" s="48"/>
      <c r="K523" s="48"/>
      <c r="L523" s="48"/>
      <c r="M523" s="48"/>
      <c r="N523" s="48"/>
      <c r="O523" s="48"/>
      <c r="P523" s="48"/>
      <c r="Q523" s="48"/>
      <c r="R523" s="48"/>
      <c r="S523" s="48"/>
      <c r="T523" s="48"/>
      <c r="U523" s="48"/>
      <c r="V523" s="48"/>
      <c r="W523" s="48"/>
      <c r="X523" s="48"/>
      <c r="Y523" s="48"/>
      <c r="Z523" s="48"/>
      <c r="AA523" s="48"/>
      <c r="AB523" s="48"/>
      <c r="AC523" s="48"/>
      <c r="AD523" s="48"/>
      <c r="AE523" s="48"/>
      <c r="AF523" s="48"/>
      <c r="AG523" s="48"/>
      <c r="AH523" s="48"/>
      <c r="AI523" s="48"/>
      <c r="AJ523" s="48"/>
      <c r="AK523" s="48"/>
      <c r="AL523" s="48"/>
      <c r="AM523" s="48"/>
      <c r="AN523" s="48"/>
      <c r="AO523" s="48"/>
      <c r="AP523" s="48"/>
      <c r="AQ523" s="48"/>
      <c r="AR523" s="48"/>
      <c r="AS523" s="48"/>
      <c r="AT523" s="48"/>
      <c r="AU523" s="48"/>
      <c r="AV523" s="48"/>
      <c r="AW523" s="48"/>
      <c r="AX523" s="48"/>
      <c r="AY523" s="48"/>
      <c r="AZ523" s="50"/>
    </row>
    <row r="524" spans="1:52" ht="16" x14ac:dyDescent="0.35">
      <c r="A524" s="61"/>
      <c r="B524" s="52"/>
      <c r="C524" s="53"/>
      <c r="D524" s="53"/>
      <c r="E524" s="53"/>
      <c r="F524" s="52"/>
      <c r="G524" s="52"/>
      <c r="H524" s="52"/>
      <c r="I524" s="52"/>
      <c r="J524" s="52"/>
      <c r="K524" s="52"/>
      <c r="L524" s="52"/>
      <c r="M524" s="52"/>
      <c r="N524" s="52"/>
      <c r="O524" s="52"/>
      <c r="P524" s="52"/>
      <c r="Q524" s="52"/>
      <c r="R524" s="52"/>
      <c r="S524" s="52"/>
      <c r="T524" s="52"/>
      <c r="U524" s="52"/>
      <c r="V524" s="52"/>
      <c r="W524" s="52"/>
      <c r="X524" s="52"/>
      <c r="Y524" s="52"/>
      <c r="Z524" s="52"/>
      <c r="AA524" s="52"/>
      <c r="AB524" s="52"/>
      <c r="AC524" s="52"/>
      <c r="AD524" s="52"/>
      <c r="AE524" s="52"/>
      <c r="AF524" s="52"/>
      <c r="AG524" s="52"/>
      <c r="AH524" s="52"/>
      <c r="AI524" s="52"/>
      <c r="AJ524" s="52"/>
      <c r="AK524" s="52"/>
      <c r="AL524" s="52"/>
      <c r="AM524" s="52"/>
      <c r="AN524" s="52"/>
      <c r="AO524" s="52"/>
      <c r="AP524" s="52"/>
      <c r="AQ524" s="52"/>
      <c r="AR524" s="52"/>
      <c r="AS524" s="52"/>
      <c r="AT524" s="52"/>
      <c r="AU524" s="52"/>
      <c r="AV524" s="52"/>
      <c r="AW524" s="52"/>
      <c r="AX524" s="52"/>
      <c r="AY524" s="52"/>
      <c r="AZ524" s="54"/>
    </row>
    <row r="525" spans="1:52" ht="16" x14ac:dyDescent="0.35">
      <c r="A525" s="60"/>
      <c r="B525" s="48"/>
      <c r="C525" s="49"/>
      <c r="D525" s="49"/>
      <c r="E525" s="49"/>
      <c r="F525" s="48"/>
      <c r="G525" s="48"/>
      <c r="H525" s="48"/>
      <c r="I525" s="48"/>
      <c r="J525" s="48"/>
      <c r="K525" s="48"/>
      <c r="L525" s="48"/>
      <c r="M525" s="48"/>
      <c r="N525" s="48"/>
      <c r="O525" s="48"/>
      <c r="P525" s="48"/>
      <c r="Q525" s="48"/>
      <c r="R525" s="48"/>
      <c r="S525" s="48"/>
      <c r="T525" s="48"/>
      <c r="U525" s="48"/>
      <c r="V525" s="48"/>
      <c r="W525" s="48"/>
      <c r="X525" s="48"/>
      <c r="Y525" s="48"/>
      <c r="Z525" s="48"/>
      <c r="AA525" s="48"/>
      <c r="AB525" s="48"/>
      <c r="AC525" s="48"/>
      <c r="AD525" s="48"/>
      <c r="AE525" s="48"/>
      <c r="AF525" s="48"/>
      <c r="AG525" s="48"/>
      <c r="AH525" s="48"/>
      <c r="AI525" s="48"/>
      <c r="AJ525" s="48"/>
      <c r="AK525" s="48"/>
      <c r="AL525" s="48"/>
      <c r="AM525" s="48"/>
      <c r="AN525" s="48"/>
      <c r="AO525" s="48"/>
      <c r="AP525" s="48"/>
      <c r="AQ525" s="48"/>
      <c r="AR525" s="48"/>
      <c r="AS525" s="48"/>
      <c r="AT525" s="48"/>
      <c r="AU525" s="48"/>
      <c r="AV525" s="48"/>
      <c r="AW525" s="48"/>
      <c r="AX525" s="48"/>
      <c r="AY525" s="48"/>
      <c r="AZ525" s="50"/>
    </row>
    <row r="526" spans="1:52" ht="16" x14ac:dyDescent="0.35">
      <c r="A526" s="61"/>
      <c r="B526" s="52"/>
      <c r="C526" s="53"/>
      <c r="D526" s="53"/>
      <c r="E526" s="53"/>
      <c r="F526" s="52"/>
      <c r="G526" s="52"/>
      <c r="H526" s="52"/>
      <c r="I526" s="52"/>
      <c r="J526" s="52"/>
      <c r="K526" s="52"/>
      <c r="L526" s="52"/>
      <c r="M526" s="52"/>
      <c r="N526" s="52"/>
      <c r="O526" s="52"/>
      <c r="P526" s="52"/>
      <c r="Q526" s="52"/>
      <c r="R526" s="52"/>
      <c r="S526" s="52"/>
      <c r="T526" s="52"/>
      <c r="U526" s="52"/>
      <c r="V526" s="52"/>
      <c r="W526" s="52"/>
      <c r="X526" s="52"/>
      <c r="Y526" s="52"/>
      <c r="Z526" s="52"/>
      <c r="AA526" s="52"/>
      <c r="AB526" s="52"/>
      <c r="AC526" s="52"/>
      <c r="AD526" s="52"/>
      <c r="AE526" s="52"/>
      <c r="AF526" s="52"/>
      <c r="AG526" s="52"/>
      <c r="AH526" s="52"/>
      <c r="AI526" s="52"/>
      <c r="AJ526" s="52"/>
      <c r="AK526" s="52"/>
      <c r="AL526" s="52"/>
      <c r="AM526" s="52"/>
      <c r="AN526" s="52"/>
      <c r="AO526" s="52"/>
      <c r="AP526" s="52"/>
      <c r="AQ526" s="52"/>
      <c r="AR526" s="52"/>
      <c r="AS526" s="52"/>
      <c r="AT526" s="52"/>
      <c r="AU526" s="52"/>
      <c r="AV526" s="52"/>
      <c r="AW526" s="52"/>
      <c r="AX526" s="52"/>
      <c r="AY526" s="52"/>
      <c r="AZ526" s="54"/>
    </row>
    <row r="527" spans="1:52" ht="16" x14ac:dyDescent="0.35">
      <c r="A527" s="60"/>
      <c r="B527" s="48"/>
      <c r="C527" s="49"/>
      <c r="D527" s="49"/>
      <c r="E527" s="49"/>
      <c r="F527" s="48"/>
      <c r="G527" s="48"/>
      <c r="H527" s="48"/>
      <c r="I527" s="48"/>
      <c r="J527" s="48"/>
      <c r="K527" s="48"/>
      <c r="L527" s="48"/>
      <c r="M527" s="48"/>
      <c r="N527" s="48"/>
      <c r="O527" s="48"/>
      <c r="P527" s="48"/>
      <c r="Q527" s="48"/>
      <c r="R527" s="48"/>
      <c r="S527" s="48"/>
      <c r="T527" s="48"/>
      <c r="U527" s="48"/>
      <c r="V527" s="48"/>
      <c r="W527" s="48"/>
      <c r="X527" s="48"/>
      <c r="Y527" s="48"/>
      <c r="Z527" s="48"/>
      <c r="AA527" s="48"/>
      <c r="AB527" s="48"/>
      <c r="AC527" s="48"/>
      <c r="AD527" s="48"/>
      <c r="AE527" s="48"/>
      <c r="AF527" s="48"/>
      <c r="AG527" s="48"/>
      <c r="AH527" s="48"/>
      <c r="AI527" s="48"/>
      <c r="AJ527" s="48"/>
      <c r="AK527" s="48"/>
      <c r="AL527" s="48"/>
      <c r="AM527" s="48"/>
      <c r="AN527" s="48"/>
      <c r="AO527" s="48"/>
      <c r="AP527" s="48"/>
      <c r="AQ527" s="48"/>
      <c r="AR527" s="48"/>
      <c r="AS527" s="48"/>
      <c r="AT527" s="48"/>
      <c r="AU527" s="48"/>
      <c r="AV527" s="48"/>
      <c r="AW527" s="48"/>
      <c r="AX527" s="48"/>
      <c r="AY527" s="48"/>
      <c r="AZ527" s="50"/>
    </row>
    <row r="528" spans="1:52" ht="16" x14ac:dyDescent="0.35">
      <c r="A528" s="61"/>
      <c r="B528" s="52"/>
      <c r="C528" s="53"/>
      <c r="D528" s="53"/>
      <c r="E528" s="53"/>
      <c r="F528" s="52"/>
      <c r="G528" s="52"/>
      <c r="H528" s="52"/>
      <c r="I528" s="52"/>
      <c r="J528" s="52"/>
      <c r="K528" s="52"/>
      <c r="L528" s="52"/>
      <c r="M528" s="52"/>
      <c r="N528" s="52"/>
      <c r="O528" s="52"/>
      <c r="P528" s="52"/>
      <c r="Q528" s="52"/>
      <c r="R528" s="52"/>
      <c r="S528" s="52"/>
      <c r="T528" s="52"/>
      <c r="U528" s="52"/>
      <c r="V528" s="52"/>
      <c r="W528" s="52"/>
      <c r="X528" s="52"/>
      <c r="Y528" s="52"/>
      <c r="Z528" s="52"/>
      <c r="AA528" s="52"/>
      <c r="AB528" s="52"/>
      <c r="AC528" s="52"/>
      <c r="AD528" s="52"/>
      <c r="AE528" s="52"/>
      <c r="AF528" s="52"/>
      <c r="AG528" s="52"/>
      <c r="AH528" s="52"/>
      <c r="AI528" s="52"/>
      <c r="AJ528" s="52"/>
      <c r="AK528" s="52"/>
      <c r="AL528" s="52"/>
      <c r="AM528" s="52"/>
      <c r="AN528" s="52"/>
      <c r="AO528" s="52"/>
      <c r="AP528" s="52"/>
      <c r="AQ528" s="52"/>
      <c r="AR528" s="52"/>
      <c r="AS528" s="52"/>
      <c r="AT528" s="52"/>
      <c r="AU528" s="52"/>
      <c r="AV528" s="52"/>
      <c r="AW528" s="52"/>
      <c r="AX528" s="52"/>
      <c r="AY528" s="52"/>
      <c r="AZ528" s="54"/>
    </row>
    <row r="529" spans="1:53" ht="16" x14ac:dyDescent="0.35">
      <c r="A529" s="60"/>
      <c r="B529" s="48"/>
      <c r="C529" s="49"/>
      <c r="D529" s="49"/>
      <c r="E529" s="49"/>
      <c r="F529" s="48"/>
      <c r="G529" s="48"/>
      <c r="H529" s="48"/>
      <c r="I529" s="48"/>
      <c r="J529" s="48"/>
      <c r="K529" s="48"/>
      <c r="L529" s="48"/>
      <c r="M529" s="48"/>
      <c r="N529" s="48"/>
      <c r="O529" s="48"/>
      <c r="P529" s="48"/>
      <c r="Q529" s="48"/>
      <c r="R529" s="48"/>
      <c r="S529" s="48"/>
      <c r="T529" s="48"/>
      <c r="U529" s="48"/>
      <c r="V529" s="48"/>
      <c r="W529" s="48"/>
      <c r="X529" s="48"/>
      <c r="Y529" s="48"/>
      <c r="Z529" s="48"/>
      <c r="AA529" s="48"/>
      <c r="AB529" s="48"/>
      <c r="AC529" s="48"/>
      <c r="AD529" s="48"/>
      <c r="AE529" s="48"/>
      <c r="AF529" s="48"/>
      <c r="AG529" s="48"/>
      <c r="AH529" s="48"/>
      <c r="AI529" s="48"/>
      <c r="AJ529" s="48"/>
      <c r="AK529" s="48"/>
      <c r="AL529" s="48"/>
      <c r="AM529" s="48"/>
      <c r="AN529" s="48"/>
      <c r="AO529" s="48"/>
      <c r="AP529" s="48"/>
      <c r="AQ529" s="48"/>
      <c r="AR529" s="48"/>
      <c r="AS529" s="48"/>
      <c r="AT529" s="48"/>
      <c r="AU529" s="48"/>
      <c r="AV529" s="48"/>
      <c r="AW529" s="48"/>
      <c r="AX529" s="48"/>
      <c r="AY529" s="48"/>
      <c r="AZ529" s="50"/>
    </row>
    <row r="530" spans="1:53" ht="16" x14ac:dyDescent="0.35">
      <c r="A530" s="61"/>
      <c r="B530" s="52"/>
      <c r="C530" s="53"/>
      <c r="D530" s="53"/>
      <c r="E530" s="53"/>
      <c r="F530" s="52"/>
      <c r="G530" s="52"/>
      <c r="H530" s="52"/>
      <c r="I530" s="52"/>
      <c r="J530" s="52"/>
      <c r="K530" s="52"/>
      <c r="L530" s="52"/>
      <c r="M530" s="52"/>
      <c r="N530" s="52"/>
      <c r="O530" s="52"/>
      <c r="P530" s="52"/>
      <c r="Q530" s="52"/>
      <c r="R530" s="52"/>
      <c r="S530" s="52"/>
      <c r="T530" s="52"/>
      <c r="U530" s="52"/>
      <c r="V530" s="52"/>
      <c r="W530" s="52"/>
      <c r="X530" s="52"/>
      <c r="Y530" s="52"/>
      <c r="Z530" s="52"/>
      <c r="AA530" s="52"/>
      <c r="AB530" s="52"/>
      <c r="AC530" s="52"/>
      <c r="AD530" s="52"/>
      <c r="AE530" s="52"/>
      <c r="AF530" s="52"/>
      <c r="AG530" s="52"/>
      <c r="AH530" s="52"/>
      <c r="AI530" s="52"/>
      <c r="AJ530" s="52"/>
      <c r="AK530" s="52"/>
      <c r="AL530" s="52"/>
      <c r="AM530" s="52"/>
      <c r="AN530" s="52"/>
      <c r="AO530" s="52"/>
      <c r="AP530" s="52"/>
      <c r="AQ530" s="52"/>
      <c r="AR530" s="52"/>
      <c r="AS530" s="52"/>
      <c r="AT530" s="52"/>
      <c r="AU530" s="52"/>
      <c r="AV530" s="52"/>
      <c r="AW530" s="52"/>
      <c r="AX530" s="52"/>
      <c r="AY530" s="52"/>
      <c r="AZ530" s="54"/>
    </row>
    <row r="531" spans="1:53" ht="16" x14ac:dyDescent="0.35">
      <c r="A531" s="60"/>
      <c r="B531" s="48"/>
      <c r="C531" s="49"/>
      <c r="D531" s="49"/>
      <c r="E531" s="49"/>
      <c r="F531" s="48"/>
      <c r="G531" s="48"/>
      <c r="H531" s="48"/>
      <c r="I531" s="48"/>
      <c r="J531" s="48"/>
      <c r="K531" s="48"/>
      <c r="L531" s="48"/>
      <c r="M531" s="48"/>
      <c r="N531" s="48"/>
      <c r="O531" s="48"/>
      <c r="P531" s="48"/>
      <c r="Q531" s="48"/>
      <c r="R531" s="48"/>
      <c r="S531" s="48"/>
      <c r="T531" s="48"/>
      <c r="U531" s="48"/>
      <c r="V531" s="48"/>
      <c r="W531" s="48"/>
      <c r="X531" s="48"/>
      <c r="Y531" s="48"/>
      <c r="Z531" s="48"/>
      <c r="AA531" s="48"/>
      <c r="AB531" s="48"/>
      <c r="AC531" s="48"/>
      <c r="AD531" s="48"/>
      <c r="AE531" s="48"/>
      <c r="AF531" s="48"/>
      <c r="AG531" s="48"/>
      <c r="AH531" s="48"/>
      <c r="AI531" s="48"/>
      <c r="AJ531" s="48"/>
      <c r="AK531" s="48"/>
      <c r="AL531" s="48"/>
      <c r="AM531" s="48"/>
      <c r="AN531" s="48"/>
      <c r="AO531" s="48"/>
      <c r="AP531" s="48"/>
      <c r="AQ531" s="48"/>
      <c r="AR531" s="48"/>
      <c r="AS531" s="48"/>
      <c r="AT531" s="48"/>
      <c r="AU531" s="48"/>
      <c r="AV531" s="48"/>
      <c r="AW531" s="48"/>
      <c r="AX531" s="48"/>
      <c r="AY531" s="48"/>
      <c r="AZ531" s="50"/>
    </row>
    <row r="532" spans="1:53" ht="16" x14ac:dyDescent="0.35">
      <c r="A532" s="61"/>
      <c r="B532" s="52"/>
      <c r="C532" s="53"/>
      <c r="D532" s="53"/>
      <c r="E532" s="53"/>
      <c r="F532" s="52"/>
      <c r="G532" s="52"/>
      <c r="H532" s="52"/>
      <c r="I532" s="52"/>
      <c r="J532" s="52"/>
      <c r="K532" s="52"/>
      <c r="L532" s="52"/>
      <c r="M532" s="52"/>
      <c r="N532" s="52"/>
      <c r="O532" s="52"/>
      <c r="P532" s="52"/>
      <c r="Q532" s="52"/>
      <c r="R532" s="52"/>
      <c r="S532" s="52"/>
      <c r="T532" s="52"/>
      <c r="U532" s="52"/>
      <c r="V532" s="52"/>
      <c r="W532" s="52"/>
      <c r="X532" s="52"/>
      <c r="Y532" s="52"/>
      <c r="Z532" s="52"/>
      <c r="AA532" s="52"/>
      <c r="AB532" s="52"/>
      <c r="AC532" s="52"/>
      <c r="AD532" s="52"/>
      <c r="AE532" s="52"/>
      <c r="AF532" s="52"/>
      <c r="AG532" s="52"/>
      <c r="AH532" s="52"/>
      <c r="AI532" s="52"/>
      <c r="AJ532" s="52"/>
      <c r="AK532" s="52"/>
      <c r="AL532" s="52"/>
      <c r="AM532" s="52"/>
      <c r="AN532" s="52"/>
      <c r="AO532" s="52"/>
      <c r="AP532" s="52"/>
      <c r="AQ532" s="52"/>
      <c r="AR532" s="52"/>
      <c r="AS532" s="52"/>
      <c r="AT532" s="52"/>
      <c r="AU532" s="52"/>
      <c r="AV532" s="52"/>
      <c r="AW532" s="52"/>
      <c r="AX532" s="52"/>
      <c r="AY532" s="52"/>
      <c r="AZ532" s="54"/>
    </row>
    <row r="533" spans="1:53" ht="16" x14ac:dyDescent="0.35">
      <c r="A533" s="60"/>
      <c r="B533" s="48"/>
      <c r="C533" s="49"/>
      <c r="D533" s="49"/>
      <c r="E533" s="49"/>
      <c r="F533" s="48"/>
      <c r="G533" s="48"/>
      <c r="H533" s="48"/>
      <c r="I533" s="48"/>
      <c r="J533" s="48"/>
      <c r="K533" s="48"/>
      <c r="L533" s="48"/>
      <c r="M533" s="48"/>
      <c r="N533" s="48"/>
      <c r="O533" s="48"/>
      <c r="P533" s="48"/>
      <c r="Q533" s="48"/>
      <c r="R533" s="48"/>
      <c r="S533" s="48"/>
      <c r="T533" s="48"/>
      <c r="U533" s="48"/>
      <c r="V533" s="48"/>
      <c r="W533" s="48"/>
      <c r="X533" s="48"/>
      <c r="Y533" s="48"/>
      <c r="Z533" s="48"/>
      <c r="AA533" s="48"/>
      <c r="AB533" s="48"/>
      <c r="AC533" s="48"/>
      <c r="AD533" s="48"/>
      <c r="AE533" s="48"/>
      <c r="AF533" s="48"/>
      <c r="AG533" s="48"/>
      <c r="AH533" s="48"/>
      <c r="AI533" s="48"/>
      <c r="AJ533" s="48"/>
      <c r="AK533" s="48"/>
      <c r="AL533" s="48"/>
      <c r="AM533" s="48"/>
      <c r="AN533" s="48"/>
      <c r="AO533" s="48"/>
      <c r="AP533" s="48"/>
      <c r="AQ533" s="48"/>
      <c r="AR533" s="48"/>
      <c r="AS533" s="48"/>
      <c r="AT533" s="48"/>
      <c r="AU533" s="48"/>
      <c r="AV533" s="48"/>
      <c r="AW533" s="48"/>
      <c r="AX533" s="48"/>
      <c r="AY533" s="48"/>
      <c r="AZ533" s="50"/>
    </row>
    <row r="534" spans="1:53" ht="16" x14ac:dyDescent="0.35">
      <c r="A534" s="61"/>
      <c r="B534" s="52"/>
      <c r="C534" s="53"/>
      <c r="D534" s="53"/>
      <c r="E534" s="53"/>
      <c r="F534" s="52"/>
      <c r="G534" s="52"/>
      <c r="H534" s="52"/>
      <c r="I534" s="52"/>
      <c r="J534" s="52"/>
      <c r="K534" s="52"/>
      <c r="L534" s="52"/>
      <c r="M534" s="52"/>
      <c r="N534" s="52"/>
      <c r="O534" s="52"/>
      <c r="P534" s="52"/>
      <c r="Q534" s="52"/>
      <c r="R534" s="52"/>
      <c r="S534" s="52"/>
      <c r="T534" s="52"/>
      <c r="U534" s="52"/>
      <c r="V534" s="52"/>
      <c r="W534" s="52"/>
      <c r="X534" s="52"/>
      <c r="Y534" s="52"/>
      <c r="Z534" s="52"/>
      <c r="AA534" s="52"/>
      <c r="AB534" s="52"/>
      <c r="AC534" s="52"/>
      <c r="AD534" s="52"/>
      <c r="AE534" s="52"/>
      <c r="AF534" s="52"/>
      <c r="AG534" s="52"/>
      <c r="AH534" s="52"/>
      <c r="AI534" s="52"/>
      <c r="AJ534" s="52"/>
      <c r="AK534" s="52"/>
      <c r="AL534" s="52"/>
      <c r="AM534" s="52"/>
      <c r="AN534" s="52"/>
      <c r="AO534" s="52"/>
      <c r="AP534" s="52"/>
      <c r="AQ534" s="52"/>
      <c r="AR534" s="52"/>
      <c r="AS534" s="52"/>
      <c r="AT534" s="52"/>
      <c r="AU534" s="52"/>
      <c r="AV534" s="52"/>
      <c r="AW534" s="52"/>
      <c r="AX534" s="52"/>
      <c r="AY534" s="52"/>
      <c r="AZ534" s="54"/>
    </row>
    <row r="535" spans="1:53" ht="16" x14ac:dyDescent="0.35">
      <c r="A535" s="60"/>
      <c r="B535" s="48"/>
      <c r="C535" s="49"/>
      <c r="D535" s="49"/>
      <c r="E535" s="49"/>
      <c r="F535" s="48"/>
      <c r="G535" s="48"/>
      <c r="H535" s="48"/>
      <c r="I535" s="48"/>
      <c r="J535" s="48"/>
      <c r="K535" s="48"/>
      <c r="L535" s="48"/>
      <c r="M535" s="48"/>
      <c r="N535" s="48"/>
      <c r="O535" s="48"/>
      <c r="P535" s="48"/>
      <c r="Q535" s="48"/>
      <c r="R535" s="48"/>
      <c r="S535" s="48"/>
      <c r="T535" s="48"/>
      <c r="U535" s="48"/>
      <c r="V535" s="48"/>
      <c r="W535" s="48"/>
      <c r="X535" s="48"/>
      <c r="Y535" s="48"/>
      <c r="Z535" s="48"/>
      <c r="AA535" s="48"/>
      <c r="AB535" s="48"/>
      <c r="AC535" s="48"/>
      <c r="AD535" s="48"/>
      <c r="AE535" s="48"/>
      <c r="AF535" s="48"/>
      <c r="AG535" s="48"/>
      <c r="AH535" s="48"/>
      <c r="AI535" s="48"/>
      <c r="AJ535" s="48"/>
      <c r="AK535" s="48"/>
      <c r="AL535" s="48"/>
      <c r="AM535" s="48"/>
      <c r="AN535" s="48"/>
      <c r="AO535" s="48"/>
      <c r="AP535" s="48"/>
      <c r="AQ535" s="48"/>
      <c r="AR535" s="48"/>
      <c r="AS535" s="48"/>
      <c r="AT535" s="48"/>
      <c r="AU535" s="48"/>
      <c r="AV535" s="48"/>
      <c r="AW535" s="48"/>
      <c r="AX535" s="48"/>
      <c r="AY535" s="48"/>
      <c r="AZ535" s="50"/>
    </row>
    <row r="536" spans="1:53" ht="16" x14ac:dyDescent="0.35">
      <c r="A536" s="61"/>
      <c r="B536" s="52"/>
      <c r="C536" s="53"/>
      <c r="D536" s="53"/>
      <c r="E536" s="53"/>
      <c r="F536" s="52"/>
      <c r="G536" s="52"/>
      <c r="H536" s="52"/>
      <c r="I536" s="52"/>
      <c r="J536" s="52"/>
      <c r="K536" s="52"/>
      <c r="L536" s="52"/>
      <c r="M536" s="52"/>
      <c r="N536" s="52"/>
      <c r="O536" s="52"/>
      <c r="P536" s="52"/>
      <c r="Q536" s="52"/>
      <c r="R536" s="52"/>
      <c r="S536" s="52"/>
      <c r="T536" s="52"/>
      <c r="U536" s="52"/>
      <c r="V536" s="52"/>
      <c r="W536" s="52"/>
      <c r="X536" s="52"/>
      <c r="Y536" s="52"/>
      <c r="Z536" s="52"/>
      <c r="AA536" s="52"/>
      <c r="AB536" s="52"/>
      <c r="AC536" s="52"/>
      <c r="AD536" s="52"/>
      <c r="AE536" s="52"/>
      <c r="AF536" s="52"/>
      <c r="AG536" s="52"/>
      <c r="AH536" s="52"/>
      <c r="AI536" s="52"/>
      <c r="AJ536" s="52"/>
      <c r="AK536" s="52"/>
      <c r="AL536" s="52"/>
      <c r="AM536" s="52"/>
      <c r="AN536" s="52"/>
      <c r="AO536" s="52"/>
      <c r="AP536" s="52"/>
      <c r="AQ536" s="52"/>
      <c r="AR536" s="52"/>
      <c r="AS536" s="52"/>
      <c r="AT536" s="52"/>
      <c r="AU536" s="52"/>
      <c r="AV536" s="52"/>
      <c r="AW536" s="52"/>
      <c r="AX536" s="52"/>
      <c r="AY536" s="52"/>
      <c r="AZ536" s="54"/>
    </row>
    <row r="537" spans="1:53" x14ac:dyDescent="0.35">
      <c r="BA537" s="28" t="s">
        <v>62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fb6e41d0-cdbe-4fc5-8a20-f2e53691e5bf" xsi:nil="true"/>
    <lcf76f155ced4ddcb4097134ff3c332f xmlns="10dbc053-d4b5-4eec-b0a9-3b174518ad91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1C36F33DAEA6E41A7A784AF7876DB7B" ma:contentTypeVersion="12" ma:contentTypeDescription="Create a new document." ma:contentTypeScope="" ma:versionID="e351c7f509dc67a67e5d98e4265ab72d">
  <xsd:schema xmlns:xsd="http://www.w3.org/2001/XMLSchema" xmlns:xs="http://www.w3.org/2001/XMLSchema" xmlns:p="http://schemas.microsoft.com/office/2006/metadata/properties" xmlns:ns2="10dbc053-d4b5-4eec-b0a9-3b174518ad91" xmlns:ns3="fb6e41d0-cdbe-4fc5-8a20-f2e53691e5bf" targetNamespace="http://schemas.microsoft.com/office/2006/metadata/properties" ma:root="true" ma:fieldsID="5d603435cac82c46b05a4ec8cadfb26e" ns2:_="" ns3:_="">
    <xsd:import namespace="10dbc053-d4b5-4eec-b0a9-3b174518ad91"/>
    <xsd:import namespace="fb6e41d0-cdbe-4fc5-8a20-f2e53691e5b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0dbc053-d4b5-4eec-b0a9-3b174518ad9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3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5" nillable="true" ma:taxonomy="true" ma:internalName="lcf76f155ced4ddcb4097134ff3c332f" ma:taxonomyFieldName="MediaServiceImageTags" ma:displayName="Image Tags" ma:readOnly="false" ma:fieldId="{5cf76f15-5ced-4ddc-b409-7134ff3c332f}" ma:taxonomyMulti="true" ma:sspId="291f986c-a39e-46de-af00-fbc6277fa5f5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b6e41d0-cdbe-4fc5-8a20-f2e53691e5bf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6" nillable="true" ma:displayName="Taxonomy Catch All Column" ma:hidden="true" ma:list="{ca4157c3-eacf-4b28-994c-565923a54957}" ma:internalName="TaxCatchAll" ma:showField="CatchAllData" ma:web="fb6e41d0-cdbe-4fc5-8a20-f2e53691e5bf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1B4A0AB8-63E2-4732-A2E8-5E3015B797E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AF9F5380-F175-4F98-9E9C-50323FFED048}">
  <ds:schemaRefs>
    <ds:schemaRef ds:uri="http://schemas.microsoft.com/office/2006/metadata/properties"/>
    <ds:schemaRef ds:uri="http://schemas.microsoft.com/office/infopath/2007/PartnerControls"/>
    <ds:schemaRef ds:uri="fb6e41d0-cdbe-4fc5-8a20-f2e53691e5bf"/>
    <ds:schemaRef ds:uri="10dbc053-d4b5-4eec-b0a9-3b174518ad91"/>
  </ds:schemaRefs>
</ds:datastoreItem>
</file>

<file path=customXml/itemProps3.xml><?xml version="1.0" encoding="utf-8"?>
<ds:datastoreItem xmlns:ds="http://schemas.openxmlformats.org/officeDocument/2006/customXml" ds:itemID="{7045292C-A0B8-471D-9E95-4E10EB9DD9F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0dbc053-d4b5-4eec-b0a9-3b174518ad91"/>
    <ds:schemaRef ds:uri="fb6e41d0-cdbe-4fc5-8a20-f2e53691e5b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Target Summary Dashboard</vt:lpstr>
      <vt:lpstr>Call Center Summary</vt:lpstr>
      <vt:lpstr>Volume Summary </vt:lpstr>
      <vt:lpstr>DataTransmission</vt:lpstr>
      <vt:lpstr>Call Subject</vt:lpstr>
      <vt:lpstr>Call Center Data</vt:lpstr>
      <vt:lpstr>Cases data</vt:lpstr>
      <vt:lpstr>YTD Call Center Data</vt:lpstr>
    </vt:vector>
  </TitlesOfParts>
  <Manager/>
  <Company>Morneau Shepell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sandeep semwal</dc:creator>
  <cp:keywords/>
  <dc:description/>
  <cp:lastModifiedBy>Puneet Jainth2</cp:lastModifiedBy>
  <cp:revision/>
  <dcterms:created xsi:type="dcterms:W3CDTF">2020-05-14T12:43:02Z</dcterms:created>
  <dcterms:modified xsi:type="dcterms:W3CDTF">2024-03-14T14:10:19Z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0e712cef-7f2e-4ff6-bc72-fc5d119f50a1_Enabled">
    <vt:lpwstr>true</vt:lpwstr>
  </property>
  <property fmtid="{D5CDD505-2E9C-101B-9397-08002B2CF9AE}" pid="3" name="MSIP_Label_0e712cef-7f2e-4ff6-bc72-fc5d119f50a1_SetDate">
    <vt:lpwstr>2020-11-17T18:26:18Z</vt:lpwstr>
  </property>
  <property fmtid="{D5CDD505-2E9C-101B-9397-08002B2CF9AE}" pid="4" name="MSIP_Label_0e712cef-7f2e-4ff6-bc72-fc5d119f50a1_Method">
    <vt:lpwstr>Standard</vt:lpwstr>
  </property>
  <property fmtid="{D5CDD505-2E9C-101B-9397-08002B2CF9AE}" pid="5" name="MSIP_Label_0e712cef-7f2e-4ff6-bc72-fc5d119f50a1_Name">
    <vt:lpwstr>Company Confidential</vt:lpwstr>
  </property>
  <property fmtid="{D5CDD505-2E9C-101B-9397-08002B2CF9AE}" pid="6" name="MSIP_Label_0e712cef-7f2e-4ff6-bc72-fc5d119f50a1_SiteId">
    <vt:lpwstr>7565b51c-5e87-48eb-bc80-252b20bc1ade</vt:lpwstr>
  </property>
  <property fmtid="{D5CDD505-2E9C-101B-9397-08002B2CF9AE}" pid="7" name="MSIP_Label_0e712cef-7f2e-4ff6-bc72-fc5d119f50a1_ActionId">
    <vt:lpwstr>271f7a0f-bd51-4f82-a7b0-203ed3f84ee1</vt:lpwstr>
  </property>
  <property fmtid="{D5CDD505-2E9C-101B-9397-08002B2CF9AE}" pid="8" name="MSIP_Label_0e712cef-7f2e-4ff6-bc72-fc5d119f50a1_ContentBits">
    <vt:lpwstr>0</vt:lpwstr>
  </property>
  <property fmtid="{D5CDD505-2E9C-101B-9397-08002B2CF9AE}" pid="9" name="ContentTypeId">
    <vt:lpwstr>0x010100E1C36F33DAEA6E41A7A784AF7876DB7B</vt:lpwstr>
  </property>
  <property fmtid="{D5CDD505-2E9C-101B-9397-08002B2CF9AE}" pid="10" name="MediaServiceImageTags">
    <vt:lpwstr/>
  </property>
</Properties>
</file>